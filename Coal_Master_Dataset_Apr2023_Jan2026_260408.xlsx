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Data" sheetId="1" r:id="rId4"/>
    <sheet state="visible" name="Comparison" sheetId="2" r:id="rId5"/>
    <sheet state="visible" name="All-India Monthly Summary" sheetId="3" r:id="rId6"/>
    <sheet state="visible" name="Regional Monthly Summary" sheetId="4" r:id="rId7"/>
    <sheet state="visible" name="Plant Summary" sheetId="5" r:id="rId8"/>
    <sheet state="visible" name="Variables" sheetId="6" r:id="rId9"/>
    <sheet state="visible" name="State Key" sheetId="7" r:id="rId10"/>
  </sheets>
  <definedNames>
    <definedName hidden="1" localSheetId="0" name="_xlnm._FilterDatabase">'Master Data'!$A$3:$O$6234</definedName>
  </definedNames>
  <calcPr/>
  <extLst>
    <ext uri="GoogleSheetsCustomDataVersion2">
      <go:sheetsCustomData xmlns:go="http://customooxmlschemas.google.com/" r:id="rId11" roundtripDataChecksum="Kwd3liawi+fyyQyoxj9MFdlF+MrfTrNjdWfWtT1LQMM="/>
    </ext>
  </extLst>
</workbook>
</file>

<file path=xl/sharedStrings.xml><?xml version="1.0" encoding="utf-8"?>
<sst xmlns="http://schemas.openxmlformats.org/spreadsheetml/2006/main" count="20988" uniqueCount="585">
  <si>
    <t>India National Power Portal — Monthly Coal Report | Master Dataset | April 2023 – January 2026 | Quantities in '000 Tonnes</t>
  </si>
  <si>
    <t>IDENTIFICATION</t>
  </si>
  <si>
    <t>CAPACITY</t>
  </si>
  <si>
    <t>COAL RECEIPTS  ('000 Tonnes)</t>
  </si>
  <si>
    <t>OFFTAKE  ('000 Tonnes)</t>
  </si>
  <si>
    <t>STOCK POSITION</t>
  </si>
  <si>
    <t>Period</t>
  </si>
  <si>
    <t>Region</t>
  </si>
  <si>
    <t>Plant / TPS Name</t>
  </si>
  <si>
    <t>State</t>
  </si>
  <si>
    <t>Installed
MW</t>
  </si>
  <si>
    <t>CIL</t>
  </si>
  <si>
    <t>SCCL</t>
  </si>
  <si>
    <t>Captive
Mines</t>
  </si>
  <si>
    <t>E-Auction</t>
  </si>
  <si>
    <t>Import</t>
  </si>
  <si>
    <t>Others</t>
  </si>
  <si>
    <t>Total
Receipt</t>
  </si>
  <si>
    <t>Total
Consumption</t>
  </si>
  <si>
    <t>Closing
Stocks</t>
  </si>
  <si>
    <t>Stock Cover
(Days)</t>
  </si>
  <si>
    <t>April 2023</t>
  </si>
  <si>
    <t>Eastern</t>
  </si>
  <si>
    <t>BAKRESWAR TPS</t>
  </si>
  <si>
    <t>BANDEL TPS</t>
  </si>
  <si>
    <t>BARAUNI TPS</t>
  </si>
  <si>
    <t>BARH  STPS</t>
  </si>
  <si>
    <t>BOKARO TPS `A` EXP</t>
  </si>
  <si>
    <t>BUDGE BUDGE TPS</t>
  </si>
  <si>
    <t>CHANDRAPURA(DVC) TPS</t>
  </si>
  <si>
    <t>D.P.L. TPS</t>
  </si>
  <si>
    <t>DARLIPALI STPS</t>
  </si>
  <si>
    <t>DERANG TPP</t>
  </si>
  <si>
    <t>DISHERGARH TPP</t>
  </si>
  <si>
    <t>DURGAPUR STEEL TPS</t>
  </si>
  <si>
    <t>FARAKKA STPS</t>
  </si>
  <si>
    <t>HALDIA TPP</t>
  </si>
  <si>
    <t>HIRANMAYE TPP</t>
  </si>
  <si>
    <t>IB VALLEY TPS</t>
  </si>
  <si>
    <t>JOJOBERA TPS</t>
  </si>
  <si>
    <t>KAHALGAON TPS</t>
  </si>
  <si>
    <t>KAMALANGA TPS</t>
  </si>
  <si>
    <t>KODARMA TPP</t>
  </si>
  <si>
    <t>KOLAGHAT TPS</t>
  </si>
  <si>
    <t>MAHADEV PRASAD STPP</t>
  </si>
  <si>
    <t>MAITHON RB TPP</t>
  </si>
  <si>
    <t>MEJIA TPS</t>
  </si>
  <si>
    <t>MUZAFFARPUR TPS</t>
  </si>
  <si>
    <t>NABINAGAR STPP</t>
  </si>
  <si>
    <t>NABINAGAR TPP</t>
  </si>
  <si>
    <t>NORTH KARANPURA TPP</t>
  </si>
  <si>
    <t>RAGHUNATHPUR TPP</t>
  </si>
  <si>
    <t>SAGARDIGHI TPS</t>
  </si>
  <si>
    <t>SANTALDIH TPS</t>
  </si>
  <si>
    <t>SOUTHERN REPL. TPS</t>
  </si>
  <si>
    <t>TALCHER STPS</t>
  </si>
  <si>
    <t>TENUGHAT TPS</t>
  </si>
  <si>
    <t>TITAGARH TPS</t>
  </si>
  <si>
    <t>—</t>
  </si>
  <si>
    <t>UTKAL TPP (IND BARATH)</t>
  </si>
  <si>
    <t>VEDANTA TPP</t>
  </si>
  <si>
    <t>Northern</t>
  </si>
  <si>
    <t>ANPARA C TPS</t>
  </si>
  <si>
    <t>ANPARA TPS</t>
  </si>
  <si>
    <t>BARKHERA TPS</t>
  </si>
  <si>
    <t>CHHABRA-I PH-1 TPP</t>
  </si>
  <si>
    <t>CHHABRA-I PH-2 TPP</t>
  </si>
  <si>
    <t>CHHABRA-II TPP</t>
  </si>
  <si>
    <t>DADRI (NCTPP)</t>
  </si>
  <si>
    <t>GH TPS (LEH.MOH.)</t>
  </si>
  <si>
    <t>GOINDWAL SAHIB TPP</t>
  </si>
  <si>
    <t>HARDUAGANJ TPS</t>
  </si>
  <si>
    <t>INDIRA GANDHI STPP</t>
  </si>
  <si>
    <t>KALISINDH TPS</t>
  </si>
  <si>
    <t>KAWAI TPS</t>
  </si>
  <si>
    <t>KHAMBARKHERA TPS</t>
  </si>
  <si>
    <t>KOTA TPS</t>
  </si>
  <si>
    <t>KUNDARKI TPS</t>
  </si>
  <si>
    <t>LALITPUR TPS</t>
  </si>
  <si>
    <t>MAHATMA GANDHI TPS</t>
  </si>
  <si>
    <t>MAQSOODPUR TPS</t>
  </si>
  <si>
    <t>MEJA STPP</t>
  </si>
  <si>
    <t>OBRA TPS</t>
  </si>
  <si>
    <t>PANIPAT TPS</t>
  </si>
  <si>
    <t>PARICHHA TPS</t>
  </si>
  <si>
    <t>PRAYAGRAJ TPP</t>
  </si>
  <si>
    <t>RAJIV GANDHI TPS</t>
  </si>
  <si>
    <t>RAJPURA TPP</t>
  </si>
  <si>
    <t>RIHAND STPS</t>
  </si>
  <si>
    <t>ROPAR TPS</t>
  </si>
  <si>
    <t>ROSA TPP Ph-I</t>
  </si>
  <si>
    <t>SINGRAULI STPS</t>
  </si>
  <si>
    <t>SURATGARH STPS</t>
  </si>
  <si>
    <t>SURATGARH TPS</t>
  </si>
  <si>
    <t>TALWANDI SABO TPP</t>
  </si>
  <si>
    <t>TANDA TPS</t>
  </si>
  <si>
    <t>UNCHAHAR TPS</t>
  </si>
  <si>
    <t>UTRAULA TPS</t>
  </si>
  <si>
    <t>YAMUNA NAGAR TPS</t>
  </si>
  <si>
    <t>Southern</t>
  </si>
  <si>
    <t>BELLARY TPS</t>
  </si>
  <si>
    <t>BHADRADRI TPP</t>
  </si>
  <si>
    <t>DAMODARAM SANJEEVAIAH TPS</t>
  </si>
  <si>
    <t>Dr. N.TATA RAO TPS</t>
  </si>
  <si>
    <t>ITPCL TPP</t>
  </si>
  <si>
    <t>KAKATIYA TPS</t>
  </si>
  <si>
    <t>KOTHAGUDEM TPS (NEW)</t>
  </si>
  <si>
    <t>KOTHAGUDEM TPS (STAGE-7)</t>
  </si>
  <si>
    <t>KUDGI STPP</t>
  </si>
  <si>
    <t>METTUR TPS</t>
  </si>
  <si>
    <t>METTUR TPS - II</t>
  </si>
  <si>
    <t>MUTHIARA TPP</t>
  </si>
  <si>
    <t>NORTH CHENNAI TPS</t>
  </si>
  <si>
    <t>NTPL TUTICORIN  TPP</t>
  </si>
  <si>
    <t>PAINAMPURAM TPP</t>
  </si>
  <si>
    <t>RAICHUR TPS</t>
  </si>
  <si>
    <t>RAMAGUNDEM STPS</t>
  </si>
  <si>
    <t>RAMAGUNDEM-B TPS</t>
  </si>
  <si>
    <t>RAYALASEEMA TPS</t>
  </si>
  <si>
    <t>SGPL TPP</t>
  </si>
  <si>
    <t>SIMHADRI</t>
  </si>
  <si>
    <t>SIMHAPURI TPS</t>
  </si>
  <si>
    <t>SINGARENI TPP</t>
  </si>
  <si>
    <t>THAMMINAPATNAM TPS</t>
  </si>
  <si>
    <t>TORANGALLU TPS(SBU-I)</t>
  </si>
  <si>
    <t>TORANGALLU TPS(SBU-II)</t>
  </si>
  <si>
    <t>TUTICORIN (P) TPP</t>
  </si>
  <si>
    <t>TUTICORIN TPP ST-IV</t>
  </si>
  <si>
    <t>TUTICORIN TPS</t>
  </si>
  <si>
    <t>UDUPI TPP</t>
  </si>
  <si>
    <t>VALLUR TPP</t>
  </si>
  <si>
    <t>VIZAG TPP</t>
  </si>
  <si>
    <t>YERMARUS TPP</t>
  </si>
  <si>
    <t>Western</t>
  </si>
  <si>
    <t>AKALTARA TPS</t>
  </si>
  <si>
    <t>AMARKANTAK EXT TPS</t>
  </si>
  <si>
    <t>AMRAVATI TPS</t>
  </si>
  <si>
    <t>ANUPPUR TPP</t>
  </si>
  <si>
    <t>AVANTHA BHANDAR</t>
  </si>
  <si>
    <t>BALCO TPS</t>
  </si>
  <si>
    <t>BANDAKHAR TPP</t>
  </si>
  <si>
    <t>BARADARHA TPS</t>
  </si>
  <si>
    <t>BELA TPS</t>
  </si>
  <si>
    <t>BHILAI TPS</t>
  </si>
  <si>
    <t>BHUSAWAL TPS</t>
  </si>
  <si>
    <t>BINA TPS</t>
  </si>
  <si>
    <t>BINJKOTE TPP</t>
  </si>
  <si>
    <t>BUTIBORI TPP</t>
  </si>
  <si>
    <t>CHAKABURA TPP</t>
  </si>
  <si>
    <t>CHANDRAPUR(MAHARASHTRA) STPS</t>
  </si>
  <si>
    <t>DAHANU TPS</t>
  </si>
  <si>
    <t>DHARIWAL TPP</t>
  </si>
  <si>
    <t>DSPM TPS</t>
  </si>
  <si>
    <t>GADARWARA TPP</t>
  </si>
  <si>
    <t>GANDHI NAGAR TPS</t>
  </si>
  <si>
    <t>GEPL TPP Ph-I</t>
  </si>
  <si>
    <t>GMR WARORA TPS</t>
  </si>
  <si>
    <t>JSW RATNAGIRI TPP</t>
  </si>
  <si>
    <t>KASAIPALLI TPP</t>
  </si>
  <si>
    <t>KATGHORA TPP</t>
  </si>
  <si>
    <t>KHAPARKHEDA TPS</t>
  </si>
  <si>
    <t>KHARGONE STPP</t>
  </si>
  <si>
    <t>KORADI TPS</t>
  </si>
  <si>
    <t>KORBA STPS</t>
  </si>
  <si>
    <t>KORBA-WEST TPS</t>
  </si>
  <si>
    <t>LARA TPP</t>
  </si>
  <si>
    <t>MAHAN TPP</t>
  </si>
  <si>
    <t>MARWA TPS</t>
  </si>
  <si>
    <t>MAUDA TPS</t>
  </si>
  <si>
    <t>MIHAN TPS</t>
  </si>
  <si>
    <t>MUNDRA TPS-I &amp; II</t>
  </si>
  <si>
    <t>MUNDRA TPS-III</t>
  </si>
  <si>
    <t>MUNDRA UMTPP</t>
  </si>
  <si>
    <t>NASIK (P) TPS</t>
  </si>
  <si>
    <t>NASIK TPS</t>
  </si>
  <si>
    <t>NAWAPARA TPP</t>
  </si>
  <si>
    <t>NIGRI TPP</t>
  </si>
  <si>
    <t>NIWARI TPP</t>
  </si>
  <si>
    <t>OP JINDAL TPS</t>
  </si>
  <si>
    <t>PARAS TPS</t>
  </si>
  <si>
    <t>PARLI TPS</t>
  </si>
  <si>
    <t>PATHADI TPP</t>
  </si>
  <si>
    <t>RAIKHEDA TPP</t>
  </si>
  <si>
    <t>RATIJA TPS</t>
  </si>
  <si>
    <t>SABARMATI (D-F STATIONS)</t>
  </si>
  <si>
    <t>SALAYA TPP</t>
  </si>
  <si>
    <t>SALORA TPP</t>
  </si>
  <si>
    <t>SANJAY GANDHI TPS</t>
  </si>
  <si>
    <t>SASAN UMTPP</t>
  </si>
  <si>
    <t>SATPURA TPS</t>
  </si>
  <si>
    <t>SEIONI TPP</t>
  </si>
  <si>
    <t>SHIRPUR TPP</t>
  </si>
  <si>
    <t>SHREE SINGAJI TPP</t>
  </si>
  <si>
    <t>SIKKA REP. TPS</t>
  </si>
  <si>
    <t>SIPAT STPS</t>
  </si>
  <si>
    <t>SOLAPUR STPS</t>
  </si>
  <si>
    <t>SVPL TPP</t>
  </si>
  <si>
    <t>SWASTIK KORBA TPP</t>
  </si>
  <si>
    <t>TAMNAR TPP</t>
  </si>
  <si>
    <t>TIRORA TPS</t>
  </si>
  <si>
    <t>TROMBAY TPS</t>
  </si>
  <si>
    <t>UCHPINDA TPP</t>
  </si>
  <si>
    <t>UKAI TPS</t>
  </si>
  <si>
    <t>VINDHYACHAL STPS</t>
  </si>
  <si>
    <t>WANAKBORI TPS</t>
  </si>
  <si>
    <t>WARDHA WARORA TPP</t>
  </si>
  <si>
    <t>May 2023</t>
  </si>
  <si>
    <t>June 2023</t>
  </si>
  <si>
    <t>July 2023</t>
  </si>
  <si>
    <t>ADANI POWER LIMITED KAWAI TPP</t>
  </si>
  <si>
    <t>ADANI POWER LIMITED UDUPI TPP</t>
  </si>
  <si>
    <t>ADANI POWER LIMITED MUNDRA TPP - I &amp; II</t>
  </si>
  <si>
    <t>ADANI POWER LIMITED MUNDRA TPP - III</t>
  </si>
  <si>
    <t>ADANI POWER LIMITED RAIGARH TPP</t>
  </si>
  <si>
    <t>ADANI POWER LIMITED RAIPUR TPP</t>
  </si>
  <si>
    <t>ADANI POWER LIMITED TIRODA TPP</t>
  </si>
  <si>
    <t>August 2023</t>
  </si>
  <si>
    <t>September 2023</t>
  </si>
  <si>
    <t>October 2023</t>
  </si>
  <si>
    <t>SHREE CEMENT LTD TPS</t>
  </si>
  <si>
    <t>TELANGANA STPP PH-1</t>
  </si>
  <si>
    <t>November 2023</t>
  </si>
  <si>
    <t>December 2023</t>
  </si>
  <si>
    <t>January 2024</t>
  </si>
  <si>
    <t>February 2024</t>
  </si>
  <si>
    <t>March 2024</t>
  </si>
  <si>
    <t>JAWAHARPUR STPP</t>
  </si>
  <si>
    <t>OBRA-C STPP</t>
  </si>
  <si>
    <t>OPG Power Generation Private Limited</t>
  </si>
  <si>
    <t>April 2024</t>
  </si>
  <si>
    <t>ADANI POWER</t>
  </si>
  <si>
    <t>LIMITED UDUPI TPP</t>
  </si>
  <si>
    <t>May 2024</t>
  </si>
  <si>
    <t>June 2024</t>
  </si>
  <si>
    <t>July 2024</t>
  </si>
  <si>
    <t>August 2024</t>
  </si>
  <si>
    <t>September 2024</t>
  </si>
  <si>
    <t>October 2024</t>
  </si>
  <si>
    <t>November 2024</t>
  </si>
  <si>
    <t>December 2024</t>
  </si>
  <si>
    <t>January 2025</t>
  </si>
  <si>
    <t>Maadurga Thermal Power Company Ltd.</t>
  </si>
  <si>
    <t>GHATAMPUR TPP</t>
  </si>
  <si>
    <t>TCP Limited</t>
  </si>
  <si>
    <t>February 2025</t>
  </si>
  <si>
    <t>JSW Energy Utkal Limited</t>
  </si>
  <si>
    <t>KHURJA TPP</t>
  </si>
  <si>
    <t>March 2025</t>
  </si>
  <si>
    <t>PANKI TPS EXT</t>
  </si>
  <si>
    <t>YADADRI TPS</t>
  </si>
  <si>
    <t>April 2025</t>
  </si>
  <si>
    <t>May 2025</t>
  </si>
  <si>
    <t>June 2025</t>
  </si>
  <si>
    <t>July 2025</t>
  </si>
  <si>
    <t>August 2025</t>
  </si>
  <si>
    <t>Vedanta Ltd Chhattisgarh TPP</t>
  </si>
  <si>
    <t>September 2025</t>
  </si>
  <si>
    <t>October 2025</t>
  </si>
  <si>
    <t>November 2025</t>
  </si>
  <si>
    <t>BUXAR TPP</t>
  </si>
  <si>
    <t>PATRATU STPP</t>
  </si>
  <si>
    <t>METTUR TPS-II</t>
  </si>
  <si>
    <t>NORTH CHENNAI TPS STAGE 1</t>
  </si>
  <si>
    <t>NORTH CHENNAI TPS STAGE 2</t>
  </si>
  <si>
    <t>December 2025</t>
  </si>
  <si>
    <t>January 2026</t>
  </si>
  <si>
    <t>MEENAKSHI ENERGY LTD</t>
  </si>
  <si>
    <t>NORTH CHENNAI TPS STAGE 3</t>
  </si>
  <si>
    <t>JSW Mahanadi Power Company Limited</t>
  </si>
  <si>
    <r>
      <rPr>
        <rFont val="Calibri"/>
        <b/>
        <sz val="11.0"/>
      </rPr>
      <t xml:space="preserve">SOURCE: </t>
    </r>
    <r>
      <rPr>
        <rFont val="Calibri"/>
        <b/>
        <color rgb="FF1155CC"/>
        <sz val="11.0"/>
        <u/>
      </rPr>
      <t>https://www.data.gov.in/resource/stateut-wise-details-domestic-receipt-and-consumption-coal-domestic-coal-based-plants-2014</t>
    </r>
  </si>
  <si>
    <t>Sl. No.</t>
  </si>
  <si>
    <t>2023-24 - Total Consumption (Millions of Tonnes)</t>
  </si>
  <si>
    <t>23-2024 total per original data (Millions of Tonnes)</t>
  </si>
  <si>
    <t>Delhi</t>
  </si>
  <si>
    <t>N/A</t>
  </si>
  <si>
    <t>Haryana</t>
  </si>
  <si>
    <t>Punjab</t>
  </si>
  <si>
    <t>Rajasthan</t>
  </si>
  <si>
    <t>Uttar Pradesh</t>
  </si>
  <si>
    <t>Chhattisgarh</t>
  </si>
  <si>
    <t>Gujarat</t>
  </si>
  <si>
    <t>Madhya Pradesh</t>
  </si>
  <si>
    <t>Maharashtra</t>
  </si>
  <si>
    <t>Andhra Pradesh</t>
  </si>
  <si>
    <t>Karnataka</t>
  </si>
  <si>
    <t>Tamil Nadu</t>
  </si>
  <si>
    <t>Telangana</t>
  </si>
  <si>
    <t>Bihar</t>
  </si>
  <si>
    <t>&lt;-- Note that these are probably similar because the data we have starts at April</t>
  </si>
  <si>
    <t>Jharkhand</t>
  </si>
  <si>
    <t>Odisha</t>
  </si>
  <si>
    <t>West Bengal</t>
  </si>
  <si>
    <t>Assam</t>
  </si>
  <si>
    <t>All State-DCB</t>
  </si>
  <si>
    <t>All-India Monthly Coal Summary — National Power Portal | Quantities in '000 Tonnes</t>
  </si>
  <si>
    <t>Year</t>
  </si>
  <si>
    <t>Month</t>
  </si>
  <si>
    <t>CIL
('000T)</t>
  </si>
  <si>
    <t>SCCL
('000T)</t>
  </si>
  <si>
    <t>Captive
('000T)</t>
  </si>
  <si>
    <t>E-Auction
('000T)</t>
  </si>
  <si>
    <t>Import
('000T)</t>
  </si>
  <si>
    <t>Others
('000T)</t>
  </si>
  <si>
    <t>Total Receipt
('000T)</t>
  </si>
  <si>
    <t>Total Consump.
('000T)</t>
  </si>
  <si>
    <t>Closing Stocks
('000T)</t>
  </si>
  <si>
    <t>Net Surplus /
Deficit ('000T)</t>
  </si>
  <si>
    <t>CIL %</t>
  </si>
  <si>
    <t>Captive %</t>
  </si>
  <si>
    <t>E-Auction %</t>
  </si>
  <si>
    <t>Import %</t>
  </si>
  <si>
    <t>Market Coal %</t>
  </si>
  <si>
    <t>GRAND TOTAL</t>
  </si>
  <si>
    <t>Regional Monthly Coal Summary — National Power Portal | Quantities in '000 Tonnes</t>
  </si>
  <si>
    <t>Plants
(#)</t>
  </si>
  <si>
    <t>Net Balance
('000T)</t>
  </si>
  <si>
    <t>Plant-Level Cumulative Summary — April 2023 to January 2026 | Quantities in '000 Tonnes (Cumulative)</t>
  </si>
  <si>
    <t>Coordinates</t>
  </si>
  <si>
    <t>Periods
(#)</t>
  </si>
  <si>
    <t>CIL
(Cumul.)</t>
  </si>
  <si>
    <t>SCCL
(Cumul.)</t>
  </si>
  <si>
    <t>Captive
(Cumul.)</t>
  </si>
  <si>
    <t>E-Auction
(Cumul.)</t>
  </si>
  <si>
    <t>Import
(Cumul.)</t>
  </si>
  <si>
    <t>Others
(Cumul.)</t>
  </si>
  <si>
    <t>Total Receipt
(Cumul.)</t>
  </si>
  <si>
    <t>Total Consump.
(Cumul.)</t>
  </si>
  <si>
    <t>Latest
Stocks</t>
  </si>
  <si>
    <t>Avg Stock
Cover (Days)</t>
  </si>
  <si>
    <t>◆  EASTERN REGION</t>
  </si>
  <si>
    <t>22.995705, 88.404090</t>
  </si>
  <si>
    <t>25.391300, 86.023400</t>
  </si>
  <si>
    <t>25.469300, 85.745100</t>
  </si>
  <si>
    <t>23.782944, 85.883391</t>
  </si>
  <si>
    <t>22.468889, 88.139722</t>
  </si>
  <si>
    <t>25.509199, 83.892355</t>
  </si>
  <si>
    <t>23.738136, 86.127145</t>
  </si>
  <si>
    <t>23.521100, 87.302300</t>
  </si>
  <si>
    <t>21.963554, 83.891870</t>
  </si>
  <si>
    <t>21.123800, 84.984300</t>
  </si>
  <si>
    <t>23.690640, 86.827350</t>
  </si>
  <si>
    <t>23.580000, 87.204300</t>
  </si>
  <si>
    <t>24.772000, 87.894000</t>
  </si>
  <si>
    <t>22.060400, 88.109700</t>
  </si>
  <si>
    <t>22.077400, 88.099500</t>
  </si>
  <si>
    <t>Orissa</t>
  </si>
  <si>
    <t>21.687200, 83.860000</t>
  </si>
  <si>
    <t>22.755348, 86.248989</t>
  </si>
  <si>
    <t>21.657942, 83.919513</t>
  </si>
  <si>
    <t>25.236900, 87.265500</t>
  </si>
  <si>
    <t>20.870500, 85.266900</t>
  </si>
  <si>
    <t>24.390141, 85.561102</t>
  </si>
  <si>
    <t>22.415660, 87.871229</t>
  </si>
  <si>
    <t>22.839500, 86.061300</t>
  </si>
  <si>
    <t>23.820900, 86.760000</t>
  </si>
  <si>
    <t>23.465034, 87.130758</t>
  </si>
  <si>
    <t>26.194700, 85.303300</t>
  </si>
  <si>
    <t>20.576220, 86.020728</t>
  </si>
  <si>
    <t>24.766600, 84.150000</t>
  </si>
  <si>
    <t>24.828546, 84.270227</t>
  </si>
  <si>
    <t>23.856570, 85.027158</t>
  </si>
  <si>
    <t>23.640800, 85.293588</t>
  </si>
  <si>
    <t>23.621900, 86.660700</t>
  </si>
  <si>
    <t>24.368800, 88.104000</t>
  </si>
  <si>
    <t>23.602225, 86.468336</t>
  </si>
  <si>
    <t>22.549026, 88.291052</t>
  </si>
  <si>
    <t>21.096600, 85.074000</t>
  </si>
  <si>
    <t>23.757300, 85.893600</t>
  </si>
  <si>
    <t>22.731944, 88.370556</t>
  </si>
  <si>
    <t>21.814523, 84.039929</t>
  </si>
  <si>
    <t>◆  NORTHERN REGION</t>
  </si>
  <si>
    <t>24.204112, 82.797685</t>
  </si>
  <si>
    <t>26.192778, 79.940278</t>
  </si>
  <si>
    <t>28.474784, 79.804071</t>
  </si>
  <si>
    <t>24.620920, 77.035439</t>
  </si>
  <si>
    <t>25.214299, 81.650820</t>
  </si>
  <si>
    <t>28.602951, 77.608163</t>
  </si>
  <si>
    <t>30.266600, 75.166100</t>
  </si>
  <si>
    <t>26.170025, 80.169886</t>
  </si>
  <si>
    <t>31.384100, 75.146400</t>
  </si>
  <si>
    <t>28.017861, 78.129366</t>
  </si>
  <si>
    <t>28.485091, 76.373160</t>
  </si>
  <si>
    <t>27.557438, 78.653801</t>
  </si>
  <si>
    <t>24.532513, 76.100353</t>
  </si>
  <si>
    <t>24.777997, 76.737144</t>
  </si>
  <si>
    <t>28.018466, 80.829712</t>
  </si>
  <si>
    <t>28.252222, 77.851781</t>
  </si>
  <si>
    <t>25.171200, 75.817100</t>
  </si>
  <si>
    <t>28.679928, 78.784498</t>
  </si>
  <si>
    <t>24.796233, 78.646493</t>
  </si>
  <si>
    <t>28.488143, 76.352534</t>
  </si>
  <si>
    <t>28.245983, 79.997670</t>
  </si>
  <si>
    <t>25.144700, 81.941500</t>
  </si>
  <si>
    <t>24.445478, 82.980707</t>
  </si>
  <si>
    <t>29.398300, 76.875450</t>
  </si>
  <si>
    <t>26.476064, 80.241920</t>
  </si>
  <si>
    <t>25.513571, 78.757918</t>
  </si>
  <si>
    <t>25.196345, 81.658534</t>
  </si>
  <si>
    <t>29.347597, 75.857981</t>
  </si>
  <si>
    <t>30.558963, 76.577593</t>
  </si>
  <si>
    <t>24.028372, 82.792037</t>
  </si>
  <si>
    <t>31.041700, 76.584700</t>
  </si>
  <si>
    <t>27.819446, 79.937162</t>
  </si>
  <si>
    <t>26.264242, 74.188126</t>
  </si>
  <si>
    <t>24.103613, 82.707294</t>
  </si>
  <si>
    <t>29.181766, 74.018741</t>
  </si>
  <si>
    <t>29.179000, 74.020200</t>
  </si>
  <si>
    <t>29.924580, 75.238929</t>
  </si>
  <si>
    <t>26.589193, 82.600438</t>
  </si>
  <si>
    <t>25.914259, 81.327659</t>
  </si>
  <si>
    <t>27.348368, 82.316600</t>
  </si>
  <si>
    <t>30.108100, 77.325700</t>
  </si>
  <si>
    <t>◆  SOUTHERN REGION</t>
  </si>
  <si>
    <t>13.159600, 74.800200</t>
  </si>
  <si>
    <t>15.193174, 76.719503</t>
  </si>
  <si>
    <t>18.027488, 80.735645</t>
  </si>
  <si>
    <t>14.328902, 80.120924</t>
  </si>
  <si>
    <t>19.597300, 80.538200</t>
  </si>
  <si>
    <t>11.521400, 79.751500</t>
  </si>
  <si>
    <t>18.383193, 79.827100</t>
  </si>
  <si>
    <t>17.621141, 80.690900</t>
  </si>
  <si>
    <t>16.499546, 75.834631</t>
  </si>
  <si>
    <t>14.204293, 80.086599</t>
  </si>
  <si>
    <t>11.773225, 77.815600</t>
  </si>
  <si>
    <t>8.915900, 78.137400</t>
  </si>
  <si>
    <t>13.255027, 80.329167</t>
  </si>
  <si>
    <t>8.816000, 78.089000</t>
  </si>
  <si>
    <t>13.437422, 80.097880</t>
  </si>
  <si>
    <t>14.351201, 80.145124</t>
  </si>
  <si>
    <t>16.354780, 77.343528</t>
  </si>
  <si>
    <t>18.758450, 79.457317</t>
  </si>
  <si>
    <t>18.750000, 79.450000</t>
  </si>
  <si>
    <t>14.702729, 78.457323</t>
  </si>
  <si>
    <t>14.351000, 80.144300</t>
  </si>
  <si>
    <t>17.591000, 83.091700</t>
  </si>
  <si>
    <t>14.204576, 80.086636</t>
  </si>
  <si>
    <t>18.827000, 79.570200</t>
  </si>
  <si>
    <t>13.406731, 80.109904</t>
  </si>
  <si>
    <t>18.751027, 79.472175</t>
  </si>
  <si>
    <t>15.183900, 76.662200</t>
  </si>
  <si>
    <t>13.237131, 80.301755</t>
  </si>
  <si>
    <t>17.563500, 83.138200</t>
  </si>
  <si>
    <t>16.716228, 79.630625</t>
  </si>
  <si>
    <t>16.294900, 77.356800</t>
  </si>
  <si>
    <t>◆  WESTERN REGION</t>
  </si>
  <si>
    <t>22.823545, 69.557496</t>
  </si>
  <si>
    <t>21.984600, 83.233100</t>
  </si>
  <si>
    <t>22.448516, 83.198225</t>
  </si>
  <si>
    <t>21.412502, 79.967310</t>
  </si>
  <si>
    <t>21.960296, 82.409064</t>
  </si>
  <si>
    <t>23.162929, 81.634124</t>
  </si>
  <si>
    <t>21.078200, 77.900900</t>
  </si>
  <si>
    <t>23.066275, 81.784374</t>
  </si>
  <si>
    <t>21.743775, 83.274093</t>
  </si>
  <si>
    <t>22.393119, 82.743301</t>
  </si>
  <si>
    <t>22.342100, 82.430500</t>
  </si>
  <si>
    <t>21.911436, 83.188863</t>
  </si>
  <si>
    <t>20.809150, 79.054892</t>
  </si>
  <si>
    <t>21.180923, 81.388841</t>
  </si>
  <si>
    <t>21.048300, 75.842500</t>
  </si>
  <si>
    <t>24.313485, 78.130739</t>
  </si>
  <si>
    <t>22.010300, 83.205800</t>
  </si>
  <si>
    <t>20.928600, 78.933300</t>
  </si>
  <si>
    <t>22.393200, 82.553200</t>
  </si>
  <si>
    <t>20.006300, 79.290000</t>
  </si>
  <si>
    <t>19.954500, 72.747800</t>
  </si>
  <si>
    <t>20.010588, 79.203433</t>
  </si>
  <si>
    <t>22.368196, 82.721986</t>
  </si>
  <si>
    <t>22.862315, 78.866231</t>
  </si>
  <si>
    <t>23.251376, 72.672789</t>
  </si>
  <si>
    <t>19.932400, 79.104000</t>
  </si>
  <si>
    <t>20.279656, 78.975351</t>
  </si>
  <si>
    <t>17.297000, 73.212000</t>
  </si>
  <si>
    <t>22.389116, 82.555148</t>
  </si>
  <si>
    <t>22.489779, 82.606180</t>
  </si>
  <si>
    <t>21.281800, 79.116000</t>
  </si>
  <si>
    <t>22.056944, 75.843889</t>
  </si>
  <si>
    <t>21.235982, 79.091949</t>
  </si>
  <si>
    <t>22.385952, 82.683500</t>
  </si>
  <si>
    <t>22.412613, 82.688566</t>
  </si>
  <si>
    <t>21.769855, 83.461904</t>
  </si>
  <si>
    <t>24.007700, 82.417200</t>
  </si>
  <si>
    <t>22.070801, 82.602189</t>
  </si>
  <si>
    <t>21.180740, 79.396541</t>
  </si>
  <si>
    <t>21.037700, 78.933400</t>
  </si>
  <si>
    <t>22.815800, 69.528100</t>
  </si>
  <si>
    <t>19.981700, 73.889600</t>
  </si>
  <si>
    <t>22.420828, 69.827600</t>
  </si>
  <si>
    <t>21.920000, 83.278800</t>
  </si>
  <si>
    <t>24.150000, 81.904500</t>
  </si>
  <si>
    <t>22.958166, 78.732893</t>
  </si>
  <si>
    <t>21.898611, 83.464722</t>
  </si>
  <si>
    <t>20.714700, 76.794800</t>
  </si>
  <si>
    <t>18.868450, 76.525368</t>
  </si>
  <si>
    <t>22.245400, 82.724600</t>
  </si>
  <si>
    <t>21.449665, 81.853413</t>
  </si>
  <si>
    <t>22.339994, 82.492776</t>
  </si>
  <si>
    <t>23.088711, 72.534889</t>
  </si>
  <si>
    <t>22.304900, 69.710100</t>
  </si>
  <si>
    <t>22.489952, 82.606239</t>
  </si>
  <si>
    <t>23.305448, 81.065334</t>
  </si>
  <si>
    <t>23.978708, 82.627490</t>
  </si>
  <si>
    <t>22.110869, 78.173311</t>
  </si>
  <si>
    <t>22.735500, 79.912300</t>
  </si>
  <si>
    <t>21.152106, 74.853984</t>
  </si>
  <si>
    <t>22.097220, 76.532733</t>
  </si>
  <si>
    <t>22.132162, 82.292419</t>
  </si>
  <si>
    <t>17.551296, 75.983199</t>
  </si>
  <si>
    <t>22.292000, 82.525400</t>
  </si>
  <si>
    <t>22.300500, 82.704700</t>
  </si>
  <si>
    <t>22.098700, 83.451300</t>
  </si>
  <si>
    <t>19.002700, 72.897900</t>
  </si>
  <si>
    <t>21.885800, 83.121500</t>
  </si>
  <si>
    <t>21.209300, 73.557400</t>
  </si>
  <si>
    <t>24.099562, 82.676746</t>
  </si>
  <si>
    <t>21.743800, 83.274100</t>
  </si>
  <si>
    <t>22.872537, 73.358803</t>
  </si>
  <si>
    <t>20.272443, 78.978916</t>
  </si>
  <si>
    <t>Column</t>
  </si>
  <si>
    <t>Name</t>
  </si>
  <si>
    <t>Source of coals</t>
  </si>
  <si>
    <t>Coal India Limited</t>
  </si>
  <si>
    <t>Electronic auction</t>
  </si>
  <si>
    <t>Coal purchased through CIL's spot auction platform at market-discovered prices, typically 20–50% premium over FSA price. This is the most direct proxy for market-based coal procurement and the primary ETS-relevant variable in this dataset. Plants bid when FSA coal is insufficient. 
High E-Auction % = high price exposure. Volume correlates inversely with CIL supply adequacy.</t>
  </si>
  <si>
    <t>Singareni Collieries Company Limited</t>
  </si>
  <si>
    <t>A Telangana state PSU, the only major coal producer outside CIL. Primarily serves Southern and Western region plants (Andhra Pradesh, Telangana, Maharashtra). Plants with SCCL linkage are partly insulated from CIL supply shocks. Zero for Northern plants.</t>
  </si>
  <si>
    <t>Captive</t>
  </si>
  <si>
    <t>Coal from captive mines owned by the plant/parent company. These are blocks allocated directly to a power company — they mine their own coal. Examples: Adani Power (Parsa East), JSW, Vedanta. Captive supply is cost-efficient and supply-secure, making these plants largely ETS-independent. High captive % = low ETS vulnerability.</t>
  </si>
  <si>
    <t>Internationally imported coal, primarily from Indonesia, Australia, South Africa. Mostly used by coastal plants (Western coast: Mundra, Udupi; Southern: Ennore, Tuticorin). Priced in USD, highly volatile (exposed to global thermal coal prices). Import % typically rises when domestic E-Auction supply is tight. The 2023 period shows 7–9% import share — significantly higher than 2025 (4–5%), suggesting import substitution trend.</t>
  </si>
  <si>
    <t>Plant</t>
  </si>
  <si>
    <t>Latitude</t>
  </si>
  <si>
    <t>Longitude</t>
  </si>
  <si>
    <t>PM2.5</t>
  </si>
  <si>
    <t>SO2</t>
  </si>
  <si>
    <t>23.829202829326025, 87.45166573824892</t>
  </si>
  <si>
    <t>22.993459490018857, 88.40439285295527</t>
  </si>
  <si>
    <t>25.400946710936868, 86.02202288002738</t>
  </si>
  <si>
    <t>25.488273732252495, 85.73691719537453</t>
  </si>
  <si>
    <t>23.786577398434446, 85.8794069559405</t>
  </si>
  <si>
    <t>22.466311214732713, 88.14007352224957</t>
  </si>
  <si>
    <t>23.741948699750445, 86.12007382599734</t>
  </si>
  <si>
    <t>23.51989102640012, 87.30520887262757</t>
  </si>
  <si>
    <t>21.964189710299596, 83.89143277353463</t>
  </si>
  <si>
    <t>21.126302666290904, 84.98623252220528</t>
  </si>
  <si>
    <t>23.690972065872916, 86.85381317264695</t>
  </si>
  <si>
    <t>23.581299668758863, 87.2076936855152</t>
  </si>
  <si>
    <t>24.77354926398749, 87.89703503767562</t>
  </si>
  <si>
    <t>22.10312246232122, 88.17793313572948</t>
  </si>
  <si>
    <t>22.077275436945826, 88.100879097907</t>
  </si>
  <si>
    <t>21.69162375315987, 83.86242546455178</t>
  </si>
  <si>
    <t>22.755489992042115, 86.24727329527514</t>
  </si>
  <si>
    <t>25.237635101140896, 87.26740628372444</t>
  </si>
  <si>
    <t>20.871033494494014, 85.26699099990599</t>
  </si>
  <si>
    <t>24.395672373951346, 85.55814150343213</t>
  </si>
  <si>
    <t>22.416006952004224, 87.87078673944328</t>
  </si>
  <si>
    <t>22.367691563271045, 82.71655169155859</t>
  </si>
  <si>
    <t>23.817906135406744, 86.75923370880466</t>
  </si>
  <si>
    <t>23.46397987081643, 87.13185092413583</t>
  </si>
  <si>
    <t>23.46399955416411, 87.13182946646396</t>
  </si>
  <si>
    <t>24.77483302279314, 84.15739579905087</t>
  </si>
  <si>
    <t>24.776809286922102, 84.15698376760655</t>
  </si>
  <si>
    <t>23.850127502662023, 85.01354184413273</t>
  </si>
  <si>
    <t>23.61914276816478, 86.65844142703307</t>
  </si>
  <si>
    <t>24.368919146003517, 88.10603790882472</t>
  </si>
  <si>
    <t>23.598780058628034, 86.47436926646873</t>
  </si>
  <si>
    <t>23.622032898175487, 86.66051867625843</t>
  </si>
  <si>
    <t>21.097466254848804, 85.0740622933684</t>
  </si>
  <si>
    <t>23.758927106161412, 85.75426489349078</t>
  </si>
  <si>
    <t>22.732009531711636, 88.37022397823563</t>
  </si>
  <si>
    <t>21.671620973555786, 83.92428780360932</t>
  </si>
  <si>
    <t>21.818116430891838, 84.04276133782447</t>
  </si>
  <si>
    <t>24.20535231885465, 82.7966057971782</t>
  </si>
  <si>
    <t>24.20600546783555, 82.79696649153853</t>
  </si>
  <si>
    <t>28.47335685722228, 79.80769895994015</t>
  </si>
  <si>
    <t>24.632101428082695, 77.0565524587416</t>
  </si>
  <si>
    <t>28.610448709087304, 77.60356990102116</t>
  </si>
  <si>
    <t>30.29573817807192, 75.15814412655126</t>
  </si>
  <si>
    <t>31.37991906786097, 75.14942007469939</t>
  </si>
  <si>
    <t>28.00968813564236, 78.1324697414873</t>
  </si>
  <si>
    <t>28.493093584502542, 76.36689116664178</t>
  </si>
  <si>
    <t>24.5317982042883, 76.09981402602614</t>
  </si>
  <si>
    <t>24.776314815797686, 76.73666775174098</t>
  </si>
  <si>
    <t>28.01698726, 80.83063677</t>
  </si>
  <si>
    <t>25.173524724796458, 75.81756147513704</t>
  </si>
  <si>
    <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</si>
</sst>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
  </numFmts>
  <fonts count="22">
    <font>
      <sz val="11.0"/>
      <color theme="1"/>
      <name val="Calibri"/>
      <scheme val="minor"/>
    </font>
    <font>
      <b/>
      <sz val="12.0"/>
      <color rgb="FFFFFFFF"/>
      <name val="Arial"/>
    </font>
    <font/>
    <font>
      <b/>
      <sz val="9.0"/>
      <color rgb="FFFFFFFF"/>
      <name val="Arial"/>
    </font>
    <font>
      <sz val="9.0"/>
      <color theme="1"/>
      <name val="Arial"/>
    </font>
    <font>
      <b/>
      <sz val="9.0"/>
      <color rgb="FFC00000"/>
      <name val="Arial"/>
    </font>
    <font>
      <sz val="9.0"/>
      <color rgb="FF7F5C00"/>
      <name val="Arial"/>
    </font>
    <font>
      <sz val="9.0"/>
      <color rgb="FF375623"/>
      <name val="Arial"/>
    </font>
    <font>
      <b/>
      <u/>
      <sz val="11.0"/>
      <color rgb="FF0000FF"/>
      <name val="Calibri"/>
    </font>
    <font>
      <sz val="11.0"/>
      <color theme="1"/>
      <name val="Calibri"/>
    </font>
    <font>
      <b/>
      <sz val="11.0"/>
      <color theme="1"/>
      <name val="Helvetica Neue"/>
    </font>
    <font>
      <sz val="11.0"/>
      <color theme="1"/>
      <name val="Helvetica Neue"/>
    </font>
    <font>
      <color theme="1"/>
      <name val="Calibri"/>
      <scheme val="minor"/>
    </font>
    <font>
      <sz val="9.0"/>
      <color rgb="FFC00000"/>
      <name val="Arial"/>
    </font>
    <font>
      <b/>
      <sz val="9.0"/>
      <color rgb="FF1F3864"/>
      <name val="Arial"/>
    </font>
    <font>
      <b/>
      <sz val="10.0"/>
      <color rgb="FFFFFFFF"/>
      <name val="Arial"/>
    </font>
    <font>
      <color rgb="FF000000"/>
      <name val="Calibri"/>
    </font>
    <font>
      <b/>
      <color theme="1"/>
      <name val="Helvetica Neue"/>
    </font>
    <font>
      <color theme="1"/>
      <name val="Helvetica Neue"/>
    </font>
    <font>
      <color rgb="FF141413"/>
      <name val="Arial"/>
    </font>
    <font>
      <b/>
      <color theme="1"/>
      <name val="Calibri"/>
      <scheme val="minor"/>
    </font>
    <font>
      <sz val="11.0"/>
      <color rgb="FF212529"/>
      <name val="Lato"/>
    </font>
  </fonts>
  <fills count="18">
    <fill>
      <patternFill patternType="none"/>
    </fill>
    <fill>
      <patternFill patternType="lightGray"/>
    </fill>
    <fill>
      <patternFill patternType="solid">
        <fgColor rgb="FF1F3864"/>
        <bgColor rgb="FF1F3864"/>
      </patternFill>
    </fill>
    <fill>
      <patternFill patternType="solid">
        <fgColor rgb="FF2E75B6"/>
        <bgColor rgb="FF2E75B6"/>
      </patternFill>
    </fill>
    <fill>
      <patternFill patternType="solid">
        <fgColor rgb="FF243F60"/>
        <bgColor rgb="FF243F60"/>
      </patternFill>
    </fill>
    <fill>
      <patternFill patternType="solid">
        <fgColor rgb="FFFFFFFF"/>
        <bgColor rgb="FFFFFFFF"/>
      </patternFill>
    </fill>
    <fill>
      <patternFill patternType="solid">
        <fgColor rgb="FFFFB3B3"/>
        <bgColor rgb="FFFFB3B3"/>
      </patternFill>
    </fill>
    <fill>
      <patternFill patternType="solid">
        <fgColor rgb="FFF2F2F2"/>
        <bgColor rgb="FFF2F2F2"/>
      </patternFill>
    </fill>
    <fill>
      <patternFill patternType="solid">
        <fgColor rgb="FFFFF2CC"/>
        <bgColor rgb="FFFFF2CC"/>
      </patternFill>
    </fill>
    <fill>
      <patternFill patternType="solid">
        <fgColor rgb="FFE2EFDA"/>
        <bgColor rgb="FFE2EFDA"/>
      </patternFill>
    </fill>
    <fill>
      <patternFill patternType="solid">
        <fgColor rgb="FFFFFF00"/>
        <bgColor rgb="FFFFFF00"/>
      </patternFill>
    </fill>
    <fill>
      <patternFill patternType="solid">
        <fgColor rgb="FFB0B3B2"/>
        <bgColor rgb="FFB0B3B2"/>
      </patternFill>
    </fill>
    <fill>
      <patternFill patternType="solid">
        <fgColor rgb="FFD4D4D4"/>
        <bgColor rgb="FFD4D4D4"/>
      </patternFill>
    </fill>
    <fill>
      <patternFill patternType="solid">
        <fgColor rgb="FFBDD7EE"/>
        <bgColor rgb="FFBDD7EE"/>
      </patternFill>
    </fill>
    <fill>
      <patternFill patternType="solid">
        <fgColor rgb="FF4A235A"/>
        <bgColor rgb="FF4A235A"/>
      </patternFill>
    </fill>
    <fill>
      <patternFill patternType="solid">
        <fgColor rgb="FF1F4E79"/>
        <bgColor rgb="FF1F4E79"/>
      </patternFill>
    </fill>
    <fill>
      <patternFill patternType="solid">
        <fgColor rgb="FF375623"/>
        <bgColor rgb="FF375623"/>
      </patternFill>
    </fill>
    <fill>
      <patternFill patternType="solid">
        <fgColor rgb="FF833C00"/>
        <bgColor rgb="FF833C00"/>
      </patternFill>
    </fill>
  </fills>
  <borders count="11">
    <border/>
    <border>
      <left/>
      <top/>
      <bottom/>
    </border>
    <border>
      <top/>
      <bottom/>
    </border>
    <border>
      <right/>
      <top/>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medium">
        <color rgb="FF1F3864"/>
      </bottom>
    </border>
    <border>
      <bottom style="thin">
        <color rgb="FFD9E1EA"/>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2" fontId="1" numFmtId="0" xfId="0" applyAlignment="1" applyFont="1">
      <alignment horizontal="center" vertical="center"/>
    </xf>
    <xf borderId="4" fillId="3" fontId="3" numFmtId="0" xfId="0" applyAlignment="1" applyBorder="1" applyFill="1" applyFont="1">
      <alignment horizontal="center" vertical="center"/>
    </xf>
    <xf borderId="5" fillId="0" fontId="2" numFmtId="0" xfId="0" applyBorder="1" applyFont="1"/>
    <xf borderId="6" fillId="0" fontId="2" numFmtId="0" xfId="0" applyBorder="1" applyFont="1"/>
    <xf borderId="7" fillId="3" fontId="3" numFmtId="0" xfId="0" applyAlignment="1" applyBorder="1" applyFont="1">
      <alignment horizontal="center" vertical="center"/>
    </xf>
    <xf borderId="0" fillId="3" fontId="3" numFmtId="0" xfId="0" applyAlignment="1" applyFont="1">
      <alignment horizontal="center" vertical="center"/>
    </xf>
    <xf borderId="7" fillId="4" fontId="3" numFmtId="0" xfId="0" applyAlignment="1" applyBorder="1" applyFill="1" applyFont="1">
      <alignment horizontal="center" shrinkToFit="0" vertical="center" wrapText="1"/>
    </xf>
    <xf borderId="7" fillId="4" fontId="3" numFmtId="0" xfId="0" applyAlignment="1" applyBorder="1" applyFont="1">
      <alignment horizontal="center" readingOrder="0" shrinkToFit="0" vertical="center" wrapText="1"/>
    </xf>
    <xf borderId="0" fillId="4" fontId="3" numFmtId="0" xfId="0" applyAlignment="1" applyFont="1">
      <alignment horizontal="center" shrinkToFit="0" vertical="center" wrapText="1"/>
    </xf>
    <xf borderId="7" fillId="5" fontId="4" numFmtId="0" xfId="0" applyAlignment="1" applyBorder="1" applyFill="1" applyFont="1">
      <alignment vertical="center"/>
    </xf>
    <xf borderId="7" fillId="5" fontId="4" numFmtId="0" xfId="0" applyAlignment="1" applyBorder="1" applyFont="1">
      <alignment shrinkToFit="0" vertical="center" wrapText="1"/>
    </xf>
    <xf borderId="7" fillId="5" fontId="4" numFmtId="3" xfId="0" applyAlignment="1" applyBorder="1" applyFont="1" applyNumberFormat="1">
      <alignment vertical="center"/>
    </xf>
    <xf borderId="7" fillId="5" fontId="4" numFmtId="164" xfId="0" applyAlignment="1" applyBorder="1" applyFont="1" applyNumberFormat="1">
      <alignment vertical="center"/>
    </xf>
    <xf borderId="7" fillId="6" fontId="5" numFmtId="165" xfId="0" applyAlignment="1" applyBorder="1" applyFill="1" applyFont="1" applyNumberFormat="1">
      <alignment vertical="center"/>
    </xf>
    <xf borderId="0" fillId="0" fontId="5" numFmtId="165" xfId="0" applyAlignment="1" applyFont="1" applyNumberFormat="1">
      <alignment vertical="center"/>
    </xf>
    <xf borderId="7" fillId="7" fontId="4" numFmtId="0" xfId="0" applyAlignment="1" applyBorder="1" applyFill="1" applyFont="1">
      <alignment vertical="center"/>
    </xf>
    <xf borderId="7" fillId="7" fontId="4" numFmtId="0" xfId="0" applyAlignment="1" applyBorder="1" applyFont="1">
      <alignment shrinkToFit="0" vertical="center" wrapText="1"/>
    </xf>
    <xf borderId="7" fillId="7" fontId="4" numFmtId="3" xfId="0" applyAlignment="1" applyBorder="1" applyFont="1" applyNumberFormat="1">
      <alignment vertical="center"/>
    </xf>
    <xf borderId="7" fillId="7" fontId="4" numFmtId="164" xfId="0" applyAlignment="1" applyBorder="1" applyFont="1" applyNumberFormat="1">
      <alignment vertical="center"/>
    </xf>
    <xf borderId="7" fillId="8" fontId="6" numFmtId="165" xfId="0" applyAlignment="1" applyBorder="1" applyFill="1" applyFont="1" applyNumberFormat="1">
      <alignment vertical="center"/>
    </xf>
    <xf borderId="7" fillId="9" fontId="7" numFmtId="165" xfId="0" applyAlignment="1" applyBorder="1" applyFill="1" applyFont="1" applyNumberFormat="1">
      <alignment vertical="center"/>
    </xf>
    <xf borderId="7" fillId="10" fontId="4" numFmtId="0" xfId="0" applyAlignment="1" applyBorder="1" applyFill="1" applyFont="1">
      <alignment shrinkToFit="0" vertical="center" wrapText="1"/>
    </xf>
    <xf borderId="0" fillId="0" fontId="8" numFmtId="0" xfId="0" applyAlignment="1" applyFont="1">
      <alignment vertical="bottom"/>
    </xf>
    <xf borderId="0" fillId="0" fontId="9" numFmtId="0" xfId="0" applyAlignment="1" applyFont="1">
      <alignment vertical="bottom"/>
    </xf>
    <xf borderId="8" fillId="11" fontId="10" numFmtId="0" xfId="0" applyAlignment="1" applyBorder="1" applyFill="1" applyFont="1">
      <alignment vertical="top"/>
    </xf>
    <xf borderId="8" fillId="11" fontId="10" numFmtId="0" xfId="0" applyAlignment="1" applyBorder="1" applyFont="1">
      <alignment readingOrder="0" vertical="top"/>
    </xf>
    <xf borderId="8" fillId="12" fontId="10" numFmtId="0" xfId="0" applyAlignment="1" applyBorder="1" applyFill="1" applyFont="1">
      <alignment horizontal="right" vertical="top"/>
    </xf>
    <xf borderId="8" fillId="0" fontId="11" numFmtId="0" xfId="0" applyAlignment="1" applyBorder="1" applyFont="1">
      <alignment vertical="top"/>
    </xf>
    <xf borderId="8" fillId="0" fontId="11" numFmtId="0" xfId="0" applyAlignment="1" applyBorder="1" applyFont="1">
      <alignment horizontal="right" vertical="top"/>
    </xf>
    <xf borderId="8" fillId="0" fontId="9" numFmtId="0" xfId="0" applyAlignment="1" applyBorder="1" applyFont="1">
      <alignment readingOrder="0" vertical="top"/>
    </xf>
    <xf borderId="8" fillId="0" fontId="9" numFmtId="0" xfId="0" applyAlignment="1" applyBorder="1" applyFont="1">
      <alignment vertical="top"/>
    </xf>
    <xf borderId="0" fillId="0" fontId="12" numFmtId="0" xfId="0" applyFont="1"/>
    <xf borderId="0" fillId="0" fontId="12" numFmtId="0" xfId="0" applyAlignment="1" applyFont="1">
      <alignment readingOrder="0"/>
    </xf>
    <xf borderId="8" fillId="12" fontId="10" numFmtId="0" xfId="0" applyAlignment="1" applyBorder="1" applyFont="1">
      <alignment vertical="top"/>
    </xf>
    <xf borderId="7" fillId="5" fontId="4" numFmtId="0" xfId="0" applyAlignment="1" applyBorder="1" applyFont="1">
      <alignment horizontal="center" vertical="center"/>
    </xf>
    <xf borderId="7" fillId="5" fontId="4" numFmtId="165" xfId="0" applyAlignment="1" applyBorder="1" applyFont="1" applyNumberFormat="1">
      <alignment vertical="center"/>
    </xf>
    <xf borderId="7" fillId="6" fontId="13" numFmtId="165" xfId="0" applyAlignment="1" applyBorder="1" applyFont="1" applyNumberFormat="1">
      <alignment vertical="center"/>
    </xf>
    <xf borderId="7" fillId="5" fontId="4" numFmtId="10" xfId="0" applyAlignment="1" applyBorder="1" applyFont="1" applyNumberFormat="1">
      <alignment vertical="center"/>
    </xf>
    <xf borderId="7" fillId="7" fontId="4" numFmtId="0" xfId="0" applyAlignment="1" applyBorder="1" applyFont="1">
      <alignment horizontal="center" vertical="center"/>
    </xf>
    <xf borderId="7" fillId="7" fontId="4" numFmtId="165" xfId="0" applyAlignment="1" applyBorder="1" applyFont="1" applyNumberFormat="1">
      <alignment vertical="center"/>
    </xf>
    <xf borderId="7" fillId="7" fontId="4" numFmtId="10" xfId="0" applyAlignment="1" applyBorder="1" applyFont="1" applyNumberFormat="1">
      <alignment vertical="center"/>
    </xf>
    <xf borderId="9" fillId="13" fontId="14" numFmtId="0" xfId="0" applyBorder="1" applyFill="1" applyFont="1"/>
    <xf borderId="9" fillId="13" fontId="14" numFmtId="165" xfId="0" applyBorder="1" applyFont="1" applyNumberFormat="1"/>
    <xf borderId="7" fillId="14" fontId="3" numFmtId="0" xfId="0" applyAlignment="1" applyBorder="1" applyFill="1" applyFont="1">
      <alignment horizontal="center" vertical="center"/>
    </xf>
    <xf borderId="7" fillId="15" fontId="3" numFmtId="0" xfId="0" applyAlignment="1" applyBorder="1" applyFill="1" applyFont="1">
      <alignment horizontal="center" vertical="center"/>
    </xf>
    <xf borderId="7" fillId="16" fontId="3" numFmtId="0" xfId="0" applyAlignment="1" applyBorder="1" applyFill="1" applyFont="1">
      <alignment horizontal="center" vertical="center"/>
    </xf>
    <xf borderId="7" fillId="17" fontId="3" numFmtId="0" xfId="0" applyAlignment="1" applyBorder="1" applyFill="1" applyFont="1">
      <alignment horizontal="center" vertical="center"/>
    </xf>
    <xf borderId="7" fillId="14" fontId="15" numFmtId="0" xfId="0" applyBorder="1" applyFont="1"/>
    <xf borderId="0" fillId="0" fontId="16" numFmtId="3" xfId="0" applyAlignment="1" applyFont="1" applyNumberFormat="1">
      <alignment horizontal="left" readingOrder="0"/>
    </xf>
    <xf borderId="7" fillId="8" fontId="4" numFmtId="165" xfId="0" applyAlignment="1" applyBorder="1" applyFont="1" applyNumberFormat="1">
      <alignment vertical="center"/>
    </xf>
    <xf borderId="7" fillId="9" fontId="4" numFmtId="165" xfId="0" applyAlignment="1" applyBorder="1" applyFont="1" applyNumberFormat="1">
      <alignment vertical="center"/>
    </xf>
    <xf borderId="7" fillId="15" fontId="15" numFmtId="0" xfId="0" applyBorder="1" applyFont="1"/>
    <xf borderId="7" fillId="16" fontId="15" numFmtId="0" xfId="0" applyBorder="1" applyFont="1"/>
    <xf borderId="7" fillId="17" fontId="15" numFmtId="0" xfId="0" applyBorder="1" applyFont="1"/>
    <xf borderId="10" fillId="0" fontId="16" numFmtId="3" xfId="0" applyAlignment="1" applyBorder="1" applyFont="1" applyNumberFormat="1">
      <alignment horizontal="left" readingOrder="0"/>
    </xf>
    <xf borderId="0" fillId="0" fontId="17" numFmtId="0" xfId="0" applyAlignment="1" applyFont="1">
      <alignment readingOrder="0"/>
    </xf>
    <xf borderId="0" fillId="0" fontId="17" numFmtId="0" xfId="0" applyAlignment="1" applyFont="1">
      <alignment readingOrder="0" shrinkToFit="0" wrapText="1"/>
    </xf>
    <xf borderId="0" fillId="0" fontId="17" numFmtId="0" xfId="0" applyAlignment="1" applyFont="1">
      <alignment shrinkToFit="0" wrapText="1"/>
    </xf>
    <xf borderId="0" fillId="0" fontId="17" numFmtId="0" xfId="0" applyFont="1"/>
    <xf borderId="0" fillId="0" fontId="18" numFmtId="0" xfId="0" applyFont="1"/>
    <xf borderId="0" fillId="0" fontId="18" numFmtId="0" xfId="0" applyAlignment="1" applyFont="1">
      <alignment shrinkToFit="0" wrapText="1"/>
    </xf>
    <xf borderId="0" fillId="0" fontId="18" numFmtId="0" xfId="0" applyAlignment="1" applyFont="1">
      <alignment readingOrder="0"/>
    </xf>
    <xf borderId="0" fillId="0" fontId="18" numFmtId="0" xfId="0" applyAlignment="1" applyFont="1">
      <alignment readingOrder="0" shrinkToFit="0" wrapText="1"/>
    </xf>
    <xf borderId="0" fillId="0" fontId="19" numFmtId="0" xfId="0" applyAlignment="1" applyFont="1">
      <alignment readingOrder="0"/>
    </xf>
    <xf borderId="0" fillId="0" fontId="19" numFmtId="0" xfId="0" applyAlignment="1" applyFont="1">
      <alignment readingOrder="0" shrinkToFit="0" wrapText="1"/>
    </xf>
    <xf borderId="0" fillId="0" fontId="20" numFmtId="0" xfId="0" applyAlignment="1" applyFont="1">
      <alignment readingOrder="0"/>
    </xf>
    <xf borderId="0" fillId="5" fontId="2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data.gov.in/resource/stateut-wise-details-domestic-receipt-and-consumption-coal-domestic-coal-based-plants-2014"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4.0"/>
    <col customWidth="1" min="2" max="2" width="10.0"/>
    <col customWidth="1" min="3" max="4" width="34.0"/>
    <col customWidth="1" min="5" max="5" width="13.14"/>
    <col customWidth="1" min="6" max="6" width="11.0"/>
    <col customWidth="1" min="7" max="7" width="9.0"/>
    <col customWidth="1" min="8" max="8" width="12.71"/>
    <col customWidth="1" min="9" max="9" width="10.0"/>
    <col customWidth="1" min="10" max="10" width="9.0"/>
    <col customWidth="1" min="11" max="11" width="8.0"/>
    <col customWidth="1" min="12" max="12" width="11.0"/>
    <col customWidth="1" min="13" max="13" width="12.0"/>
    <col customWidth="1" min="14" max="14" width="11.0"/>
    <col customWidth="1" min="15" max="16" width="10.0"/>
  </cols>
  <sheetData>
    <row r="1" ht="24.0" customHeight="1">
      <c r="A1" s="1" t="s">
        <v>0</v>
      </c>
      <c r="B1" s="2"/>
      <c r="C1" s="2"/>
      <c r="D1" s="2"/>
      <c r="E1" s="2"/>
      <c r="F1" s="2"/>
      <c r="G1" s="2"/>
      <c r="H1" s="2"/>
      <c r="I1" s="2"/>
      <c r="J1" s="2"/>
      <c r="K1" s="2"/>
      <c r="L1" s="2"/>
      <c r="M1" s="2"/>
      <c r="N1" s="2"/>
      <c r="O1" s="3"/>
      <c r="P1" s="4"/>
    </row>
    <row r="2" ht="18.0" customHeight="1">
      <c r="A2" s="5" t="s">
        <v>1</v>
      </c>
      <c r="B2" s="6"/>
      <c r="C2" s="7"/>
      <c r="D2" s="8"/>
      <c r="E2" s="8" t="s">
        <v>2</v>
      </c>
      <c r="F2" s="5" t="s">
        <v>3</v>
      </c>
      <c r="G2" s="6"/>
      <c r="H2" s="6"/>
      <c r="I2" s="6"/>
      <c r="J2" s="6"/>
      <c r="K2" s="7"/>
      <c r="L2" s="5" t="s">
        <v>4</v>
      </c>
      <c r="M2" s="7"/>
      <c r="N2" s="5" t="s">
        <v>5</v>
      </c>
      <c r="O2" s="7"/>
      <c r="P2" s="9"/>
    </row>
    <row r="3" ht="31.5" customHeight="1">
      <c r="A3" s="10" t="s">
        <v>6</v>
      </c>
      <c r="B3" s="10" t="s">
        <v>7</v>
      </c>
      <c r="C3" s="10" t="s">
        <v>8</v>
      </c>
      <c r="D3" s="11" t="s">
        <v>9</v>
      </c>
      <c r="E3" s="10" t="s">
        <v>10</v>
      </c>
      <c r="F3" s="10" t="s">
        <v>11</v>
      </c>
      <c r="G3" s="10" t="s">
        <v>12</v>
      </c>
      <c r="H3" s="10" t="s">
        <v>13</v>
      </c>
      <c r="I3" s="10" t="s">
        <v>14</v>
      </c>
      <c r="J3" s="10" t="s">
        <v>15</v>
      </c>
      <c r="K3" s="10" t="s">
        <v>16</v>
      </c>
      <c r="L3" s="10" t="s">
        <v>17</v>
      </c>
      <c r="M3" s="10" t="s">
        <v>18</v>
      </c>
      <c r="N3" s="10" t="s">
        <v>19</v>
      </c>
      <c r="O3" s="10" t="s">
        <v>20</v>
      </c>
      <c r="P3" s="12"/>
    </row>
    <row r="4">
      <c r="A4" s="13" t="s">
        <v>21</v>
      </c>
      <c r="B4" s="13" t="s">
        <v>22</v>
      </c>
      <c r="C4" s="14" t="s">
        <v>23</v>
      </c>
      <c r="D4" s="14" t="str">
        <f>VLOOKUP(C4,'State Key'!$A$2:$B$210,2,False)</f>
        <v>West Bengal</v>
      </c>
      <c r="E4" s="15">
        <v>1050.0</v>
      </c>
      <c r="F4" s="16">
        <v>3.6555</v>
      </c>
      <c r="G4" s="16">
        <v>0.0</v>
      </c>
      <c r="H4" s="16">
        <v>384.404</v>
      </c>
      <c r="I4" s="16">
        <v>0.0</v>
      </c>
      <c r="J4" s="16">
        <v>0.0</v>
      </c>
      <c r="K4" s="16">
        <v>0.0</v>
      </c>
      <c r="L4" s="16">
        <v>388.0595</v>
      </c>
      <c r="M4" s="16">
        <v>406.608</v>
      </c>
      <c r="N4" s="16">
        <v>88.44</v>
      </c>
      <c r="O4" s="17">
        <v>6.5</v>
      </c>
      <c r="P4" s="18">
        <f t="shared" ref="P4:P6234" si="1">SUM(F4:K4)</f>
        <v>388.0595</v>
      </c>
    </row>
    <row r="5">
      <c r="A5" s="19" t="s">
        <v>21</v>
      </c>
      <c r="B5" s="19" t="s">
        <v>22</v>
      </c>
      <c r="C5" s="20" t="s">
        <v>24</v>
      </c>
      <c r="D5" s="14" t="str">
        <f>VLOOKUP(C5,'State Key'!$A$2:$B$210,2,False)</f>
        <v>West Bengal</v>
      </c>
      <c r="E5" s="21">
        <v>270.0</v>
      </c>
      <c r="F5" s="22">
        <v>7.938</v>
      </c>
      <c r="G5" s="22">
        <v>0.0</v>
      </c>
      <c r="H5" s="22">
        <v>104.837</v>
      </c>
      <c r="I5" s="22">
        <v>0.0</v>
      </c>
      <c r="J5" s="22">
        <v>0.0</v>
      </c>
      <c r="K5" s="22">
        <v>0.0</v>
      </c>
      <c r="L5" s="22">
        <v>112.775</v>
      </c>
      <c r="M5" s="22">
        <v>113.598</v>
      </c>
      <c r="N5" s="22">
        <v>21.16</v>
      </c>
      <c r="O5" s="17">
        <v>5.6</v>
      </c>
      <c r="P5" s="18">
        <f t="shared" si="1"/>
        <v>112.775</v>
      </c>
    </row>
    <row r="6">
      <c r="A6" s="13" t="s">
        <v>21</v>
      </c>
      <c r="B6" s="13" t="s">
        <v>22</v>
      </c>
      <c r="C6" s="14" t="s">
        <v>25</v>
      </c>
      <c r="D6" s="14" t="str">
        <f>VLOOKUP(C6,'State Key'!$A$2:$B$210,2,False)</f>
        <v>Bihar</v>
      </c>
      <c r="E6" s="15">
        <v>710.0</v>
      </c>
      <c r="F6" s="16">
        <v>3.72</v>
      </c>
      <c r="G6" s="16">
        <v>0.0</v>
      </c>
      <c r="H6" s="16">
        <v>249.46</v>
      </c>
      <c r="I6" s="16">
        <v>0.0</v>
      </c>
      <c r="J6" s="16">
        <v>0.0</v>
      </c>
      <c r="K6" s="16">
        <v>0.0</v>
      </c>
      <c r="L6" s="16">
        <v>253.18</v>
      </c>
      <c r="M6" s="16">
        <v>236.258</v>
      </c>
      <c r="N6" s="16">
        <v>73.143</v>
      </c>
      <c r="O6" s="23">
        <v>9.3</v>
      </c>
      <c r="P6" s="18">
        <f t="shared" si="1"/>
        <v>253.18</v>
      </c>
    </row>
    <row r="7">
      <c r="A7" s="19" t="s">
        <v>21</v>
      </c>
      <c r="B7" s="19" t="s">
        <v>22</v>
      </c>
      <c r="C7" s="20" t="s">
        <v>26</v>
      </c>
      <c r="D7" s="14" t="str">
        <f>VLOOKUP(C7,'State Key'!$A$2:$B$210,2,False)</f>
        <v>Bihar</v>
      </c>
      <c r="E7" s="21">
        <v>2640.0</v>
      </c>
      <c r="F7" s="22">
        <v>521.02</v>
      </c>
      <c r="G7" s="22">
        <v>0.0</v>
      </c>
      <c r="H7" s="22">
        <v>64.67</v>
      </c>
      <c r="I7" s="22">
        <v>15.905</v>
      </c>
      <c r="J7" s="22">
        <v>0.0</v>
      </c>
      <c r="K7" s="22">
        <v>0.0</v>
      </c>
      <c r="L7" s="22">
        <v>601.595</v>
      </c>
      <c r="M7" s="22">
        <v>791.713</v>
      </c>
      <c r="N7" s="22">
        <v>249.5</v>
      </c>
      <c r="O7" s="23">
        <v>9.5</v>
      </c>
      <c r="P7" s="18">
        <f t="shared" si="1"/>
        <v>601.595</v>
      </c>
    </row>
    <row r="8">
      <c r="A8" s="13" t="s">
        <v>21</v>
      </c>
      <c r="B8" s="13" t="s">
        <v>22</v>
      </c>
      <c r="C8" s="14" t="s">
        <v>27</v>
      </c>
      <c r="D8" s="14" t="str">
        <f>VLOOKUP(C8,'State Key'!$A$2:$B$210,2,False)</f>
        <v>Jharkhand</v>
      </c>
      <c r="E8" s="15">
        <v>500.0</v>
      </c>
      <c r="F8" s="16">
        <v>202.264</v>
      </c>
      <c r="G8" s="16">
        <v>0.0</v>
      </c>
      <c r="H8" s="16">
        <v>0.0</v>
      </c>
      <c r="I8" s="16">
        <v>0.0</v>
      </c>
      <c r="J8" s="16">
        <v>0.0</v>
      </c>
      <c r="K8" s="16">
        <v>0.0</v>
      </c>
      <c r="L8" s="16">
        <v>202.264</v>
      </c>
      <c r="M8" s="16">
        <v>198.583</v>
      </c>
      <c r="N8" s="16">
        <v>152.13</v>
      </c>
      <c r="O8" s="24">
        <v>23.0</v>
      </c>
      <c r="P8" s="18">
        <f t="shared" si="1"/>
        <v>202.264</v>
      </c>
    </row>
    <row r="9">
      <c r="A9" s="19" t="s">
        <v>21</v>
      </c>
      <c r="B9" s="19" t="s">
        <v>22</v>
      </c>
      <c r="C9" s="20" t="s">
        <v>28</v>
      </c>
      <c r="D9" s="14" t="str">
        <f>VLOOKUP(C9,'State Key'!$A$2:$B$210,2,False)</f>
        <v>West Bengal</v>
      </c>
      <c r="E9" s="21">
        <v>750.0</v>
      </c>
      <c r="F9" s="22">
        <v>86.746</v>
      </c>
      <c r="G9" s="22">
        <v>0.0</v>
      </c>
      <c r="H9" s="22">
        <v>157.708</v>
      </c>
      <c r="I9" s="22">
        <v>0.0</v>
      </c>
      <c r="J9" s="22">
        <v>0.0</v>
      </c>
      <c r="K9" s="22">
        <v>93.864</v>
      </c>
      <c r="L9" s="22">
        <v>338.318</v>
      </c>
      <c r="M9" s="22">
        <v>302.961</v>
      </c>
      <c r="N9" s="22">
        <v>351.57</v>
      </c>
      <c r="O9" s="24">
        <v>34.8</v>
      </c>
      <c r="P9" s="18">
        <f t="shared" si="1"/>
        <v>338.318</v>
      </c>
    </row>
    <row r="10">
      <c r="A10" s="13" t="s">
        <v>21</v>
      </c>
      <c r="B10" s="13" t="s">
        <v>22</v>
      </c>
      <c r="C10" s="14" t="s">
        <v>29</v>
      </c>
      <c r="D10" s="14" t="str">
        <f>VLOOKUP(C10,'State Key'!$A$2:$B$210,2,False)</f>
        <v>Jharkhand</v>
      </c>
      <c r="E10" s="15">
        <v>500.0</v>
      </c>
      <c r="F10" s="16">
        <v>72.808</v>
      </c>
      <c r="G10" s="16">
        <v>0.0</v>
      </c>
      <c r="H10" s="16">
        <v>0.0</v>
      </c>
      <c r="I10" s="16">
        <v>0.0</v>
      </c>
      <c r="J10" s="16">
        <v>0.0</v>
      </c>
      <c r="K10" s="16">
        <v>0.0</v>
      </c>
      <c r="L10" s="16">
        <v>72.808</v>
      </c>
      <c r="M10" s="16">
        <v>114.099</v>
      </c>
      <c r="N10" s="16">
        <v>179.61</v>
      </c>
      <c r="O10" s="24">
        <v>47.2</v>
      </c>
      <c r="P10" s="18">
        <f t="shared" si="1"/>
        <v>72.808</v>
      </c>
    </row>
    <row r="11">
      <c r="A11" s="19" t="s">
        <v>21</v>
      </c>
      <c r="B11" s="19" t="s">
        <v>22</v>
      </c>
      <c r="C11" s="20" t="s">
        <v>30</v>
      </c>
      <c r="D11" s="14" t="str">
        <f>VLOOKUP(C11,'State Key'!$A$2:$B$210,2,False)</f>
        <v>West Bengal</v>
      </c>
      <c r="E11" s="21">
        <v>550.0</v>
      </c>
      <c r="F11" s="22">
        <v>112.88</v>
      </c>
      <c r="G11" s="22">
        <v>0.0</v>
      </c>
      <c r="H11" s="22">
        <v>91.353</v>
      </c>
      <c r="I11" s="22">
        <v>0.0</v>
      </c>
      <c r="J11" s="22">
        <v>0.0</v>
      </c>
      <c r="K11" s="22">
        <v>0.0</v>
      </c>
      <c r="L11" s="22">
        <v>204.233</v>
      </c>
      <c r="M11" s="22">
        <v>184.06</v>
      </c>
      <c r="N11" s="22">
        <v>25.44</v>
      </c>
      <c r="O11" s="17">
        <v>4.1</v>
      </c>
      <c r="P11" s="18">
        <f t="shared" si="1"/>
        <v>204.233</v>
      </c>
    </row>
    <row r="12">
      <c r="A12" s="13" t="s">
        <v>21</v>
      </c>
      <c r="B12" s="13" t="s">
        <v>22</v>
      </c>
      <c r="C12" s="14" t="s">
        <v>31</v>
      </c>
      <c r="D12" s="14" t="str">
        <f>VLOOKUP(C12,'State Key'!$A$2:$B$210,2,False)</f>
        <v>Odisha</v>
      </c>
      <c r="E12" s="15">
        <v>1600.0</v>
      </c>
      <c r="F12" s="16">
        <v>0.12</v>
      </c>
      <c r="G12" s="16">
        <v>0.0</v>
      </c>
      <c r="H12" s="16">
        <v>863.46</v>
      </c>
      <c r="I12" s="16">
        <v>0.0</v>
      </c>
      <c r="J12" s="16">
        <v>0.0</v>
      </c>
      <c r="K12" s="16">
        <v>0.0</v>
      </c>
      <c r="L12" s="16">
        <v>863.58</v>
      </c>
      <c r="M12" s="16">
        <v>777.588</v>
      </c>
      <c r="N12" s="16">
        <v>456.5</v>
      </c>
      <c r="O12" s="24">
        <v>17.6</v>
      </c>
      <c r="P12" s="18">
        <f t="shared" si="1"/>
        <v>863.58</v>
      </c>
    </row>
    <row r="13">
      <c r="A13" s="19" t="s">
        <v>21</v>
      </c>
      <c r="B13" s="19" t="s">
        <v>22</v>
      </c>
      <c r="C13" s="20" t="s">
        <v>32</v>
      </c>
      <c r="D13" s="14" t="str">
        <f>VLOOKUP(C13,'State Key'!$A$2:$B$210,2,False)</f>
        <v>Odisha</v>
      </c>
      <c r="E13" s="21">
        <v>1200.0</v>
      </c>
      <c r="F13" s="22">
        <v>347.621</v>
      </c>
      <c r="G13" s="22">
        <v>0.0</v>
      </c>
      <c r="H13" s="22">
        <v>0.0</v>
      </c>
      <c r="I13" s="22">
        <v>0.0</v>
      </c>
      <c r="J13" s="22">
        <v>0.0</v>
      </c>
      <c r="K13" s="22">
        <v>141.197</v>
      </c>
      <c r="L13" s="22">
        <v>488.818</v>
      </c>
      <c r="M13" s="22">
        <v>407.18</v>
      </c>
      <c r="N13" s="22">
        <v>599.16</v>
      </c>
      <c r="O13" s="24">
        <v>44.1</v>
      </c>
      <c r="P13" s="18">
        <f t="shared" si="1"/>
        <v>488.818</v>
      </c>
    </row>
    <row r="14">
      <c r="A14" s="13" t="s">
        <v>21</v>
      </c>
      <c r="B14" s="13" t="s">
        <v>22</v>
      </c>
      <c r="C14" s="14" t="s">
        <v>33</v>
      </c>
      <c r="D14" s="14" t="str">
        <f>VLOOKUP(C14,'State Key'!$A$2:$B$210,2,False)</f>
        <v>West Bengal</v>
      </c>
      <c r="E14" s="15">
        <v>12.0</v>
      </c>
      <c r="F14" s="16">
        <v>6.43</v>
      </c>
      <c r="G14" s="16">
        <v>0.0</v>
      </c>
      <c r="H14" s="16">
        <v>0.0</v>
      </c>
      <c r="I14" s="16">
        <v>0.0</v>
      </c>
      <c r="J14" s="16">
        <v>0.0</v>
      </c>
      <c r="K14" s="16">
        <v>0.0</v>
      </c>
      <c r="L14" s="16">
        <v>6.43</v>
      </c>
      <c r="M14" s="16">
        <v>6.56</v>
      </c>
      <c r="N14" s="16">
        <v>4.43</v>
      </c>
      <c r="O14" s="24">
        <v>20.3</v>
      </c>
      <c r="P14" s="18">
        <f t="shared" si="1"/>
        <v>6.43</v>
      </c>
    </row>
    <row r="15">
      <c r="A15" s="19" t="s">
        <v>21</v>
      </c>
      <c r="B15" s="19" t="s">
        <v>22</v>
      </c>
      <c r="C15" s="20" t="s">
        <v>34</v>
      </c>
      <c r="D15" s="14" t="str">
        <f>VLOOKUP(C15,'State Key'!$A$2:$B$210,2,False)</f>
        <v>West Bengal</v>
      </c>
      <c r="E15" s="21">
        <v>1000.0</v>
      </c>
      <c r="F15" s="22">
        <v>377.184</v>
      </c>
      <c r="G15" s="22">
        <v>4.096</v>
      </c>
      <c r="H15" s="22">
        <v>0.0</v>
      </c>
      <c r="I15" s="22">
        <v>32.394</v>
      </c>
      <c r="J15" s="22">
        <v>0.0</v>
      </c>
      <c r="K15" s="22">
        <v>0.0</v>
      </c>
      <c r="L15" s="22">
        <v>413.674</v>
      </c>
      <c r="M15" s="22">
        <v>402.126</v>
      </c>
      <c r="N15" s="22">
        <v>105.1</v>
      </c>
      <c r="O15" s="23">
        <v>7.8</v>
      </c>
      <c r="P15" s="18">
        <f t="shared" si="1"/>
        <v>413.674</v>
      </c>
    </row>
    <row r="16">
      <c r="A16" s="13" t="s">
        <v>21</v>
      </c>
      <c r="B16" s="13" t="s">
        <v>22</v>
      </c>
      <c r="C16" s="14" t="s">
        <v>35</v>
      </c>
      <c r="D16" s="14" t="str">
        <f>VLOOKUP(C16,'State Key'!$A$2:$B$210,2,False)</f>
        <v>West Bengal</v>
      </c>
      <c r="E16" s="15">
        <v>2100.0</v>
      </c>
      <c r="F16" s="16">
        <v>708.79</v>
      </c>
      <c r="G16" s="16">
        <v>0.0</v>
      </c>
      <c r="H16" s="16">
        <v>113.46</v>
      </c>
      <c r="I16" s="16">
        <v>37.056</v>
      </c>
      <c r="J16" s="16">
        <v>0.0</v>
      </c>
      <c r="K16" s="16">
        <v>0.0</v>
      </c>
      <c r="L16" s="16">
        <v>859.306</v>
      </c>
      <c r="M16" s="16">
        <v>856.806</v>
      </c>
      <c r="N16" s="16">
        <v>199.1</v>
      </c>
      <c r="O16" s="23">
        <v>7.0</v>
      </c>
      <c r="P16" s="18">
        <f t="shared" si="1"/>
        <v>859.306</v>
      </c>
    </row>
    <row r="17">
      <c r="A17" s="19" t="s">
        <v>21</v>
      </c>
      <c r="B17" s="19" t="s">
        <v>22</v>
      </c>
      <c r="C17" s="20" t="s">
        <v>36</v>
      </c>
      <c r="D17" s="14" t="str">
        <f>VLOOKUP(C17,'State Key'!$A$2:$B$210,2,False)</f>
        <v>West Bengal</v>
      </c>
      <c r="E17" s="21">
        <v>600.0</v>
      </c>
      <c r="F17" s="22">
        <v>217.646</v>
      </c>
      <c r="G17" s="22">
        <v>0.0</v>
      </c>
      <c r="H17" s="22">
        <v>0.0</v>
      </c>
      <c r="I17" s="22">
        <v>0.0</v>
      </c>
      <c r="J17" s="22">
        <v>0.0</v>
      </c>
      <c r="K17" s="22">
        <v>56.834</v>
      </c>
      <c r="L17" s="22">
        <v>274.48</v>
      </c>
      <c r="M17" s="22">
        <v>275.969</v>
      </c>
      <c r="N17" s="22">
        <v>128.11</v>
      </c>
      <c r="O17" s="23">
        <v>13.9</v>
      </c>
      <c r="P17" s="18">
        <f t="shared" si="1"/>
        <v>274.48</v>
      </c>
    </row>
    <row r="18">
      <c r="A18" s="13" t="s">
        <v>21</v>
      </c>
      <c r="B18" s="13" t="s">
        <v>22</v>
      </c>
      <c r="C18" s="14" t="s">
        <v>37</v>
      </c>
      <c r="D18" s="14" t="str">
        <f>VLOOKUP(C18,'State Key'!$A$2:$B$210,2,False)</f>
        <v>West Bengal</v>
      </c>
      <c r="E18" s="15">
        <v>300.0</v>
      </c>
      <c r="F18" s="16">
        <v>117.87</v>
      </c>
      <c r="G18" s="16">
        <v>0.0</v>
      </c>
      <c r="H18" s="16">
        <v>0.0</v>
      </c>
      <c r="I18" s="16">
        <v>0.0</v>
      </c>
      <c r="J18" s="16">
        <v>0.0</v>
      </c>
      <c r="K18" s="16">
        <v>0.0</v>
      </c>
      <c r="L18" s="16">
        <v>117.87</v>
      </c>
      <c r="M18" s="16">
        <v>81.91</v>
      </c>
      <c r="N18" s="16">
        <v>38.61</v>
      </c>
      <c r="O18" s="24">
        <v>14.1</v>
      </c>
      <c r="P18" s="18">
        <f t="shared" si="1"/>
        <v>117.87</v>
      </c>
    </row>
    <row r="19">
      <c r="A19" s="19" t="s">
        <v>21</v>
      </c>
      <c r="B19" s="19" t="s">
        <v>22</v>
      </c>
      <c r="C19" s="20" t="s">
        <v>38</v>
      </c>
      <c r="D19" s="14" t="str">
        <f>VLOOKUP(C19,'State Key'!$A$2:$B$210,2,False)</f>
        <v>Odisha</v>
      </c>
      <c r="E19" s="21">
        <v>1740.0</v>
      </c>
      <c r="F19" s="22">
        <v>221.193</v>
      </c>
      <c r="G19" s="22">
        <v>0.0</v>
      </c>
      <c r="H19" s="22">
        <v>644.623</v>
      </c>
      <c r="I19" s="22">
        <v>0.0</v>
      </c>
      <c r="J19" s="22">
        <v>0.0</v>
      </c>
      <c r="K19" s="22">
        <v>0.0</v>
      </c>
      <c r="L19" s="22">
        <v>865.816</v>
      </c>
      <c r="M19" s="22">
        <v>810.936</v>
      </c>
      <c r="N19" s="22">
        <v>345.096</v>
      </c>
      <c r="O19" s="23">
        <v>12.8</v>
      </c>
      <c r="P19" s="18">
        <f t="shared" si="1"/>
        <v>865.816</v>
      </c>
    </row>
    <row r="20">
      <c r="A20" s="13" t="s">
        <v>21</v>
      </c>
      <c r="B20" s="13" t="s">
        <v>22</v>
      </c>
      <c r="C20" s="14" t="s">
        <v>39</v>
      </c>
      <c r="D20" s="14" t="str">
        <f>VLOOKUP(C20,'State Key'!$A$2:$B$210,2,False)</f>
        <v>Jharkhand</v>
      </c>
      <c r="E20" s="15">
        <v>240.0</v>
      </c>
      <c r="F20" s="16">
        <v>100.0717</v>
      </c>
      <c r="G20" s="16">
        <v>0.0</v>
      </c>
      <c r="H20" s="16">
        <v>0.0</v>
      </c>
      <c r="I20" s="16">
        <v>0.0</v>
      </c>
      <c r="J20" s="16">
        <v>30.27</v>
      </c>
      <c r="K20" s="16">
        <v>0.0</v>
      </c>
      <c r="L20" s="16">
        <v>130.3417</v>
      </c>
      <c r="M20" s="16">
        <v>108.2</v>
      </c>
      <c r="N20" s="16">
        <v>119.47</v>
      </c>
      <c r="O20" s="24">
        <v>33.1</v>
      </c>
      <c r="P20" s="18">
        <f t="shared" si="1"/>
        <v>130.3417</v>
      </c>
    </row>
    <row r="21" ht="15.75" customHeight="1">
      <c r="A21" s="19" t="s">
        <v>21</v>
      </c>
      <c r="B21" s="19" t="s">
        <v>22</v>
      </c>
      <c r="C21" s="20" t="s">
        <v>40</v>
      </c>
      <c r="D21" s="14" t="str">
        <f>VLOOKUP(C21,'State Key'!$A$2:$B$210,2,False)</f>
        <v>Bihar</v>
      </c>
      <c r="E21" s="21">
        <v>2340.0</v>
      </c>
      <c r="F21" s="22">
        <v>997.22</v>
      </c>
      <c r="G21" s="22">
        <v>0.0</v>
      </c>
      <c r="H21" s="22">
        <v>3.63</v>
      </c>
      <c r="I21" s="22">
        <v>10.79</v>
      </c>
      <c r="J21" s="22">
        <v>0.0</v>
      </c>
      <c r="K21" s="22">
        <v>0.0</v>
      </c>
      <c r="L21" s="22">
        <v>1011.64</v>
      </c>
      <c r="M21" s="22">
        <v>967.045</v>
      </c>
      <c r="N21" s="22">
        <v>495.26</v>
      </c>
      <c r="O21" s="24">
        <v>15.4</v>
      </c>
      <c r="P21" s="18">
        <f t="shared" si="1"/>
        <v>1011.64</v>
      </c>
    </row>
    <row r="22" ht="15.75" customHeight="1">
      <c r="A22" s="13" t="s">
        <v>21</v>
      </c>
      <c r="B22" s="13" t="s">
        <v>22</v>
      </c>
      <c r="C22" s="14" t="s">
        <v>41</v>
      </c>
      <c r="D22" s="14" t="str">
        <f>VLOOKUP(C22,'State Key'!$A$2:$B$210,2,False)</f>
        <v>Odisha</v>
      </c>
      <c r="E22" s="15">
        <v>1050.0</v>
      </c>
      <c r="F22" s="16">
        <v>412.4951</v>
      </c>
      <c r="G22" s="16">
        <v>0.0</v>
      </c>
      <c r="H22" s="16">
        <v>0.0</v>
      </c>
      <c r="I22" s="16">
        <v>5.33</v>
      </c>
      <c r="J22" s="16">
        <v>0.0</v>
      </c>
      <c r="K22" s="16">
        <v>53.159</v>
      </c>
      <c r="L22" s="16">
        <v>470.9841</v>
      </c>
      <c r="M22" s="16">
        <v>433.0</v>
      </c>
      <c r="N22" s="16">
        <v>65.62</v>
      </c>
      <c r="O22" s="17">
        <v>4.5</v>
      </c>
      <c r="P22" s="18">
        <f t="shared" si="1"/>
        <v>470.9841</v>
      </c>
    </row>
    <row r="23" ht="15.75" customHeight="1">
      <c r="A23" s="19" t="s">
        <v>21</v>
      </c>
      <c r="B23" s="19" t="s">
        <v>22</v>
      </c>
      <c r="C23" s="20" t="s">
        <v>42</v>
      </c>
      <c r="D23" s="14" t="str">
        <f>VLOOKUP(C23,'State Key'!$A$2:$B$210,2,False)</f>
        <v>Jharkhand</v>
      </c>
      <c r="E23" s="21">
        <v>1000.0</v>
      </c>
      <c r="F23" s="22">
        <v>364.86</v>
      </c>
      <c r="G23" s="22">
        <v>4.073</v>
      </c>
      <c r="H23" s="22">
        <v>0.0</v>
      </c>
      <c r="I23" s="22">
        <v>40.88</v>
      </c>
      <c r="J23" s="22">
        <v>0.0</v>
      </c>
      <c r="K23" s="22">
        <v>0.0</v>
      </c>
      <c r="L23" s="22">
        <v>409.813</v>
      </c>
      <c r="M23" s="22">
        <v>403.86</v>
      </c>
      <c r="N23" s="22">
        <v>264.6</v>
      </c>
      <c r="O23" s="24">
        <v>19.7</v>
      </c>
      <c r="P23" s="18">
        <f t="shared" si="1"/>
        <v>409.813</v>
      </c>
    </row>
    <row r="24" ht="15.75" customHeight="1">
      <c r="A24" s="13" t="s">
        <v>21</v>
      </c>
      <c r="B24" s="13" t="s">
        <v>22</v>
      </c>
      <c r="C24" s="14" t="s">
        <v>43</v>
      </c>
      <c r="D24" s="14" t="str">
        <f>VLOOKUP(C24,'State Key'!$A$2:$B$210,2,False)</f>
        <v>West Bengal</v>
      </c>
      <c r="E24" s="15">
        <v>840.0</v>
      </c>
      <c r="F24" s="16">
        <v>50.849</v>
      </c>
      <c r="G24" s="16">
        <v>0.0</v>
      </c>
      <c r="H24" s="16">
        <v>307.389</v>
      </c>
      <c r="I24" s="16">
        <v>0.0</v>
      </c>
      <c r="J24" s="16">
        <v>0.0</v>
      </c>
      <c r="K24" s="16">
        <v>0.0</v>
      </c>
      <c r="L24" s="16">
        <v>358.238</v>
      </c>
      <c r="M24" s="16">
        <v>365.721</v>
      </c>
      <c r="N24" s="16">
        <v>16.89</v>
      </c>
      <c r="O24" s="17">
        <v>1.4</v>
      </c>
      <c r="P24" s="18">
        <f t="shared" si="1"/>
        <v>358.238</v>
      </c>
    </row>
    <row r="25" ht="15.75" customHeight="1">
      <c r="A25" s="19" t="s">
        <v>21</v>
      </c>
      <c r="B25" s="19" t="s">
        <v>22</v>
      </c>
      <c r="C25" s="20" t="s">
        <v>44</v>
      </c>
      <c r="D25" s="14" t="str">
        <f>VLOOKUP(C25,'State Key'!$A$2:$B$210,2,False)</f>
        <v>Jharkhand</v>
      </c>
      <c r="E25" s="21">
        <v>540.0</v>
      </c>
      <c r="F25" s="22">
        <v>139.185</v>
      </c>
      <c r="G25" s="22">
        <v>0.0</v>
      </c>
      <c r="H25" s="22">
        <v>0.0</v>
      </c>
      <c r="I25" s="22">
        <v>0.0</v>
      </c>
      <c r="J25" s="22">
        <v>0.0</v>
      </c>
      <c r="K25" s="22">
        <v>0.0</v>
      </c>
      <c r="L25" s="22">
        <v>139.185</v>
      </c>
      <c r="M25" s="22">
        <v>124.286</v>
      </c>
      <c r="N25" s="22">
        <v>83.38</v>
      </c>
      <c r="O25" s="24">
        <v>20.1</v>
      </c>
      <c r="P25" s="18">
        <f t="shared" si="1"/>
        <v>139.185</v>
      </c>
    </row>
    <row r="26" ht="15.75" customHeight="1">
      <c r="A26" s="13" t="s">
        <v>21</v>
      </c>
      <c r="B26" s="13" t="s">
        <v>22</v>
      </c>
      <c r="C26" s="14" t="s">
        <v>45</v>
      </c>
      <c r="D26" s="14" t="str">
        <f>VLOOKUP(C26,'State Key'!$A$2:$B$210,2,False)</f>
        <v>Jharkhand</v>
      </c>
      <c r="E26" s="15">
        <v>1050.0</v>
      </c>
      <c r="F26" s="16">
        <v>444.453</v>
      </c>
      <c r="G26" s="16">
        <v>0.0</v>
      </c>
      <c r="H26" s="16">
        <v>0.0</v>
      </c>
      <c r="I26" s="16">
        <v>0.0</v>
      </c>
      <c r="J26" s="16">
        <v>0.0</v>
      </c>
      <c r="K26" s="16">
        <v>0.0</v>
      </c>
      <c r="L26" s="16">
        <v>444.453</v>
      </c>
      <c r="M26" s="16">
        <v>391.927</v>
      </c>
      <c r="N26" s="16">
        <v>455.89</v>
      </c>
      <c r="O26" s="24">
        <v>34.9</v>
      </c>
      <c r="P26" s="18">
        <f t="shared" si="1"/>
        <v>444.453</v>
      </c>
    </row>
    <row r="27" ht="15.75" customHeight="1">
      <c r="A27" s="19" t="s">
        <v>21</v>
      </c>
      <c r="B27" s="19" t="s">
        <v>22</v>
      </c>
      <c r="C27" s="20" t="s">
        <v>46</v>
      </c>
      <c r="D27" s="14" t="str">
        <f>VLOOKUP(C27,'State Key'!$A$2:$B$210,2,False)</f>
        <v>West Bengal</v>
      </c>
      <c r="E27" s="21">
        <v>2340.0</v>
      </c>
      <c r="F27" s="22">
        <v>730.721</v>
      </c>
      <c r="G27" s="22">
        <v>0.0</v>
      </c>
      <c r="H27" s="22">
        <v>0.0</v>
      </c>
      <c r="I27" s="22">
        <v>60.008</v>
      </c>
      <c r="J27" s="22">
        <v>0.0</v>
      </c>
      <c r="K27" s="22">
        <v>0.0</v>
      </c>
      <c r="L27" s="22">
        <v>790.729</v>
      </c>
      <c r="M27" s="22">
        <v>891.555</v>
      </c>
      <c r="N27" s="22">
        <v>126.794</v>
      </c>
      <c r="O27" s="17">
        <v>4.3</v>
      </c>
      <c r="P27" s="18">
        <f t="shared" si="1"/>
        <v>790.729</v>
      </c>
    </row>
    <row r="28" ht="15.75" customHeight="1">
      <c r="A28" s="13" t="s">
        <v>21</v>
      </c>
      <c r="B28" s="13" t="s">
        <v>22</v>
      </c>
      <c r="C28" s="14" t="s">
        <v>47</v>
      </c>
      <c r="D28" s="14" t="str">
        <f>VLOOKUP(C28,'State Key'!$A$2:$B$210,2,False)</f>
        <v>Bihar</v>
      </c>
      <c r="E28" s="15">
        <v>390.0</v>
      </c>
      <c r="F28" s="16">
        <v>7.736</v>
      </c>
      <c r="G28" s="16">
        <v>0.0</v>
      </c>
      <c r="H28" s="16">
        <v>198.756</v>
      </c>
      <c r="I28" s="16">
        <v>0.0</v>
      </c>
      <c r="J28" s="16">
        <v>0.0</v>
      </c>
      <c r="K28" s="16">
        <v>0.0</v>
      </c>
      <c r="L28" s="16">
        <v>206.492</v>
      </c>
      <c r="M28" s="16">
        <v>165.161</v>
      </c>
      <c r="N28" s="16">
        <v>55.77</v>
      </c>
      <c r="O28" s="23">
        <v>10.1</v>
      </c>
      <c r="P28" s="18">
        <f t="shared" si="1"/>
        <v>206.492</v>
      </c>
    </row>
    <row r="29" ht="15.75" customHeight="1">
      <c r="A29" s="19" t="s">
        <v>21</v>
      </c>
      <c r="B29" s="19" t="s">
        <v>22</v>
      </c>
      <c r="C29" s="20" t="s">
        <v>48</v>
      </c>
      <c r="D29" s="14" t="str">
        <f>VLOOKUP(C29,'State Key'!$A$2:$B$210,2,False)</f>
        <v>Bihar</v>
      </c>
      <c r="E29" s="21">
        <v>1980.0</v>
      </c>
      <c r="F29" s="22">
        <v>590.02</v>
      </c>
      <c r="G29" s="22">
        <v>0.0</v>
      </c>
      <c r="H29" s="22">
        <v>189.33</v>
      </c>
      <c r="I29" s="22">
        <v>31.61</v>
      </c>
      <c r="J29" s="22">
        <v>0.0</v>
      </c>
      <c r="K29" s="22">
        <v>0.0</v>
      </c>
      <c r="L29" s="22">
        <v>810.96</v>
      </c>
      <c r="M29" s="22">
        <v>792.83</v>
      </c>
      <c r="N29" s="22">
        <v>131.35</v>
      </c>
      <c r="O29" s="17">
        <v>5.0</v>
      </c>
      <c r="P29" s="18">
        <f t="shared" si="1"/>
        <v>810.96</v>
      </c>
    </row>
    <row r="30" ht="15.75" customHeight="1">
      <c r="A30" s="13" t="s">
        <v>21</v>
      </c>
      <c r="B30" s="13" t="s">
        <v>22</v>
      </c>
      <c r="C30" s="14" t="s">
        <v>49</v>
      </c>
      <c r="D30" s="14" t="str">
        <f>VLOOKUP(C30,'State Key'!$A$2:$B$210,2,False)</f>
        <v>Bihar</v>
      </c>
      <c r="E30" s="15">
        <v>1000.0</v>
      </c>
      <c r="F30" s="16">
        <v>329.811</v>
      </c>
      <c r="G30" s="16">
        <v>0.0</v>
      </c>
      <c r="H30" s="16">
        <v>0.0</v>
      </c>
      <c r="I30" s="16">
        <v>30.497</v>
      </c>
      <c r="J30" s="16">
        <v>0.0</v>
      </c>
      <c r="K30" s="16">
        <v>0.0</v>
      </c>
      <c r="L30" s="16">
        <v>360.308</v>
      </c>
      <c r="M30" s="16">
        <v>452.979</v>
      </c>
      <c r="N30" s="16">
        <v>56.61</v>
      </c>
      <c r="O30" s="17">
        <v>3.7</v>
      </c>
      <c r="P30" s="18">
        <f t="shared" si="1"/>
        <v>360.308</v>
      </c>
    </row>
    <row r="31" ht="15.75" customHeight="1">
      <c r="A31" s="19" t="s">
        <v>21</v>
      </c>
      <c r="B31" s="19" t="s">
        <v>22</v>
      </c>
      <c r="C31" s="20" t="s">
        <v>50</v>
      </c>
      <c r="D31" s="14" t="str">
        <f>VLOOKUP(C31,'State Key'!$A$2:$B$210,2,False)</f>
        <v>Jharkhand</v>
      </c>
      <c r="E31" s="21">
        <v>660.0</v>
      </c>
      <c r="F31" s="22">
        <v>340.53</v>
      </c>
      <c r="G31" s="22">
        <v>0.0</v>
      </c>
      <c r="H31" s="22">
        <v>0.0</v>
      </c>
      <c r="I31" s="22">
        <v>0.0</v>
      </c>
      <c r="J31" s="22">
        <v>0.0</v>
      </c>
      <c r="K31" s="22">
        <v>0.0</v>
      </c>
      <c r="L31" s="22">
        <v>340.53</v>
      </c>
      <c r="M31" s="22">
        <v>302.713</v>
      </c>
      <c r="N31" s="22">
        <v>97.899</v>
      </c>
      <c r="O31" s="23">
        <v>9.7</v>
      </c>
      <c r="P31" s="18">
        <f t="shared" si="1"/>
        <v>340.53</v>
      </c>
    </row>
    <row r="32" ht="15.75" customHeight="1">
      <c r="A32" s="13" t="s">
        <v>21</v>
      </c>
      <c r="B32" s="13" t="s">
        <v>22</v>
      </c>
      <c r="C32" s="14" t="s">
        <v>51</v>
      </c>
      <c r="D32" s="14" t="str">
        <f>VLOOKUP(C32,'State Key'!$A$2:$B$210,2,False)</f>
        <v>West Bengal</v>
      </c>
      <c r="E32" s="15">
        <v>1200.0</v>
      </c>
      <c r="F32" s="16">
        <v>411.338</v>
      </c>
      <c r="G32" s="16">
        <v>0.0</v>
      </c>
      <c r="H32" s="16">
        <v>0.0</v>
      </c>
      <c r="I32" s="16">
        <v>0.0</v>
      </c>
      <c r="J32" s="16">
        <v>0.0</v>
      </c>
      <c r="K32" s="16">
        <v>0.0</v>
      </c>
      <c r="L32" s="16">
        <v>411.338</v>
      </c>
      <c r="M32" s="16">
        <v>400.189</v>
      </c>
      <c r="N32" s="16">
        <v>236.01</v>
      </c>
      <c r="O32" s="24">
        <v>17.7</v>
      </c>
      <c r="P32" s="18">
        <f t="shared" si="1"/>
        <v>411.338</v>
      </c>
    </row>
    <row r="33" ht="15.75" customHeight="1">
      <c r="A33" s="19" t="s">
        <v>21</v>
      </c>
      <c r="B33" s="19" t="s">
        <v>22</v>
      </c>
      <c r="C33" s="20" t="s">
        <v>52</v>
      </c>
      <c r="D33" s="14" t="str">
        <f>VLOOKUP(C33,'State Key'!$A$2:$B$210,2,False)</f>
        <v>West Bengal</v>
      </c>
      <c r="E33" s="21">
        <v>1600.0</v>
      </c>
      <c r="F33" s="22">
        <v>0.0</v>
      </c>
      <c r="G33" s="22">
        <v>0.0</v>
      </c>
      <c r="H33" s="22">
        <v>781.432</v>
      </c>
      <c r="I33" s="22">
        <v>0.0</v>
      </c>
      <c r="J33" s="22">
        <v>0.0</v>
      </c>
      <c r="K33" s="22">
        <v>0.0</v>
      </c>
      <c r="L33" s="22">
        <v>781.432</v>
      </c>
      <c r="M33" s="22">
        <v>731.216</v>
      </c>
      <c r="N33" s="22">
        <v>100.17</v>
      </c>
      <c r="O33" s="17">
        <v>4.1</v>
      </c>
      <c r="P33" s="18">
        <f t="shared" si="1"/>
        <v>781.432</v>
      </c>
    </row>
    <row r="34" ht="15.75" customHeight="1">
      <c r="A34" s="13" t="s">
        <v>21</v>
      </c>
      <c r="B34" s="13" t="s">
        <v>22</v>
      </c>
      <c r="C34" s="14" t="s">
        <v>53</v>
      </c>
      <c r="D34" s="14" t="str">
        <f>VLOOKUP(C34,'State Key'!$A$2:$B$210,2,False)</f>
        <v>West Bengal</v>
      </c>
      <c r="E34" s="15">
        <v>500.0</v>
      </c>
      <c r="F34" s="16">
        <v>61.581</v>
      </c>
      <c r="G34" s="16">
        <v>0.0</v>
      </c>
      <c r="H34" s="16">
        <v>105.704</v>
      </c>
      <c r="I34" s="16">
        <v>0.0</v>
      </c>
      <c r="J34" s="16">
        <v>0.0</v>
      </c>
      <c r="K34" s="16">
        <v>0.0</v>
      </c>
      <c r="L34" s="16">
        <v>167.285</v>
      </c>
      <c r="M34" s="16">
        <v>209.469</v>
      </c>
      <c r="N34" s="16">
        <v>61.78</v>
      </c>
      <c r="O34" s="23">
        <v>8.8</v>
      </c>
      <c r="P34" s="18">
        <f t="shared" si="1"/>
        <v>167.285</v>
      </c>
    </row>
    <row r="35" ht="15.75" customHeight="1">
      <c r="A35" s="19" t="s">
        <v>21</v>
      </c>
      <c r="B35" s="19" t="s">
        <v>22</v>
      </c>
      <c r="C35" s="20" t="s">
        <v>54</v>
      </c>
      <c r="D35" s="14" t="str">
        <f>VLOOKUP(C35,'State Key'!$A$2:$B$210,2,False)</f>
        <v>West Bengal</v>
      </c>
      <c r="E35" s="21">
        <v>135.0</v>
      </c>
      <c r="F35" s="22">
        <v>26.913</v>
      </c>
      <c r="G35" s="22">
        <v>0.0</v>
      </c>
      <c r="H35" s="22">
        <v>0.0</v>
      </c>
      <c r="I35" s="22">
        <v>0.0</v>
      </c>
      <c r="J35" s="22">
        <v>0.0</v>
      </c>
      <c r="K35" s="22">
        <v>0.0</v>
      </c>
      <c r="L35" s="22">
        <v>26.913</v>
      </c>
      <c r="M35" s="22">
        <v>53.299</v>
      </c>
      <c r="N35" s="22">
        <v>50.57</v>
      </c>
      <c r="O35" s="24">
        <v>28.5</v>
      </c>
      <c r="P35" s="18">
        <f t="shared" si="1"/>
        <v>26.913</v>
      </c>
    </row>
    <row r="36" ht="15.75" customHeight="1">
      <c r="A36" s="13" t="s">
        <v>21</v>
      </c>
      <c r="B36" s="13" t="s">
        <v>22</v>
      </c>
      <c r="C36" s="14" t="s">
        <v>55</v>
      </c>
      <c r="D36" s="14" t="str">
        <f>VLOOKUP(C36,'State Key'!$A$2:$B$210,2,False)</f>
        <v>Odisha</v>
      </c>
      <c r="E36" s="15">
        <v>3000.0</v>
      </c>
      <c r="F36" s="16">
        <v>1225.93</v>
      </c>
      <c r="G36" s="16">
        <v>0.0</v>
      </c>
      <c r="H36" s="16">
        <v>7.29</v>
      </c>
      <c r="I36" s="16">
        <v>0.0</v>
      </c>
      <c r="J36" s="16">
        <v>0.0</v>
      </c>
      <c r="K36" s="16">
        <v>0.0</v>
      </c>
      <c r="L36" s="16">
        <v>1233.22</v>
      </c>
      <c r="M36" s="16">
        <v>1526.74</v>
      </c>
      <c r="N36" s="16">
        <v>301.54</v>
      </c>
      <c r="O36" s="17">
        <v>5.9</v>
      </c>
      <c r="P36" s="18">
        <f t="shared" si="1"/>
        <v>1233.22</v>
      </c>
    </row>
    <row r="37" ht="15.75" customHeight="1">
      <c r="A37" s="19" t="s">
        <v>21</v>
      </c>
      <c r="B37" s="19" t="s">
        <v>22</v>
      </c>
      <c r="C37" s="20" t="s">
        <v>56</v>
      </c>
      <c r="D37" s="14" t="str">
        <f>VLOOKUP(C37,'State Key'!$A$2:$B$210,2,False)</f>
        <v>Jharkhand</v>
      </c>
      <c r="E37" s="21">
        <v>420.0</v>
      </c>
      <c r="F37" s="22">
        <v>121.35</v>
      </c>
      <c r="G37" s="22">
        <v>0.0</v>
      </c>
      <c r="H37" s="22">
        <v>0.0</v>
      </c>
      <c r="I37" s="22">
        <v>0.0</v>
      </c>
      <c r="J37" s="22">
        <v>0.0</v>
      </c>
      <c r="K37" s="22">
        <v>0.0</v>
      </c>
      <c r="L37" s="22">
        <v>121.35</v>
      </c>
      <c r="M37" s="22">
        <v>154.52</v>
      </c>
      <c r="N37" s="22">
        <v>126.39</v>
      </c>
      <c r="O37" s="24">
        <v>24.5</v>
      </c>
      <c r="P37" s="18">
        <f t="shared" si="1"/>
        <v>121.35</v>
      </c>
    </row>
    <row r="38" ht="15.75" customHeight="1">
      <c r="A38" s="13" t="s">
        <v>21</v>
      </c>
      <c r="B38" s="13" t="s">
        <v>22</v>
      </c>
      <c r="C38" s="14" t="s">
        <v>57</v>
      </c>
      <c r="D38" s="14" t="str">
        <f>VLOOKUP(C38,'State Key'!$A$2:$B$210,2,False)</f>
        <v>West Bengal</v>
      </c>
      <c r="E38" s="15">
        <v>240.0</v>
      </c>
      <c r="F38" s="16">
        <v>0.0</v>
      </c>
      <c r="G38" s="16">
        <v>0.0</v>
      </c>
      <c r="H38" s="16">
        <v>0.0</v>
      </c>
      <c r="I38" s="16">
        <v>0.0</v>
      </c>
      <c r="J38" s="16">
        <v>0.0</v>
      </c>
      <c r="K38" s="16">
        <v>0.0</v>
      </c>
      <c r="L38" s="16">
        <v>0.0</v>
      </c>
      <c r="M38" s="16">
        <v>0.0</v>
      </c>
      <c r="N38" s="16">
        <v>0.67</v>
      </c>
      <c r="O38" s="13" t="s">
        <v>58</v>
      </c>
      <c r="P38" s="18">
        <f t="shared" si="1"/>
        <v>0</v>
      </c>
    </row>
    <row r="39" ht="15.75" customHeight="1">
      <c r="A39" s="19" t="s">
        <v>21</v>
      </c>
      <c r="B39" s="19" t="s">
        <v>22</v>
      </c>
      <c r="C39" s="20" t="s">
        <v>59</v>
      </c>
      <c r="D39" s="14" t="str">
        <f>VLOOKUP(C39,'State Key'!$A$2:$B$210,2,False)</f>
        <v>Odisha</v>
      </c>
      <c r="E39" s="21">
        <v>350.0</v>
      </c>
      <c r="F39" s="22">
        <v>0.0</v>
      </c>
      <c r="G39" s="22">
        <v>0.0</v>
      </c>
      <c r="H39" s="22">
        <v>0.0</v>
      </c>
      <c r="I39" s="22">
        <v>0.0</v>
      </c>
      <c r="J39" s="22">
        <v>0.0</v>
      </c>
      <c r="K39" s="22">
        <v>0.0</v>
      </c>
      <c r="L39" s="22">
        <v>0.0</v>
      </c>
      <c r="M39" s="22">
        <v>0.0</v>
      </c>
      <c r="N39" s="22">
        <v>0.0</v>
      </c>
      <c r="O39" s="19" t="s">
        <v>58</v>
      </c>
      <c r="P39" s="18">
        <f t="shared" si="1"/>
        <v>0</v>
      </c>
    </row>
    <row r="40" ht="15.75" customHeight="1">
      <c r="A40" s="13" t="s">
        <v>21</v>
      </c>
      <c r="B40" s="13" t="s">
        <v>22</v>
      </c>
      <c r="C40" s="14" t="s">
        <v>60</v>
      </c>
      <c r="D40" s="14" t="str">
        <f>VLOOKUP(C40,'State Key'!$A$2:$B$210,2,False)</f>
        <v>Odisha</v>
      </c>
      <c r="E40" s="15">
        <v>600.0</v>
      </c>
      <c r="F40" s="16">
        <v>170.24</v>
      </c>
      <c r="G40" s="16">
        <v>0.0</v>
      </c>
      <c r="H40" s="16">
        <v>0.0</v>
      </c>
      <c r="I40" s="16">
        <v>0.0</v>
      </c>
      <c r="J40" s="16">
        <v>0.0</v>
      </c>
      <c r="K40" s="16">
        <v>0.0</v>
      </c>
      <c r="L40" s="16">
        <v>170.24</v>
      </c>
      <c r="M40" s="16">
        <v>160.77</v>
      </c>
      <c r="N40" s="16">
        <v>148.23</v>
      </c>
      <c r="O40" s="24">
        <v>27.7</v>
      </c>
      <c r="P40" s="18">
        <f t="shared" si="1"/>
        <v>170.24</v>
      </c>
    </row>
    <row r="41" ht="15.75" customHeight="1">
      <c r="A41" s="19" t="s">
        <v>21</v>
      </c>
      <c r="B41" s="19" t="s">
        <v>61</v>
      </c>
      <c r="C41" s="25" t="s">
        <v>62</v>
      </c>
      <c r="D41" s="14" t="str">
        <f>VLOOKUP(C41,'State Key'!$A$2:$B$210,2,False)</f>
        <v>Uttar Pradesh</v>
      </c>
      <c r="E41" s="21">
        <v>1200.0</v>
      </c>
      <c r="F41" s="22">
        <v>494.745</v>
      </c>
      <c r="G41" s="22">
        <v>0.0</v>
      </c>
      <c r="H41" s="22">
        <v>0.0</v>
      </c>
      <c r="I41" s="22">
        <v>0.0</v>
      </c>
      <c r="J41" s="22">
        <v>0.0</v>
      </c>
      <c r="K41" s="22">
        <v>0.0</v>
      </c>
      <c r="L41" s="22">
        <v>494.745</v>
      </c>
      <c r="M41" s="22">
        <v>490.0869</v>
      </c>
      <c r="N41" s="22">
        <v>93.16</v>
      </c>
      <c r="O41" s="17">
        <v>5.7</v>
      </c>
      <c r="P41" s="18">
        <f t="shared" si="1"/>
        <v>494.745</v>
      </c>
    </row>
    <row r="42" ht="15.75" customHeight="1">
      <c r="A42" s="13" t="s">
        <v>21</v>
      </c>
      <c r="B42" s="13" t="s">
        <v>61</v>
      </c>
      <c r="C42" s="25" t="s">
        <v>63</v>
      </c>
      <c r="D42" s="14" t="str">
        <f>VLOOKUP(C42,'State Key'!$A$2:$B$210,2,False)</f>
        <v>Uttar Pradesh</v>
      </c>
      <c r="E42" s="15">
        <v>2630.0</v>
      </c>
      <c r="F42" s="16">
        <v>817.05</v>
      </c>
      <c r="G42" s="16">
        <v>0.0</v>
      </c>
      <c r="H42" s="16">
        <v>0.0</v>
      </c>
      <c r="I42" s="16">
        <v>0.0</v>
      </c>
      <c r="J42" s="16">
        <v>0.0</v>
      </c>
      <c r="K42" s="16">
        <v>0.0</v>
      </c>
      <c r="L42" s="16">
        <v>817.05</v>
      </c>
      <c r="M42" s="16">
        <v>821.152</v>
      </c>
      <c r="N42" s="16">
        <v>925.93</v>
      </c>
      <c r="O42" s="24">
        <v>33.8</v>
      </c>
      <c r="P42" s="18">
        <f t="shared" si="1"/>
        <v>817.05</v>
      </c>
    </row>
    <row r="43" ht="15.75" customHeight="1">
      <c r="A43" s="19" t="s">
        <v>21</v>
      </c>
      <c r="B43" s="19" t="s">
        <v>61</v>
      </c>
      <c r="C43" s="25" t="s">
        <v>64</v>
      </c>
      <c r="D43" s="14" t="str">
        <f>VLOOKUP(C43,'State Key'!$A$2:$B$210,2,False)</f>
        <v>Uttar Pradesh</v>
      </c>
      <c r="E43" s="21">
        <v>90.0</v>
      </c>
      <c r="F43" s="22">
        <v>34.91</v>
      </c>
      <c r="G43" s="22">
        <v>0.0</v>
      </c>
      <c r="H43" s="22">
        <v>0.0</v>
      </c>
      <c r="I43" s="22">
        <v>0.0</v>
      </c>
      <c r="J43" s="22">
        <v>0.0</v>
      </c>
      <c r="K43" s="22">
        <v>0.0</v>
      </c>
      <c r="L43" s="22">
        <v>34.91</v>
      </c>
      <c r="M43" s="22">
        <v>16.01</v>
      </c>
      <c r="N43" s="22">
        <v>61.22</v>
      </c>
      <c r="O43" s="24">
        <v>114.7</v>
      </c>
      <c r="P43" s="18">
        <f t="shared" si="1"/>
        <v>34.91</v>
      </c>
    </row>
    <row r="44" ht="15.75" customHeight="1">
      <c r="A44" s="13" t="s">
        <v>21</v>
      </c>
      <c r="B44" s="13" t="s">
        <v>61</v>
      </c>
      <c r="C44" s="14" t="s">
        <v>65</v>
      </c>
      <c r="D44" s="14" t="str">
        <f>VLOOKUP(C44,'State Key'!$A$2:$B$210,2,False)</f>
        <v>Rajasthan</v>
      </c>
      <c r="E44" s="15">
        <v>500.0</v>
      </c>
      <c r="F44" s="16">
        <v>127.0453</v>
      </c>
      <c r="G44" s="16">
        <v>0.0</v>
      </c>
      <c r="H44" s="16">
        <v>0.0</v>
      </c>
      <c r="I44" s="16">
        <v>0.0</v>
      </c>
      <c r="J44" s="16">
        <v>0.0</v>
      </c>
      <c r="K44" s="16">
        <v>0.0</v>
      </c>
      <c r="L44" s="16">
        <v>127.0453</v>
      </c>
      <c r="M44" s="16">
        <v>163.594</v>
      </c>
      <c r="N44" s="16">
        <v>29.66</v>
      </c>
      <c r="O44" s="17">
        <v>5.4</v>
      </c>
      <c r="P44" s="18">
        <f t="shared" si="1"/>
        <v>127.0453</v>
      </c>
    </row>
    <row r="45" ht="15.75" customHeight="1">
      <c r="A45" s="19" t="s">
        <v>21</v>
      </c>
      <c r="B45" s="19" t="s">
        <v>61</v>
      </c>
      <c r="C45" s="20" t="s">
        <v>66</v>
      </c>
      <c r="D45" s="14" t="str">
        <f>VLOOKUP(C45,'State Key'!$A$2:$B$210,2,False)</f>
        <v>Rajasthan</v>
      </c>
      <c r="E45" s="21">
        <v>500.0</v>
      </c>
      <c r="F45" s="22">
        <v>0.0582</v>
      </c>
      <c r="G45" s="22">
        <v>0.0</v>
      </c>
      <c r="H45" s="22">
        <v>182.9332</v>
      </c>
      <c r="I45" s="22">
        <v>0.0</v>
      </c>
      <c r="J45" s="22">
        <v>0.0</v>
      </c>
      <c r="K45" s="22">
        <v>0.0</v>
      </c>
      <c r="L45" s="22">
        <v>182.9914</v>
      </c>
      <c r="M45" s="22">
        <v>143.7478</v>
      </c>
      <c r="N45" s="22">
        <v>133.44</v>
      </c>
      <c r="O45" s="24">
        <v>27.8</v>
      </c>
      <c r="P45" s="18">
        <f t="shared" si="1"/>
        <v>182.9914</v>
      </c>
    </row>
    <row r="46" ht="15.75" customHeight="1">
      <c r="A46" s="13" t="s">
        <v>21</v>
      </c>
      <c r="B46" s="13" t="s">
        <v>61</v>
      </c>
      <c r="C46" s="14" t="s">
        <v>67</v>
      </c>
      <c r="D46" s="14" t="str">
        <f>VLOOKUP(C46,'State Key'!$A$2:$B$210,2,False)</f>
        <v>Rajasthan</v>
      </c>
      <c r="E46" s="15">
        <v>1320.0</v>
      </c>
      <c r="F46" s="16">
        <v>76.60254</v>
      </c>
      <c r="G46" s="16">
        <v>0.0</v>
      </c>
      <c r="H46" s="16">
        <v>301.93574</v>
      </c>
      <c r="I46" s="16">
        <v>0.0</v>
      </c>
      <c r="J46" s="16">
        <v>0.0</v>
      </c>
      <c r="K46" s="16">
        <v>0.0</v>
      </c>
      <c r="L46" s="16">
        <v>378.53828</v>
      </c>
      <c r="M46" s="16">
        <v>405.276</v>
      </c>
      <c r="N46" s="16">
        <v>79.31</v>
      </c>
      <c r="O46" s="17">
        <v>5.9</v>
      </c>
      <c r="P46" s="18">
        <f t="shared" si="1"/>
        <v>378.53828</v>
      </c>
    </row>
    <row r="47" ht="15.75" customHeight="1">
      <c r="A47" s="19" t="s">
        <v>21</v>
      </c>
      <c r="B47" s="19" t="s">
        <v>61</v>
      </c>
      <c r="C47" s="25" t="s">
        <v>68</v>
      </c>
      <c r="D47" s="14" t="str">
        <f>VLOOKUP(C47,'State Key'!$A$2:$B$210,2,False)</f>
        <v>Uttar Pradesh</v>
      </c>
      <c r="E47" s="21">
        <v>1820.0</v>
      </c>
      <c r="F47" s="22">
        <v>479.3</v>
      </c>
      <c r="G47" s="22">
        <v>0.0</v>
      </c>
      <c r="H47" s="22">
        <v>78.08</v>
      </c>
      <c r="I47" s="22">
        <v>84.65</v>
      </c>
      <c r="J47" s="22">
        <v>0.0</v>
      </c>
      <c r="K47" s="22">
        <v>0.0</v>
      </c>
      <c r="L47" s="22">
        <v>642.03</v>
      </c>
      <c r="M47" s="22">
        <v>616.552</v>
      </c>
      <c r="N47" s="22">
        <v>271.934</v>
      </c>
      <c r="O47" s="23">
        <v>13.2</v>
      </c>
      <c r="P47" s="18">
        <f t="shared" si="1"/>
        <v>642.03</v>
      </c>
    </row>
    <row r="48" ht="15.75" customHeight="1">
      <c r="A48" s="13" t="s">
        <v>21</v>
      </c>
      <c r="B48" s="13" t="s">
        <v>61</v>
      </c>
      <c r="C48" s="14" t="s">
        <v>69</v>
      </c>
      <c r="D48" s="14" t="str">
        <f>VLOOKUP(C48,'State Key'!$A$2:$B$210,2,False)</f>
        <v>Punjab</v>
      </c>
      <c r="E48" s="15">
        <v>920.0</v>
      </c>
      <c r="F48" s="16">
        <v>203.333</v>
      </c>
      <c r="G48" s="16">
        <v>0.0</v>
      </c>
      <c r="H48" s="16">
        <v>146.442</v>
      </c>
      <c r="I48" s="16">
        <v>0.0</v>
      </c>
      <c r="J48" s="16">
        <v>0.0</v>
      </c>
      <c r="K48" s="16">
        <v>0.0</v>
      </c>
      <c r="L48" s="16">
        <v>349.775</v>
      </c>
      <c r="M48" s="16">
        <v>204.548</v>
      </c>
      <c r="N48" s="16">
        <v>398.016</v>
      </c>
      <c r="O48" s="24">
        <v>58.4</v>
      </c>
      <c r="P48" s="18">
        <f t="shared" si="1"/>
        <v>349.775</v>
      </c>
    </row>
    <row r="49" ht="15.75" customHeight="1">
      <c r="A49" s="19" t="s">
        <v>21</v>
      </c>
      <c r="B49" s="19" t="s">
        <v>61</v>
      </c>
      <c r="C49" s="20" t="s">
        <v>70</v>
      </c>
      <c r="D49" s="14" t="str">
        <f>VLOOKUP(C49,'State Key'!$A$2:$B$210,2,False)</f>
        <v>Punjab</v>
      </c>
      <c r="E49" s="21">
        <v>540.0</v>
      </c>
      <c r="F49" s="22">
        <v>139.017</v>
      </c>
      <c r="G49" s="22">
        <v>0.0</v>
      </c>
      <c r="H49" s="22">
        <v>0.0</v>
      </c>
      <c r="I49" s="22">
        <v>0.0</v>
      </c>
      <c r="J49" s="22">
        <v>0.0</v>
      </c>
      <c r="K49" s="22">
        <v>0.0</v>
      </c>
      <c r="L49" s="22">
        <v>139.017</v>
      </c>
      <c r="M49" s="22">
        <v>132.581</v>
      </c>
      <c r="N49" s="22">
        <v>64.82</v>
      </c>
      <c r="O49" s="24">
        <v>14.7</v>
      </c>
      <c r="P49" s="18">
        <f t="shared" si="1"/>
        <v>139.017</v>
      </c>
    </row>
    <row r="50" ht="15.75" customHeight="1">
      <c r="A50" s="13" t="s">
        <v>21</v>
      </c>
      <c r="B50" s="13" t="s">
        <v>61</v>
      </c>
      <c r="C50" s="25" t="s">
        <v>71</v>
      </c>
      <c r="D50" s="14" t="str">
        <f>VLOOKUP(C50,'State Key'!$A$2:$B$210,2,False)</f>
        <v>Uttar Pradesh</v>
      </c>
      <c r="E50" s="15">
        <v>1265.0</v>
      </c>
      <c r="F50" s="16">
        <v>241.017</v>
      </c>
      <c r="G50" s="16">
        <v>0.0</v>
      </c>
      <c r="H50" s="16">
        <v>0.0</v>
      </c>
      <c r="I50" s="16">
        <v>0.0</v>
      </c>
      <c r="J50" s="16">
        <v>0.0</v>
      </c>
      <c r="K50" s="16">
        <v>0.0</v>
      </c>
      <c r="L50" s="16">
        <v>241.017</v>
      </c>
      <c r="M50" s="16">
        <v>333.9604</v>
      </c>
      <c r="N50" s="16">
        <v>225.48</v>
      </c>
      <c r="O50" s="24">
        <v>20.3</v>
      </c>
      <c r="P50" s="18">
        <f t="shared" si="1"/>
        <v>241.017</v>
      </c>
    </row>
    <row r="51" ht="15.75" customHeight="1">
      <c r="A51" s="19" t="s">
        <v>21</v>
      </c>
      <c r="B51" s="19" t="s">
        <v>61</v>
      </c>
      <c r="C51" s="20" t="s">
        <v>72</v>
      </c>
      <c r="D51" s="14" t="str">
        <f>VLOOKUP(C51,'State Key'!$A$2:$B$210,2,False)</f>
        <v>Haryana</v>
      </c>
      <c r="E51" s="21">
        <v>1500.0</v>
      </c>
      <c r="F51" s="22">
        <v>489.444</v>
      </c>
      <c r="G51" s="22">
        <v>12.145</v>
      </c>
      <c r="H51" s="22">
        <v>0.0</v>
      </c>
      <c r="I51" s="22">
        <v>0.0</v>
      </c>
      <c r="J51" s="22">
        <v>0.0</v>
      </c>
      <c r="K51" s="22">
        <v>0.0</v>
      </c>
      <c r="L51" s="22">
        <v>501.589</v>
      </c>
      <c r="M51" s="22">
        <v>480.948</v>
      </c>
      <c r="N51" s="22">
        <v>255.99</v>
      </c>
      <c r="O51" s="24">
        <v>16.0</v>
      </c>
      <c r="P51" s="18">
        <f t="shared" si="1"/>
        <v>501.589</v>
      </c>
    </row>
    <row r="52" ht="15.75" customHeight="1">
      <c r="A52" s="13" t="s">
        <v>21</v>
      </c>
      <c r="B52" s="13" t="s">
        <v>61</v>
      </c>
      <c r="C52" s="14" t="s">
        <v>73</v>
      </c>
      <c r="D52" s="14" t="str">
        <f>VLOOKUP(C52,'State Key'!$A$2:$B$210,2,False)</f>
        <v>Rajasthan</v>
      </c>
      <c r="E52" s="15">
        <v>1200.0</v>
      </c>
      <c r="F52" s="16">
        <v>7.90612</v>
      </c>
      <c r="G52" s="16">
        <v>0.0</v>
      </c>
      <c r="H52" s="16">
        <v>384.288</v>
      </c>
      <c r="I52" s="16">
        <v>0.0</v>
      </c>
      <c r="J52" s="16">
        <v>0.0</v>
      </c>
      <c r="K52" s="16">
        <v>0.0</v>
      </c>
      <c r="L52" s="16">
        <v>392.19412</v>
      </c>
      <c r="M52" s="16">
        <v>419.551</v>
      </c>
      <c r="N52" s="16">
        <v>193.06</v>
      </c>
      <c r="O52" s="23">
        <v>13.8</v>
      </c>
      <c r="P52" s="18">
        <f t="shared" si="1"/>
        <v>392.19412</v>
      </c>
    </row>
    <row r="53" ht="15.75" customHeight="1">
      <c r="A53" s="19" t="s">
        <v>21</v>
      </c>
      <c r="B53" s="19" t="s">
        <v>61</v>
      </c>
      <c r="C53" s="20" t="s">
        <v>74</v>
      </c>
      <c r="D53" s="14" t="str">
        <f>VLOOKUP(C53,'State Key'!$A$2:$B$210,2,False)</f>
        <v>Rajasthan</v>
      </c>
      <c r="E53" s="21">
        <v>1320.0</v>
      </c>
      <c r="F53" s="22">
        <v>322.927</v>
      </c>
      <c r="G53" s="22">
        <v>0.0</v>
      </c>
      <c r="H53" s="22">
        <v>0.0</v>
      </c>
      <c r="I53" s="22">
        <v>0.0</v>
      </c>
      <c r="J53" s="22">
        <v>0.0</v>
      </c>
      <c r="K53" s="22">
        <v>0.067</v>
      </c>
      <c r="L53" s="22">
        <v>322.994</v>
      </c>
      <c r="M53" s="22">
        <v>303.359</v>
      </c>
      <c r="N53" s="22">
        <v>461.35</v>
      </c>
      <c r="O53" s="24">
        <v>45.6</v>
      </c>
      <c r="P53" s="18">
        <f t="shared" si="1"/>
        <v>322.994</v>
      </c>
    </row>
    <row r="54" ht="15.75" customHeight="1">
      <c r="A54" s="13" t="s">
        <v>21</v>
      </c>
      <c r="B54" s="13" t="s">
        <v>61</v>
      </c>
      <c r="C54" s="25" t="s">
        <v>75</v>
      </c>
      <c r="D54" s="14" t="str">
        <f>VLOOKUP(C54,'State Key'!$A$2:$B$210,2,False)</f>
        <v>Uttar Pradesh</v>
      </c>
      <c r="E54" s="15">
        <v>90.0</v>
      </c>
      <c r="F54" s="16">
        <v>36.2</v>
      </c>
      <c r="G54" s="16">
        <v>0.0</v>
      </c>
      <c r="H54" s="16">
        <v>0.0</v>
      </c>
      <c r="I54" s="16">
        <v>0.0</v>
      </c>
      <c r="J54" s="16">
        <v>0.0</v>
      </c>
      <c r="K54" s="16">
        <v>0.0</v>
      </c>
      <c r="L54" s="16">
        <v>36.2</v>
      </c>
      <c r="M54" s="16">
        <v>14.88</v>
      </c>
      <c r="N54" s="16">
        <v>87.92</v>
      </c>
      <c r="O54" s="24">
        <v>177.3</v>
      </c>
      <c r="P54" s="18">
        <f t="shared" si="1"/>
        <v>36.2</v>
      </c>
    </row>
    <row r="55" ht="15.75" customHeight="1">
      <c r="A55" s="19" t="s">
        <v>21</v>
      </c>
      <c r="B55" s="19" t="s">
        <v>61</v>
      </c>
      <c r="C55" s="20" t="s">
        <v>76</v>
      </c>
      <c r="D55" s="14" t="str">
        <f>VLOOKUP(C55,'State Key'!$A$2:$B$210,2,False)</f>
        <v>Rajasthan</v>
      </c>
      <c r="E55" s="21">
        <v>1240.0</v>
      </c>
      <c r="F55" s="22">
        <v>525.42046</v>
      </c>
      <c r="G55" s="22">
        <v>0.0</v>
      </c>
      <c r="H55" s="22">
        <v>4.06746</v>
      </c>
      <c r="I55" s="22">
        <v>0.0</v>
      </c>
      <c r="J55" s="22">
        <v>0.0</v>
      </c>
      <c r="K55" s="22">
        <v>0.0</v>
      </c>
      <c r="L55" s="22">
        <v>529.48792</v>
      </c>
      <c r="M55" s="22">
        <v>451.53</v>
      </c>
      <c r="N55" s="22">
        <v>185.003</v>
      </c>
      <c r="O55" s="23">
        <v>12.3</v>
      </c>
      <c r="P55" s="18">
        <f t="shared" si="1"/>
        <v>529.48792</v>
      </c>
    </row>
    <row r="56" ht="15.75" customHeight="1">
      <c r="A56" s="13" t="s">
        <v>21</v>
      </c>
      <c r="B56" s="13" t="s">
        <v>61</v>
      </c>
      <c r="C56" s="25" t="s">
        <v>77</v>
      </c>
      <c r="D56" s="14" t="str">
        <f>VLOOKUP(C56,'State Key'!$A$2:$B$210,2,False)</f>
        <v>Uttar Pradesh</v>
      </c>
      <c r="E56" s="15">
        <v>90.0</v>
      </c>
      <c r="F56" s="16">
        <v>44.31</v>
      </c>
      <c r="G56" s="16">
        <v>0.0</v>
      </c>
      <c r="H56" s="16">
        <v>0.0</v>
      </c>
      <c r="I56" s="16">
        <v>0.0</v>
      </c>
      <c r="J56" s="16">
        <v>0.0</v>
      </c>
      <c r="K56" s="16">
        <v>0.0</v>
      </c>
      <c r="L56" s="16">
        <v>44.31</v>
      </c>
      <c r="M56" s="16">
        <v>16.64</v>
      </c>
      <c r="N56" s="16">
        <v>80.75</v>
      </c>
      <c r="O56" s="24">
        <v>145.6</v>
      </c>
      <c r="P56" s="18">
        <f t="shared" si="1"/>
        <v>44.31</v>
      </c>
    </row>
    <row r="57" ht="15.75" customHeight="1">
      <c r="A57" s="19" t="s">
        <v>21</v>
      </c>
      <c r="B57" s="19" t="s">
        <v>61</v>
      </c>
      <c r="C57" s="25" t="s">
        <v>78</v>
      </c>
      <c r="D57" s="14" t="str">
        <f>VLOOKUP(C57,'State Key'!$A$2:$B$210,2,False)</f>
        <v>Uttar Pradesh</v>
      </c>
      <c r="E57" s="21">
        <v>1980.0</v>
      </c>
      <c r="F57" s="22">
        <v>770.059</v>
      </c>
      <c r="G57" s="22">
        <v>0.0</v>
      </c>
      <c r="H57" s="22">
        <v>0.0</v>
      </c>
      <c r="I57" s="22">
        <v>0.0</v>
      </c>
      <c r="J57" s="22">
        <v>0.0</v>
      </c>
      <c r="K57" s="22">
        <v>0.0</v>
      </c>
      <c r="L57" s="22">
        <v>770.059</v>
      </c>
      <c r="M57" s="22">
        <v>703.824</v>
      </c>
      <c r="N57" s="22">
        <v>668.576</v>
      </c>
      <c r="O57" s="24">
        <v>28.5</v>
      </c>
      <c r="P57" s="18">
        <f t="shared" si="1"/>
        <v>770.059</v>
      </c>
    </row>
    <row r="58" ht="15.75" customHeight="1">
      <c r="A58" s="13" t="s">
        <v>21</v>
      </c>
      <c r="B58" s="13" t="s">
        <v>61</v>
      </c>
      <c r="C58" s="14" t="s">
        <v>79</v>
      </c>
      <c r="D58" s="14" t="str">
        <f>VLOOKUP(C58,'State Key'!$A$2:$B$210,2,False)</f>
        <v>Haryana</v>
      </c>
      <c r="E58" s="15">
        <v>1320.0</v>
      </c>
      <c r="F58" s="16">
        <v>411.916</v>
      </c>
      <c r="G58" s="16">
        <v>0.0</v>
      </c>
      <c r="H58" s="16">
        <v>0.0</v>
      </c>
      <c r="I58" s="16">
        <v>0.0</v>
      </c>
      <c r="J58" s="16">
        <v>0.0</v>
      </c>
      <c r="K58" s="16">
        <v>0.0</v>
      </c>
      <c r="L58" s="16">
        <v>411.916</v>
      </c>
      <c r="M58" s="16">
        <v>294.928</v>
      </c>
      <c r="N58" s="16">
        <v>478.66</v>
      </c>
      <c r="O58" s="24">
        <v>48.7</v>
      </c>
      <c r="P58" s="18">
        <f t="shared" si="1"/>
        <v>411.916</v>
      </c>
    </row>
    <row r="59" ht="15.75" customHeight="1">
      <c r="A59" s="19" t="s">
        <v>21</v>
      </c>
      <c r="B59" s="19" t="s">
        <v>61</v>
      </c>
      <c r="C59" s="25" t="s">
        <v>80</v>
      </c>
      <c r="D59" s="14" t="str">
        <f>VLOOKUP(C59,'State Key'!$A$2:$B$210,2,False)</f>
        <v>Uttar Pradesh</v>
      </c>
      <c r="E59" s="21">
        <v>90.0</v>
      </c>
      <c r="F59" s="22">
        <v>39.71</v>
      </c>
      <c r="G59" s="22">
        <v>0.0</v>
      </c>
      <c r="H59" s="22">
        <v>0.0</v>
      </c>
      <c r="I59" s="22">
        <v>0.0</v>
      </c>
      <c r="J59" s="22">
        <v>0.0</v>
      </c>
      <c r="K59" s="22">
        <v>0.0</v>
      </c>
      <c r="L59" s="22">
        <v>39.71</v>
      </c>
      <c r="M59" s="22">
        <v>18.69</v>
      </c>
      <c r="N59" s="22">
        <v>73.3</v>
      </c>
      <c r="O59" s="24">
        <v>117.7</v>
      </c>
      <c r="P59" s="18">
        <f t="shared" si="1"/>
        <v>39.71</v>
      </c>
    </row>
    <row r="60" ht="15.75" customHeight="1">
      <c r="A60" s="13" t="s">
        <v>21</v>
      </c>
      <c r="B60" s="13" t="s">
        <v>61</v>
      </c>
      <c r="C60" s="25" t="s">
        <v>81</v>
      </c>
      <c r="D60" s="14" t="str">
        <f>VLOOKUP(C60,'State Key'!$A$2:$B$210,2,False)</f>
        <v>Uttar Pradesh</v>
      </c>
      <c r="E60" s="15">
        <v>1320.0</v>
      </c>
      <c r="F60" s="16">
        <v>530.32</v>
      </c>
      <c r="G60" s="16">
        <v>0.0</v>
      </c>
      <c r="H60" s="16">
        <v>3.7871</v>
      </c>
      <c r="I60" s="16">
        <v>32.6175</v>
      </c>
      <c r="J60" s="16">
        <v>0.0</v>
      </c>
      <c r="K60" s="16">
        <v>0.0</v>
      </c>
      <c r="L60" s="16">
        <v>566.7246</v>
      </c>
      <c r="M60" s="16">
        <v>445.371</v>
      </c>
      <c r="N60" s="16">
        <v>349.81</v>
      </c>
      <c r="O60" s="24">
        <v>23.6</v>
      </c>
      <c r="P60" s="18">
        <f t="shared" si="1"/>
        <v>566.7246</v>
      </c>
    </row>
    <row r="61" ht="15.75" customHeight="1">
      <c r="A61" s="19" t="s">
        <v>21</v>
      </c>
      <c r="B61" s="19" t="s">
        <v>61</v>
      </c>
      <c r="C61" s="25" t="s">
        <v>82</v>
      </c>
      <c r="D61" s="14" t="str">
        <f>VLOOKUP(C61,'State Key'!$A$2:$B$210,2,False)</f>
        <v>Uttar Pradesh</v>
      </c>
      <c r="E61" s="21">
        <v>1000.0</v>
      </c>
      <c r="F61" s="22">
        <v>349.936</v>
      </c>
      <c r="G61" s="22">
        <v>0.0</v>
      </c>
      <c r="H61" s="22">
        <v>0.0</v>
      </c>
      <c r="I61" s="22">
        <v>0.0</v>
      </c>
      <c r="J61" s="22">
        <v>0.0</v>
      </c>
      <c r="K61" s="22">
        <v>0.0</v>
      </c>
      <c r="L61" s="22">
        <v>349.936</v>
      </c>
      <c r="M61" s="22">
        <v>278.226</v>
      </c>
      <c r="N61" s="22">
        <v>165.59</v>
      </c>
      <c r="O61" s="24">
        <v>17.9</v>
      </c>
      <c r="P61" s="18">
        <f t="shared" si="1"/>
        <v>349.936</v>
      </c>
    </row>
    <row r="62" ht="15.75" customHeight="1">
      <c r="A62" s="13" t="s">
        <v>21</v>
      </c>
      <c r="B62" s="13" t="s">
        <v>61</v>
      </c>
      <c r="C62" s="14" t="s">
        <v>83</v>
      </c>
      <c r="D62" s="14" t="str">
        <f>VLOOKUP(C62,'State Key'!$A$2:$B$210,2,False)</f>
        <v>Haryana</v>
      </c>
      <c r="E62" s="15">
        <v>710.0</v>
      </c>
      <c r="F62" s="16">
        <v>244.142</v>
      </c>
      <c r="G62" s="16">
        <v>0.0</v>
      </c>
      <c r="H62" s="16">
        <v>0.0</v>
      </c>
      <c r="I62" s="16">
        <v>0.0</v>
      </c>
      <c r="J62" s="16">
        <v>0.0</v>
      </c>
      <c r="K62" s="16">
        <v>0.0</v>
      </c>
      <c r="L62" s="16">
        <v>244.142</v>
      </c>
      <c r="M62" s="16">
        <v>127.869</v>
      </c>
      <c r="N62" s="16">
        <v>504.48</v>
      </c>
      <c r="O62" s="24">
        <v>118.4</v>
      </c>
      <c r="P62" s="18">
        <f t="shared" si="1"/>
        <v>244.142</v>
      </c>
    </row>
    <row r="63" ht="15.75" customHeight="1">
      <c r="A63" s="19" t="s">
        <v>21</v>
      </c>
      <c r="B63" s="19" t="s">
        <v>61</v>
      </c>
      <c r="C63" s="25" t="s">
        <v>84</v>
      </c>
      <c r="D63" s="14" t="str">
        <f>VLOOKUP(C63,'State Key'!$A$2:$B$210,2,False)</f>
        <v>Uttar Pradesh</v>
      </c>
      <c r="E63" s="21">
        <v>1140.0</v>
      </c>
      <c r="F63" s="22">
        <v>287.497</v>
      </c>
      <c r="G63" s="22">
        <v>0.0</v>
      </c>
      <c r="H63" s="22">
        <v>0.0</v>
      </c>
      <c r="I63" s="22">
        <v>0.0</v>
      </c>
      <c r="J63" s="22">
        <v>0.0</v>
      </c>
      <c r="K63" s="22">
        <v>0.0</v>
      </c>
      <c r="L63" s="22">
        <v>287.497</v>
      </c>
      <c r="M63" s="22">
        <v>310.033</v>
      </c>
      <c r="N63" s="22">
        <v>92.546</v>
      </c>
      <c r="O63" s="23">
        <v>9.0</v>
      </c>
      <c r="P63" s="18">
        <f t="shared" si="1"/>
        <v>287.497</v>
      </c>
    </row>
    <row r="64" ht="15.75" customHeight="1">
      <c r="A64" s="13" t="s">
        <v>21</v>
      </c>
      <c r="B64" s="13" t="s">
        <v>61</v>
      </c>
      <c r="C64" s="25" t="s">
        <v>85</v>
      </c>
      <c r="D64" s="14" t="str">
        <f>VLOOKUP(C64,'State Key'!$A$2:$B$210,2,False)</f>
        <v>Uttar Pradesh</v>
      </c>
      <c r="E64" s="15">
        <v>1980.0</v>
      </c>
      <c r="F64" s="16">
        <v>690.52259</v>
      </c>
      <c r="G64" s="16">
        <v>0.0</v>
      </c>
      <c r="H64" s="16">
        <v>0.0</v>
      </c>
      <c r="I64" s="16">
        <v>0.0</v>
      </c>
      <c r="J64" s="16">
        <v>0.0</v>
      </c>
      <c r="K64" s="16">
        <v>0.0</v>
      </c>
      <c r="L64" s="16">
        <v>690.52259</v>
      </c>
      <c r="M64" s="16">
        <v>591.13</v>
      </c>
      <c r="N64" s="16">
        <v>539.01</v>
      </c>
      <c r="O64" s="24">
        <v>27.4</v>
      </c>
      <c r="P64" s="18">
        <f t="shared" si="1"/>
        <v>690.52259</v>
      </c>
    </row>
    <row r="65" ht="15.75" customHeight="1">
      <c r="A65" s="19" t="s">
        <v>21</v>
      </c>
      <c r="B65" s="19" t="s">
        <v>61</v>
      </c>
      <c r="C65" s="20" t="s">
        <v>86</v>
      </c>
      <c r="D65" s="14" t="str">
        <f>VLOOKUP(C65,'State Key'!$A$2:$B$210,2,False)</f>
        <v>Haryana</v>
      </c>
      <c r="E65" s="21">
        <v>1200.0</v>
      </c>
      <c r="F65" s="22">
        <v>294.053</v>
      </c>
      <c r="G65" s="22">
        <v>0.0</v>
      </c>
      <c r="H65" s="22">
        <v>0.0</v>
      </c>
      <c r="I65" s="22">
        <v>0.0</v>
      </c>
      <c r="J65" s="22">
        <v>0.0</v>
      </c>
      <c r="K65" s="22">
        <v>0.0</v>
      </c>
      <c r="L65" s="22">
        <v>294.053</v>
      </c>
      <c r="M65" s="22">
        <v>384.312</v>
      </c>
      <c r="N65" s="22">
        <v>340.869</v>
      </c>
      <c r="O65" s="24">
        <v>26.6</v>
      </c>
      <c r="P65" s="18">
        <f t="shared" si="1"/>
        <v>294.053</v>
      </c>
    </row>
    <row r="66" ht="15.75" customHeight="1">
      <c r="A66" s="13" t="s">
        <v>21</v>
      </c>
      <c r="B66" s="13" t="s">
        <v>61</v>
      </c>
      <c r="C66" s="14" t="s">
        <v>87</v>
      </c>
      <c r="D66" s="14" t="str">
        <f>VLOOKUP(C66,'State Key'!$A$2:$B$210,2,False)</f>
        <v>Punjab</v>
      </c>
      <c r="E66" s="15">
        <v>1400.0</v>
      </c>
      <c r="F66" s="16">
        <v>367.5442</v>
      </c>
      <c r="G66" s="16">
        <v>0.0</v>
      </c>
      <c r="H66" s="16">
        <v>0.0</v>
      </c>
      <c r="I66" s="16">
        <v>0.0</v>
      </c>
      <c r="J66" s="16">
        <v>0.0</v>
      </c>
      <c r="K66" s="16">
        <v>0.0</v>
      </c>
      <c r="L66" s="16">
        <v>367.5442</v>
      </c>
      <c r="M66" s="16">
        <v>520.409</v>
      </c>
      <c r="N66" s="16">
        <v>279.83</v>
      </c>
      <c r="O66" s="24">
        <v>16.1</v>
      </c>
      <c r="P66" s="18">
        <f t="shared" si="1"/>
        <v>367.5442</v>
      </c>
    </row>
    <row r="67" ht="15.75" customHeight="1">
      <c r="A67" s="19" t="s">
        <v>21</v>
      </c>
      <c r="B67" s="19" t="s">
        <v>61</v>
      </c>
      <c r="C67" s="25" t="s">
        <v>88</v>
      </c>
      <c r="D67" s="14" t="str">
        <f>VLOOKUP(C67,'State Key'!$A$2:$B$210,2,False)</f>
        <v>Uttar Pradesh</v>
      </c>
      <c r="E67" s="21">
        <v>3000.0</v>
      </c>
      <c r="F67" s="22">
        <v>1240.03</v>
      </c>
      <c r="G67" s="22">
        <v>0.0</v>
      </c>
      <c r="H67" s="22">
        <v>0.0</v>
      </c>
      <c r="I67" s="22">
        <v>0.0</v>
      </c>
      <c r="J67" s="22">
        <v>0.0</v>
      </c>
      <c r="K67" s="22">
        <v>0.0</v>
      </c>
      <c r="L67" s="22">
        <v>1240.03</v>
      </c>
      <c r="M67" s="22">
        <v>1259.793</v>
      </c>
      <c r="N67" s="22">
        <v>1085.82</v>
      </c>
      <c r="O67" s="24">
        <v>25.9</v>
      </c>
      <c r="P67" s="18">
        <f t="shared" si="1"/>
        <v>1240.03</v>
      </c>
    </row>
    <row r="68" ht="15.75" customHeight="1">
      <c r="A68" s="13" t="s">
        <v>21</v>
      </c>
      <c r="B68" s="13" t="s">
        <v>61</v>
      </c>
      <c r="C68" s="14" t="s">
        <v>89</v>
      </c>
      <c r="D68" s="14" t="str">
        <f>VLOOKUP(C68,'State Key'!$A$2:$B$210,2,False)</f>
        <v>Punjab</v>
      </c>
      <c r="E68" s="15">
        <v>840.0</v>
      </c>
      <c r="F68" s="16">
        <v>256.02587</v>
      </c>
      <c r="G68" s="16">
        <v>0.0</v>
      </c>
      <c r="H68" s="16">
        <v>127.06668</v>
      </c>
      <c r="I68" s="16">
        <v>0.0</v>
      </c>
      <c r="J68" s="16">
        <v>0.0</v>
      </c>
      <c r="K68" s="16">
        <v>0.0</v>
      </c>
      <c r="L68" s="16">
        <v>383.09255</v>
      </c>
      <c r="M68" s="16">
        <v>236.4699</v>
      </c>
      <c r="N68" s="16">
        <v>542.65</v>
      </c>
      <c r="O68" s="24">
        <v>68.8</v>
      </c>
      <c r="P68" s="18">
        <f t="shared" si="1"/>
        <v>383.09255</v>
      </c>
    </row>
    <row r="69" ht="15.75" customHeight="1">
      <c r="A69" s="19" t="s">
        <v>21</v>
      </c>
      <c r="B69" s="19" t="s">
        <v>61</v>
      </c>
      <c r="C69" s="25" t="s">
        <v>90</v>
      </c>
      <c r="D69" s="14" t="str">
        <f>VLOOKUP(C69,'State Key'!$A$2:$B$210,2,False)</f>
        <v>Uttar Pradesh</v>
      </c>
      <c r="E69" s="21">
        <v>1200.0</v>
      </c>
      <c r="F69" s="22">
        <v>427.341</v>
      </c>
      <c r="G69" s="22">
        <v>0.0</v>
      </c>
      <c r="H69" s="22">
        <v>0.0</v>
      </c>
      <c r="I69" s="22">
        <v>0.0</v>
      </c>
      <c r="J69" s="22">
        <v>0.0</v>
      </c>
      <c r="K69" s="22">
        <v>0.0</v>
      </c>
      <c r="L69" s="22">
        <v>427.341</v>
      </c>
      <c r="M69" s="22">
        <v>397.86</v>
      </c>
      <c r="N69" s="22">
        <v>233.11</v>
      </c>
      <c r="O69" s="24">
        <v>17.6</v>
      </c>
      <c r="P69" s="18">
        <f t="shared" si="1"/>
        <v>427.341</v>
      </c>
    </row>
    <row r="70" ht="15.75" customHeight="1">
      <c r="A70" s="13" t="s">
        <v>21</v>
      </c>
      <c r="B70" s="13" t="s">
        <v>61</v>
      </c>
      <c r="C70" s="25" t="s">
        <v>91</v>
      </c>
      <c r="D70" s="14" t="str">
        <f>VLOOKUP(C70,'State Key'!$A$2:$B$210,2,False)</f>
        <v>Uttar Pradesh</v>
      </c>
      <c r="E70" s="15">
        <v>2000.0</v>
      </c>
      <c r="F70" s="16">
        <v>816.3</v>
      </c>
      <c r="G70" s="16">
        <v>0.0</v>
      </c>
      <c r="H70" s="16">
        <v>0.0</v>
      </c>
      <c r="I70" s="16">
        <v>0.0</v>
      </c>
      <c r="J70" s="16">
        <v>0.0</v>
      </c>
      <c r="K70" s="16">
        <v>0.0</v>
      </c>
      <c r="L70" s="16">
        <v>816.3</v>
      </c>
      <c r="M70" s="16">
        <v>804.338</v>
      </c>
      <c r="N70" s="16">
        <v>473.0</v>
      </c>
      <c r="O70" s="24">
        <v>17.6</v>
      </c>
      <c r="P70" s="18">
        <f t="shared" si="1"/>
        <v>816.3</v>
      </c>
    </row>
    <row r="71" ht="15.75" customHeight="1">
      <c r="A71" s="19" t="s">
        <v>21</v>
      </c>
      <c r="B71" s="19" t="s">
        <v>61</v>
      </c>
      <c r="C71" s="20" t="s">
        <v>92</v>
      </c>
      <c r="D71" s="14" t="str">
        <f>VLOOKUP(C71,'State Key'!$A$2:$B$210,2,False)</f>
        <v>Rajasthan</v>
      </c>
      <c r="E71" s="21">
        <v>1320.0</v>
      </c>
      <c r="F71" s="22">
        <v>181.1543</v>
      </c>
      <c r="G71" s="22">
        <v>0.0</v>
      </c>
      <c r="H71" s="22">
        <v>146.8448</v>
      </c>
      <c r="I71" s="22">
        <v>0.0</v>
      </c>
      <c r="J71" s="22">
        <v>0.0</v>
      </c>
      <c r="K71" s="22">
        <v>0.0</v>
      </c>
      <c r="L71" s="22">
        <v>327.9991</v>
      </c>
      <c r="M71" s="22">
        <v>368.0</v>
      </c>
      <c r="N71" s="22">
        <v>105.47</v>
      </c>
      <c r="O71" s="23">
        <v>8.6</v>
      </c>
      <c r="P71" s="18">
        <f t="shared" si="1"/>
        <v>327.9991</v>
      </c>
    </row>
    <row r="72" ht="15.75" customHeight="1">
      <c r="A72" s="13" t="s">
        <v>21</v>
      </c>
      <c r="B72" s="13" t="s">
        <v>61</v>
      </c>
      <c r="C72" s="14" t="s">
        <v>93</v>
      </c>
      <c r="D72" s="14" t="str">
        <f>VLOOKUP(C72,'State Key'!$A$2:$B$210,2,False)</f>
        <v>Rajasthan</v>
      </c>
      <c r="E72" s="15">
        <v>1500.0</v>
      </c>
      <c r="F72" s="16">
        <v>375.129</v>
      </c>
      <c r="G72" s="16">
        <v>0.0</v>
      </c>
      <c r="H72" s="16">
        <v>0.0</v>
      </c>
      <c r="I72" s="16">
        <v>0.0</v>
      </c>
      <c r="J72" s="16">
        <v>0.0</v>
      </c>
      <c r="K72" s="16">
        <v>0.0</v>
      </c>
      <c r="L72" s="16">
        <v>375.129</v>
      </c>
      <c r="M72" s="16">
        <v>371.154</v>
      </c>
      <c r="N72" s="16">
        <v>89.91</v>
      </c>
      <c r="O72" s="23">
        <v>7.3</v>
      </c>
      <c r="P72" s="18">
        <f t="shared" si="1"/>
        <v>375.129</v>
      </c>
    </row>
    <row r="73" ht="15.75" customHeight="1">
      <c r="A73" s="19" t="s">
        <v>21</v>
      </c>
      <c r="B73" s="19" t="s">
        <v>61</v>
      </c>
      <c r="C73" s="20" t="s">
        <v>94</v>
      </c>
      <c r="D73" s="14" t="str">
        <f>VLOOKUP(C73,'State Key'!$A$2:$B$210,2,False)</f>
        <v>Punjab</v>
      </c>
      <c r="E73" s="21">
        <v>1980.0</v>
      </c>
      <c r="F73" s="22">
        <v>577.085</v>
      </c>
      <c r="G73" s="22">
        <v>0.0</v>
      </c>
      <c r="H73" s="22">
        <v>0.0</v>
      </c>
      <c r="I73" s="22">
        <v>0.0</v>
      </c>
      <c r="J73" s="22">
        <v>0.0</v>
      </c>
      <c r="K73" s="22">
        <v>0.0</v>
      </c>
      <c r="L73" s="22">
        <v>577.085</v>
      </c>
      <c r="M73" s="22">
        <v>707.15</v>
      </c>
      <c r="N73" s="22">
        <v>75.77</v>
      </c>
      <c r="O73" s="17">
        <v>3.2</v>
      </c>
      <c r="P73" s="18">
        <f t="shared" si="1"/>
        <v>577.085</v>
      </c>
    </row>
    <row r="74" ht="15.75" customHeight="1">
      <c r="A74" s="13" t="s">
        <v>21</v>
      </c>
      <c r="B74" s="13" t="s">
        <v>61</v>
      </c>
      <c r="C74" s="25" t="s">
        <v>95</v>
      </c>
      <c r="D74" s="14" t="str">
        <f>VLOOKUP(C74,'State Key'!$A$2:$B$210,2,False)</f>
        <v>Uttar Pradesh</v>
      </c>
      <c r="E74" s="15">
        <v>1760.0</v>
      </c>
      <c r="F74" s="16">
        <v>446.35</v>
      </c>
      <c r="G74" s="16">
        <v>0.0</v>
      </c>
      <c r="H74" s="16">
        <v>62.01</v>
      </c>
      <c r="I74" s="16">
        <v>216.807</v>
      </c>
      <c r="J74" s="16">
        <v>0.0</v>
      </c>
      <c r="K74" s="16">
        <v>0.0</v>
      </c>
      <c r="L74" s="16">
        <v>725.167</v>
      </c>
      <c r="M74" s="16">
        <v>529.17</v>
      </c>
      <c r="N74" s="16">
        <v>437.562</v>
      </c>
      <c r="O74" s="24">
        <v>24.8</v>
      </c>
      <c r="P74" s="18">
        <f t="shared" si="1"/>
        <v>725.167</v>
      </c>
    </row>
    <row r="75" ht="15.75" customHeight="1">
      <c r="A75" s="19" t="s">
        <v>21</v>
      </c>
      <c r="B75" s="19" t="s">
        <v>61</v>
      </c>
      <c r="C75" s="25" t="s">
        <v>96</v>
      </c>
      <c r="D75" s="14" t="str">
        <f>VLOOKUP(C75,'State Key'!$A$2:$B$210,2,False)</f>
        <v>Uttar Pradesh</v>
      </c>
      <c r="E75" s="21">
        <v>1550.0</v>
      </c>
      <c r="F75" s="22">
        <v>361.17</v>
      </c>
      <c r="G75" s="22">
        <v>0.0</v>
      </c>
      <c r="H75" s="22">
        <v>41.77</v>
      </c>
      <c r="I75" s="22">
        <v>117.883</v>
      </c>
      <c r="J75" s="22">
        <v>0.0</v>
      </c>
      <c r="K75" s="22">
        <v>0.0</v>
      </c>
      <c r="L75" s="22">
        <v>520.823</v>
      </c>
      <c r="M75" s="22">
        <v>426.041</v>
      </c>
      <c r="N75" s="22">
        <v>393.465</v>
      </c>
      <c r="O75" s="24">
        <v>27.7</v>
      </c>
      <c r="P75" s="18">
        <f t="shared" si="1"/>
        <v>520.823</v>
      </c>
    </row>
    <row r="76" ht="15.75" customHeight="1">
      <c r="A76" s="13" t="s">
        <v>21</v>
      </c>
      <c r="B76" s="13" t="s">
        <v>61</v>
      </c>
      <c r="C76" s="25" t="s">
        <v>97</v>
      </c>
      <c r="D76" s="14" t="str">
        <f>VLOOKUP(C76,'State Key'!$A$2:$B$210,2,False)</f>
        <v>Uttar Pradesh</v>
      </c>
      <c r="E76" s="15">
        <v>90.0</v>
      </c>
      <c r="F76" s="16">
        <v>27.93</v>
      </c>
      <c r="G76" s="16">
        <v>0.0</v>
      </c>
      <c r="H76" s="16">
        <v>0.0</v>
      </c>
      <c r="I76" s="16">
        <v>0.0</v>
      </c>
      <c r="J76" s="16">
        <v>0.0</v>
      </c>
      <c r="K76" s="16">
        <v>0.0</v>
      </c>
      <c r="L76" s="16">
        <v>27.93</v>
      </c>
      <c r="M76" s="16">
        <v>16.1</v>
      </c>
      <c r="N76" s="16">
        <v>84.79</v>
      </c>
      <c r="O76" s="24">
        <v>158.0</v>
      </c>
      <c r="P76" s="18">
        <f t="shared" si="1"/>
        <v>27.93</v>
      </c>
    </row>
    <row r="77" ht="15.75" customHeight="1">
      <c r="A77" s="19" t="s">
        <v>21</v>
      </c>
      <c r="B77" s="19" t="s">
        <v>61</v>
      </c>
      <c r="C77" s="20" t="s">
        <v>98</v>
      </c>
      <c r="D77" s="14" t="str">
        <f>VLOOKUP(C77,'State Key'!$A$2:$B$210,2,False)</f>
        <v>Haryana</v>
      </c>
      <c r="E77" s="21">
        <v>600.0</v>
      </c>
      <c r="F77" s="22">
        <v>255.078</v>
      </c>
      <c r="G77" s="22">
        <v>0.0</v>
      </c>
      <c r="H77" s="22">
        <v>0.0</v>
      </c>
      <c r="I77" s="22">
        <v>0.0</v>
      </c>
      <c r="J77" s="22">
        <v>0.0</v>
      </c>
      <c r="K77" s="22">
        <v>0.0</v>
      </c>
      <c r="L77" s="22">
        <v>255.078</v>
      </c>
      <c r="M77" s="22">
        <v>230.805</v>
      </c>
      <c r="N77" s="22">
        <v>235.075</v>
      </c>
      <c r="O77" s="24">
        <v>30.6</v>
      </c>
      <c r="P77" s="18">
        <f t="shared" si="1"/>
        <v>255.078</v>
      </c>
    </row>
    <row r="78" ht="15.75" customHeight="1">
      <c r="A78" s="13" t="s">
        <v>21</v>
      </c>
      <c r="B78" s="13" t="s">
        <v>99</v>
      </c>
      <c r="C78" s="14" t="s">
        <v>100</v>
      </c>
      <c r="D78" s="14" t="str">
        <f>VLOOKUP(C78,'State Key'!$A$2:$B$210,2,False)</f>
        <v>Karnataka</v>
      </c>
      <c r="E78" s="15">
        <v>1700.0</v>
      </c>
      <c r="F78" s="16">
        <v>250.35974</v>
      </c>
      <c r="G78" s="16">
        <v>228.97987</v>
      </c>
      <c r="H78" s="16">
        <v>216.68471</v>
      </c>
      <c r="I78" s="16">
        <v>0.0</v>
      </c>
      <c r="J78" s="16">
        <v>0.0</v>
      </c>
      <c r="K78" s="16">
        <v>0.0</v>
      </c>
      <c r="L78" s="16">
        <v>696.02432</v>
      </c>
      <c r="M78" s="16">
        <v>619.675</v>
      </c>
      <c r="N78" s="16">
        <v>175.1997</v>
      </c>
      <c r="O78" s="23">
        <v>8.5</v>
      </c>
      <c r="P78" s="18">
        <f t="shared" si="1"/>
        <v>696.02432</v>
      </c>
    </row>
    <row r="79" ht="15.75" customHeight="1">
      <c r="A79" s="19" t="s">
        <v>21</v>
      </c>
      <c r="B79" s="19" t="s">
        <v>99</v>
      </c>
      <c r="C79" s="20" t="s">
        <v>101</v>
      </c>
      <c r="D79" s="14" t="str">
        <f>VLOOKUP(C79,'State Key'!$A$2:$B$210,2,False)</f>
        <v>Telangana</v>
      </c>
      <c r="E79" s="21">
        <v>1080.0</v>
      </c>
      <c r="F79" s="22">
        <v>0.0</v>
      </c>
      <c r="G79" s="22">
        <v>436.054</v>
      </c>
      <c r="H79" s="22">
        <v>0.0</v>
      </c>
      <c r="I79" s="22">
        <v>0.0</v>
      </c>
      <c r="J79" s="22">
        <v>0.0</v>
      </c>
      <c r="K79" s="22">
        <v>0.0</v>
      </c>
      <c r="L79" s="22">
        <v>436.054</v>
      </c>
      <c r="M79" s="22">
        <v>419.182</v>
      </c>
      <c r="N79" s="22">
        <v>159.752</v>
      </c>
      <c r="O79" s="23">
        <v>11.4</v>
      </c>
      <c r="P79" s="18">
        <f t="shared" si="1"/>
        <v>436.054</v>
      </c>
    </row>
    <row r="80" ht="15.75" customHeight="1">
      <c r="A80" s="13" t="s">
        <v>21</v>
      </c>
      <c r="B80" s="13" t="s">
        <v>99</v>
      </c>
      <c r="C80" s="14" t="s">
        <v>102</v>
      </c>
      <c r="D80" s="14" t="str">
        <f>VLOOKUP(C80,'State Key'!$A$2:$B$210,2,False)</f>
        <v>Andhra Pradesh</v>
      </c>
      <c r="E80" s="15">
        <v>2400.0</v>
      </c>
      <c r="F80" s="16">
        <v>451.054</v>
      </c>
      <c r="G80" s="16">
        <v>0.0</v>
      </c>
      <c r="H80" s="16">
        <v>0.0</v>
      </c>
      <c r="I80" s="16">
        <v>72.099</v>
      </c>
      <c r="J80" s="16">
        <v>0.0</v>
      </c>
      <c r="K80" s="16">
        <v>0.0</v>
      </c>
      <c r="L80" s="16">
        <v>523.153</v>
      </c>
      <c r="M80" s="16">
        <v>597.982</v>
      </c>
      <c r="N80" s="16">
        <v>32.7417</v>
      </c>
      <c r="O80" s="17">
        <v>1.6</v>
      </c>
      <c r="P80" s="18">
        <f t="shared" si="1"/>
        <v>523.153</v>
      </c>
    </row>
    <row r="81" ht="15.75" customHeight="1">
      <c r="A81" s="19" t="s">
        <v>21</v>
      </c>
      <c r="B81" s="19" t="s">
        <v>99</v>
      </c>
      <c r="C81" s="20" t="s">
        <v>103</v>
      </c>
      <c r="D81" s="14" t="str">
        <f>VLOOKUP(C81,'State Key'!$A$2:$B$210,2,False)</f>
        <v>Andhra Pradesh</v>
      </c>
      <c r="E81" s="21">
        <v>1760.0</v>
      </c>
      <c r="F81" s="22">
        <v>496.867</v>
      </c>
      <c r="G81" s="22">
        <v>430.677</v>
      </c>
      <c r="H81" s="22">
        <v>0.0</v>
      </c>
      <c r="I81" s="22">
        <v>0.0</v>
      </c>
      <c r="J81" s="22">
        <v>0.0</v>
      </c>
      <c r="K81" s="22">
        <v>0.0</v>
      </c>
      <c r="L81" s="22">
        <v>927.544</v>
      </c>
      <c r="M81" s="22">
        <v>877.049</v>
      </c>
      <c r="N81" s="22">
        <v>62.126</v>
      </c>
      <c r="O81" s="17">
        <v>2.1</v>
      </c>
      <c r="P81" s="18">
        <f t="shared" si="1"/>
        <v>927.544</v>
      </c>
    </row>
    <row r="82" ht="15.75" customHeight="1">
      <c r="A82" s="13" t="s">
        <v>21</v>
      </c>
      <c r="B82" s="13" t="s">
        <v>99</v>
      </c>
      <c r="C82" s="14" t="s">
        <v>104</v>
      </c>
      <c r="D82" s="14" t="str">
        <f>VLOOKUP(C82,'State Key'!$A$2:$B$210,2,False)</f>
        <v>Tamil Nadu</v>
      </c>
      <c r="E82" s="15">
        <v>1200.0</v>
      </c>
      <c r="F82" s="16">
        <v>0.0</v>
      </c>
      <c r="G82" s="16">
        <v>0.0</v>
      </c>
      <c r="H82" s="16">
        <v>0.0</v>
      </c>
      <c r="I82" s="16">
        <v>156.961</v>
      </c>
      <c r="J82" s="16">
        <v>0.0</v>
      </c>
      <c r="K82" s="16">
        <v>0.0</v>
      </c>
      <c r="L82" s="16">
        <v>156.961</v>
      </c>
      <c r="M82" s="16">
        <v>350.487</v>
      </c>
      <c r="N82" s="16">
        <v>103.63</v>
      </c>
      <c r="O82" s="23">
        <v>8.9</v>
      </c>
      <c r="P82" s="18">
        <f t="shared" si="1"/>
        <v>156.961</v>
      </c>
    </row>
    <row r="83" ht="15.75" customHeight="1">
      <c r="A83" s="19" t="s">
        <v>21</v>
      </c>
      <c r="B83" s="19" t="s">
        <v>99</v>
      </c>
      <c r="C83" s="20" t="s">
        <v>105</v>
      </c>
      <c r="D83" s="14" t="str">
        <f>VLOOKUP(C83,'State Key'!$A$2:$B$210,2,False)</f>
        <v>Telangana</v>
      </c>
      <c r="E83" s="21">
        <v>1100.0</v>
      </c>
      <c r="F83" s="22">
        <v>0.0</v>
      </c>
      <c r="G83" s="22">
        <v>352.755</v>
      </c>
      <c r="H83" s="22">
        <v>0.0</v>
      </c>
      <c r="I83" s="22">
        <v>0.0</v>
      </c>
      <c r="J83" s="22">
        <v>0.0</v>
      </c>
      <c r="K83" s="22">
        <v>0.0</v>
      </c>
      <c r="L83" s="22">
        <v>352.755</v>
      </c>
      <c r="M83" s="22">
        <v>388.692</v>
      </c>
      <c r="N83" s="22">
        <v>390.821</v>
      </c>
      <c r="O83" s="24">
        <v>30.2</v>
      </c>
      <c r="P83" s="18">
        <f t="shared" si="1"/>
        <v>352.755</v>
      </c>
    </row>
    <row r="84" ht="15.75" customHeight="1">
      <c r="A84" s="13" t="s">
        <v>21</v>
      </c>
      <c r="B84" s="13" t="s">
        <v>99</v>
      </c>
      <c r="C84" s="14" t="s">
        <v>106</v>
      </c>
      <c r="D84" s="14" t="str">
        <f>VLOOKUP(C84,'State Key'!$A$2:$B$210,2,False)</f>
        <v>Telangana</v>
      </c>
      <c r="E84" s="15">
        <v>1000.0</v>
      </c>
      <c r="F84" s="16">
        <v>0.0</v>
      </c>
      <c r="G84" s="16">
        <v>342.344</v>
      </c>
      <c r="H84" s="16">
        <v>0.0</v>
      </c>
      <c r="I84" s="16">
        <v>0.0</v>
      </c>
      <c r="J84" s="16">
        <v>0.0</v>
      </c>
      <c r="K84" s="16">
        <v>0.0</v>
      </c>
      <c r="L84" s="16">
        <v>342.344</v>
      </c>
      <c r="M84" s="16">
        <v>420.68</v>
      </c>
      <c r="N84" s="16">
        <v>177.455</v>
      </c>
      <c r="O84" s="23">
        <v>12.7</v>
      </c>
      <c r="P84" s="18">
        <f t="shared" si="1"/>
        <v>342.344</v>
      </c>
    </row>
    <row r="85" ht="15.75" customHeight="1">
      <c r="A85" s="19" t="s">
        <v>21</v>
      </c>
      <c r="B85" s="19" t="s">
        <v>99</v>
      </c>
      <c r="C85" s="20" t="s">
        <v>107</v>
      </c>
      <c r="D85" s="14" t="str">
        <f>VLOOKUP(C85,'State Key'!$A$2:$B$210,2,False)</f>
        <v>Telangana</v>
      </c>
      <c r="E85" s="21">
        <v>800.0</v>
      </c>
      <c r="F85" s="22">
        <v>0.0</v>
      </c>
      <c r="G85" s="22">
        <v>276.125</v>
      </c>
      <c r="H85" s="22">
        <v>0.0</v>
      </c>
      <c r="I85" s="22">
        <v>0.0</v>
      </c>
      <c r="J85" s="22">
        <v>0.0</v>
      </c>
      <c r="K85" s="22">
        <v>0.0</v>
      </c>
      <c r="L85" s="22">
        <v>276.125</v>
      </c>
      <c r="M85" s="22">
        <v>291.752</v>
      </c>
      <c r="N85" s="22">
        <v>81.375</v>
      </c>
      <c r="O85" s="23">
        <v>8.4</v>
      </c>
      <c r="P85" s="18">
        <f t="shared" si="1"/>
        <v>276.125</v>
      </c>
    </row>
    <row r="86" ht="15.75" customHeight="1">
      <c r="A86" s="13" t="s">
        <v>21</v>
      </c>
      <c r="B86" s="13" t="s">
        <v>99</v>
      </c>
      <c r="C86" s="14" t="s">
        <v>108</v>
      </c>
      <c r="D86" s="14" t="str">
        <f>VLOOKUP(C86,'State Key'!$A$2:$B$210,2,False)</f>
        <v>Karnataka</v>
      </c>
      <c r="E86" s="15">
        <v>2400.0</v>
      </c>
      <c r="F86" s="16">
        <v>252.68</v>
      </c>
      <c r="G86" s="16">
        <v>135.16</v>
      </c>
      <c r="H86" s="16">
        <v>126.48</v>
      </c>
      <c r="I86" s="16">
        <v>162.641</v>
      </c>
      <c r="J86" s="16">
        <v>0.0</v>
      </c>
      <c r="K86" s="16">
        <v>0.0</v>
      </c>
      <c r="L86" s="16">
        <v>676.961</v>
      </c>
      <c r="M86" s="16">
        <v>675.177</v>
      </c>
      <c r="N86" s="16">
        <v>178.55</v>
      </c>
      <c r="O86" s="23">
        <v>7.9</v>
      </c>
      <c r="P86" s="18">
        <f t="shared" si="1"/>
        <v>676.961</v>
      </c>
    </row>
    <row r="87" ht="15.75" customHeight="1">
      <c r="A87" s="19" t="s">
        <v>21</v>
      </c>
      <c r="B87" s="19" t="s">
        <v>99</v>
      </c>
      <c r="C87" s="20" t="s">
        <v>109</v>
      </c>
      <c r="D87" s="14" t="str">
        <f>VLOOKUP(C87,'State Key'!$A$2:$B$210,2,False)</f>
        <v>Tamil Nadu</v>
      </c>
      <c r="E87" s="21">
        <v>840.0</v>
      </c>
      <c r="F87" s="22">
        <v>265.7461</v>
      </c>
      <c r="G87" s="22">
        <v>88.3098</v>
      </c>
      <c r="H87" s="22">
        <v>0.0</v>
      </c>
      <c r="I87" s="22">
        <v>0.0</v>
      </c>
      <c r="J87" s="22">
        <v>0.0</v>
      </c>
      <c r="K87" s="22">
        <v>0.0</v>
      </c>
      <c r="L87" s="22">
        <v>354.0559</v>
      </c>
      <c r="M87" s="22">
        <v>441.7111</v>
      </c>
      <c r="N87" s="22">
        <v>72.111</v>
      </c>
      <c r="O87" s="17">
        <v>4.9</v>
      </c>
      <c r="P87" s="18">
        <f t="shared" si="1"/>
        <v>354.0559</v>
      </c>
    </row>
    <row r="88" ht="15.75" customHeight="1">
      <c r="A88" s="13" t="s">
        <v>21</v>
      </c>
      <c r="B88" s="13" t="s">
        <v>99</v>
      </c>
      <c r="C88" s="14" t="s">
        <v>110</v>
      </c>
      <c r="D88" s="14" t="str">
        <f>VLOOKUP(C88,'State Key'!$A$2:$B$210,2,False)</f>
        <v>Tamil Nadu</v>
      </c>
      <c r="E88" s="15">
        <v>600.0</v>
      </c>
      <c r="F88" s="16">
        <v>87.03</v>
      </c>
      <c r="G88" s="16">
        <v>21.28</v>
      </c>
      <c r="H88" s="16">
        <v>0.0</v>
      </c>
      <c r="I88" s="16">
        <v>107.48</v>
      </c>
      <c r="J88" s="16">
        <v>0.0</v>
      </c>
      <c r="K88" s="16">
        <v>0.0</v>
      </c>
      <c r="L88" s="16">
        <v>215.79</v>
      </c>
      <c r="M88" s="16">
        <v>274.42</v>
      </c>
      <c r="N88" s="16">
        <v>79.23</v>
      </c>
      <c r="O88" s="23">
        <v>8.7</v>
      </c>
      <c r="P88" s="18">
        <f t="shared" si="1"/>
        <v>215.79</v>
      </c>
    </row>
    <row r="89" ht="15.75" customHeight="1">
      <c r="A89" s="19" t="s">
        <v>21</v>
      </c>
      <c r="B89" s="19" t="s">
        <v>99</v>
      </c>
      <c r="C89" s="20" t="s">
        <v>111</v>
      </c>
      <c r="D89" s="14" t="str">
        <f>VLOOKUP(C89,'State Key'!$A$2:$B$210,2,False)</f>
        <v>Tamil Nadu</v>
      </c>
      <c r="E89" s="21">
        <v>1200.0</v>
      </c>
      <c r="F89" s="22">
        <v>0.0</v>
      </c>
      <c r="G89" s="22">
        <v>0.0</v>
      </c>
      <c r="H89" s="22">
        <v>0.0</v>
      </c>
      <c r="I89" s="22">
        <v>220.012</v>
      </c>
      <c r="J89" s="22">
        <v>0.0</v>
      </c>
      <c r="K89" s="22">
        <v>0.0</v>
      </c>
      <c r="L89" s="22">
        <v>220.012</v>
      </c>
      <c r="M89" s="22">
        <v>321.997</v>
      </c>
      <c r="N89" s="22">
        <v>57.84</v>
      </c>
      <c r="O89" s="17">
        <v>5.4</v>
      </c>
      <c r="P89" s="18">
        <f t="shared" si="1"/>
        <v>220.012</v>
      </c>
    </row>
    <row r="90" ht="15.75" customHeight="1">
      <c r="A90" s="13" t="s">
        <v>21</v>
      </c>
      <c r="B90" s="13" t="s">
        <v>99</v>
      </c>
      <c r="C90" s="14" t="s">
        <v>112</v>
      </c>
      <c r="D90" s="14" t="str">
        <f>VLOOKUP(C90,'State Key'!$A$2:$B$210,2,False)</f>
        <v>Tamil Nadu</v>
      </c>
      <c r="E90" s="15">
        <v>1830.0</v>
      </c>
      <c r="F90" s="16">
        <v>725.547</v>
      </c>
      <c r="G90" s="16">
        <v>0.0</v>
      </c>
      <c r="H90" s="16">
        <v>0.0</v>
      </c>
      <c r="I90" s="16">
        <v>227.482</v>
      </c>
      <c r="J90" s="16">
        <v>0.0</v>
      </c>
      <c r="K90" s="16">
        <v>0.0</v>
      </c>
      <c r="L90" s="16">
        <v>953.029</v>
      </c>
      <c r="M90" s="16">
        <v>853.5602</v>
      </c>
      <c r="N90" s="16">
        <v>261.102</v>
      </c>
      <c r="O90" s="23">
        <v>9.2</v>
      </c>
      <c r="P90" s="18">
        <f t="shared" si="1"/>
        <v>953.029</v>
      </c>
    </row>
    <row r="91" ht="15.75" customHeight="1">
      <c r="A91" s="19" t="s">
        <v>21</v>
      </c>
      <c r="B91" s="19" t="s">
        <v>99</v>
      </c>
      <c r="C91" s="20" t="s">
        <v>113</v>
      </c>
      <c r="D91" s="14" t="str">
        <f>VLOOKUP(C91,'State Key'!$A$2:$B$210,2,False)</f>
        <v>Tamil Nadu</v>
      </c>
      <c r="E91" s="21">
        <v>1000.0</v>
      </c>
      <c r="F91" s="22">
        <v>145.155</v>
      </c>
      <c r="G91" s="22">
        <v>0.0</v>
      </c>
      <c r="H91" s="22">
        <v>132.699</v>
      </c>
      <c r="I91" s="22">
        <v>0.0</v>
      </c>
      <c r="J91" s="22">
        <v>0.0</v>
      </c>
      <c r="K91" s="22">
        <v>0.0</v>
      </c>
      <c r="L91" s="22">
        <v>277.854</v>
      </c>
      <c r="M91" s="22">
        <v>446.165</v>
      </c>
      <c r="N91" s="22">
        <v>185.93</v>
      </c>
      <c r="O91" s="23">
        <v>12.5</v>
      </c>
      <c r="P91" s="18">
        <f t="shared" si="1"/>
        <v>277.854</v>
      </c>
    </row>
    <row r="92" ht="15.75" customHeight="1">
      <c r="A92" s="13" t="s">
        <v>21</v>
      </c>
      <c r="B92" s="13" t="s">
        <v>99</v>
      </c>
      <c r="C92" s="14" t="s">
        <v>114</v>
      </c>
      <c r="D92" s="14" t="str">
        <f>VLOOKUP(C92,'State Key'!$A$2:$B$210,2,False)</f>
        <v>Andhra Pradesh</v>
      </c>
      <c r="E92" s="15">
        <v>1320.0</v>
      </c>
      <c r="F92" s="16">
        <v>374.744</v>
      </c>
      <c r="G92" s="16">
        <v>0.0</v>
      </c>
      <c r="H92" s="16">
        <v>0.0</v>
      </c>
      <c r="I92" s="16">
        <v>215.005</v>
      </c>
      <c r="J92" s="16">
        <v>0.0</v>
      </c>
      <c r="K92" s="16">
        <v>0.0</v>
      </c>
      <c r="L92" s="16">
        <v>589.749</v>
      </c>
      <c r="M92" s="16">
        <v>520.217</v>
      </c>
      <c r="N92" s="16">
        <v>297.52</v>
      </c>
      <c r="O92" s="24">
        <v>17.2</v>
      </c>
      <c r="P92" s="18">
        <f t="shared" si="1"/>
        <v>589.749</v>
      </c>
    </row>
    <row r="93" ht="15.75" customHeight="1">
      <c r="A93" s="19" t="s">
        <v>21</v>
      </c>
      <c r="B93" s="19" t="s">
        <v>99</v>
      </c>
      <c r="C93" s="20" t="s">
        <v>115</v>
      </c>
      <c r="D93" s="14" t="str">
        <f>VLOOKUP(C93,'State Key'!$A$2:$B$210,2,False)</f>
        <v>Karnataka</v>
      </c>
      <c r="E93" s="21">
        <v>1720.0</v>
      </c>
      <c r="F93" s="22">
        <v>337.036</v>
      </c>
      <c r="G93" s="22">
        <v>322.129</v>
      </c>
      <c r="H93" s="22">
        <v>0.0</v>
      </c>
      <c r="I93" s="22">
        <v>0.0</v>
      </c>
      <c r="J93" s="22">
        <v>0.0</v>
      </c>
      <c r="K93" s="22">
        <v>0.0</v>
      </c>
      <c r="L93" s="22">
        <v>659.165</v>
      </c>
      <c r="M93" s="22">
        <v>598.642</v>
      </c>
      <c r="N93" s="22">
        <v>132.19</v>
      </c>
      <c r="O93" s="17">
        <v>6.6</v>
      </c>
      <c r="P93" s="18">
        <f t="shared" si="1"/>
        <v>659.165</v>
      </c>
    </row>
    <row r="94" ht="15.75" customHeight="1">
      <c r="A94" s="13" t="s">
        <v>21</v>
      </c>
      <c r="B94" s="13" t="s">
        <v>99</v>
      </c>
      <c r="C94" s="14" t="s">
        <v>116</v>
      </c>
      <c r="D94" s="14" t="str">
        <f>VLOOKUP(C94,'State Key'!$A$2:$B$210,2,False)</f>
        <v>Telangana</v>
      </c>
      <c r="E94" s="15">
        <v>2600.0</v>
      </c>
      <c r="F94" s="16">
        <v>0.0</v>
      </c>
      <c r="G94" s="16">
        <v>888.82</v>
      </c>
      <c r="H94" s="16">
        <v>0.0</v>
      </c>
      <c r="I94" s="16">
        <v>0.0</v>
      </c>
      <c r="J94" s="16">
        <v>0.0</v>
      </c>
      <c r="K94" s="16">
        <v>0.0</v>
      </c>
      <c r="L94" s="16">
        <v>888.82</v>
      </c>
      <c r="M94" s="16">
        <v>1045.933</v>
      </c>
      <c r="N94" s="16">
        <v>345.772</v>
      </c>
      <c r="O94" s="23">
        <v>9.9</v>
      </c>
      <c r="P94" s="18">
        <f t="shared" si="1"/>
        <v>888.82</v>
      </c>
    </row>
    <row r="95" ht="15.75" customHeight="1">
      <c r="A95" s="19" t="s">
        <v>21</v>
      </c>
      <c r="B95" s="19" t="s">
        <v>99</v>
      </c>
      <c r="C95" s="20" t="s">
        <v>117</v>
      </c>
      <c r="D95" s="14" t="str">
        <f>VLOOKUP(C95,'State Key'!$A$2:$B$210,2,False)</f>
        <v>Telangana</v>
      </c>
      <c r="E95" s="21">
        <v>62.5</v>
      </c>
      <c r="F95" s="22">
        <v>0.0</v>
      </c>
      <c r="G95" s="22">
        <v>14.209</v>
      </c>
      <c r="H95" s="22">
        <v>0.0</v>
      </c>
      <c r="I95" s="22">
        <v>0.0</v>
      </c>
      <c r="J95" s="22">
        <v>0.0</v>
      </c>
      <c r="K95" s="22">
        <v>0.0</v>
      </c>
      <c r="L95" s="22">
        <v>14.209</v>
      </c>
      <c r="M95" s="22">
        <v>18.463</v>
      </c>
      <c r="N95" s="22">
        <v>8.691</v>
      </c>
      <c r="O95" s="24">
        <v>14.1</v>
      </c>
      <c r="P95" s="18">
        <f t="shared" si="1"/>
        <v>14.209</v>
      </c>
    </row>
    <row r="96" ht="15.75" customHeight="1">
      <c r="A96" s="13" t="s">
        <v>21</v>
      </c>
      <c r="B96" s="13" t="s">
        <v>99</v>
      </c>
      <c r="C96" s="14" t="s">
        <v>118</v>
      </c>
      <c r="D96" s="14" t="str">
        <f>VLOOKUP(C96,'State Key'!$A$2:$B$210,2,False)</f>
        <v>Andhra Pradesh</v>
      </c>
      <c r="E96" s="15">
        <v>1650.0</v>
      </c>
      <c r="F96" s="16">
        <v>378.5</v>
      </c>
      <c r="G96" s="16">
        <v>280.918</v>
      </c>
      <c r="H96" s="16">
        <v>0.0</v>
      </c>
      <c r="I96" s="16">
        <v>0.0</v>
      </c>
      <c r="J96" s="16">
        <v>0.0</v>
      </c>
      <c r="K96" s="16">
        <v>0.0</v>
      </c>
      <c r="L96" s="16">
        <v>659.418</v>
      </c>
      <c r="M96" s="16">
        <v>674.408</v>
      </c>
      <c r="N96" s="16">
        <v>46.88</v>
      </c>
      <c r="O96" s="17">
        <v>2.1</v>
      </c>
      <c r="P96" s="18">
        <f t="shared" si="1"/>
        <v>659.418</v>
      </c>
    </row>
    <row r="97" ht="15.75" customHeight="1">
      <c r="A97" s="19" t="s">
        <v>21</v>
      </c>
      <c r="B97" s="19" t="s">
        <v>99</v>
      </c>
      <c r="C97" s="20" t="s">
        <v>119</v>
      </c>
      <c r="D97" s="14" t="str">
        <f>VLOOKUP(C97,'State Key'!$A$2:$B$210,2,False)</f>
        <v>Andhra Pradesh</v>
      </c>
      <c r="E97" s="21">
        <v>1320.0</v>
      </c>
      <c r="F97" s="22">
        <v>163.933</v>
      </c>
      <c r="G97" s="22">
        <v>0.0</v>
      </c>
      <c r="H97" s="22">
        <v>0.0</v>
      </c>
      <c r="I97" s="22">
        <v>254.541</v>
      </c>
      <c r="J97" s="22">
        <v>0.0</v>
      </c>
      <c r="K97" s="22">
        <v>0.0</v>
      </c>
      <c r="L97" s="22">
        <v>418.474</v>
      </c>
      <c r="M97" s="22">
        <v>417.79</v>
      </c>
      <c r="N97" s="22">
        <v>377.96</v>
      </c>
      <c r="O97" s="24">
        <v>27.1</v>
      </c>
      <c r="P97" s="18">
        <f t="shared" si="1"/>
        <v>418.474</v>
      </c>
    </row>
    <row r="98" ht="15.75" customHeight="1">
      <c r="A98" s="13" t="s">
        <v>21</v>
      </c>
      <c r="B98" s="13" t="s">
        <v>99</v>
      </c>
      <c r="C98" s="14" t="s">
        <v>120</v>
      </c>
      <c r="D98" s="14" t="str">
        <f>VLOOKUP(C98,'State Key'!$A$2:$B$210,2,False)</f>
        <v>Andhra Pradesh</v>
      </c>
      <c r="E98" s="15">
        <v>2000.0</v>
      </c>
      <c r="F98" s="16">
        <v>320.7</v>
      </c>
      <c r="G98" s="16">
        <v>160.57</v>
      </c>
      <c r="H98" s="16">
        <v>138.85</v>
      </c>
      <c r="I98" s="16">
        <v>93.302</v>
      </c>
      <c r="J98" s="16">
        <v>0.0</v>
      </c>
      <c r="K98" s="16">
        <v>0.0</v>
      </c>
      <c r="L98" s="16">
        <v>713.422</v>
      </c>
      <c r="M98" s="16">
        <v>758.768</v>
      </c>
      <c r="N98" s="16">
        <v>300.62</v>
      </c>
      <c r="O98" s="23">
        <v>11.9</v>
      </c>
      <c r="P98" s="18">
        <f t="shared" si="1"/>
        <v>713.422</v>
      </c>
    </row>
    <row r="99" ht="15.75" customHeight="1">
      <c r="A99" s="19" t="s">
        <v>21</v>
      </c>
      <c r="B99" s="19" t="s">
        <v>99</v>
      </c>
      <c r="C99" s="20" t="s">
        <v>121</v>
      </c>
      <c r="D99" s="14" t="str">
        <f>VLOOKUP(C99,'State Key'!$A$2:$B$210,2,False)</f>
        <v>Andhra Pradesh</v>
      </c>
      <c r="E99" s="21">
        <v>600.0</v>
      </c>
      <c r="F99" s="22">
        <v>0.0</v>
      </c>
      <c r="G99" s="22">
        <v>0.0</v>
      </c>
      <c r="H99" s="22">
        <v>0.0</v>
      </c>
      <c r="I99" s="22">
        <v>54.0</v>
      </c>
      <c r="J99" s="22">
        <v>0.0</v>
      </c>
      <c r="K99" s="22">
        <v>0.0</v>
      </c>
      <c r="L99" s="22">
        <v>54.0</v>
      </c>
      <c r="M99" s="22">
        <v>54.0</v>
      </c>
      <c r="N99" s="22">
        <v>1.84</v>
      </c>
      <c r="O99" s="17">
        <v>1.0</v>
      </c>
      <c r="P99" s="18">
        <f t="shared" si="1"/>
        <v>54</v>
      </c>
    </row>
    <row r="100" ht="15.75" customHeight="1">
      <c r="A100" s="13" t="s">
        <v>21</v>
      </c>
      <c r="B100" s="13" t="s">
        <v>99</v>
      </c>
      <c r="C100" s="14" t="s">
        <v>122</v>
      </c>
      <c r="D100" s="14" t="str">
        <f>VLOOKUP(C100,'State Key'!$A$2:$B$210,2,False)</f>
        <v>Telangana</v>
      </c>
      <c r="E100" s="15">
        <v>1200.0</v>
      </c>
      <c r="F100" s="16">
        <v>0.0</v>
      </c>
      <c r="G100" s="16">
        <v>463.887</v>
      </c>
      <c r="H100" s="16">
        <v>0.0</v>
      </c>
      <c r="I100" s="16">
        <v>0.0</v>
      </c>
      <c r="J100" s="16">
        <v>0.0</v>
      </c>
      <c r="K100" s="16">
        <v>0.0</v>
      </c>
      <c r="L100" s="16">
        <v>463.887</v>
      </c>
      <c r="M100" s="16">
        <v>500.17</v>
      </c>
      <c r="N100" s="16">
        <v>90.42</v>
      </c>
      <c r="O100" s="17">
        <v>5.4</v>
      </c>
      <c r="P100" s="18">
        <f t="shared" si="1"/>
        <v>463.887</v>
      </c>
    </row>
    <row r="101" ht="15.75" customHeight="1">
      <c r="A101" s="19" t="s">
        <v>21</v>
      </c>
      <c r="B101" s="19" t="s">
        <v>99</v>
      </c>
      <c r="C101" s="20" t="s">
        <v>123</v>
      </c>
      <c r="D101" s="14" t="str">
        <f>VLOOKUP(C101,'State Key'!$A$2:$B$210,2,False)</f>
        <v>Andhra Pradesh</v>
      </c>
      <c r="E101" s="21">
        <v>300.0</v>
      </c>
      <c r="F101" s="22">
        <v>0.0</v>
      </c>
      <c r="G101" s="22">
        <v>0.0</v>
      </c>
      <c r="H101" s="22">
        <v>0.0</v>
      </c>
      <c r="I101" s="22">
        <v>0.0</v>
      </c>
      <c r="J101" s="22">
        <v>0.0</v>
      </c>
      <c r="K101" s="22">
        <v>0.0</v>
      </c>
      <c r="L101" s="22">
        <v>0.0</v>
      </c>
      <c r="M101" s="22">
        <v>0.0</v>
      </c>
      <c r="N101" s="22">
        <v>0.98</v>
      </c>
      <c r="O101" s="19" t="s">
        <v>58</v>
      </c>
      <c r="P101" s="18">
        <f t="shared" si="1"/>
        <v>0</v>
      </c>
    </row>
    <row r="102" ht="15.75" customHeight="1">
      <c r="A102" s="13" t="s">
        <v>21</v>
      </c>
      <c r="B102" s="13" t="s">
        <v>99</v>
      </c>
      <c r="C102" s="14" t="s">
        <v>124</v>
      </c>
      <c r="D102" s="14" t="str">
        <f>VLOOKUP(C102,'State Key'!$A$2:$B$210,2,False)</f>
        <v>Karnataka</v>
      </c>
      <c r="E102" s="15">
        <v>260.0</v>
      </c>
      <c r="F102" s="16">
        <v>0.0</v>
      </c>
      <c r="G102" s="16">
        <v>0.0</v>
      </c>
      <c r="H102" s="16">
        <v>0.0</v>
      </c>
      <c r="I102" s="16">
        <v>50.07</v>
      </c>
      <c r="J102" s="16">
        <v>0.0</v>
      </c>
      <c r="K102" s="16">
        <v>0.0</v>
      </c>
      <c r="L102" s="16">
        <v>50.07</v>
      </c>
      <c r="M102" s="16">
        <v>50.0698</v>
      </c>
      <c r="N102" s="16">
        <v>0.0</v>
      </c>
      <c r="O102" s="17">
        <v>0.0</v>
      </c>
      <c r="P102" s="18">
        <f t="shared" si="1"/>
        <v>50.07</v>
      </c>
    </row>
    <row r="103" ht="15.75" customHeight="1">
      <c r="A103" s="19" t="s">
        <v>21</v>
      </c>
      <c r="B103" s="19" t="s">
        <v>99</v>
      </c>
      <c r="C103" s="20" t="s">
        <v>125</v>
      </c>
      <c r="D103" s="14" t="str">
        <f>VLOOKUP(C103,'State Key'!$A$2:$B$210,2,False)</f>
        <v>Karnataka</v>
      </c>
      <c r="E103" s="21">
        <v>600.0</v>
      </c>
      <c r="F103" s="22">
        <v>0.0</v>
      </c>
      <c r="G103" s="22">
        <v>0.0</v>
      </c>
      <c r="H103" s="22">
        <v>0.0</v>
      </c>
      <c r="I103" s="22">
        <v>67.11</v>
      </c>
      <c r="J103" s="22">
        <v>0.0</v>
      </c>
      <c r="K103" s="22">
        <v>0.0</v>
      </c>
      <c r="L103" s="22">
        <v>67.11</v>
      </c>
      <c r="M103" s="22">
        <v>90.26</v>
      </c>
      <c r="N103" s="22">
        <v>14.5</v>
      </c>
      <c r="O103" s="17">
        <v>4.8</v>
      </c>
      <c r="P103" s="18">
        <f t="shared" si="1"/>
        <v>67.11</v>
      </c>
    </row>
    <row r="104" ht="15.75" customHeight="1">
      <c r="A104" s="13" t="s">
        <v>21</v>
      </c>
      <c r="B104" s="13" t="s">
        <v>99</v>
      </c>
      <c r="C104" s="14" t="s">
        <v>126</v>
      </c>
      <c r="D104" s="14" t="str">
        <f>VLOOKUP(C104,'State Key'!$A$2:$B$210,2,False)</f>
        <v>Tamil Nadu</v>
      </c>
      <c r="E104" s="15">
        <v>300.0</v>
      </c>
      <c r="F104" s="16">
        <v>0.0</v>
      </c>
      <c r="G104" s="16">
        <v>0.0</v>
      </c>
      <c r="H104" s="16">
        <v>0.0</v>
      </c>
      <c r="I104" s="16">
        <v>0.0</v>
      </c>
      <c r="J104" s="16">
        <v>0.0</v>
      </c>
      <c r="K104" s="16">
        <v>0.0</v>
      </c>
      <c r="L104" s="16">
        <v>0.0</v>
      </c>
      <c r="M104" s="16">
        <v>0.0</v>
      </c>
      <c r="N104" s="16">
        <v>0.0</v>
      </c>
      <c r="O104" s="13" t="s">
        <v>58</v>
      </c>
      <c r="P104" s="18">
        <f t="shared" si="1"/>
        <v>0</v>
      </c>
    </row>
    <row r="105" ht="15.75" customHeight="1">
      <c r="A105" s="19" t="s">
        <v>21</v>
      </c>
      <c r="B105" s="19" t="s">
        <v>99</v>
      </c>
      <c r="C105" s="20" t="s">
        <v>127</v>
      </c>
      <c r="D105" s="14" t="str">
        <f>VLOOKUP(C105,'State Key'!$A$2:$B$210,2,False)</f>
        <v>Tamil Nadu</v>
      </c>
      <c r="E105" s="21">
        <v>525.0</v>
      </c>
      <c r="F105" s="22">
        <v>0.0</v>
      </c>
      <c r="G105" s="22">
        <v>0.0</v>
      </c>
      <c r="H105" s="22">
        <v>0.0</v>
      </c>
      <c r="I105" s="22">
        <v>66.574</v>
      </c>
      <c r="J105" s="22">
        <v>0.0</v>
      </c>
      <c r="K105" s="22">
        <v>0.0</v>
      </c>
      <c r="L105" s="22">
        <v>66.574</v>
      </c>
      <c r="M105" s="22">
        <v>67.9</v>
      </c>
      <c r="N105" s="22">
        <v>19.37</v>
      </c>
      <c r="O105" s="23">
        <v>8.6</v>
      </c>
      <c r="P105" s="18">
        <f t="shared" si="1"/>
        <v>66.574</v>
      </c>
    </row>
    <row r="106" ht="15.75" customHeight="1">
      <c r="A106" s="13" t="s">
        <v>21</v>
      </c>
      <c r="B106" s="13" t="s">
        <v>99</v>
      </c>
      <c r="C106" s="14" t="s">
        <v>128</v>
      </c>
      <c r="D106" s="14" t="str">
        <f>VLOOKUP(C106,'State Key'!$A$2:$B$210,2,False)</f>
        <v>Tamil Nadu</v>
      </c>
      <c r="E106" s="15">
        <v>1050.0</v>
      </c>
      <c r="F106" s="16">
        <v>507.763</v>
      </c>
      <c r="G106" s="16">
        <v>0.0</v>
      </c>
      <c r="H106" s="16">
        <v>0.0</v>
      </c>
      <c r="I106" s="16">
        <v>0.0</v>
      </c>
      <c r="J106" s="16">
        <v>0.0</v>
      </c>
      <c r="K106" s="16">
        <v>0.0</v>
      </c>
      <c r="L106" s="16">
        <v>507.763</v>
      </c>
      <c r="M106" s="16">
        <v>550.903</v>
      </c>
      <c r="N106" s="16">
        <v>253.41</v>
      </c>
      <c r="O106" s="23">
        <v>13.8</v>
      </c>
      <c r="P106" s="18">
        <f t="shared" si="1"/>
        <v>507.763</v>
      </c>
    </row>
    <row r="107" ht="15.75" customHeight="1">
      <c r="A107" s="19" t="s">
        <v>21</v>
      </c>
      <c r="B107" s="19" t="s">
        <v>99</v>
      </c>
      <c r="C107" s="20" t="s">
        <v>129</v>
      </c>
      <c r="D107" s="14" t="str">
        <f>VLOOKUP(C107,'State Key'!$A$2:$B$210,2,False)</f>
        <v>Karnataka</v>
      </c>
      <c r="E107" s="21">
        <v>1200.0</v>
      </c>
      <c r="F107" s="22">
        <v>27.043</v>
      </c>
      <c r="G107" s="22">
        <v>0.0</v>
      </c>
      <c r="H107" s="22">
        <v>0.0</v>
      </c>
      <c r="I107" s="22">
        <v>215.436</v>
      </c>
      <c r="J107" s="22">
        <v>0.0</v>
      </c>
      <c r="K107" s="22">
        <v>0.0</v>
      </c>
      <c r="L107" s="22">
        <v>242.479</v>
      </c>
      <c r="M107" s="22">
        <v>165.9218</v>
      </c>
      <c r="N107" s="22">
        <v>124.5</v>
      </c>
      <c r="O107" s="24">
        <v>22.5</v>
      </c>
      <c r="P107" s="18">
        <f t="shared" si="1"/>
        <v>242.479</v>
      </c>
    </row>
    <row r="108" ht="15.75" customHeight="1">
      <c r="A108" s="13" t="s">
        <v>21</v>
      </c>
      <c r="B108" s="13" t="s">
        <v>99</v>
      </c>
      <c r="C108" s="14" t="s">
        <v>130</v>
      </c>
      <c r="D108" s="14" t="str">
        <f>VLOOKUP(C108,'State Key'!$A$2:$B$210,2,False)</f>
        <v>Tamil Nadu</v>
      </c>
      <c r="E108" s="15">
        <v>1500.0</v>
      </c>
      <c r="F108" s="16">
        <v>515.572</v>
      </c>
      <c r="G108" s="16">
        <v>0.0</v>
      </c>
      <c r="H108" s="16">
        <v>0.0</v>
      </c>
      <c r="I108" s="16">
        <v>73.0</v>
      </c>
      <c r="J108" s="16">
        <v>0.0</v>
      </c>
      <c r="K108" s="16">
        <v>0.0</v>
      </c>
      <c r="L108" s="16">
        <v>588.572</v>
      </c>
      <c r="M108" s="16">
        <v>683.697</v>
      </c>
      <c r="N108" s="16">
        <v>199.75</v>
      </c>
      <c r="O108" s="23">
        <v>8.8</v>
      </c>
      <c r="P108" s="18">
        <f t="shared" si="1"/>
        <v>588.572</v>
      </c>
    </row>
    <row r="109" ht="15.75" customHeight="1">
      <c r="A109" s="19" t="s">
        <v>21</v>
      </c>
      <c r="B109" s="19" t="s">
        <v>99</v>
      </c>
      <c r="C109" s="20" t="s">
        <v>131</v>
      </c>
      <c r="D109" s="14" t="str">
        <f>VLOOKUP(C109,'State Key'!$A$2:$B$210,2,False)</f>
        <v>Andhra Pradesh</v>
      </c>
      <c r="E109" s="21">
        <v>1040.0</v>
      </c>
      <c r="F109" s="22">
        <v>317.7124</v>
      </c>
      <c r="G109" s="22">
        <v>0.0</v>
      </c>
      <c r="H109" s="22">
        <v>0.0</v>
      </c>
      <c r="I109" s="22">
        <v>23.7352</v>
      </c>
      <c r="J109" s="22">
        <v>0.0</v>
      </c>
      <c r="K109" s="22">
        <v>0.0</v>
      </c>
      <c r="L109" s="22">
        <v>341.4476</v>
      </c>
      <c r="M109" s="22">
        <v>322.241</v>
      </c>
      <c r="N109" s="22">
        <v>79.8661</v>
      </c>
      <c r="O109" s="23">
        <v>7.4</v>
      </c>
      <c r="P109" s="18">
        <f t="shared" si="1"/>
        <v>341.4476</v>
      </c>
    </row>
    <row r="110" ht="15.75" customHeight="1">
      <c r="A110" s="13" t="s">
        <v>21</v>
      </c>
      <c r="B110" s="13" t="s">
        <v>99</v>
      </c>
      <c r="C110" s="14" t="s">
        <v>132</v>
      </c>
      <c r="D110" s="14" t="str">
        <f>VLOOKUP(C110,'State Key'!$A$2:$B$210,2,False)</f>
        <v>Karnataka</v>
      </c>
      <c r="E110" s="15">
        <v>1600.0</v>
      </c>
      <c r="F110" s="16">
        <v>0.0</v>
      </c>
      <c r="G110" s="16">
        <v>358.733</v>
      </c>
      <c r="H110" s="16">
        <v>0.0</v>
      </c>
      <c r="I110" s="16">
        <v>0.0</v>
      </c>
      <c r="J110" s="16">
        <v>0.0</v>
      </c>
      <c r="K110" s="16">
        <v>0.0</v>
      </c>
      <c r="L110" s="16">
        <v>358.733</v>
      </c>
      <c r="M110" s="16">
        <v>313.962</v>
      </c>
      <c r="N110" s="16">
        <v>218.52</v>
      </c>
      <c r="O110" s="24">
        <v>20.9</v>
      </c>
      <c r="P110" s="18">
        <f t="shared" si="1"/>
        <v>358.733</v>
      </c>
    </row>
    <row r="111" ht="15.75" customHeight="1">
      <c r="A111" s="19" t="s">
        <v>21</v>
      </c>
      <c r="B111" s="19" t="s">
        <v>133</v>
      </c>
      <c r="C111" s="20" t="s">
        <v>134</v>
      </c>
      <c r="D111" s="14" t="str">
        <f>VLOOKUP(C111,'State Key'!$A$2:$B$210,2,False)</f>
        <v>Chhattisgarh</v>
      </c>
      <c r="E111" s="21">
        <v>1800.0</v>
      </c>
      <c r="F111" s="22">
        <v>505.8883</v>
      </c>
      <c r="G111" s="22">
        <v>0.0</v>
      </c>
      <c r="H111" s="22">
        <v>0.0</v>
      </c>
      <c r="I111" s="22">
        <v>0.1177</v>
      </c>
      <c r="J111" s="22">
        <v>0.0</v>
      </c>
      <c r="K111" s="22">
        <v>7.543</v>
      </c>
      <c r="L111" s="22">
        <v>513.549</v>
      </c>
      <c r="M111" s="22">
        <v>607.898</v>
      </c>
      <c r="N111" s="22">
        <v>392.42</v>
      </c>
      <c r="O111" s="24">
        <v>19.4</v>
      </c>
      <c r="P111" s="18">
        <f t="shared" si="1"/>
        <v>513.549</v>
      </c>
    </row>
    <row r="112" ht="15.75" customHeight="1">
      <c r="A112" s="13" t="s">
        <v>21</v>
      </c>
      <c r="B112" s="13" t="s">
        <v>133</v>
      </c>
      <c r="C112" s="14" t="s">
        <v>135</v>
      </c>
      <c r="D112" s="14" t="str">
        <f>VLOOKUP(C112,'State Key'!$A$2:$B$210,2,False)</f>
        <v>Madhya Pradesh</v>
      </c>
      <c r="E112" s="15">
        <v>210.0</v>
      </c>
      <c r="F112" s="16">
        <v>96.315</v>
      </c>
      <c r="G112" s="16">
        <v>0.0</v>
      </c>
      <c r="H112" s="16">
        <v>0.0</v>
      </c>
      <c r="I112" s="16">
        <v>0.0</v>
      </c>
      <c r="J112" s="16">
        <v>0.0</v>
      </c>
      <c r="K112" s="16">
        <v>0.0</v>
      </c>
      <c r="L112" s="16">
        <v>96.315</v>
      </c>
      <c r="M112" s="16">
        <v>93.838</v>
      </c>
      <c r="N112" s="16">
        <v>72.52</v>
      </c>
      <c r="O112" s="24">
        <v>23.2</v>
      </c>
      <c r="P112" s="18">
        <f t="shared" si="1"/>
        <v>96.315</v>
      </c>
    </row>
    <row r="113" ht="15.75" customHeight="1">
      <c r="A113" s="19" t="s">
        <v>21</v>
      </c>
      <c r="B113" s="19" t="s">
        <v>133</v>
      </c>
      <c r="C113" s="20" t="s">
        <v>136</v>
      </c>
      <c r="D113" s="14" t="str">
        <f>VLOOKUP(C113,'State Key'!$A$2:$B$210,2,False)</f>
        <v>Maharashtra</v>
      </c>
      <c r="E113" s="21">
        <v>1350.0</v>
      </c>
      <c r="F113" s="22">
        <v>536.803</v>
      </c>
      <c r="G113" s="22">
        <v>0.0</v>
      </c>
      <c r="H113" s="22">
        <v>0.0</v>
      </c>
      <c r="I113" s="22">
        <v>0.0</v>
      </c>
      <c r="J113" s="22">
        <v>0.0</v>
      </c>
      <c r="K113" s="22">
        <v>0.0</v>
      </c>
      <c r="L113" s="22">
        <v>536.803</v>
      </c>
      <c r="M113" s="22">
        <v>598.733</v>
      </c>
      <c r="N113" s="22">
        <v>12.72</v>
      </c>
      <c r="O113" s="17">
        <v>0.6</v>
      </c>
      <c r="P113" s="18">
        <f t="shared" si="1"/>
        <v>536.803</v>
      </c>
    </row>
    <row r="114" ht="15.75" customHeight="1">
      <c r="A114" s="13" t="s">
        <v>21</v>
      </c>
      <c r="B114" s="13" t="s">
        <v>133</v>
      </c>
      <c r="C114" s="14" t="s">
        <v>137</v>
      </c>
      <c r="D114" s="14" t="str">
        <f>VLOOKUP(C114,'State Key'!$A$2:$B$210,2,False)</f>
        <v>Madhya Pradesh</v>
      </c>
      <c r="E114" s="15">
        <v>1250.0</v>
      </c>
      <c r="F114" s="16">
        <v>416.24</v>
      </c>
      <c r="G114" s="16">
        <v>0.0</v>
      </c>
      <c r="H114" s="16">
        <v>0.0</v>
      </c>
      <c r="I114" s="16">
        <v>0.0</v>
      </c>
      <c r="J114" s="16">
        <v>0.0</v>
      </c>
      <c r="K114" s="16">
        <v>92.22</v>
      </c>
      <c r="L114" s="16">
        <v>508.46</v>
      </c>
      <c r="M114" s="16">
        <v>511.26</v>
      </c>
      <c r="N114" s="16">
        <v>380.36</v>
      </c>
      <c r="O114" s="24">
        <v>22.3</v>
      </c>
      <c r="P114" s="18">
        <f t="shared" si="1"/>
        <v>508.46</v>
      </c>
    </row>
    <row r="115" ht="15.75" customHeight="1">
      <c r="A115" s="19" t="s">
        <v>21</v>
      </c>
      <c r="B115" s="19" t="s">
        <v>133</v>
      </c>
      <c r="C115" s="20" t="s">
        <v>138</v>
      </c>
      <c r="D115" s="14" t="str">
        <f>VLOOKUP(C115,'State Key'!$A$2:$B$210,2,False)</f>
        <v>Chhattisgarh</v>
      </c>
      <c r="E115" s="21">
        <v>600.0</v>
      </c>
      <c r="F115" s="22">
        <v>289.821</v>
      </c>
      <c r="G115" s="22">
        <v>0.0</v>
      </c>
      <c r="H115" s="22">
        <v>0.0</v>
      </c>
      <c r="I115" s="22">
        <v>0.0</v>
      </c>
      <c r="J115" s="22">
        <v>16.16</v>
      </c>
      <c r="K115" s="22">
        <v>0.0</v>
      </c>
      <c r="L115" s="22">
        <v>305.981</v>
      </c>
      <c r="M115" s="22">
        <v>304.096</v>
      </c>
      <c r="N115" s="22">
        <v>162.99</v>
      </c>
      <c r="O115" s="24">
        <v>16.1</v>
      </c>
      <c r="P115" s="18">
        <f t="shared" si="1"/>
        <v>305.981</v>
      </c>
    </row>
    <row r="116" ht="15.75" customHeight="1">
      <c r="A116" s="13" t="s">
        <v>21</v>
      </c>
      <c r="B116" s="13" t="s">
        <v>133</v>
      </c>
      <c r="C116" s="14" t="s">
        <v>139</v>
      </c>
      <c r="D116" s="14" t="str">
        <f>VLOOKUP(C116,'State Key'!$A$2:$B$210,2,False)</f>
        <v>Chhattisgarh</v>
      </c>
      <c r="E116" s="15">
        <v>600.0</v>
      </c>
      <c r="F116" s="16">
        <v>86.77</v>
      </c>
      <c r="G116" s="16">
        <v>0.0</v>
      </c>
      <c r="H116" s="16">
        <v>0.0</v>
      </c>
      <c r="I116" s="16">
        <v>23.31</v>
      </c>
      <c r="J116" s="16">
        <v>0.0</v>
      </c>
      <c r="K116" s="16">
        <v>19.57</v>
      </c>
      <c r="L116" s="16">
        <v>129.65</v>
      </c>
      <c r="M116" s="16">
        <v>196.921</v>
      </c>
      <c r="N116" s="16">
        <v>79.64</v>
      </c>
      <c r="O116" s="23">
        <v>12.1</v>
      </c>
      <c r="P116" s="18">
        <f t="shared" si="1"/>
        <v>129.65</v>
      </c>
    </row>
    <row r="117" ht="15.75" customHeight="1">
      <c r="A117" s="19" t="s">
        <v>21</v>
      </c>
      <c r="B117" s="19" t="s">
        <v>133</v>
      </c>
      <c r="C117" s="20" t="s">
        <v>140</v>
      </c>
      <c r="D117" s="14" t="str">
        <f>VLOOKUP(C117,'State Key'!$A$2:$B$210,2,False)</f>
        <v>Chhattisgarh</v>
      </c>
      <c r="E117" s="21">
        <v>300.0</v>
      </c>
      <c r="F117" s="22">
        <v>80.373</v>
      </c>
      <c r="G117" s="22">
        <v>0.0</v>
      </c>
      <c r="H117" s="22">
        <v>0.0</v>
      </c>
      <c r="I117" s="22">
        <v>0.0</v>
      </c>
      <c r="J117" s="22">
        <v>0.0</v>
      </c>
      <c r="K117" s="22">
        <v>12.527</v>
      </c>
      <c r="L117" s="22">
        <v>92.9</v>
      </c>
      <c r="M117" s="22">
        <v>116.103</v>
      </c>
      <c r="N117" s="22">
        <v>145.73</v>
      </c>
      <c r="O117" s="24">
        <v>37.7</v>
      </c>
      <c r="P117" s="18">
        <f t="shared" si="1"/>
        <v>92.9</v>
      </c>
    </row>
    <row r="118" ht="15.75" customHeight="1">
      <c r="A118" s="13" t="s">
        <v>21</v>
      </c>
      <c r="B118" s="13" t="s">
        <v>133</v>
      </c>
      <c r="C118" s="14" t="s">
        <v>141</v>
      </c>
      <c r="D118" s="14" t="str">
        <f>VLOOKUP(C118,'State Key'!$A$2:$B$210,2,False)</f>
        <v>Chhattisgarh</v>
      </c>
      <c r="E118" s="15">
        <v>1200.0</v>
      </c>
      <c r="F118" s="16">
        <v>234.52</v>
      </c>
      <c r="G118" s="16">
        <v>0.0</v>
      </c>
      <c r="H118" s="16">
        <v>0.0</v>
      </c>
      <c r="I118" s="16">
        <v>0.0</v>
      </c>
      <c r="J118" s="16">
        <v>0.0</v>
      </c>
      <c r="K118" s="16">
        <v>332.05</v>
      </c>
      <c r="L118" s="16">
        <v>566.57</v>
      </c>
      <c r="M118" s="16">
        <v>515.237</v>
      </c>
      <c r="N118" s="16">
        <v>377.86</v>
      </c>
      <c r="O118" s="24">
        <v>22.0</v>
      </c>
      <c r="P118" s="18">
        <f t="shared" si="1"/>
        <v>566.57</v>
      </c>
    </row>
    <row r="119" ht="15.75" customHeight="1">
      <c r="A119" s="19" t="s">
        <v>21</v>
      </c>
      <c r="B119" s="19" t="s">
        <v>133</v>
      </c>
      <c r="C119" s="20" t="s">
        <v>142</v>
      </c>
      <c r="D119" s="14" t="str">
        <f>VLOOKUP(C119,'State Key'!$A$2:$B$210,2,False)</f>
        <v>Maharashtra</v>
      </c>
      <c r="E119" s="21">
        <v>270.0</v>
      </c>
      <c r="F119" s="22">
        <v>93.627</v>
      </c>
      <c r="G119" s="22">
        <v>0.0</v>
      </c>
      <c r="H119" s="22">
        <v>0.0</v>
      </c>
      <c r="I119" s="22">
        <v>0.0</v>
      </c>
      <c r="J119" s="22">
        <v>0.0</v>
      </c>
      <c r="K119" s="22">
        <v>3.958</v>
      </c>
      <c r="L119" s="22">
        <v>97.585</v>
      </c>
      <c r="M119" s="22">
        <v>101.828</v>
      </c>
      <c r="N119" s="22">
        <v>61.8</v>
      </c>
      <c r="O119" s="24">
        <v>18.2</v>
      </c>
      <c r="P119" s="18">
        <f t="shared" si="1"/>
        <v>97.585</v>
      </c>
    </row>
    <row r="120" ht="15.75" customHeight="1">
      <c r="A120" s="13" t="s">
        <v>21</v>
      </c>
      <c r="B120" s="13" t="s">
        <v>133</v>
      </c>
      <c r="C120" s="14" t="s">
        <v>143</v>
      </c>
      <c r="D120" s="14" t="str">
        <f>VLOOKUP(C120,'State Key'!$A$2:$B$210,2,False)</f>
        <v>Chhattisgarh</v>
      </c>
      <c r="E120" s="15">
        <v>500.0</v>
      </c>
      <c r="F120" s="16">
        <v>179.258</v>
      </c>
      <c r="G120" s="16">
        <v>0.0</v>
      </c>
      <c r="H120" s="16">
        <v>0.0</v>
      </c>
      <c r="I120" s="16">
        <v>0.0</v>
      </c>
      <c r="J120" s="16">
        <v>0.0</v>
      </c>
      <c r="K120" s="16">
        <v>0.0</v>
      </c>
      <c r="L120" s="16">
        <v>179.258</v>
      </c>
      <c r="M120" s="16">
        <v>253.348</v>
      </c>
      <c r="N120" s="16">
        <v>219.09</v>
      </c>
      <c r="O120" s="24">
        <v>25.9</v>
      </c>
      <c r="P120" s="18">
        <f t="shared" si="1"/>
        <v>179.258</v>
      </c>
    </row>
    <row r="121" ht="15.75" customHeight="1">
      <c r="A121" s="19" t="s">
        <v>21</v>
      </c>
      <c r="B121" s="19" t="s">
        <v>133</v>
      </c>
      <c r="C121" s="20" t="s">
        <v>144</v>
      </c>
      <c r="D121" s="14" t="str">
        <f>VLOOKUP(C121,'State Key'!$A$2:$B$210,2,False)</f>
        <v>Maharashtra</v>
      </c>
      <c r="E121" s="21">
        <v>1210.0</v>
      </c>
      <c r="F121" s="22">
        <v>536.042</v>
      </c>
      <c r="G121" s="22">
        <v>0.0</v>
      </c>
      <c r="H121" s="22">
        <v>0.0</v>
      </c>
      <c r="I121" s="22">
        <v>0.0</v>
      </c>
      <c r="J121" s="22">
        <v>0.0</v>
      </c>
      <c r="K121" s="22">
        <v>0.0</v>
      </c>
      <c r="L121" s="22">
        <v>536.042</v>
      </c>
      <c r="M121" s="22">
        <v>543.035</v>
      </c>
      <c r="N121" s="22">
        <v>66.49</v>
      </c>
      <c r="O121" s="17">
        <v>3.7</v>
      </c>
      <c r="P121" s="18">
        <f t="shared" si="1"/>
        <v>536.042</v>
      </c>
    </row>
    <row r="122" ht="15.75" customHeight="1">
      <c r="A122" s="13" t="s">
        <v>21</v>
      </c>
      <c r="B122" s="13" t="s">
        <v>133</v>
      </c>
      <c r="C122" s="14" t="s">
        <v>145</v>
      </c>
      <c r="D122" s="14" t="str">
        <f>VLOOKUP(C122,'State Key'!$A$2:$B$210,2,False)</f>
        <v>Madhya Pradesh</v>
      </c>
      <c r="E122" s="15">
        <v>500.0</v>
      </c>
      <c r="F122" s="16">
        <v>129.5</v>
      </c>
      <c r="G122" s="16">
        <v>0.0</v>
      </c>
      <c r="H122" s="16">
        <v>0.0</v>
      </c>
      <c r="I122" s="16">
        <v>0.0</v>
      </c>
      <c r="J122" s="16">
        <v>0.0</v>
      </c>
      <c r="K122" s="16">
        <v>47.38</v>
      </c>
      <c r="L122" s="16">
        <v>176.88</v>
      </c>
      <c r="M122" s="16">
        <v>178.68</v>
      </c>
      <c r="N122" s="16">
        <v>98.03</v>
      </c>
      <c r="O122" s="24">
        <v>16.5</v>
      </c>
      <c r="P122" s="18">
        <f t="shared" si="1"/>
        <v>176.88</v>
      </c>
    </row>
    <row r="123" ht="15.75" customHeight="1">
      <c r="A123" s="19" t="s">
        <v>21</v>
      </c>
      <c r="B123" s="19" t="s">
        <v>133</v>
      </c>
      <c r="C123" s="20" t="s">
        <v>146</v>
      </c>
      <c r="D123" s="14" t="str">
        <f>VLOOKUP(C123,'State Key'!$A$2:$B$210,2,False)</f>
        <v>Chhattisgarh</v>
      </c>
      <c r="E123" s="21">
        <v>600.0</v>
      </c>
      <c r="F123" s="22">
        <v>32.691</v>
      </c>
      <c r="G123" s="22">
        <v>0.0</v>
      </c>
      <c r="H123" s="22">
        <v>0.0</v>
      </c>
      <c r="I123" s="22">
        <v>0.0</v>
      </c>
      <c r="J123" s="22">
        <v>0.0</v>
      </c>
      <c r="K123" s="22">
        <v>181.394</v>
      </c>
      <c r="L123" s="22">
        <v>214.085</v>
      </c>
      <c r="M123" s="22">
        <v>181.613</v>
      </c>
      <c r="N123" s="22">
        <v>74.51</v>
      </c>
      <c r="O123" s="23">
        <v>12.3</v>
      </c>
      <c r="P123" s="18">
        <f t="shared" si="1"/>
        <v>214.085</v>
      </c>
    </row>
    <row r="124" ht="15.75" customHeight="1">
      <c r="A124" s="13" t="s">
        <v>21</v>
      </c>
      <c r="B124" s="13" t="s">
        <v>133</v>
      </c>
      <c r="C124" s="14" t="s">
        <v>147</v>
      </c>
      <c r="D124" s="14" t="str">
        <f>VLOOKUP(C124,'State Key'!$A$2:$B$210,2,False)</f>
        <v>Maharashtra</v>
      </c>
      <c r="E124" s="15">
        <v>600.0</v>
      </c>
      <c r="F124" s="16">
        <v>0.0</v>
      </c>
      <c r="G124" s="16">
        <v>0.0</v>
      </c>
      <c r="H124" s="16">
        <v>0.0</v>
      </c>
      <c r="I124" s="16">
        <v>0.0</v>
      </c>
      <c r="J124" s="16">
        <v>0.0</v>
      </c>
      <c r="K124" s="16">
        <v>0.0</v>
      </c>
      <c r="L124" s="16">
        <v>0.0</v>
      </c>
      <c r="M124" s="16">
        <v>0.0</v>
      </c>
      <c r="N124" s="16">
        <v>59.73</v>
      </c>
      <c r="O124" s="13" t="s">
        <v>58</v>
      </c>
      <c r="P124" s="18">
        <f t="shared" si="1"/>
        <v>0</v>
      </c>
    </row>
    <row r="125" ht="15.75" customHeight="1">
      <c r="A125" s="19" t="s">
        <v>21</v>
      </c>
      <c r="B125" s="19" t="s">
        <v>133</v>
      </c>
      <c r="C125" s="20" t="s">
        <v>148</v>
      </c>
      <c r="D125" s="14" t="str">
        <f>VLOOKUP(C125,'State Key'!$A$2:$B$210,2,False)</f>
        <v>Chhattisgarh</v>
      </c>
      <c r="E125" s="21">
        <v>30.0</v>
      </c>
      <c r="F125" s="22">
        <v>2.3394</v>
      </c>
      <c r="G125" s="22">
        <v>0.0</v>
      </c>
      <c r="H125" s="22">
        <v>0.0</v>
      </c>
      <c r="I125" s="22">
        <v>0.0</v>
      </c>
      <c r="J125" s="22">
        <v>56.54244</v>
      </c>
      <c r="K125" s="22">
        <v>0.0</v>
      </c>
      <c r="L125" s="22">
        <v>58.88184</v>
      </c>
      <c r="M125" s="22">
        <v>57.633</v>
      </c>
      <c r="N125" s="22">
        <v>38.26</v>
      </c>
      <c r="O125" s="24">
        <v>19.9</v>
      </c>
      <c r="P125" s="18">
        <f t="shared" si="1"/>
        <v>58.88184</v>
      </c>
    </row>
    <row r="126" ht="15.75" customHeight="1">
      <c r="A126" s="13" t="s">
        <v>21</v>
      </c>
      <c r="B126" s="13" t="s">
        <v>133</v>
      </c>
      <c r="C126" s="14" t="s">
        <v>149</v>
      </c>
      <c r="D126" s="14" t="str">
        <f>VLOOKUP(C126,'State Key'!$A$2:$B$210,2,False)</f>
        <v>Maharashtra</v>
      </c>
      <c r="E126" s="15">
        <v>2920.0</v>
      </c>
      <c r="F126" s="16">
        <v>729.868</v>
      </c>
      <c r="G126" s="16">
        <v>16.222</v>
      </c>
      <c r="H126" s="16">
        <v>0.0</v>
      </c>
      <c r="I126" s="16">
        <v>0.705</v>
      </c>
      <c r="J126" s="16">
        <v>0.0</v>
      </c>
      <c r="K126" s="16">
        <v>0.0</v>
      </c>
      <c r="L126" s="16">
        <v>746.795</v>
      </c>
      <c r="M126" s="16">
        <v>1205.22</v>
      </c>
      <c r="N126" s="16">
        <v>475.02</v>
      </c>
      <c r="O126" s="23">
        <v>11.8</v>
      </c>
      <c r="P126" s="18">
        <f t="shared" si="1"/>
        <v>746.795</v>
      </c>
    </row>
    <row r="127" ht="15.75" customHeight="1">
      <c r="A127" s="19" t="s">
        <v>21</v>
      </c>
      <c r="B127" s="19" t="s">
        <v>133</v>
      </c>
      <c r="C127" s="20" t="s">
        <v>150</v>
      </c>
      <c r="D127" s="14" t="str">
        <f>VLOOKUP(C127,'State Key'!$A$2:$B$210,2,False)</f>
        <v>Maharashtra</v>
      </c>
      <c r="E127" s="21">
        <v>500.0</v>
      </c>
      <c r="F127" s="22">
        <v>188.839</v>
      </c>
      <c r="G127" s="22">
        <v>0.0</v>
      </c>
      <c r="H127" s="22">
        <v>0.0</v>
      </c>
      <c r="I127" s="22">
        <v>0.0</v>
      </c>
      <c r="J127" s="22">
        <v>0.0</v>
      </c>
      <c r="K127" s="22">
        <v>0.0</v>
      </c>
      <c r="L127" s="22">
        <v>188.839</v>
      </c>
      <c r="M127" s="22">
        <v>187.492</v>
      </c>
      <c r="N127" s="22">
        <v>22.76</v>
      </c>
      <c r="O127" s="17">
        <v>3.6</v>
      </c>
      <c r="P127" s="18">
        <f t="shared" si="1"/>
        <v>188.839</v>
      </c>
    </row>
    <row r="128" ht="15.75" customHeight="1">
      <c r="A128" s="13" t="s">
        <v>21</v>
      </c>
      <c r="B128" s="13" t="s">
        <v>133</v>
      </c>
      <c r="C128" s="14" t="s">
        <v>151</v>
      </c>
      <c r="D128" s="14" t="str">
        <f>VLOOKUP(C128,'State Key'!$A$2:$B$210,2,False)</f>
        <v>Maharashtra</v>
      </c>
      <c r="E128" s="15">
        <v>600.0</v>
      </c>
      <c r="F128" s="16">
        <v>287.652</v>
      </c>
      <c r="G128" s="16">
        <v>0.0</v>
      </c>
      <c r="H128" s="16">
        <v>0.0</v>
      </c>
      <c r="I128" s="16">
        <v>0.0</v>
      </c>
      <c r="J128" s="16">
        <v>0.0</v>
      </c>
      <c r="K128" s="16">
        <v>15.625</v>
      </c>
      <c r="L128" s="16">
        <v>303.277</v>
      </c>
      <c r="M128" s="16">
        <v>261.073</v>
      </c>
      <c r="N128" s="16">
        <v>203.33</v>
      </c>
      <c r="O128" s="24">
        <v>23.4</v>
      </c>
      <c r="P128" s="18">
        <f t="shared" si="1"/>
        <v>303.277</v>
      </c>
    </row>
    <row r="129" ht="15.75" customHeight="1">
      <c r="A129" s="19" t="s">
        <v>21</v>
      </c>
      <c r="B129" s="19" t="s">
        <v>133</v>
      </c>
      <c r="C129" s="20" t="s">
        <v>152</v>
      </c>
      <c r="D129" s="14" t="str">
        <f>VLOOKUP(C129,'State Key'!$A$2:$B$210,2,False)</f>
        <v>Chhattisgarh</v>
      </c>
      <c r="E129" s="21">
        <v>500.0</v>
      </c>
      <c r="F129" s="22">
        <v>272.87373</v>
      </c>
      <c r="G129" s="22">
        <v>0.0</v>
      </c>
      <c r="H129" s="22">
        <v>0.0</v>
      </c>
      <c r="I129" s="22">
        <v>0.0</v>
      </c>
      <c r="J129" s="22">
        <v>0.0</v>
      </c>
      <c r="K129" s="22">
        <v>0.0</v>
      </c>
      <c r="L129" s="22">
        <v>272.87373</v>
      </c>
      <c r="M129" s="22">
        <v>206.128</v>
      </c>
      <c r="N129" s="22">
        <v>350.82</v>
      </c>
      <c r="O129" s="24">
        <v>51.1</v>
      </c>
      <c r="P129" s="18">
        <f t="shared" si="1"/>
        <v>272.87373</v>
      </c>
    </row>
    <row r="130" ht="15.75" customHeight="1">
      <c r="A130" s="13" t="s">
        <v>21</v>
      </c>
      <c r="B130" s="13" t="s">
        <v>133</v>
      </c>
      <c r="C130" s="14" t="s">
        <v>153</v>
      </c>
      <c r="D130" s="14" t="str">
        <f>VLOOKUP(C130,'State Key'!$A$2:$B$210,2,False)</f>
        <v>Madhya Pradesh</v>
      </c>
      <c r="E130" s="15">
        <v>1600.0</v>
      </c>
      <c r="F130" s="16">
        <v>263.71</v>
      </c>
      <c r="G130" s="16">
        <v>0.0</v>
      </c>
      <c r="H130" s="16">
        <v>34.07</v>
      </c>
      <c r="I130" s="16">
        <v>170.72</v>
      </c>
      <c r="J130" s="16">
        <v>0.0</v>
      </c>
      <c r="K130" s="16">
        <v>0.0</v>
      </c>
      <c r="L130" s="16">
        <v>468.5</v>
      </c>
      <c r="M130" s="16">
        <v>447.893</v>
      </c>
      <c r="N130" s="16">
        <v>370.263</v>
      </c>
      <c r="O130" s="24">
        <v>24.8</v>
      </c>
      <c r="P130" s="18">
        <f t="shared" si="1"/>
        <v>468.5</v>
      </c>
    </row>
    <row r="131" ht="15.75" customHeight="1">
      <c r="A131" s="19" t="s">
        <v>21</v>
      </c>
      <c r="B131" s="19" t="s">
        <v>133</v>
      </c>
      <c r="C131" s="20" t="s">
        <v>154</v>
      </c>
      <c r="D131" s="14" t="str">
        <f>VLOOKUP(C131,'State Key'!$A$2:$B$210,2,False)</f>
        <v>Gujarat</v>
      </c>
      <c r="E131" s="21">
        <v>630.0</v>
      </c>
      <c r="F131" s="22">
        <v>177.959</v>
      </c>
      <c r="G131" s="22">
        <v>0.0</v>
      </c>
      <c r="H131" s="22">
        <v>0.0</v>
      </c>
      <c r="I131" s="22">
        <v>0.0</v>
      </c>
      <c r="J131" s="22">
        <v>0.0</v>
      </c>
      <c r="K131" s="22">
        <v>0.0</v>
      </c>
      <c r="L131" s="22">
        <v>177.959</v>
      </c>
      <c r="M131" s="22">
        <v>207.716</v>
      </c>
      <c r="N131" s="22">
        <v>75.3</v>
      </c>
      <c r="O131" s="23">
        <v>10.9</v>
      </c>
      <c r="P131" s="18">
        <f t="shared" si="1"/>
        <v>177.959</v>
      </c>
    </row>
    <row r="132" ht="15.75" customHeight="1">
      <c r="A132" s="13" t="s">
        <v>21</v>
      </c>
      <c r="B132" s="13" t="s">
        <v>133</v>
      </c>
      <c r="C132" s="14" t="s">
        <v>155</v>
      </c>
      <c r="D132" s="14" t="str">
        <f>VLOOKUP(C132,'State Key'!$A$2:$B$210,2,False)</f>
        <v>Maharashtra</v>
      </c>
      <c r="E132" s="15">
        <v>120.0</v>
      </c>
      <c r="F132" s="16">
        <v>0.0</v>
      </c>
      <c r="G132" s="16">
        <v>0.0</v>
      </c>
      <c r="H132" s="16">
        <v>0.0</v>
      </c>
      <c r="I132" s="16">
        <v>0.0</v>
      </c>
      <c r="J132" s="16">
        <v>0.0</v>
      </c>
      <c r="K132" s="16">
        <v>0.0</v>
      </c>
      <c r="L132" s="16">
        <v>0.0</v>
      </c>
      <c r="M132" s="16">
        <v>0.0</v>
      </c>
      <c r="N132" s="16">
        <v>0.0</v>
      </c>
      <c r="O132" s="13" t="s">
        <v>58</v>
      </c>
      <c r="P132" s="18">
        <f t="shared" si="1"/>
        <v>0</v>
      </c>
    </row>
    <row r="133" ht="15.75" customHeight="1">
      <c r="A133" s="19" t="s">
        <v>21</v>
      </c>
      <c r="B133" s="19" t="s">
        <v>133</v>
      </c>
      <c r="C133" s="20" t="s">
        <v>156</v>
      </c>
      <c r="D133" s="14" t="str">
        <f>VLOOKUP(C133,'State Key'!$A$2:$B$210,2,False)</f>
        <v>Maharashtra</v>
      </c>
      <c r="E133" s="21">
        <v>600.0</v>
      </c>
      <c r="F133" s="22">
        <v>221.56</v>
      </c>
      <c r="G133" s="22">
        <v>0.0</v>
      </c>
      <c r="H133" s="22">
        <v>0.0</v>
      </c>
      <c r="I133" s="22">
        <v>0.0</v>
      </c>
      <c r="J133" s="22">
        <v>0.0</v>
      </c>
      <c r="K133" s="22">
        <v>13.725</v>
      </c>
      <c r="L133" s="22">
        <v>235.285</v>
      </c>
      <c r="M133" s="22">
        <v>238.074</v>
      </c>
      <c r="N133" s="22">
        <v>3.58</v>
      </c>
      <c r="O133" s="17">
        <v>0.5</v>
      </c>
      <c r="P133" s="18">
        <f t="shared" si="1"/>
        <v>235.285</v>
      </c>
    </row>
    <row r="134" ht="15.75" customHeight="1">
      <c r="A134" s="13" t="s">
        <v>21</v>
      </c>
      <c r="B134" s="13" t="s">
        <v>133</v>
      </c>
      <c r="C134" s="14" t="s">
        <v>157</v>
      </c>
      <c r="D134" s="14" t="str">
        <f>VLOOKUP(C134,'State Key'!$A$2:$B$210,2,False)</f>
        <v>Maharashtra</v>
      </c>
      <c r="E134" s="15">
        <v>300.0</v>
      </c>
      <c r="F134" s="16">
        <v>0.0</v>
      </c>
      <c r="G134" s="16">
        <v>0.0</v>
      </c>
      <c r="H134" s="16">
        <v>0.0</v>
      </c>
      <c r="I134" s="16">
        <v>70.0</v>
      </c>
      <c r="J134" s="16">
        <v>0.0</v>
      </c>
      <c r="K134" s="16">
        <v>0.0</v>
      </c>
      <c r="L134" s="16">
        <v>70.0</v>
      </c>
      <c r="M134" s="16">
        <v>73.67</v>
      </c>
      <c r="N134" s="16">
        <v>63.13</v>
      </c>
      <c r="O134" s="24">
        <v>25.7</v>
      </c>
      <c r="P134" s="18">
        <f t="shared" si="1"/>
        <v>70</v>
      </c>
    </row>
    <row r="135" ht="15.75" customHeight="1">
      <c r="A135" s="19" t="s">
        <v>21</v>
      </c>
      <c r="B135" s="19" t="s">
        <v>133</v>
      </c>
      <c r="C135" s="20" t="s">
        <v>158</v>
      </c>
      <c r="D135" s="14" t="str">
        <f>VLOOKUP(C135,'State Key'!$A$2:$B$210,2,False)</f>
        <v>Chhattisgarh</v>
      </c>
      <c r="E135" s="21">
        <v>270.0</v>
      </c>
      <c r="F135" s="22">
        <v>27.67</v>
      </c>
      <c r="G135" s="22">
        <v>0.0</v>
      </c>
      <c r="H135" s="22">
        <v>0.0</v>
      </c>
      <c r="I135" s="22">
        <v>0.0</v>
      </c>
      <c r="J135" s="22">
        <v>140.809</v>
      </c>
      <c r="K135" s="22">
        <v>0.0</v>
      </c>
      <c r="L135" s="22">
        <v>168.479</v>
      </c>
      <c r="M135" s="22">
        <v>163.33</v>
      </c>
      <c r="N135" s="22">
        <v>30.65</v>
      </c>
      <c r="O135" s="17">
        <v>5.6</v>
      </c>
      <c r="P135" s="18">
        <f t="shared" si="1"/>
        <v>168.479</v>
      </c>
    </row>
    <row r="136" ht="15.75" customHeight="1">
      <c r="A136" s="13" t="s">
        <v>21</v>
      </c>
      <c r="B136" s="13" t="s">
        <v>133</v>
      </c>
      <c r="C136" s="14" t="s">
        <v>159</v>
      </c>
      <c r="D136" s="14" t="str">
        <f>VLOOKUP(C136,'State Key'!$A$2:$B$210,2,False)</f>
        <v>Chhattisgarh</v>
      </c>
      <c r="E136" s="15">
        <v>35.0</v>
      </c>
      <c r="F136" s="16">
        <v>0.0</v>
      </c>
      <c r="G136" s="16">
        <v>0.0</v>
      </c>
      <c r="H136" s="16">
        <v>0.0</v>
      </c>
      <c r="I136" s="16">
        <v>0.0</v>
      </c>
      <c r="J136" s="16">
        <v>0.0</v>
      </c>
      <c r="K136" s="16">
        <v>0.0</v>
      </c>
      <c r="L136" s="16">
        <v>0.0</v>
      </c>
      <c r="M136" s="16">
        <v>0.0</v>
      </c>
      <c r="N136" s="16">
        <v>0.0</v>
      </c>
      <c r="O136" s="13" t="s">
        <v>58</v>
      </c>
      <c r="P136" s="18">
        <f t="shared" si="1"/>
        <v>0</v>
      </c>
    </row>
    <row r="137" ht="15.75" customHeight="1">
      <c r="A137" s="19" t="s">
        <v>21</v>
      </c>
      <c r="B137" s="19" t="s">
        <v>133</v>
      </c>
      <c r="C137" s="20" t="s">
        <v>160</v>
      </c>
      <c r="D137" s="14" t="str">
        <f>VLOOKUP(C137,'State Key'!$A$2:$B$210,2,False)</f>
        <v>Maharashtra</v>
      </c>
      <c r="E137" s="21">
        <v>1340.0</v>
      </c>
      <c r="F137" s="22">
        <v>630.19</v>
      </c>
      <c r="G137" s="22">
        <v>0.0</v>
      </c>
      <c r="H137" s="22">
        <v>0.0</v>
      </c>
      <c r="I137" s="22">
        <v>0.0</v>
      </c>
      <c r="J137" s="22">
        <v>0.0</v>
      </c>
      <c r="K137" s="22">
        <v>0.0</v>
      </c>
      <c r="L137" s="22">
        <v>630.19</v>
      </c>
      <c r="M137" s="22">
        <v>521.763</v>
      </c>
      <c r="N137" s="22">
        <v>484.11</v>
      </c>
      <c r="O137" s="24">
        <v>27.8</v>
      </c>
      <c r="P137" s="18">
        <f t="shared" si="1"/>
        <v>630.19</v>
      </c>
    </row>
    <row r="138" ht="15.75" customHeight="1">
      <c r="A138" s="13" t="s">
        <v>21</v>
      </c>
      <c r="B138" s="13" t="s">
        <v>133</v>
      </c>
      <c r="C138" s="14" t="s">
        <v>161</v>
      </c>
      <c r="D138" s="14" t="str">
        <f>VLOOKUP(C138,'State Key'!$A$2:$B$210,2,False)</f>
        <v>Madhya Pradesh</v>
      </c>
      <c r="E138" s="15">
        <v>1320.0</v>
      </c>
      <c r="F138" s="16">
        <v>194.78</v>
      </c>
      <c r="G138" s="16">
        <v>0.0</v>
      </c>
      <c r="H138" s="16">
        <v>67.76</v>
      </c>
      <c r="I138" s="16">
        <v>64.98</v>
      </c>
      <c r="J138" s="16">
        <v>0.0</v>
      </c>
      <c r="K138" s="16">
        <v>0.0</v>
      </c>
      <c r="L138" s="16">
        <v>327.52</v>
      </c>
      <c r="M138" s="16">
        <v>379.175</v>
      </c>
      <c r="N138" s="16">
        <v>215.79</v>
      </c>
      <c r="O138" s="24">
        <v>17.1</v>
      </c>
      <c r="P138" s="18">
        <f t="shared" si="1"/>
        <v>327.52</v>
      </c>
    </row>
    <row r="139" ht="15.75" customHeight="1">
      <c r="A139" s="19" t="s">
        <v>21</v>
      </c>
      <c r="B139" s="19" t="s">
        <v>133</v>
      </c>
      <c r="C139" s="20" t="s">
        <v>162</v>
      </c>
      <c r="D139" s="14" t="str">
        <f>VLOOKUP(C139,'State Key'!$A$2:$B$210,2,False)</f>
        <v>Maharashtra</v>
      </c>
      <c r="E139" s="21">
        <v>2190.0</v>
      </c>
      <c r="F139" s="22">
        <v>740.354</v>
      </c>
      <c r="G139" s="22">
        <v>15.745</v>
      </c>
      <c r="H139" s="22">
        <v>0.0</v>
      </c>
      <c r="I139" s="22">
        <v>0.0</v>
      </c>
      <c r="J139" s="22">
        <v>0.0</v>
      </c>
      <c r="K139" s="22">
        <v>0.0</v>
      </c>
      <c r="L139" s="22">
        <v>756.099</v>
      </c>
      <c r="M139" s="22">
        <v>707.333</v>
      </c>
      <c r="N139" s="22">
        <v>448.271</v>
      </c>
      <c r="O139" s="24">
        <v>19.0</v>
      </c>
      <c r="P139" s="18">
        <f t="shared" si="1"/>
        <v>756.099</v>
      </c>
    </row>
    <row r="140" ht="15.75" customHeight="1">
      <c r="A140" s="13" t="s">
        <v>21</v>
      </c>
      <c r="B140" s="13" t="s">
        <v>133</v>
      </c>
      <c r="C140" s="14" t="s">
        <v>163</v>
      </c>
      <c r="D140" s="14" t="str">
        <f>VLOOKUP(C140,'State Key'!$A$2:$B$210,2,False)</f>
        <v>Chhattisgarh</v>
      </c>
      <c r="E140" s="15">
        <v>2600.0</v>
      </c>
      <c r="F140" s="16">
        <v>1260.2</v>
      </c>
      <c r="G140" s="16">
        <v>0.0</v>
      </c>
      <c r="H140" s="16">
        <v>0.0</v>
      </c>
      <c r="I140" s="16">
        <v>0.0</v>
      </c>
      <c r="J140" s="16">
        <v>0.0</v>
      </c>
      <c r="K140" s="16">
        <v>0.0</v>
      </c>
      <c r="L140" s="16">
        <v>1260.2</v>
      </c>
      <c r="M140" s="16">
        <v>1288.286</v>
      </c>
      <c r="N140" s="16">
        <v>417.88</v>
      </c>
      <c r="O140" s="23">
        <v>9.7</v>
      </c>
      <c r="P140" s="18">
        <f t="shared" si="1"/>
        <v>1260.2</v>
      </c>
    </row>
    <row r="141" ht="15.75" customHeight="1">
      <c r="A141" s="19" t="s">
        <v>21</v>
      </c>
      <c r="B141" s="19" t="s">
        <v>133</v>
      </c>
      <c r="C141" s="20" t="s">
        <v>164</v>
      </c>
      <c r="D141" s="14" t="str">
        <f>VLOOKUP(C141,'State Key'!$A$2:$B$210,2,False)</f>
        <v>Chhattisgarh</v>
      </c>
      <c r="E141" s="21">
        <v>1340.0</v>
      </c>
      <c r="F141" s="22">
        <v>439.975</v>
      </c>
      <c r="G141" s="22">
        <v>0.0</v>
      </c>
      <c r="H141" s="22">
        <v>0.0</v>
      </c>
      <c r="I141" s="22">
        <v>0.0</v>
      </c>
      <c r="J141" s="22">
        <v>0.0</v>
      </c>
      <c r="K141" s="22">
        <v>0.0</v>
      </c>
      <c r="L141" s="22">
        <v>439.975</v>
      </c>
      <c r="M141" s="22">
        <v>660.664</v>
      </c>
      <c r="N141" s="22">
        <v>176.2</v>
      </c>
      <c r="O141" s="23">
        <v>8.0</v>
      </c>
      <c r="P141" s="18">
        <f t="shared" si="1"/>
        <v>439.975</v>
      </c>
    </row>
    <row r="142" ht="15.75" customHeight="1">
      <c r="A142" s="13" t="s">
        <v>21</v>
      </c>
      <c r="B142" s="13" t="s">
        <v>133</v>
      </c>
      <c r="C142" s="14" t="s">
        <v>165</v>
      </c>
      <c r="D142" s="14" t="str">
        <f>VLOOKUP(C142,'State Key'!$A$2:$B$210,2,False)</f>
        <v>Chhattisgarh</v>
      </c>
      <c r="E142" s="15">
        <v>1600.0</v>
      </c>
      <c r="F142" s="16">
        <v>21.74</v>
      </c>
      <c r="G142" s="16">
        <v>0.0</v>
      </c>
      <c r="H142" s="16">
        <v>645.35</v>
      </c>
      <c r="I142" s="16">
        <v>0.0</v>
      </c>
      <c r="J142" s="16">
        <v>0.0</v>
      </c>
      <c r="K142" s="16">
        <v>0.0</v>
      </c>
      <c r="L142" s="16">
        <v>667.09</v>
      </c>
      <c r="M142" s="16">
        <v>698.161</v>
      </c>
      <c r="N142" s="16">
        <v>442.43</v>
      </c>
      <c r="O142" s="24">
        <v>19.0</v>
      </c>
      <c r="P142" s="18">
        <f t="shared" si="1"/>
        <v>667.09</v>
      </c>
    </row>
    <row r="143" ht="15.75" customHeight="1">
      <c r="A143" s="19" t="s">
        <v>21</v>
      </c>
      <c r="B143" s="19" t="s">
        <v>133</v>
      </c>
      <c r="C143" s="20" t="s">
        <v>166</v>
      </c>
      <c r="D143" s="14" t="str">
        <f>VLOOKUP(C143,'State Key'!$A$2:$B$210,2,False)</f>
        <v>Madhya Pradesh</v>
      </c>
      <c r="E143" s="21">
        <v>1200.0</v>
      </c>
      <c r="F143" s="22">
        <v>187.224</v>
      </c>
      <c r="G143" s="22">
        <v>0.0</v>
      </c>
      <c r="H143" s="22">
        <v>0.0</v>
      </c>
      <c r="I143" s="22">
        <v>0.0</v>
      </c>
      <c r="J143" s="22">
        <v>0.0</v>
      </c>
      <c r="K143" s="22">
        <v>0.0</v>
      </c>
      <c r="L143" s="22">
        <v>187.224</v>
      </c>
      <c r="M143" s="22">
        <v>444.763</v>
      </c>
      <c r="N143" s="22">
        <v>194.28</v>
      </c>
      <c r="O143" s="23">
        <v>13.1</v>
      </c>
      <c r="P143" s="18">
        <f t="shared" si="1"/>
        <v>187.224</v>
      </c>
    </row>
    <row r="144" ht="15.75" customHeight="1">
      <c r="A144" s="13" t="s">
        <v>21</v>
      </c>
      <c r="B144" s="13" t="s">
        <v>133</v>
      </c>
      <c r="C144" s="14" t="s">
        <v>167</v>
      </c>
      <c r="D144" s="14" t="str">
        <f>VLOOKUP(C144,'State Key'!$A$2:$B$210,2,False)</f>
        <v>Chhattisgarh</v>
      </c>
      <c r="E144" s="15">
        <v>1000.0</v>
      </c>
      <c r="F144" s="16">
        <v>316.84</v>
      </c>
      <c r="G144" s="16">
        <v>0.0</v>
      </c>
      <c r="H144" s="16">
        <v>210.52</v>
      </c>
      <c r="I144" s="16">
        <v>0.0</v>
      </c>
      <c r="J144" s="16">
        <v>0.0</v>
      </c>
      <c r="K144" s="16">
        <v>0.0</v>
      </c>
      <c r="L144" s="16">
        <v>527.36</v>
      </c>
      <c r="M144" s="16">
        <v>415.69</v>
      </c>
      <c r="N144" s="16">
        <v>309.39</v>
      </c>
      <c r="O144" s="24">
        <v>22.3</v>
      </c>
      <c r="P144" s="18">
        <f t="shared" si="1"/>
        <v>527.36</v>
      </c>
    </row>
    <row r="145" ht="15.75" customHeight="1">
      <c r="A145" s="19" t="s">
        <v>21</v>
      </c>
      <c r="B145" s="19" t="s">
        <v>133</v>
      </c>
      <c r="C145" s="20" t="s">
        <v>168</v>
      </c>
      <c r="D145" s="14" t="str">
        <f>VLOOKUP(C145,'State Key'!$A$2:$B$210,2,False)</f>
        <v>Maharashtra</v>
      </c>
      <c r="E145" s="21">
        <v>2320.0</v>
      </c>
      <c r="F145" s="22">
        <v>810.84</v>
      </c>
      <c r="G145" s="22">
        <v>4.07</v>
      </c>
      <c r="H145" s="22">
        <v>43.74</v>
      </c>
      <c r="I145" s="22">
        <v>148.109</v>
      </c>
      <c r="J145" s="22">
        <v>0.0</v>
      </c>
      <c r="K145" s="22">
        <v>0.0</v>
      </c>
      <c r="L145" s="22">
        <v>1006.759</v>
      </c>
      <c r="M145" s="22">
        <v>820.418</v>
      </c>
      <c r="N145" s="22">
        <v>555.378</v>
      </c>
      <c r="O145" s="24">
        <v>20.3</v>
      </c>
      <c r="P145" s="18">
        <f t="shared" si="1"/>
        <v>1006.759</v>
      </c>
    </row>
    <row r="146" ht="15.75" customHeight="1">
      <c r="A146" s="13" t="s">
        <v>21</v>
      </c>
      <c r="B146" s="13" t="s">
        <v>133</v>
      </c>
      <c r="C146" s="14" t="s">
        <v>169</v>
      </c>
      <c r="D146" s="14" t="str">
        <f>VLOOKUP(C146,'State Key'!$A$2:$B$210,2,False)</f>
        <v>Madhya Pradesh</v>
      </c>
      <c r="E146" s="15">
        <v>246.0</v>
      </c>
      <c r="F146" s="16">
        <v>0.0</v>
      </c>
      <c r="G146" s="16">
        <v>0.0</v>
      </c>
      <c r="H146" s="16">
        <v>0.0</v>
      </c>
      <c r="I146" s="16">
        <v>0.0</v>
      </c>
      <c r="J146" s="16">
        <v>0.0</v>
      </c>
      <c r="K146" s="16">
        <v>0.0</v>
      </c>
      <c r="L146" s="16">
        <v>0.0</v>
      </c>
      <c r="M146" s="16">
        <v>0.0</v>
      </c>
      <c r="N146" s="16">
        <v>0.0</v>
      </c>
      <c r="O146" s="13" t="s">
        <v>58</v>
      </c>
      <c r="P146" s="18">
        <f t="shared" si="1"/>
        <v>0</v>
      </c>
    </row>
    <row r="147" ht="15.75" customHeight="1">
      <c r="A147" s="19" t="s">
        <v>21</v>
      </c>
      <c r="B147" s="19" t="s">
        <v>133</v>
      </c>
      <c r="C147" s="20" t="s">
        <v>170</v>
      </c>
      <c r="D147" s="14" t="str">
        <f>VLOOKUP(C147,'State Key'!$A$2:$B$210,2,False)</f>
        <v>Gujarat</v>
      </c>
      <c r="E147" s="21">
        <v>2640.0</v>
      </c>
      <c r="F147" s="22">
        <v>0.0</v>
      </c>
      <c r="G147" s="22">
        <v>0.0</v>
      </c>
      <c r="H147" s="22">
        <v>0.0</v>
      </c>
      <c r="I147" s="22">
        <v>248.365</v>
      </c>
      <c r="J147" s="22">
        <v>0.0</v>
      </c>
      <c r="K147" s="22">
        <v>0.0</v>
      </c>
      <c r="L147" s="22">
        <v>248.365</v>
      </c>
      <c r="M147" s="22">
        <v>218.136</v>
      </c>
      <c r="N147" s="22">
        <v>58.616</v>
      </c>
      <c r="O147" s="23">
        <v>8.1</v>
      </c>
      <c r="P147" s="18">
        <f t="shared" si="1"/>
        <v>248.365</v>
      </c>
    </row>
    <row r="148" ht="15.75" customHeight="1">
      <c r="A148" s="13" t="s">
        <v>21</v>
      </c>
      <c r="B148" s="13" t="s">
        <v>133</v>
      </c>
      <c r="C148" s="14" t="s">
        <v>171</v>
      </c>
      <c r="D148" s="14" t="str">
        <f>VLOOKUP(C148,'State Key'!$A$2:$B$210,2,False)</f>
        <v>Gujarat</v>
      </c>
      <c r="E148" s="15">
        <v>1980.0</v>
      </c>
      <c r="F148" s="16">
        <v>0.0</v>
      </c>
      <c r="G148" s="16">
        <v>0.0</v>
      </c>
      <c r="H148" s="16">
        <v>0.0</v>
      </c>
      <c r="I148" s="16">
        <v>501.333</v>
      </c>
      <c r="J148" s="16">
        <v>0.0</v>
      </c>
      <c r="K148" s="16">
        <v>0.0</v>
      </c>
      <c r="L148" s="16">
        <v>501.333</v>
      </c>
      <c r="M148" s="16">
        <v>515.109</v>
      </c>
      <c r="N148" s="16">
        <v>47.63</v>
      </c>
      <c r="O148" s="17">
        <v>2.8</v>
      </c>
      <c r="P148" s="18">
        <f t="shared" si="1"/>
        <v>501.333</v>
      </c>
    </row>
    <row r="149" ht="15.75" customHeight="1">
      <c r="A149" s="19" t="s">
        <v>21</v>
      </c>
      <c r="B149" s="19" t="s">
        <v>133</v>
      </c>
      <c r="C149" s="20" t="s">
        <v>172</v>
      </c>
      <c r="D149" s="14" t="str">
        <f>VLOOKUP(C149,'State Key'!$A$2:$B$210,2,False)</f>
        <v>Gujarat</v>
      </c>
      <c r="E149" s="21">
        <v>4000.0</v>
      </c>
      <c r="F149" s="22">
        <v>0.0</v>
      </c>
      <c r="G149" s="22">
        <v>0.0</v>
      </c>
      <c r="H149" s="22">
        <v>0.0</v>
      </c>
      <c r="I149" s="22">
        <v>268.0</v>
      </c>
      <c r="J149" s="22">
        <v>0.0</v>
      </c>
      <c r="K149" s="22">
        <v>0.0</v>
      </c>
      <c r="L149" s="22">
        <v>268.0</v>
      </c>
      <c r="M149" s="22">
        <v>268.0</v>
      </c>
      <c r="N149" s="22">
        <v>484.78</v>
      </c>
      <c r="O149" s="24">
        <v>54.3</v>
      </c>
      <c r="P149" s="18">
        <f t="shared" si="1"/>
        <v>268</v>
      </c>
    </row>
    <row r="150" ht="15.75" customHeight="1">
      <c r="A150" s="13" t="s">
        <v>21</v>
      </c>
      <c r="B150" s="13" t="s">
        <v>133</v>
      </c>
      <c r="C150" s="14" t="s">
        <v>173</v>
      </c>
      <c r="D150" s="14" t="str">
        <f>VLOOKUP(C150,'State Key'!$A$2:$B$210,2,False)</f>
        <v>Maharashtra</v>
      </c>
      <c r="E150" s="15">
        <v>1350.0</v>
      </c>
      <c r="F150" s="16">
        <v>0.0</v>
      </c>
      <c r="G150" s="16">
        <v>0.0</v>
      </c>
      <c r="H150" s="16">
        <v>0.0</v>
      </c>
      <c r="I150" s="16">
        <v>0.0</v>
      </c>
      <c r="J150" s="16">
        <v>0.0</v>
      </c>
      <c r="K150" s="16">
        <v>0.0</v>
      </c>
      <c r="L150" s="16">
        <v>0.0</v>
      </c>
      <c r="M150" s="16">
        <v>0.0</v>
      </c>
      <c r="N150" s="16">
        <v>0.0</v>
      </c>
      <c r="O150" s="13" t="s">
        <v>58</v>
      </c>
      <c r="P150" s="18">
        <f t="shared" si="1"/>
        <v>0</v>
      </c>
    </row>
    <row r="151" ht="15.75" customHeight="1">
      <c r="A151" s="19" t="s">
        <v>21</v>
      </c>
      <c r="B151" s="19" t="s">
        <v>133</v>
      </c>
      <c r="C151" s="20" t="s">
        <v>174</v>
      </c>
      <c r="D151" s="14" t="str">
        <f>VLOOKUP(C151,'State Key'!$A$2:$B$210,2,False)</f>
        <v>Maharashtra</v>
      </c>
      <c r="E151" s="21">
        <v>630.0</v>
      </c>
      <c r="F151" s="22">
        <v>245.172</v>
      </c>
      <c r="G151" s="22">
        <v>0.0</v>
      </c>
      <c r="H151" s="22">
        <v>0.0</v>
      </c>
      <c r="I151" s="22">
        <v>0.0</v>
      </c>
      <c r="J151" s="22">
        <v>0.0</v>
      </c>
      <c r="K151" s="22">
        <v>0.0</v>
      </c>
      <c r="L151" s="22">
        <v>245.172</v>
      </c>
      <c r="M151" s="22">
        <v>212.09</v>
      </c>
      <c r="N151" s="22">
        <v>55.34</v>
      </c>
      <c r="O151" s="23">
        <v>7.8</v>
      </c>
      <c r="P151" s="18">
        <f t="shared" si="1"/>
        <v>245.172</v>
      </c>
    </row>
    <row r="152" ht="15.75" customHeight="1">
      <c r="A152" s="13" t="s">
        <v>21</v>
      </c>
      <c r="B152" s="13" t="s">
        <v>133</v>
      </c>
      <c r="C152" s="14" t="s">
        <v>175</v>
      </c>
      <c r="D152" s="14" t="str">
        <f>VLOOKUP(C152,'State Key'!$A$2:$B$210,2,False)</f>
        <v>Chhattisgarh</v>
      </c>
      <c r="E152" s="15">
        <v>600.0</v>
      </c>
      <c r="F152" s="16">
        <v>296.733</v>
      </c>
      <c r="G152" s="16">
        <v>0.0</v>
      </c>
      <c r="H152" s="16">
        <v>0.0</v>
      </c>
      <c r="I152" s="16">
        <v>0.0</v>
      </c>
      <c r="J152" s="16">
        <v>0.0</v>
      </c>
      <c r="K152" s="16">
        <v>23.193</v>
      </c>
      <c r="L152" s="16">
        <v>319.926</v>
      </c>
      <c r="M152" s="16">
        <v>232.488</v>
      </c>
      <c r="N152" s="16">
        <v>169.75</v>
      </c>
      <c r="O152" s="24">
        <v>21.9</v>
      </c>
      <c r="P152" s="18">
        <f t="shared" si="1"/>
        <v>319.926</v>
      </c>
    </row>
    <row r="153" ht="15.75" customHeight="1">
      <c r="A153" s="19" t="s">
        <v>21</v>
      </c>
      <c r="B153" s="19" t="s">
        <v>133</v>
      </c>
      <c r="C153" s="20" t="s">
        <v>176</v>
      </c>
      <c r="D153" s="14" t="str">
        <f>VLOOKUP(C153,'State Key'!$A$2:$B$210,2,False)</f>
        <v>Madhya Pradesh</v>
      </c>
      <c r="E153" s="21">
        <v>1320.0</v>
      </c>
      <c r="F153" s="22">
        <v>0.0</v>
      </c>
      <c r="G153" s="22">
        <v>0.0</v>
      </c>
      <c r="H153" s="22">
        <v>155.7758</v>
      </c>
      <c r="I153" s="22">
        <v>0.0</v>
      </c>
      <c r="J153" s="22">
        <v>0.0</v>
      </c>
      <c r="K153" s="22">
        <v>130.1544</v>
      </c>
      <c r="L153" s="22">
        <v>285.9302</v>
      </c>
      <c r="M153" s="22">
        <v>505.6706</v>
      </c>
      <c r="N153" s="22">
        <v>226.02</v>
      </c>
      <c r="O153" s="23">
        <v>13.4</v>
      </c>
      <c r="P153" s="18">
        <f t="shared" si="1"/>
        <v>285.9302</v>
      </c>
    </row>
    <row r="154" ht="15.75" customHeight="1">
      <c r="A154" s="13" t="s">
        <v>21</v>
      </c>
      <c r="B154" s="13" t="s">
        <v>133</v>
      </c>
      <c r="C154" s="14" t="s">
        <v>177</v>
      </c>
      <c r="D154" s="14" t="str">
        <f>VLOOKUP(C154,'State Key'!$A$2:$B$210,2,False)</f>
        <v>Madhya Pradesh</v>
      </c>
      <c r="E154" s="15">
        <v>90.0</v>
      </c>
      <c r="F154" s="16">
        <v>0.0</v>
      </c>
      <c r="G154" s="16">
        <v>0.0</v>
      </c>
      <c r="H154" s="16">
        <v>0.0</v>
      </c>
      <c r="I154" s="16">
        <v>0.0</v>
      </c>
      <c r="J154" s="16">
        <v>36.0</v>
      </c>
      <c r="K154" s="16">
        <v>0.0</v>
      </c>
      <c r="L154" s="16">
        <v>36.0</v>
      </c>
      <c r="M154" s="16">
        <v>32.0</v>
      </c>
      <c r="N154" s="16">
        <v>4.0</v>
      </c>
      <c r="O154" s="17">
        <v>3.8</v>
      </c>
      <c r="P154" s="18">
        <f t="shared" si="1"/>
        <v>36</v>
      </c>
    </row>
    <row r="155" ht="15.75" customHeight="1">
      <c r="A155" s="19" t="s">
        <v>21</v>
      </c>
      <c r="B155" s="19" t="s">
        <v>133</v>
      </c>
      <c r="C155" s="20" t="s">
        <v>178</v>
      </c>
      <c r="D155" s="14" t="str">
        <f>VLOOKUP(C155,'State Key'!$A$2:$B$210,2,False)</f>
        <v>Chhattisgarh</v>
      </c>
      <c r="E155" s="21">
        <v>1000.0</v>
      </c>
      <c r="F155" s="22">
        <v>0.0</v>
      </c>
      <c r="G155" s="22">
        <v>0.0</v>
      </c>
      <c r="H155" s="22">
        <v>0.0</v>
      </c>
      <c r="I155" s="22">
        <v>0.0</v>
      </c>
      <c r="J155" s="22">
        <v>0.0</v>
      </c>
      <c r="K155" s="22">
        <v>705.839</v>
      </c>
      <c r="L155" s="22">
        <v>705.839</v>
      </c>
      <c r="M155" s="22">
        <v>463.068</v>
      </c>
      <c r="N155" s="22">
        <v>252.89</v>
      </c>
      <c r="O155" s="24">
        <v>16.4</v>
      </c>
      <c r="P155" s="18">
        <f t="shared" si="1"/>
        <v>705.839</v>
      </c>
    </row>
    <row r="156" ht="15.75" customHeight="1">
      <c r="A156" s="13" t="s">
        <v>21</v>
      </c>
      <c r="B156" s="13" t="s">
        <v>133</v>
      </c>
      <c r="C156" s="14" t="s">
        <v>179</v>
      </c>
      <c r="D156" s="14" t="str">
        <f>VLOOKUP(C156,'State Key'!$A$2:$B$210,2,False)</f>
        <v>Maharashtra</v>
      </c>
      <c r="E156" s="15">
        <v>500.0</v>
      </c>
      <c r="F156" s="16">
        <v>214.294</v>
      </c>
      <c r="G156" s="16">
        <v>0.0</v>
      </c>
      <c r="H156" s="16">
        <v>0.0</v>
      </c>
      <c r="I156" s="16">
        <v>0.0</v>
      </c>
      <c r="J156" s="16">
        <v>0.0</v>
      </c>
      <c r="K156" s="16">
        <v>0.0</v>
      </c>
      <c r="L156" s="16">
        <v>214.294</v>
      </c>
      <c r="M156" s="16">
        <v>204.171</v>
      </c>
      <c r="N156" s="16">
        <v>42.0</v>
      </c>
      <c r="O156" s="17">
        <v>6.2</v>
      </c>
      <c r="P156" s="18">
        <f t="shared" si="1"/>
        <v>214.294</v>
      </c>
    </row>
    <row r="157" ht="15.75" customHeight="1">
      <c r="A157" s="19" t="s">
        <v>21</v>
      </c>
      <c r="B157" s="19" t="s">
        <v>133</v>
      </c>
      <c r="C157" s="20" t="s">
        <v>180</v>
      </c>
      <c r="D157" s="14" t="str">
        <f>VLOOKUP(C157,'State Key'!$A$2:$B$210,2,False)</f>
        <v>Maharashtra</v>
      </c>
      <c r="E157" s="21">
        <v>750.0</v>
      </c>
      <c r="F157" s="22">
        <v>0.0</v>
      </c>
      <c r="G157" s="22">
        <v>305.16</v>
      </c>
      <c r="H157" s="22">
        <v>0.0</v>
      </c>
      <c r="I157" s="22">
        <v>0.0</v>
      </c>
      <c r="J157" s="22">
        <v>0.0</v>
      </c>
      <c r="K157" s="22">
        <v>0.0</v>
      </c>
      <c r="L157" s="22">
        <v>305.16</v>
      </c>
      <c r="M157" s="22">
        <v>306.467</v>
      </c>
      <c r="N157" s="22">
        <v>47.68</v>
      </c>
      <c r="O157" s="17">
        <v>4.7</v>
      </c>
      <c r="P157" s="18">
        <f t="shared" si="1"/>
        <v>305.16</v>
      </c>
    </row>
    <row r="158" ht="15.75" customHeight="1">
      <c r="A158" s="13" t="s">
        <v>21</v>
      </c>
      <c r="B158" s="13" t="s">
        <v>133</v>
      </c>
      <c r="C158" s="14" t="s">
        <v>181</v>
      </c>
      <c r="D158" s="14" t="str">
        <f>VLOOKUP(C158,'State Key'!$A$2:$B$210,2,False)</f>
        <v>Chhattisgarh</v>
      </c>
      <c r="E158" s="15">
        <v>600.0</v>
      </c>
      <c r="F158" s="16">
        <v>256.32</v>
      </c>
      <c r="G158" s="16">
        <v>0.0</v>
      </c>
      <c r="H158" s="16">
        <v>0.0</v>
      </c>
      <c r="I158" s="16">
        <v>0.0</v>
      </c>
      <c r="J158" s="16">
        <v>0.0</v>
      </c>
      <c r="K158" s="16">
        <v>0.0</v>
      </c>
      <c r="L158" s="16">
        <v>256.32</v>
      </c>
      <c r="M158" s="16">
        <v>238.4001</v>
      </c>
      <c r="N158" s="16">
        <v>255.19</v>
      </c>
      <c r="O158" s="24">
        <v>32.1</v>
      </c>
      <c r="P158" s="18">
        <f t="shared" si="1"/>
        <v>256.32</v>
      </c>
    </row>
    <row r="159" ht="15.75" customHeight="1">
      <c r="A159" s="19" t="s">
        <v>21</v>
      </c>
      <c r="B159" s="19" t="s">
        <v>133</v>
      </c>
      <c r="C159" s="20" t="s">
        <v>182</v>
      </c>
      <c r="D159" s="14" t="str">
        <f>VLOOKUP(C159,'State Key'!$A$2:$B$210,2,False)</f>
        <v>Chhattisgarh</v>
      </c>
      <c r="E159" s="21">
        <v>1370.0</v>
      </c>
      <c r="F159" s="22">
        <v>455.736</v>
      </c>
      <c r="G159" s="22">
        <v>0.0</v>
      </c>
      <c r="H159" s="22">
        <v>0.0</v>
      </c>
      <c r="I159" s="22">
        <v>0.0</v>
      </c>
      <c r="J159" s="22">
        <v>111.564</v>
      </c>
      <c r="K159" s="22">
        <v>0.0</v>
      </c>
      <c r="L159" s="22">
        <v>567.3</v>
      </c>
      <c r="M159" s="22">
        <v>583.6</v>
      </c>
      <c r="N159" s="22">
        <v>169.72</v>
      </c>
      <c r="O159" s="23">
        <v>8.7</v>
      </c>
      <c r="P159" s="18">
        <f t="shared" si="1"/>
        <v>567.3</v>
      </c>
    </row>
    <row r="160" ht="15.75" customHeight="1">
      <c r="A160" s="13" t="s">
        <v>21</v>
      </c>
      <c r="B160" s="13" t="s">
        <v>133</v>
      </c>
      <c r="C160" s="14" t="s">
        <v>183</v>
      </c>
      <c r="D160" s="14" t="str">
        <f>VLOOKUP(C160,'State Key'!$A$2:$B$210,2,False)</f>
        <v>Chhattisgarh</v>
      </c>
      <c r="E160" s="15">
        <v>100.0</v>
      </c>
      <c r="F160" s="16">
        <v>0.16048</v>
      </c>
      <c r="G160" s="16">
        <v>0.0</v>
      </c>
      <c r="H160" s="16">
        <v>0.0</v>
      </c>
      <c r="I160" s="16">
        <v>0.0</v>
      </c>
      <c r="J160" s="16">
        <v>58.18084</v>
      </c>
      <c r="K160" s="16">
        <v>0.0</v>
      </c>
      <c r="L160" s="16">
        <v>58.34132</v>
      </c>
      <c r="M160" s="16">
        <v>75.818</v>
      </c>
      <c r="N160" s="16">
        <v>6.99</v>
      </c>
      <c r="O160" s="17">
        <v>2.8</v>
      </c>
      <c r="P160" s="18">
        <f t="shared" si="1"/>
        <v>58.34132</v>
      </c>
    </row>
    <row r="161" ht="15.75" customHeight="1">
      <c r="A161" s="19" t="s">
        <v>21</v>
      </c>
      <c r="B161" s="19" t="s">
        <v>133</v>
      </c>
      <c r="C161" s="20" t="s">
        <v>184</v>
      </c>
      <c r="D161" s="14" t="str">
        <f>VLOOKUP(C161,'State Key'!$A$2:$B$210,2,False)</f>
        <v>Gujarat</v>
      </c>
      <c r="E161" s="21">
        <v>362.0</v>
      </c>
      <c r="F161" s="22">
        <v>74.973</v>
      </c>
      <c r="G161" s="22">
        <v>0.0</v>
      </c>
      <c r="H161" s="22">
        <v>0.0</v>
      </c>
      <c r="I161" s="22">
        <v>12.101</v>
      </c>
      <c r="J161" s="22">
        <v>0.0</v>
      </c>
      <c r="K161" s="22">
        <v>0.0</v>
      </c>
      <c r="L161" s="22">
        <v>87.074</v>
      </c>
      <c r="M161" s="22">
        <v>128.221</v>
      </c>
      <c r="N161" s="22">
        <v>120.58</v>
      </c>
      <c r="O161" s="24">
        <v>28.2</v>
      </c>
      <c r="P161" s="18">
        <f t="shared" si="1"/>
        <v>87.074</v>
      </c>
    </row>
    <row r="162" ht="15.75" customHeight="1">
      <c r="A162" s="13" t="s">
        <v>21</v>
      </c>
      <c r="B162" s="13" t="s">
        <v>133</v>
      </c>
      <c r="C162" s="14" t="s">
        <v>185</v>
      </c>
      <c r="D162" s="14" t="str">
        <f>VLOOKUP(C162,'State Key'!$A$2:$B$210,2,False)</f>
        <v>Gujarat</v>
      </c>
      <c r="E162" s="15">
        <v>1200.0</v>
      </c>
      <c r="F162" s="16">
        <v>0.0</v>
      </c>
      <c r="G162" s="16">
        <v>0.0</v>
      </c>
      <c r="H162" s="16">
        <v>0.0</v>
      </c>
      <c r="I162" s="16">
        <v>122.12</v>
      </c>
      <c r="J162" s="16">
        <v>0.0</v>
      </c>
      <c r="K162" s="16">
        <v>0.0</v>
      </c>
      <c r="L162" s="16">
        <v>122.12</v>
      </c>
      <c r="M162" s="16">
        <v>257.984</v>
      </c>
      <c r="N162" s="16">
        <v>126.43</v>
      </c>
      <c r="O162" s="24">
        <v>14.7</v>
      </c>
      <c r="P162" s="18">
        <f t="shared" si="1"/>
        <v>122.12</v>
      </c>
    </row>
    <row r="163" ht="15.75" customHeight="1">
      <c r="A163" s="19" t="s">
        <v>21</v>
      </c>
      <c r="B163" s="19" t="s">
        <v>133</v>
      </c>
      <c r="C163" s="20" t="s">
        <v>186</v>
      </c>
      <c r="D163" s="14" t="str">
        <f>VLOOKUP(C163,'State Key'!$A$2:$B$210,2,False)</f>
        <v>Chhattisgarh</v>
      </c>
      <c r="E163" s="21">
        <v>135.0</v>
      </c>
      <c r="F163" s="22">
        <v>0.0</v>
      </c>
      <c r="G163" s="22">
        <v>0.0</v>
      </c>
      <c r="H163" s="22">
        <v>0.0</v>
      </c>
      <c r="I163" s="22">
        <v>0.0</v>
      </c>
      <c r="J163" s="22">
        <v>0.0</v>
      </c>
      <c r="K163" s="22">
        <v>0.0</v>
      </c>
      <c r="L163" s="22">
        <v>0.0</v>
      </c>
      <c r="M163" s="22">
        <v>0.0</v>
      </c>
      <c r="N163" s="22">
        <v>0.0</v>
      </c>
      <c r="O163" s="19" t="s">
        <v>58</v>
      </c>
      <c r="P163" s="18">
        <f t="shared" si="1"/>
        <v>0</v>
      </c>
    </row>
    <row r="164" ht="15.75" customHeight="1">
      <c r="A164" s="13" t="s">
        <v>21</v>
      </c>
      <c r="B164" s="13" t="s">
        <v>133</v>
      </c>
      <c r="C164" s="14" t="s">
        <v>187</v>
      </c>
      <c r="D164" s="14" t="str">
        <f>VLOOKUP(C164,'State Key'!$A$2:$B$210,2,False)</f>
        <v>Madhya Pradesh</v>
      </c>
      <c r="E164" s="15">
        <v>1340.0</v>
      </c>
      <c r="F164" s="16">
        <v>409.416</v>
      </c>
      <c r="G164" s="16">
        <v>0.0</v>
      </c>
      <c r="H164" s="16">
        <v>0.0</v>
      </c>
      <c r="I164" s="16">
        <v>0.0</v>
      </c>
      <c r="J164" s="16">
        <v>0.0</v>
      </c>
      <c r="K164" s="16">
        <v>0.0</v>
      </c>
      <c r="L164" s="16">
        <v>409.416</v>
      </c>
      <c r="M164" s="16">
        <v>529.889</v>
      </c>
      <c r="N164" s="16">
        <v>134.156</v>
      </c>
      <c r="O164" s="23">
        <v>7.6</v>
      </c>
      <c r="P164" s="18">
        <f t="shared" si="1"/>
        <v>409.416</v>
      </c>
    </row>
    <row r="165" ht="15.75" customHeight="1">
      <c r="A165" s="19" t="s">
        <v>21</v>
      </c>
      <c r="B165" s="19" t="s">
        <v>133</v>
      </c>
      <c r="C165" s="20" t="s">
        <v>188</v>
      </c>
      <c r="D165" s="14" t="str">
        <f>VLOOKUP(C165,'State Key'!$A$2:$B$210,2,False)</f>
        <v>Madhya Pradesh</v>
      </c>
      <c r="E165" s="21">
        <v>3960.0</v>
      </c>
      <c r="F165" s="22">
        <v>0.0</v>
      </c>
      <c r="G165" s="22">
        <v>0.0</v>
      </c>
      <c r="H165" s="22">
        <v>1214.366</v>
      </c>
      <c r="I165" s="22">
        <v>0.0</v>
      </c>
      <c r="J165" s="22">
        <v>0.0</v>
      </c>
      <c r="K165" s="22">
        <v>0.0</v>
      </c>
      <c r="L165" s="22">
        <v>1214.366</v>
      </c>
      <c r="M165" s="22">
        <v>1172.23</v>
      </c>
      <c r="N165" s="22">
        <v>341.12</v>
      </c>
      <c r="O165" s="23">
        <v>8.7</v>
      </c>
      <c r="P165" s="18">
        <f t="shared" si="1"/>
        <v>1214.366</v>
      </c>
    </row>
    <row r="166" ht="15.75" customHeight="1">
      <c r="A166" s="13" t="s">
        <v>21</v>
      </c>
      <c r="B166" s="13" t="s">
        <v>133</v>
      </c>
      <c r="C166" s="14" t="s">
        <v>189</v>
      </c>
      <c r="D166" s="14" t="str">
        <f>VLOOKUP(C166,'State Key'!$A$2:$B$210,2,False)</f>
        <v>Madhya Pradesh</v>
      </c>
      <c r="E166" s="15">
        <v>1330.0</v>
      </c>
      <c r="F166" s="16">
        <v>169.284</v>
      </c>
      <c r="G166" s="16">
        <v>0.0</v>
      </c>
      <c r="H166" s="16">
        <v>0.0</v>
      </c>
      <c r="I166" s="16">
        <v>0.0</v>
      </c>
      <c r="J166" s="16">
        <v>0.0</v>
      </c>
      <c r="K166" s="16">
        <v>0.0</v>
      </c>
      <c r="L166" s="16">
        <v>169.284</v>
      </c>
      <c r="M166" s="16">
        <v>204.849</v>
      </c>
      <c r="N166" s="16">
        <v>118.931</v>
      </c>
      <c r="O166" s="24">
        <v>17.4</v>
      </c>
      <c r="P166" s="18">
        <f t="shared" si="1"/>
        <v>169.284</v>
      </c>
    </row>
    <row r="167" ht="15.75" customHeight="1">
      <c r="A167" s="19" t="s">
        <v>21</v>
      </c>
      <c r="B167" s="19" t="s">
        <v>133</v>
      </c>
      <c r="C167" s="20" t="s">
        <v>190</v>
      </c>
      <c r="D167" s="14" t="str">
        <f>VLOOKUP(C167,'State Key'!$A$2:$B$210,2,False)</f>
        <v>Madhya Pradesh</v>
      </c>
      <c r="E167" s="21">
        <v>600.0</v>
      </c>
      <c r="F167" s="22">
        <v>172.982</v>
      </c>
      <c r="G167" s="22">
        <v>0.0</v>
      </c>
      <c r="H167" s="22">
        <v>0.0</v>
      </c>
      <c r="I167" s="22">
        <v>0.0</v>
      </c>
      <c r="J167" s="22">
        <v>0.0</v>
      </c>
      <c r="K167" s="22">
        <v>27.576</v>
      </c>
      <c r="L167" s="22">
        <v>200.558</v>
      </c>
      <c r="M167" s="22">
        <v>256.366</v>
      </c>
      <c r="N167" s="22">
        <v>121.43</v>
      </c>
      <c r="O167" s="24">
        <v>14.2</v>
      </c>
      <c r="P167" s="18">
        <f t="shared" si="1"/>
        <v>200.558</v>
      </c>
    </row>
    <row r="168" ht="15.75" customHeight="1">
      <c r="A168" s="13" t="s">
        <v>21</v>
      </c>
      <c r="B168" s="13" t="s">
        <v>133</v>
      </c>
      <c r="C168" s="14" t="s">
        <v>191</v>
      </c>
      <c r="D168" s="14" t="str">
        <f>VLOOKUP(C168,'State Key'!$A$2:$B$210,2,False)</f>
        <v>Maharashtra</v>
      </c>
      <c r="E168" s="15">
        <v>150.0</v>
      </c>
      <c r="F168" s="16">
        <v>0.0</v>
      </c>
      <c r="G168" s="16">
        <v>0.0</v>
      </c>
      <c r="H168" s="16">
        <v>0.0</v>
      </c>
      <c r="I168" s="16">
        <v>0.0</v>
      </c>
      <c r="J168" s="16">
        <v>0.0</v>
      </c>
      <c r="K168" s="16">
        <v>0.0</v>
      </c>
      <c r="L168" s="16">
        <v>0.0</v>
      </c>
      <c r="M168" s="16">
        <v>0.0</v>
      </c>
      <c r="N168" s="16">
        <v>0.0</v>
      </c>
      <c r="O168" s="13" t="s">
        <v>58</v>
      </c>
      <c r="P168" s="18">
        <f t="shared" si="1"/>
        <v>0</v>
      </c>
    </row>
    <row r="169" ht="15.75" customHeight="1">
      <c r="A169" s="19" t="s">
        <v>21</v>
      </c>
      <c r="B169" s="19" t="s">
        <v>133</v>
      </c>
      <c r="C169" s="20" t="s">
        <v>192</v>
      </c>
      <c r="D169" s="14" t="str">
        <f>VLOOKUP(C169,'State Key'!$A$2:$B$210,2,False)</f>
        <v>Madhya Pradesh</v>
      </c>
      <c r="E169" s="21">
        <v>2520.0</v>
      </c>
      <c r="F169" s="22">
        <v>812.198</v>
      </c>
      <c r="G169" s="22">
        <v>0.0</v>
      </c>
      <c r="H169" s="22">
        <v>0.0</v>
      </c>
      <c r="I169" s="22">
        <v>0.0</v>
      </c>
      <c r="J169" s="22">
        <v>0.0</v>
      </c>
      <c r="K169" s="22">
        <v>0.0</v>
      </c>
      <c r="L169" s="22">
        <v>812.198</v>
      </c>
      <c r="M169" s="22">
        <v>775.958</v>
      </c>
      <c r="N169" s="22">
        <v>194.4</v>
      </c>
      <c r="O169" s="23">
        <v>7.5</v>
      </c>
      <c r="P169" s="18">
        <f t="shared" si="1"/>
        <v>812.198</v>
      </c>
    </row>
    <row r="170" ht="15.75" customHeight="1">
      <c r="A170" s="13" t="s">
        <v>21</v>
      </c>
      <c r="B170" s="13" t="s">
        <v>133</v>
      </c>
      <c r="C170" s="14" t="s">
        <v>193</v>
      </c>
      <c r="D170" s="14" t="str">
        <f>VLOOKUP(C170,'State Key'!$A$2:$B$210,2,False)</f>
        <v>Gujarat</v>
      </c>
      <c r="E170" s="15">
        <v>500.0</v>
      </c>
      <c r="F170" s="16">
        <v>0.0</v>
      </c>
      <c r="G170" s="16">
        <v>0.0</v>
      </c>
      <c r="H170" s="16">
        <v>0.0</v>
      </c>
      <c r="I170" s="16">
        <v>8.145</v>
      </c>
      <c r="J170" s="16">
        <v>0.0</v>
      </c>
      <c r="K170" s="16">
        <v>0.0</v>
      </c>
      <c r="L170" s="16">
        <v>8.145</v>
      </c>
      <c r="M170" s="16">
        <v>12.191</v>
      </c>
      <c r="N170" s="16">
        <v>64.81</v>
      </c>
      <c r="O170" s="24">
        <v>159.5</v>
      </c>
      <c r="P170" s="18">
        <f t="shared" si="1"/>
        <v>8.145</v>
      </c>
    </row>
    <row r="171" ht="15.75" customHeight="1">
      <c r="A171" s="19" t="s">
        <v>21</v>
      </c>
      <c r="B171" s="19" t="s">
        <v>133</v>
      </c>
      <c r="C171" s="20" t="s">
        <v>194</v>
      </c>
      <c r="D171" s="14" t="str">
        <f>VLOOKUP(C171,'State Key'!$A$2:$B$210,2,False)</f>
        <v>Chhattisgarh</v>
      </c>
      <c r="E171" s="21">
        <v>2980.0</v>
      </c>
      <c r="F171" s="22">
        <v>1127.32</v>
      </c>
      <c r="G171" s="22">
        <v>0.0</v>
      </c>
      <c r="H171" s="22">
        <v>0.0</v>
      </c>
      <c r="I171" s="22">
        <v>0.0</v>
      </c>
      <c r="J171" s="22">
        <v>0.0</v>
      </c>
      <c r="K171" s="22">
        <v>0.0</v>
      </c>
      <c r="L171" s="22">
        <v>1127.32</v>
      </c>
      <c r="M171" s="22">
        <v>1198.28</v>
      </c>
      <c r="N171" s="22">
        <v>531.52</v>
      </c>
      <c r="O171" s="23">
        <v>13.3</v>
      </c>
      <c r="P171" s="18">
        <f t="shared" si="1"/>
        <v>1127.32</v>
      </c>
    </row>
    <row r="172" ht="15.75" customHeight="1">
      <c r="A172" s="13" t="s">
        <v>21</v>
      </c>
      <c r="B172" s="13" t="s">
        <v>133</v>
      </c>
      <c r="C172" s="14" t="s">
        <v>195</v>
      </c>
      <c r="D172" s="14" t="str">
        <f>VLOOKUP(C172,'State Key'!$A$2:$B$210,2,False)</f>
        <v>Maharashtra</v>
      </c>
      <c r="E172" s="15">
        <v>1320.0</v>
      </c>
      <c r="F172" s="16">
        <v>157.39</v>
      </c>
      <c r="G172" s="16">
        <v>105.78</v>
      </c>
      <c r="H172" s="16">
        <v>27.54</v>
      </c>
      <c r="I172" s="16">
        <v>31.72</v>
      </c>
      <c r="J172" s="16">
        <v>0.0</v>
      </c>
      <c r="K172" s="16">
        <v>0.0</v>
      </c>
      <c r="L172" s="16">
        <v>322.43</v>
      </c>
      <c r="M172" s="16">
        <v>307.287</v>
      </c>
      <c r="N172" s="16">
        <v>276.85</v>
      </c>
      <c r="O172" s="24">
        <v>27.0</v>
      </c>
      <c r="P172" s="18">
        <f t="shared" si="1"/>
        <v>322.43</v>
      </c>
    </row>
    <row r="173" ht="15.75" customHeight="1">
      <c r="A173" s="19" t="s">
        <v>21</v>
      </c>
      <c r="B173" s="19" t="s">
        <v>133</v>
      </c>
      <c r="C173" s="20" t="s">
        <v>196</v>
      </c>
      <c r="D173" s="14" t="str">
        <f>VLOOKUP(C173,'State Key'!$A$2:$B$210,2,False)</f>
        <v>Chhattisgarh</v>
      </c>
      <c r="E173" s="21">
        <v>63.0</v>
      </c>
      <c r="F173" s="22">
        <v>0.0</v>
      </c>
      <c r="G173" s="22">
        <v>0.0</v>
      </c>
      <c r="H173" s="22">
        <v>0.0</v>
      </c>
      <c r="I173" s="22">
        <v>0.0</v>
      </c>
      <c r="J173" s="22">
        <v>42.156</v>
      </c>
      <c r="K173" s="22">
        <v>0.0</v>
      </c>
      <c r="L173" s="22">
        <v>42.156</v>
      </c>
      <c r="M173" s="22">
        <v>26.942</v>
      </c>
      <c r="N173" s="22">
        <v>15.21</v>
      </c>
      <c r="O173" s="24">
        <v>16.9</v>
      </c>
      <c r="P173" s="18">
        <f t="shared" si="1"/>
        <v>42.156</v>
      </c>
    </row>
    <row r="174" ht="15.75" customHeight="1">
      <c r="A174" s="13" t="s">
        <v>21</v>
      </c>
      <c r="B174" s="13" t="s">
        <v>133</v>
      </c>
      <c r="C174" s="14" t="s">
        <v>197</v>
      </c>
      <c r="D174" s="14" t="str">
        <f>VLOOKUP(C174,'State Key'!$A$2:$B$210,2,False)</f>
        <v>Chhattisgarh</v>
      </c>
      <c r="E174" s="15">
        <v>25.0</v>
      </c>
      <c r="F174" s="16">
        <v>0.0</v>
      </c>
      <c r="G174" s="16">
        <v>0.0</v>
      </c>
      <c r="H174" s="16">
        <v>0.0</v>
      </c>
      <c r="I174" s="16">
        <v>0.0</v>
      </c>
      <c r="J174" s="16">
        <v>0.0</v>
      </c>
      <c r="K174" s="16">
        <v>0.0</v>
      </c>
      <c r="L174" s="16">
        <v>0.0</v>
      </c>
      <c r="M174" s="16">
        <v>0.0</v>
      </c>
      <c r="N174" s="16">
        <v>0.0</v>
      </c>
      <c r="O174" s="13" t="s">
        <v>58</v>
      </c>
      <c r="P174" s="18">
        <f t="shared" si="1"/>
        <v>0</v>
      </c>
    </row>
    <row r="175" ht="15.75" customHeight="1">
      <c r="A175" s="19" t="s">
        <v>21</v>
      </c>
      <c r="B175" s="19" t="s">
        <v>133</v>
      </c>
      <c r="C175" s="20" t="s">
        <v>198</v>
      </c>
      <c r="D175" s="14" t="str">
        <f>VLOOKUP(C175,'State Key'!$A$2:$B$210,2,False)</f>
        <v>Chhattisgarh</v>
      </c>
      <c r="E175" s="21">
        <v>2400.0</v>
      </c>
      <c r="F175" s="22">
        <v>516.414</v>
      </c>
      <c r="G175" s="22">
        <v>0.0</v>
      </c>
      <c r="H175" s="22">
        <v>0.0</v>
      </c>
      <c r="I175" s="22">
        <v>26.374</v>
      </c>
      <c r="J175" s="22">
        <v>0.0</v>
      </c>
      <c r="K175" s="22">
        <v>367.596</v>
      </c>
      <c r="L175" s="22">
        <v>910.384</v>
      </c>
      <c r="M175" s="22">
        <v>1067.195</v>
      </c>
      <c r="N175" s="22">
        <v>277.167</v>
      </c>
      <c r="O175" s="23">
        <v>7.8</v>
      </c>
      <c r="P175" s="18">
        <f t="shared" si="1"/>
        <v>910.384</v>
      </c>
    </row>
    <row r="176" ht="15.75" customHeight="1">
      <c r="A176" s="13" t="s">
        <v>21</v>
      </c>
      <c r="B176" s="13" t="s">
        <v>133</v>
      </c>
      <c r="C176" s="14" t="s">
        <v>199</v>
      </c>
      <c r="D176" s="14" t="str">
        <f>VLOOKUP(C176,'State Key'!$A$2:$B$210,2,False)</f>
        <v>Maharashtra</v>
      </c>
      <c r="E176" s="15">
        <v>3300.0</v>
      </c>
      <c r="F176" s="16">
        <v>1234.043</v>
      </c>
      <c r="G176" s="16">
        <v>0.0</v>
      </c>
      <c r="H176" s="16">
        <v>0.0</v>
      </c>
      <c r="I176" s="16">
        <v>0.0</v>
      </c>
      <c r="J176" s="16">
        <v>0.0</v>
      </c>
      <c r="K176" s="16">
        <v>0.0</v>
      </c>
      <c r="L176" s="16">
        <v>1234.043</v>
      </c>
      <c r="M176" s="16">
        <v>1301.54</v>
      </c>
      <c r="N176" s="16">
        <v>784.61</v>
      </c>
      <c r="O176" s="24">
        <v>18.1</v>
      </c>
      <c r="P176" s="18">
        <f t="shared" si="1"/>
        <v>1234.043</v>
      </c>
    </row>
    <row r="177" ht="15.75" customHeight="1">
      <c r="A177" s="19" t="s">
        <v>21</v>
      </c>
      <c r="B177" s="19" t="s">
        <v>133</v>
      </c>
      <c r="C177" s="20" t="s">
        <v>200</v>
      </c>
      <c r="D177" s="14" t="str">
        <f>VLOOKUP(C177,'State Key'!$A$2:$B$210,2,False)</f>
        <v>Maharashtra</v>
      </c>
      <c r="E177" s="21">
        <v>750.0</v>
      </c>
      <c r="F177" s="22">
        <v>0.0</v>
      </c>
      <c r="G177" s="22">
        <v>0.0</v>
      </c>
      <c r="H177" s="22">
        <v>0.0</v>
      </c>
      <c r="I177" s="22">
        <v>311.01391</v>
      </c>
      <c r="J177" s="22">
        <v>0.0</v>
      </c>
      <c r="K177" s="22">
        <v>0.0</v>
      </c>
      <c r="L177" s="22">
        <v>311.01391</v>
      </c>
      <c r="M177" s="22">
        <v>209.575</v>
      </c>
      <c r="N177" s="22">
        <v>220.4</v>
      </c>
      <c r="O177" s="24">
        <v>31.5</v>
      </c>
      <c r="P177" s="18">
        <f t="shared" si="1"/>
        <v>311.01391</v>
      </c>
    </row>
    <row r="178" ht="15.75" customHeight="1">
      <c r="A178" s="13" t="s">
        <v>21</v>
      </c>
      <c r="B178" s="13" t="s">
        <v>133</v>
      </c>
      <c r="C178" s="14" t="s">
        <v>201</v>
      </c>
      <c r="D178" s="14" t="str">
        <f>VLOOKUP(C178,'State Key'!$A$2:$B$210,2,False)</f>
        <v>Chhattisgarh</v>
      </c>
      <c r="E178" s="15">
        <v>1440.0</v>
      </c>
      <c r="F178" s="16">
        <v>192.635</v>
      </c>
      <c r="G178" s="16">
        <v>0.0</v>
      </c>
      <c r="H178" s="16">
        <v>0.0</v>
      </c>
      <c r="I178" s="16">
        <v>0.0</v>
      </c>
      <c r="J178" s="16">
        <v>0.0</v>
      </c>
      <c r="K178" s="16">
        <v>352.872</v>
      </c>
      <c r="L178" s="16">
        <v>545.507</v>
      </c>
      <c r="M178" s="16">
        <v>559.036</v>
      </c>
      <c r="N178" s="16">
        <v>302.3</v>
      </c>
      <c r="O178" s="24">
        <v>16.2</v>
      </c>
      <c r="P178" s="18">
        <f t="shared" si="1"/>
        <v>545.507</v>
      </c>
    </row>
    <row r="179" ht="15.75" customHeight="1">
      <c r="A179" s="19" t="s">
        <v>21</v>
      </c>
      <c r="B179" s="19" t="s">
        <v>133</v>
      </c>
      <c r="C179" s="20" t="s">
        <v>202</v>
      </c>
      <c r="D179" s="14" t="str">
        <f>VLOOKUP(C179,'State Key'!$A$2:$B$210,2,False)</f>
        <v>Gujarat</v>
      </c>
      <c r="E179" s="21">
        <v>1110.0</v>
      </c>
      <c r="F179" s="22">
        <v>363.733</v>
      </c>
      <c r="G179" s="22">
        <v>0.0</v>
      </c>
      <c r="H179" s="22">
        <v>0.0</v>
      </c>
      <c r="I179" s="22">
        <v>0.0</v>
      </c>
      <c r="J179" s="22">
        <v>0.0</v>
      </c>
      <c r="K179" s="22">
        <v>0.0</v>
      </c>
      <c r="L179" s="22">
        <v>363.733</v>
      </c>
      <c r="M179" s="22">
        <v>348.112</v>
      </c>
      <c r="N179" s="22">
        <v>168.87</v>
      </c>
      <c r="O179" s="24">
        <v>14.6</v>
      </c>
      <c r="P179" s="18">
        <f t="shared" si="1"/>
        <v>363.733</v>
      </c>
    </row>
    <row r="180" ht="15.75" customHeight="1">
      <c r="A180" s="13" t="s">
        <v>21</v>
      </c>
      <c r="B180" s="13" t="s">
        <v>133</v>
      </c>
      <c r="C180" s="14" t="s">
        <v>203</v>
      </c>
      <c r="D180" s="14" t="str">
        <f>VLOOKUP(C180,'State Key'!$A$2:$B$210,2,False)</f>
        <v>Madhya Pradesh</v>
      </c>
      <c r="E180" s="15">
        <v>4760.0</v>
      </c>
      <c r="F180" s="16">
        <v>2063.81</v>
      </c>
      <c r="G180" s="16">
        <v>0.0</v>
      </c>
      <c r="H180" s="16">
        <v>0.0</v>
      </c>
      <c r="I180" s="16">
        <v>0.0</v>
      </c>
      <c r="J180" s="16">
        <v>0.0</v>
      </c>
      <c r="K180" s="16">
        <v>0.0</v>
      </c>
      <c r="L180" s="16">
        <v>2063.81</v>
      </c>
      <c r="M180" s="16">
        <v>2094.885</v>
      </c>
      <c r="N180" s="16">
        <v>1490.65</v>
      </c>
      <c r="O180" s="24">
        <v>21.3</v>
      </c>
      <c r="P180" s="18">
        <f t="shared" si="1"/>
        <v>2063.81</v>
      </c>
    </row>
    <row r="181" ht="15.75" customHeight="1">
      <c r="A181" s="19" t="s">
        <v>21</v>
      </c>
      <c r="B181" s="19" t="s">
        <v>133</v>
      </c>
      <c r="C181" s="20" t="s">
        <v>204</v>
      </c>
      <c r="D181" s="14" t="str">
        <f>VLOOKUP(C181,'State Key'!$A$2:$B$210,2,False)</f>
        <v>Gujarat</v>
      </c>
      <c r="E181" s="21">
        <v>2270.0</v>
      </c>
      <c r="F181" s="22">
        <v>816.231</v>
      </c>
      <c r="G181" s="22">
        <v>0.0</v>
      </c>
      <c r="H181" s="22">
        <v>0.0</v>
      </c>
      <c r="I181" s="22">
        <v>0.0</v>
      </c>
      <c r="J181" s="22">
        <v>0.0</v>
      </c>
      <c r="K181" s="22">
        <v>0.0</v>
      </c>
      <c r="L181" s="22">
        <v>816.231</v>
      </c>
      <c r="M181" s="22">
        <v>860.254</v>
      </c>
      <c r="N181" s="22">
        <v>112.55</v>
      </c>
      <c r="O181" s="17">
        <v>3.9</v>
      </c>
      <c r="P181" s="18">
        <f t="shared" si="1"/>
        <v>816.231</v>
      </c>
    </row>
    <row r="182" ht="15.75" customHeight="1">
      <c r="A182" s="13" t="s">
        <v>21</v>
      </c>
      <c r="B182" s="13" t="s">
        <v>133</v>
      </c>
      <c r="C182" s="14" t="s">
        <v>205</v>
      </c>
      <c r="D182" s="14" t="str">
        <f>VLOOKUP(C182,'State Key'!$A$2:$B$210,2,False)</f>
        <v>Maharashtra</v>
      </c>
      <c r="E182" s="15">
        <v>540.0</v>
      </c>
      <c r="F182" s="16">
        <v>141.45</v>
      </c>
      <c r="G182" s="16">
        <v>0.0</v>
      </c>
      <c r="H182" s="16">
        <v>0.0</v>
      </c>
      <c r="I182" s="16">
        <v>0.0</v>
      </c>
      <c r="J182" s="16">
        <v>0.0</v>
      </c>
      <c r="K182" s="16">
        <v>54.17</v>
      </c>
      <c r="L182" s="16">
        <v>195.62</v>
      </c>
      <c r="M182" s="16">
        <v>222.91</v>
      </c>
      <c r="N182" s="16">
        <v>82.86</v>
      </c>
      <c r="O182" s="23">
        <v>11.2</v>
      </c>
      <c r="P182" s="18">
        <f t="shared" si="1"/>
        <v>195.62</v>
      </c>
    </row>
    <row r="183" ht="15.75" customHeight="1">
      <c r="A183" s="19" t="s">
        <v>206</v>
      </c>
      <c r="B183" s="19" t="s">
        <v>22</v>
      </c>
      <c r="C183" s="20" t="s">
        <v>23</v>
      </c>
      <c r="D183" s="14" t="str">
        <f>VLOOKUP(C183,'State Key'!$A$2:$B$210,2,False)</f>
        <v>West Bengal</v>
      </c>
      <c r="E183" s="21">
        <v>1050.0</v>
      </c>
      <c r="F183" s="22">
        <v>0.0</v>
      </c>
      <c r="G183" s="22">
        <v>0.0</v>
      </c>
      <c r="H183" s="22">
        <v>358.4738</v>
      </c>
      <c r="I183" s="22">
        <v>0.0</v>
      </c>
      <c r="J183" s="22">
        <v>0.0</v>
      </c>
      <c r="K183" s="22">
        <v>0.0</v>
      </c>
      <c r="L183" s="22">
        <v>358.4738</v>
      </c>
      <c r="M183" s="22">
        <v>434.753</v>
      </c>
      <c r="N183" s="22">
        <v>12.16</v>
      </c>
      <c r="O183" s="17">
        <v>0.8</v>
      </c>
      <c r="P183" s="18">
        <f t="shared" si="1"/>
        <v>358.4738</v>
      </c>
    </row>
    <row r="184" ht="15.75" customHeight="1">
      <c r="A184" s="13" t="s">
        <v>206</v>
      </c>
      <c r="B184" s="13" t="s">
        <v>22</v>
      </c>
      <c r="C184" s="14" t="s">
        <v>24</v>
      </c>
      <c r="D184" s="14" t="str">
        <f>VLOOKUP(C184,'State Key'!$A$2:$B$210,2,False)</f>
        <v>West Bengal</v>
      </c>
      <c r="E184" s="15">
        <v>270.0</v>
      </c>
      <c r="F184" s="16">
        <v>7.522</v>
      </c>
      <c r="G184" s="16">
        <v>0.0</v>
      </c>
      <c r="H184" s="16">
        <v>95.477</v>
      </c>
      <c r="I184" s="16">
        <v>0.0</v>
      </c>
      <c r="J184" s="16">
        <v>0.0</v>
      </c>
      <c r="K184" s="16">
        <v>0.0</v>
      </c>
      <c r="L184" s="16">
        <v>102.999</v>
      </c>
      <c r="M184" s="16">
        <v>119.51</v>
      </c>
      <c r="N184" s="16">
        <v>4.65</v>
      </c>
      <c r="O184" s="17">
        <v>1.2</v>
      </c>
      <c r="P184" s="18">
        <f t="shared" si="1"/>
        <v>102.999</v>
      </c>
    </row>
    <row r="185" ht="15.75" customHeight="1">
      <c r="A185" s="19" t="s">
        <v>206</v>
      </c>
      <c r="B185" s="19" t="s">
        <v>22</v>
      </c>
      <c r="C185" s="20" t="s">
        <v>25</v>
      </c>
      <c r="D185" s="14" t="str">
        <f>VLOOKUP(C185,'State Key'!$A$2:$B$210,2,False)</f>
        <v>Bihar</v>
      </c>
      <c r="E185" s="21">
        <v>710.0</v>
      </c>
      <c r="F185" s="22">
        <v>7.88</v>
      </c>
      <c r="G185" s="22">
        <v>0.0</v>
      </c>
      <c r="H185" s="22">
        <v>226.04</v>
      </c>
      <c r="I185" s="22">
        <v>0.0</v>
      </c>
      <c r="J185" s="22">
        <v>0.0</v>
      </c>
      <c r="K185" s="22">
        <v>0.0</v>
      </c>
      <c r="L185" s="22">
        <v>233.92</v>
      </c>
      <c r="M185" s="22">
        <v>238.497</v>
      </c>
      <c r="N185" s="22">
        <v>64.487</v>
      </c>
      <c r="O185" s="23">
        <v>8.1</v>
      </c>
      <c r="P185" s="18">
        <f t="shared" si="1"/>
        <v>233.92</v>
      </c>
    </row>
    <row r="186" ht="15.75" customHeight="1">
      <c r="A186" s="13" t="s">
        <v>206</v>
      </c>
      <c r="B186" s="13" t="s">
        <v>22</v>
      </c>
      <c r="C186" s="14" t="s">
        <v>26</v>
      </c>
      <c r="D186" s="14" t="str">
        <f>VLOOKUP(C186,'State Key'!$A$2:$B$210,2,False)</f>
        <v>Bihar</v>
      </c>
      <c r="E186" s="15">
        <v>2640.0</v>
      </c>
      <c r="F186" s="16">
        <v>618.73</v>
      </c>
      <c r="G186" s="16">
        <v>0.0</v>
      </c>
      <c r="H186" s="16">
        <v>193.41</v>
      </c>
      <c r="I186" s="16">
        <v>24.074</v>
      </c>
      <c r="J186" s="16">
        <v>0.0</v>
      </c>
      <c r="K186" s="16">
        <v>0.0</v>
      </c>
      <c r="L186" s="16">
        <v>836.214</v>
      </c>
      <c r="M186" s="16">
        <v>674.774</v>
      </c>
      <c r="N186" s="16">
        <v>384.749</v>
      </c>
      <c r="O186" s="24">
        <v>17.1</v>
      </c>
      <c r="P186" s="18">
        <f t="shared" si="1"/>
        <v>836.214</v>
      </c>
    </row>
    <row r="187" ht="15.75" customHeight="1">
      <c r="A187" s="19" t="s">
        <v>206</v>
      </c>
      <c r="B187" s="19" t="s">
        <v>22</v>
      </c>
      <c r="C187" s="20" t="s">
        <v>27</v>
      </c>
      <c r="D187" s="14" t="str">
        <f>VLOOKUP(C187,'State Key'!$A$2:$B$210,2,False)</f>
        <v>Jharkhand</v>
      </c>
      <c r="E187" s="21">
        <v>500.0</v>
      </c>
      <c r="F187" s="22">
        <v>212.459</v>
      </c>
      <c r="G187" s="22">
        <v>0.0</v>
      </c>
      <c r="H187" s="22">
        <v>0.0</v>
      </c>
      <c r="I187" s="22">
        <v>0.0</v>
      </c>
      <c r="J187" s="22">
        <v>0.0</v>
      </c>
      <c r="K187" s="22">
        <v>0.0</v>
      </c>
      <c r="L187" s="22">
        <v>212.459</v>
      </c>
      <c r="M187" s="22">
        <v>203.673</v>
      </c>
      <c r="N187" s="22">
        <v>160.92</v>
      </c>
      <c r="O187" s="24">
        <v>23.7</v>
      </c>
      <c r="P187" s="18">
        <f t="shared" si="1"/>
        <v>212.459</v>
      </c>
    </row>
    <row r="188" ht="15.75" customHeight="1">
      <c r="A188" s="13" t="s">
        <v>206</v>
      </c>
      <c r="B188" s="13" t="s">
        <v>22</v>
      </c>
      <c r="C188" s="14" t="s">
        <v>28</v>
      </c>
      <c r="D188" s="14" t="str">
        <f>VLOOKUP(C188,'State Key'!$A$2:$B$210,2,False)</f>
        <v>West Bengal</v>
      </c>
      <c r="E188" s="15">
        <v>750.0</v>
      </c>
      <c r="F188" s="16">
        <v>78.969</v>
      </c>
      <c r="G188" s="16">
        <v>0.0</v>
      </c>
      <c r="H188" s="16">
        <v>174.388</v>
      </c>
      <c r="I188" s="16">
        <v>0.0</v>
      </c>
      <c r="J188" s="16">
        <v>0.0</v>
      </c>
      <c r="K188" s="16">
        <v>14.436</v>
      </c>
      <c r="L188" s="16">
        <v>267.793</v>
      </c>
      <c r="M188" s="16">
        <v>318.177</v>
      </c>
      <c r="N188" s="16">
        <v>301.18</v>
      </c>
      <c r="O188" s="24">
        <v>28.4</v>
      </c>
      <c r="P188" s="18">
        <f t="shared" si="1"/>
        <v>267.793</v>
      </c>
    </row>
    <row r="189" ht="15.75" customHeight="1">
      <c r="A189" s="19" t="s">
        <v>206</v>
      </c>
      <c r="B189" s="19" t="s">
        <v>22</v>
      </c>
      <c r="C189" s="20" t="s">
        <v>29</v>
      </c>
      <c r="D189" s="14" t="str">
        <f>VLOOKUP(C189,'State Key'!$A$2:$B$210,2,False)</f>
        <v>Jharkhand</v>
      </c>
      <c r="E189" s="21">
        <v>500.0</v>
      </c>
      <c r="F189" s="22">
        <v>139.38</v>
      </c>
      <c r="G189" s="22">
        <v>0.0</v>
      </c>
      <c r="H189" s="22">
        <v>8.049</v>
      </c>
      <c r="I189" s="22">
        <v>0.0</v>
      </c>
      <c r="J189" s="22">
        <v>0.0</v>
      </c>
      <c r="K189" s="22">
        <v>0.0</v>
      </c>
      <c r="L189" s="22">
        <v>147.429</v>
      </c>
      <c r="M189" s="22">
        <v>212.383</v>
      </c>
      <c r="N189" s="22">
        <v>114.65</v>
      </c>
      <c r="O189" s="24">
        <v>16.2</v>
      </c>
      <c r="P189" s="18">
        <f t="shared" si="1"/>
        <v>147.429</v>
      </c>
    </row>
    <row r="190" ht="15.75" customHeight="1">
      <c r="A190" s="13" t="s">
        <v>206</v>
      </c>
      <c r="B190" s="13" t="s">
        <v>22</v>
      </c>
      <c r="C190" s="14" t="s">
        <v>30</v>
      </c>
      <c r="D190" s="14" t="str">
        <f>VLOOKUP(C190,'State Key'!$A$2:$B$210,2,False)</f>
        <v>West Bengal</v>
      </c>
      <c r="E190" s="15">
        <v>550.0</v>
      </c>
      <c r="F190" s="16">
        <v>148.395</v>
      </c>
      <c r="G190" s="16">
        <v>0.0</v>
      </c>
      <c r="H190" s="16">
        <v>44.16</v>
      </c>
      <c r="I190" s="16">
        <v>0.0</v>
      </c>
      <c r="J190" s="16">
        <v>0.0</v>
      </c>
      <c r="K190" s="16">
        <v>0.0</v>
      </c>
      <c r="L190" s="16">
        <v>192.555</v>
      </c>
      <c r="M190" s="16">
        <v>208.415</v>
      </c>
      <c r="N190" s="16">
        <v>9.58</v>
      </c>
      <c r="O190" s="17">
        <v>1.4</v>
      </c>
      <c r="P190" s="18">
        <f t="shared" si="1"/>
        <v>192.555</v>
      </c>
    </row>
    <row r="191" ht="15.75" customHeight="1">
      <c r="A191" s="19" t="s">
        <v>206</v>
      </c>
      <c r="B191" s="19" t="s">
        <v>22</v>
      </c>
      <c r="C191" s="20" t="s">
        <v>31</v>
      </c>
      <c r="D191" s="14" t="str">
        <f>VLOOKUP(C191,'State Key'!$A$2:$B$210,2,False)</f>
        <v>Odisha</v>
      </c>
      <c r="E191" s="21">
        <v>1600.0</v>
      </c>
      <c r="F191" s="22">
        <v>0.0</v>
      </c>
      <c r="G191" s="22">
        <v>0.0</v>
      </c>
      <c r="H191" s="22">
        <v>908.33</v>
      </c>
      <c r="I191" s="22">
        <v>0.0</v>
      </c>
      <c r="J191" s="22">
        <v>0.0</v>
      </c>
      <c r="K191" s="22">
        <v>0.0</v>
      </c>
      <c r="L191" s="22">
        <v>908.33</v>
      </c>
      <c r="M191" s="22">
        <v>814.969</v>
      </c>
      <c r="N191" s="22">
        <v>549.902</v>
      </c>
      <c r="O191" s="24">
        <v>20.2</v>
      </c>
      <c r="P191" s="18">
        <f t="shared" si="1"/>
        <v>908.33</v>
      </c>
    </row>
    <row r="192" ht="15.75" customHeight="1">
      <c r="A192" s="13" t="s">
        <v>206</v>
      </c>
      <c r="B192" s="13" t="s">
        <v>22</v>
      </c>
      <c r="C192" s="14" t="s">
        <v>32</v>
      </c>
      <c r="D192" s="14" t="str">
        <f>VLOOKUP(C192,'State Key'!$A$2:$B$210,2,False)</f>
        <v>Odisha</v>
      </c>
      <c r="E192" s="15">
        <v>1200.0</v>
      </c>
      <c r="F192" s="16">
        <v>332.934</v>
      </c>
      <c r="G192" s="16">
        <v>0.0</v>
      </c>
      <c r="H192" s="16">
        <v>0.0</v>
      </c>
      <c r="I192" s="16">
        <v>0.0</v>
      </c>
      <c r="J192" s="16">
        <v>0.0</v>
      </c>
      <c r="K192" s="16">
        <v>175.132</v>
      </c>
      <c r="L192" s="16">
        <v>508.066</v>
      </c>
      <c r="M192" s="16">
        <v>527.504</v>
      </c>
      <c r="N192" s="16">
        <v>579.72</v>
      </c>
      <c r="O192" s="24">
        <v>33.0</v>
      </c>
      <c r="P192" s="18">
        <f t="shared" si="1"/>
        <v>508.066</v>
      </c>
    </row>
    <row r="193" ht="15.75" customHeight="1">
      <c r="A193" s="19" t="s">
        <v>206</v>
      </c>
      <c r="B193" s="19" t="s">
        <v>22</v>
      </c>
      <c r="C193" s="20" t="s">
        <v>33</v>
      </c>
      <c r="D193" s="14" t="str">
        <f>VLOOKUP(C193,'State Key'!$A$2:$B$210,2,False)</f>
        <v>West Bengal</v>
      </c>
      <c r="E193" s="21">
        <v>12.0</v>
      </c>
      <c r="F193" s="22">
        <v>5.058</v>
      </c>
      <c r="G193" s="22">
        <v>0.0</v>
      </c>
      <c r="H193" s="22">
        <v>0.0</v>
      </c>
      <c r="I193" s="22">
        <v>0.0</v>
      </c>
      <c r="J193" s="22">
        <v>0.0</v>
      </c>
      <c r="K193" s="22">
        <v>0.0</v>
      </c>
      <c r="L193" s="22">
        <v>5.058</v>
      </c>
      <c r="M193" s="22">
        <v>8.016</v>
      </c>
      <c r="N193" s="22">
        <v>1.47</v>
      </c>
      <c r="O193" s="17">
        <v>5.5</v>
      </c>
      <c r="P193" s="18">
        <f t="shared" si="1"/>
        <v>5.058</v>
      </c>
    </row>
    <row r="194" ht="15.75" customHeight="1">
      <c r="A194" s="13" t="s">
        <v>206</v>
      </c>
      <c r="B194" s="13" t="s">
        <v>22</v>
      </c>
      <c r="C194" s="14" t="s">
        <v>34</v>
      </c>
      <c r="D194" s="14" t="str">
        <f>VLOOKUP(C194,'State Key'!$A$2:$B$210,2,False)</f>
        <v>West Bengal</v>
      </c>
      <c r="E194" s="15">
        <v>1000.0</v>
      </c>
      <c r="F194" s="16">
        <v>418.031</v>
      </c>
      <c r="G194" s="16">
        <v>16.23</v>
      </c>
      <c r="H194" s="16">
        <v>0.0</v>
      </c>
      <c r="I194" s="16">
        <v>17.97</v>
      </c>
      <c r="J194" s="16">
        <v>0.0</v>
      </c>
      <c r="K194" s="16">
        <v>0.0</v>
      </c>
      <c r="L194" s="16">
        <v>452.231</v>
      </c>
      <c r="M194" s="16">
        <v>400.244</v>
      </c>
      <c r="N194" s="16">
        <v>153.128</v>
      </c>
      <c r="O194" s="23">
        <v>11.5</v>
      </c>
      <c r="P194" s="18">
        <f t="shared" si="1"/>
        <v>452.231</v>
      </c>
    </row>
    <row r="195" ht="15.75" customHeight="1">
      <c r="A195" s="19" t="s">
        <v>206</v>
      </c>
      <c r="B195" s="19" t="s">
        <v>22</v>
      </c>
      <c r="C195" s="20" t="s">
        <v>35</v>
      </c>
      <c r="D195" s="14" t="str">
        <f>VLOOKUP(C195,'State Key'!$A$2:$B$210,2,False)</f>
        <v>West Bengal</v>
      </c>
      <c r="E195" s="21">
        <v>2100.0</v>
      </c>
      <c r="F195" s="22">
        <v>767.29</v>
      </c>
      <c r="G195" s="22">
        <v>0.0</v>
      </c>
      <c r="H195" s="22">
        <v>69.05</v>
      </c>
      <c r="I195" s="22">
        <v>66.16</v>
      </c>
      <c r="J195" s="22">
        <v>0.0</v>
      </c>
      <c r="K195" s="22">
        <v>0.0</v>
      </c>
      <c r="L195" s="22">
        <v>902.5</v>
      </c>
      <c r="M195" s="22">
        <v>728.924</v>
      </c>
      <c r="N195" s="22">
        <v>371.492</v>
      </c>
      <c r="O195" s="24">
        <v>15.3</v>
      </c>
      <c r="P195" s="18">
        <f t="shared" si="1"/>
        <v>902.5</v>
      </c>
    </row>
    <row r="196" ht="15.75" customHeight="1">
      <c r="A196" s="13" t="s">
        <v>206</v>
      </c>
      <c r="B196" s="13" t="s">
        <v>22</v>
      </c>
      <c r="C196" s="14" t="s">
        <v>36</v>
      </c>
      <c r="D196" s="14" t="str">
        <f>VLOOKUP(C196,'State Key'!$A$2:$B$210,2,False)</f>
        <v>West Bengal</v>
      </c>
      <c r="E196" s="15">
        <v>600.0</v>
      </c>
      <c r="F196" s="16">
        <v>245.896</v>
      </c>
      <c r="G196" s="16">
        <v>0.0</v>
      </c>
      <c r="H196" s="16">
        <v>0.0</v>
      </c>
      <c r="I196" s="16">
        <v>0.0</v>
      </c>
      <c r="J196" s="16">
        <v>0.0</v>
      </c>
      <c r="K196" s="16">
        <v>34.301</v>
      </c>
      <c r="L196" s="16">
        <v>280.197</v>
      </c>
      <c r="M196" s="16">
        <v>288.388</v>
      </c>
      <c r="N196" s="16">
        <v>119.92</v>
      </c>
      <c r="O196" s="23">
        <v>12.5</v>
      </c>
      <c r="P196" s="18">
        <f t="shared" si="1"/>
        <v>280.197</v>
      </c>
    </row>
    <row r="197" ht="15.75" customHeight="1">
      <c r="A197" s="19" t="s">
        <v>206</v>
      </c>
      <c r="B197" s="19" t="s">
        <v>22</v>
      </c>
      <c r="C197" s="20" t="s">
        <v>37</v>
      </c>
      <c r="D197" s="14" t="str">
        <f>VLOOKUP(C197,'State Key'!$A$2:$B$210,2,False)</f>
        <v>West Bengal</v>
      </c>
      <c r="E197" s="21">
        <v>300.0</v>
      </c>
      <c r="F197" s="22">
        <v>68.901</v>
      </c>
      <c r="G197" s="22">
        <v>0.0</v>
      </c>
      <c r="H197" s="22">
        <v>0.0</v>
      </c>
      <c r="I197" s="22">
        <v>0.0</v>
      </c>
      <c r="J197" s="22">
        <v>0.0</v>
      </c>
      <c r="K197" s="22">
        <v>0.0</v>
      </c>
      <c r="L197" s="22">
        <v>68.901</v>
      </c>
      <c r="M197" s="22">
        <v>64.702</v>
      </c>
      <c r="N197" s="22">
        <v>42.81</v>
      </c>
      <c r="O197" s="24">
        <v>19.8</v>
      </c>
      <c r="P197" s="18">
        <f t="shared" si="1"/>
        <v>68.901</v>
      </c>
    </row>
    <row r="198" ht="15.75" customHeight="1">
      <c r="A198" s="13" t="s">
        <v>206</v>
      </c>
      <c r="B198" s="13" t="s">
        <v>22</v>
      </c>
      <c r="C198" s="14" t="s">
        <v>38</v>
      </c>
      <c r="D198" s="14" t="str">
        <f>VLOOKUP(C198,'State Key'!$A$2:$B$210,2,False)</f>
        <v>Odisha</v>
      </c>
      <c r="E198" s="15">
        <v>1740.0</v>
      </c>
      <c r="F198" s="16">
        <v>221.24</v>
      </c>
      <c r="G198" s="16">
        <v>0.0</v>
      </c>
      <c r="H198" s="16">
        <v>644.76</v>
      </c>
      <c r="I198" s="16">
        <v>0.0</v>
      </c>
      <c r="J198" s="16">
        <v>0.0</v>
      </c>
      <c r="K198" s="16">
        <v>0.0</v>
      </c>
      <c r="L198" s="16">
        <v>866.0</v>
      </c>
      <c r="M198" s="16">
        <v>842.0</v>
      </c>
      <c r="N198" s="16">
        <v>369.1</v>
      </c>
      <c r="O198" s="23">
        <v>13.2</v>
      </c>
      <c r="P198" s="18">
        <f t="shared" si="1"/>
        <v>866</v>
      </c>
    </row>
    <row r="199" ht="15.75" customHeight="1">
      <c r="A199" s="19" t="s">
        <v>206</v>
      </c>
      <c r="B199" s="19" t="s">
        <v>22</v>
      </c>
      <c r="C199" s="20" t="s">
        <v>39</v>
      </c>
      <c r="D199" s="14" t="str">
        <f>VLOOKUP(C199,'State Key'!$A$2:$B$210,2,False)</f>
        <v>Jharkhand</v>
      </c>
      <c r="E199" s="21">
        <v>240.0</v>
      </c>
      <c r="F199" s="22">
        <v>54.72</v>
      </c>
      <c r="G199" s="22">
        <v>0.0</v>
      </c>
      <c r="H199" s="22">
        <v>0.0</v>
      </c>
      <c r="I199" s="22">
        <v>0.0</v>
      </c>
      <c r="J199" s="22">
        <v>0.129</v>
      </c>
      <c r="K199" s="22">
        <v>0.0</v>
      </c>
      <c r="L199" s="22">
        <v>54.849</v>
      </c>
      <c r="M199" s="22">
        <v>106.46</v>
      </c>
      <c r="N199" s="22">
        <v>67.86</v>
      </c>
      <c r="O199" s="24">
        <v>19.1</v>
      </c>
      <c r="P199" s="18">
        <f t="shared" si="1"/>
        <v>54.849</v>
      </c>
    </row>
    <row r="200" ht="15.75" customHeight="1">
      <c r="A200" s="13" t="s">
        <v>206</v>
      </c>
      <c r="B200" s="13" t="s">
        <v>22</v>
      </c>
      <c r="C200" s="14" t="s">
        <v>40</v>
      </c>
      <c r="D200" s="14" t="str">
        <f>VLOOKUP(C200,'State Key'!$A$2:$B$210,2,False)</f>
        <v>Bihar</v>
      </c>
      <c r="E200" s="15">
        <v>2340.0</v>
      </c>
      <c r="F200" s="16">
        <v>896.85</v>
      </c>
      <c r="G200" s="16">
        <v>0.0</v>
      </c>
      <c r="H200" s="16">
        <v>0.0</v>
      </c>
      <c r="I200" s="16">
        <v>34.872</v>
      </c>
      <c r="J200" s="16">
        <v>0.0</v>
      </c>
      <c r="K200" s="16">
        <v>0.0</v>
      </c>
      <c r="L200" s="16">
        <v>931.722</v>
      </c>
      <c r="M200" s="16">
        <v>953.819</v>
      </c>
      <c r="N200" s="16">
        <v>471.102</v>
      </c>
      <c r="O200" s="24">
        <v>14.8</v>
      </c>
      <c r="P200" s="18">
        <f t="shared" si="1"/>
        <v>931.722</v>
      </c>
    </row>
    <row r="201" ht="15.75" customHeight="1">
      <c r="A201" s="19" t="s">
        <v>206</v>
      </c>
      <c r="B201" s="19" t="s">
        <v>22</v>
      </c>
      <c r="C201" s="20" t="s">
        <v>41</v>
      </c>
      <c r="D201" s="14" t="str">
        <f>VLOOKUP(C201,'State Key'!$A$2:$B$210,2,False)</f>
        <v>Odisha</v>
      </c>
      <c r="E201" s="21">
        <v>1050.0</v>
      </c>
      <c r="F201" s="22">
        <v>202.542</v>
      </c>
      <c r="G201" s="22">
        <v>0.0</v>
      </c>
      <c r="H201" s="22">
        <v>0.0</v>
      </c>
      <c r="I201" s="22">
        <v>0.0</v>
      </c>
      <c r="J201" s="22">
        <v>24.505</v>
      </c>
      <c r="K201" s="22">
        <v>286.943</v>
      </c>
      <c r="L201" s="22">
        <v>513.99</v>
      </c>
      <c r="M201" s="22">
        <v>455.913</v>
      </c>
      <c r="N201" s="22">
        <v>132.24</v>
      </c>
      <c r="O201" s="23">
        <v>8.7</v>
      </c>
      <c r="P201" s="18">
        <f t="shared" si="1"/>
        <v>513.99</v>
      </c>
    </row>
    <row r="202" ht="15.75" customHeight="1">
      <c r="A202" s="13" t="s">
        <v>206</v>
      </c>
      <c r="B202" s="13" t="s">
        <v>22</v>
      </c>
      <c r="C202" s="14" t="s">
        <v>42</v>
      </c>
      <c r="D202" s="14" t="str">
        <f>VLOOKUP(C202,'State Key'!$A$2:$B$210,2,False)</f>
        <v>Jharkhand</v>
      </c>
      <c r="E202" s="15">
        <v>1000.0</v>
      </c>
      <c r="F202" s="16">
        <v>392.327</v>
      </c>
      <c r="G202" s="16">
        <v>0.0</v>
      </c>
      <c r="H202" s="16">
        <v>0.0</v>
      </c>
      <c r="I202" s="16">
        <v>14.776</v>
      </c>
      <c r="J202" s="16">
        <v>0.0</v>
      </c>
      <c r="K202" s="16">
        <v>0.0</v>
      </c>
      <c r="L202" s="16">
        <v>407.103</v>
      </c>
      <c r="M202" s="16">
        <v>354.43</v>
      </c>
      <c r="N202" s="16">
        <v>313.866</v>
      </c>
      <c r="O202" s="24">
        <v>26.6</v>
      </c>
      <c r="P202" s="18">
        <f t="shared" si="1"/>
        <v>407.103</v>
      </c>
    </row>
    <row r="203" ht="15.75" customHeight="1">
      <c r="A203" s="19" t="s">
        <v>206</v>
      </c>
      <c r="B203" s="19" t="s">
        <v>22</v>
      </c>
      <c r="C203" s="20" t="s">
        <v>43</v>
      </c>
      <c r="D203" s="14" t="str">
        <f>VLOOKUP(C203,'State Key'!$A$2:$B$210,2,False)</f>
        <v>West Bengal</v>
      </c>
      <c r="E203" s="21">
        <v>840.0</v>
      </c>
      <c r="F203" s="22">
        <v>0.0</v>
      </c>
      <c r="G203" s="22">
        <v>0.0</v>
      </c>
      <c r="H203" s="22">
        <v>311.082</v>
      </c>
      <c r="I203" s="22">
        <v>0.0</v>
      </c>
      <c r="J203" s="22">
        <v>0.0</v>
      </c>
      <c r="K203" s="22">
        <v>0.0</v>
      </c>
      <c r="L203" s="22">
        <v>311.082</v>
      </c>
      <c r="M203" s="22">
        <v>318.346</v>
      </c>
      <c r="N203" s="22">
        <v>11.131</v>
      </c>
      <c r="O203" s="17">
        <v>1.0</v>
      </c>
      <c r="P203" s="18">
        <f t="shared" si="1"/>
        <v>311.082</v>
      </c>
    </row>
    <row r="204" ht="15.75" customHeight="1">
      <c r="A204" s="13" t="s">
        <v>206</v>
      </c>
      <c r="B204" s="13" t="s">
        <v>22</v>
      </c>
      <c r="C204" s="14" t="s">
        <v>44</v>
      </c>
      <c r="D204" s="14" t="str">
        <f>VLOOKUP(C204,'State Key'!$A$2:$B$210,2,False)</f>
        <v>Jharkhand</v>
      </c>
      <c r="E204" s="15">
        <v>540.0</v>
      </c>
      <c r="F204" s="16">
        <v>143.015</v>
      </c>
      <c r="G204" s="16">
        <v>0.0</v>
      </c>
      <c r="H204" s="16">
        <v>0.0</v>
      </c>
      <c r="I204" s="16">
        <v>0.0</v>
      </c>
      <c r="J204" s="16">
        <v>0.0</v>
      </c>
      <c r="K204" s="16">
        <v>0.0</v>
      </c>
      <c r="L204" s="16">
        <v>143.015</v>
      </c>
      <c r="M204" s="16">
        <v>129.117</v>
      </c>
      <c r="N204" s="16">
        <v>97.28</v>
      </c>
      <c r="O204" s="24">
        <v>22.6</v>
      </c>
      <c r="P204" s="18">
        <f t="shared" si="1"/>
        <v>143.015</v>
      </c>
    </row>
    <row r="205" ht="15.75" customHeight="1">
      <c r="A205" s="19" t="s">
        <v>206</v>
      </c>
      <c r="B205" s="19" t="s">
        <v>22</v>
      </c>
      <c r="C205" s="20" t="s">
        <v>45</v>
      </c>
      <c r="D205" s="14" t="str">
        <f>VLOOKUP(C205,'State Key'!$A$2:$B$210,2,False)</f>
        <v>Jharkhand</v>
      </c>
      <c r="E205" s="21">
        <v>1050.0</v>
      </c>
      <c r="F205" s="22">
        <v>430.667</v>
      </c>
      <c r="G205" s="22">
        <v>0.0</v>
      </c>
      <c r="H205" s="22">
        <v>0.0</v>
      </c>
      <c r="I205" s="22">
        <v>0.0</v>
      </c>
      <c r="J205" s="22">
        <v>0.0</v>
      </c>
      <c r="K205" s="22">
        <v>0.0</v>
      </c>
      <c r="L205" s="22">
        <v>430.667</v>
      </c>
      <c r="M205" s="22">
        <v>406.389</v>
      </c>
      <c r="N205" s="22">
        <v>477.304</v>
      </c>
      <c r="O205" s="24">
        <v>35.2</v>
      </c>
      <c r="P205" s="18">
        <f t="shared" si="1"/>
        <v>430.667</v>
      </c>
    </row>
    <row r="206" ht="15.75" customHeight="1">
      <c r="A206" s="13" t="s">
        <v>206</v>
      </c>
      <c r="B206" s="13" t="s">
        <v>22</v>
      </c>
      <c r="C206" s="14" t="s">
        <v>46</v>
      </c>
      <c r="D206" s="14" t="str">
        <f>VLOOKUP(C206,'State Key'!$A$2:$B$210,2,False)</f>
        <v>West Bengal</v>
      </c>
      <c r="E206" s="15">
        <v>2340.0</v>
      </c>
      <c r="F206" s="16">
        <v>835.677</v>
      </c>
      <c r="G206" s="16">
        <v>0.0</v>
      </c>
      <c r="H206" s="16">
        <v>0.0</v>
      </c>
      <c r="I206" s="16">
        <v>43.879</v>
      </c>
      <c r="J206" s="16">
        <v>0.0</v>
      </c>
      <c r="K206" s="16">
        <v>0.0</v>
      </c>
      <c r="L206" s="16">
        <v>879.556</v>
      </c>
      <c r="M206" s="16">
        <v>858.508</v>
      </c>
      <c r="N206" s="16">
        <v>191.424</v>
      </c>
      <c r="O206" s="17">
        <v>6.7</v>
      </c>
      <c r="P206" s="18">
        <f t="shared" si="1"/>
        <v>879.556</v>
      </c>
    </row>
    <row r="207" ht="15.75" customHeight="1">
      <c r="A207" s="19" t="s">
        <v>206</v>
      </c>
      <c r="B207" s="19" t="s">
        <v>22</v>
      </c>
      <c r="C207" s="20" t="s">
        <v>47</v>
      </c>
      <c r="D207" s="14" t="str">
        <f>VLOOKUP(C207,'State Key'!$A$2:$B$210,2,False)</f>
        <v>Bihar</v>
      </c>
      <c r="E207" s="21">
        <v>390.0</v>
      </c>
      <c r="F207" s="22">
        <v>3.587</v>
      </c>
      <c r="G207" s="22">
        <v>0.0</v>
      </c>
      <c r="H207" s="22">
        <v>178.142</v>
      </c>
      <c r="I207" s="22">
        <v>0.0</v>
      </c>
      <c r="J207" s="22">
        <v>0.0</v>
      </c>
      <c r="K207" s="22">
        <v>0.0</v>
      </c>
      <c r="L207" s="22">
        <v>181.729</v>
      </c>
      <c r="M207" s="22">
        <v>184.759</v>
      </c>
      <c r="N207" s="22">
        <v>52.74</v>
      </c>
      <c r="O207" s="23">
        <v>8.6</v>
      </c>
      <c r="P207" s="18">
        <f t="shared" si="1"/>
        <v>181.729</v>
      </c>
    </row>
    <row r="208" ht="15.75" customHeight="1">
      <c r="A208" s="13" t="s">
        <v>206</v>
      </c>
      <c r="B208" s="13" t="s">
        <v>22</v>
      </c>
      <c r="C208" s="14" t="s">
        <v>48</v>
      </c>
      <c r="D208" s="14" t="str">
        <f>VLOOKUP(C208,'State Key'!$A$2:$B$210,2,False)</f>
        <v>Bihar</v>
      </c>
      <c r="E208" s="15">
        <v>1980.0</v>
      </c>
      <c r="F208" s="16">
        <v>823.68</v>
      </c>
      <c r="G208" s="16">
        <v>0.0</v>
      </c>
      <c r="H208" s="16">
        <v>54.61</v>
      </c>
      <c r="I208" s="16">
        <v>35.4</v>
      </c>
      <c r="J208" s="16">
        <v>0.0</v>
      </c>
      <c r="K208" s="16">
        <v>0.0</v>
      </c>
      <c r="L208" s="16">
        <v>913.69</v>
      </c>
      <c r="M208" s="16">
        <v>784.76</v>
      </c>
      <c r="N208" s="16">
        <v>259.63</v>
      </c>
      <c r="O208" s="23">
        <v>9.9</v>
      </c>
      <c r="P208" s="18">
        <f t="shared" si="1"/>
        <v>913.69</v>
      </c>
    </row>
    <row r="209" ht="15.75" customHeight="1">
      <c r="A209" s="19" t="s">
        <v>206</v>
      </c>
      <c r="B209" s="19" t="s">
        <v>22</v>
      </c>
      <c r="C209" s="20" t="s">
        <v>49</v>
      </c>
      <c r="D209" s="14" t="str">
        <f>VLOOKUP(C209,'State Key'!$A$2:$B$210,2,False)</f>
        <v>Bihar</v>
      </c>
      <c r="E209" s="21">
        <v>1000.0</v>
      </c>
      <c r="F209" s="22">
        <v>406.0</v>
      </c>
      <c r="G209" s="22">
        <v>0.0</v>
      </c>
      <c r="H209" s="22">
        <v>0.0</v>
      </c>
      <c r="I209" s="22">
        <v>4.0</v>
      </c>
      <c r="J209" s="22">
        <v>0.0</v>
      </c>
      <c r="K209" s="22">
        <v>0.0</v>
      </c>
      <c r="L209" s="22">
        <v>410.0</v>
      </c>
      <c r="M209" s="22">
        <v>394.0</v>
      </c>
      <c r="N209" s="22">
        <v>72.61</v>
      </c>
      <c r="O209" s="17">
        <v>5.5</v>
      </c>
      <c r="P209" s="18">
        <f t="shared" si="1"/>
        <v>410</v>
      </c>
    </row>
    <row r="210" ht="15.75" customHeight="1">
      <c r="A210" s="13" t="s">
        <v>206</v>
      </c>
      <c r="B210" s="13" t="s">
        <v>22</v>
      </c>
      <c r="C210" s="14" t="s">
        <v>50</v>
      </c>
      <c r="D210" s="14" t="str">
        <f>VLOOKUP(C210,'State Key'!$A$2:$B$210,2,False)</f>
        <v>Jharkhand</v>
      </c>
      <c r="E210" s="15">
        <v>660.0</v>
      </c>
      <c r="F210" s="16">
        <v>377.02</v>
      </c>
      <c r="G210" s="16">
        <v>0.0</v>
      </c>
      <c r="H210" s="16">
        <v>0.0</v>
      </c>
      <c r="I210" s="16">
        <v>0.0</v>
      </c>
      <c r="J210" s="16">
        <v>0.0</v>
      </c>
      <c r="K210" s="16">
        <v>0.0</v>
      </c>
      <c r="L210" s="16">
        <v>377.02</v>
      </c>
      <c r="M210" s="16">
        <v>269.845</v>
      </c>
      <c r="N210" s="16">
        <v>203.157</v>
      </c>
      <c r="O210" s="24">
        <v>22.6</v>
      </c>
      <c r="P210" s="18">
        <f t="shared" si="1"/>
        <v>377.02</v>
      </c>
    </row>
    <row r="211" ht="15.75" customHeight="1">
      <c r="A211" s="19" t="s">
        <v>206</v>
      </c>
      <c r="B211" s="19" t="s">
        <v>22</v>
      </c>
      <c r="C211" s="20" t="s">
        <v>51</v>
      </c>
      <c r="D211" s="14" t="str">
        <f>VLOOKUP(C211,'State Key'!$A$2:$B$210,2,False)</f>
        <v>West Bengal</v>
      </c>
      <c r="E211" s="21">
        <v>1200.0</v>
      </c>
      <c r="F211" s="22">
        <v>518.325</v>
      </c>
      <c r="G211" s="22">
        <v>0.0</v>
      </c>
      <c r="H211" s="22">
        <v>0.0</v>
      </c>
      <c r="I211" s="22">
        <v>18.755</v>
      </c>
      <c r="J211" s="22">
        <v>0.0</v>
      </c>
      <c r="K211" s="22">
        <v>0.0</v>
      </c>
      <c r="L211" s="22">
        <v>537.08</v>
      </c>
      <c r="M211" s="22">
        <v>387.726</v>
      </c>
      <c r="N211" s="22">
        <v>364.132</v>
      </c>
      <c r="O211" s="24">
        <v>28.2</v>
      </c>
      <c r="P211" s="18">
        <f t="shared" si="1"/>
        <v>537.08</v>
      </c>
    </row>
    <row r="212" ht="15.75" customHeight="1">
      <c r="A212" s="13" t="s">
        <v>206</v>
      </c>
      <c r="B212" s="13" t="s">
        <v>22</v>
      </c>
      <c r="C212" s="14" t="s">
        <v>52</v>
      </c>
      <c r="D212" s="14" t="str">
        <f>VLOOKUP(C212,'State Key'!$A$2:$B$210,2,False)</f>
        <v>West Bengal</v>
      </c>
      <c r="E212" s="15">
        <v>1600.0</v>
      </c>
      <c r="F212" s="16">
        <v>0.0</v>
      </c>
      <c r="G212" s="16">
        <v>0.0</v>
      </c>
      <c r="H212" s="16">
        <v>560.334</v>
      </c>
      <c r="I212" s="16">
        <v>0.0</v>
      </c>
      <c r="J212" s="16">
        <v>0.0</v>
      </c>
      <c r="K212" s="16">
        <v>0.0</v>
      </c>
      <c r="L212" s="16">
        <v>560.334</v>
      </c>
      <c r="M212" s="16">
        <v>648.535</v>
      </c>
      <c r="N212" s="16">
        <v>16.048</v>
      </c>
      <c r="O212" s="17">
        <v>0.7</v>
      </c>
      <c r="P212" s="18">
        <f t="shared" si="1"/>
        <v>560.334</v>
      </c>
    </row>
    <row r="213" ht="15.75" customHeight="1">
      <c r="A213" s="19" t="s">
        <v>206</v>
      </c>
      <c r="B213" s="19" t="s">
        <v>22</v>
      </c>
      <c r="C213" s="20" t="s">
        <v>53</v>
      </c>
      <c r="D213" s="14" t="str">
        <f>VLOOKUP(C213,'State Key'!$A$2:$B$210,2,False)</f>
        <v>West Bengal</v>
      </c>
      <c r="E213" s="21">
        <v>500.0</v>
      </c>
      <c r="F213" s="22">
        <v>6.943</v>
      </c>
      <c r="G213" s="22">
        <v>0.0</v>
      </c>
      <c r="H213" s="22">
        <v>191.013</v>
      </c>
      <c r="I213" s="22">
        <v>0.0</v>
      </c>
      <c r="J213" s="22">
        <v>0.0</v>
      </c>
      <c r="K213" s="22">
        <v>0.0</v>
      </c>
      <c r="L213" s="22">
        <v>197.956</v>
      </c>
      <c r="M213" s="22">
        <v>237.073</v>
      </c>
      <c r="N213" s="22">
        <v>22.12</v>
      </c>
      <c r="O213" s="17">
        <v>2.8</v>
      </c>
      <c r="P213" s="18">
        <f t="shared" si="1"/>
        <v>197.956</v>
      </c>
    </row>
    <row r="214" ht="15.75" customHeight="1">
      <c r="A214" s="13" t="s">
        <v>206</v>
      </c>
      <c r="B214" s="13" t="s">
        <v>22</v>
      </c>
      <c r="C214" s="14" t="s">
        <v>54</v>
      </c>
      <c r="D214" s="14" t="str">
        <f>VLOOKUP(C214,'State Key'!$A$2:$B$210,2,False)</f>
        <v>West Bengal</v>
      </c>
      <c r="E214" s="15">
        <v>135.0</v>
      </c>
      <c r="F214" s="16">
        <v>39.339</v>
      </c>
      <c r="G214" s="16">
        <v>0.0</v>
      </c>
      <c r="H214" s="16">
        <v>0.0</v>
      </c>
      <c r="I214" s="16">
        <v>0.0</v>
      </c>
      <c r="J214" s="16">
        <v>0.0</v>
      </c>
      <c r="K214" s="16">
        <v>0.0</v>
      </c>
      <c r="L214" s="16">
        <v>39.339</v>
      </c>
      <c r="M214" s="16">
        <v>55.7</v>
      </c>
      <c r="N214" s="16">
        <v>34.21</v>
      </c>
      <c r="O214" s="24">
        <v>18.4</v>
      </c>
      <c r="P214" s="18">
        <f t="shared" si="1"/>
        <v>39.339</v>
      </c>
    </row>
    <row r="215" ht="15.75" customHeight="1">
      <c r="A215" s="19" t="s">
        <v>206</v>
      </c>
      <c r="B215" s="19" t="s">
        <v>22</v>
      </c>
      <c r="C215" s="20" t="s">
        <v>55</v>
      </c>
      <c r="D215" s="14" t="str">
        <f>VLOOKUP(C215,'State Key'!$A$2:$B$210,2,False)</f>
        <v>Odisha</v>
      </c>
      <c r="E215" s="21">
        <v>3000.0</v>
      </c>
      <c r="F215" s="22">
        <v>1423.79</v>
      </c>
      <c r="G215" s="22">
        <v>0.0</v>
      </c>
      <c r="H215" s="22">
        <v>11.19</v>
      </c>
      <c r="I215" s="22">
        <v>11.01</v>
      </c>
      <c r="J215" s="22">
        <v>0.0</v>
      </c>
      <c r="K215" s="22">
        <v>0.0</v>
      </c>
      <c r="L215" s="22">
        <v>1445.99</v>
      </c>
      <c r="M215" s="22">
        <v>1568.251</v>
      </c>
      <c r="N215" s="22">
        <v>168.833</v>
      </c>
      <c r="O215" s="17">
        <v>3.2</v>
      </c>
      <c r="P215" s="18">
        <f t="shared" si="1"/>
        <v>1445.99</v>
      </c>
    </row>
    <row r="216" ht="15.75" customHeight="1">
      <c r="A216" s="13" t="s">
        <v>206</v>
      </c>
      <c r="B216" s="13" t="s">
        <v>22</v>
      </c>
      <c r="C216" s="14" t="s">
        <v>56</v>
      </c>
      <c r="D216" s="14" t="str">
        <f>VLOOKUP(C216,'State Key'!$A$2:$B$210,2,False)</f>
        <v>Jharkhand</v>
      </c>
      <c r="E216" s="15">
        <v>420.0</v>
      </c>
      <c r="F216" s="16">
        <v>120.48</v>
      </c>
      <c r="G216" s="16">
        <v>0.0</v>
      </c>
      <c r="H216" s="16">
        <v>0.0</v>
      </c>
      <c r="I216" s="16">
        <v>0.0</v>
      </c>
      <c r="J216" s="16">
        <v>0.0</v>
      </c>
      <c r="K216" s="16">
        <v>0.0</v>
      </c>
      <c r="L216" s="16">
        <v>120.48</v>
      </c>
      <c r="M216" s="16">
        <v>151.85</v>
      </c>
      <c r="N216" s="16">
        <v>95.02</v>
      </c>
      <c r="O216" s="24">
        <v>18.8</v>
      </c>
      <c r="P216" s="18">
        <f t="shared" si="1"/>
        <v>120.48</v>
      </c>
    </row>
    <row r="217" ht="15.75" customHeight="1">
      <c r="A217" s="19" t="s">
        <v>206</v>
      </c>
      <c r="B217" s="19" t="s">
        <v>22</v>
      </c>
      <c r="C217" s="20" t="s">
        <v>57</v>
      </c>
      <c r="D217" s="14" t="str">
        <f>VLOOKUP(C217,'State Key'!$A$2:$B$210,2,False)</f>
        <v>West Bengal</v>
      </c>
      <c r="E217" s="21">
        <v>240.0</v>
      </c>
      <c r="F217" s="22">
        <v>0.0</v>
      </c>
      <c r="G217" s="22">
        <v>0.0</v>
      </c>
      <c r="H217" s="22">
        <v>0.0</v>
      </c>
      <c r="I217" s="22">
        <v>0.0</v>
      </c>
      <c r="J217" s="22">
        <v>0.0</v>
      </c>
      <c r="K217" s="22">
        <v>0.0</v>
      </c>
      <c r="L217" s="22">
        <v>0.0</v>
      </c>
      <c r="M217" s="22">
        <v>0.0</v>
      </c>
      <c r="N217" s="22">
        <v>0.0</v>
      </c>
      <c r="O217" s="19" t="s">
        <v>58</v>
      </c>
      <c r="P217" s="18">
        <f t="shared" si="1"/>
        <v>0</v>
      </c>
    </row>
    <row r="218" ht="15.75" customHeight="1">
      <c r="A218" s="13" t="s">
        <v>206</v>
      </c>
      <c r="B218" s="13" t="s">
        <v>22</v>
      </c>
      <c r="C218" s="14" t="s">
        <v>59</v>
      </c>
      <c r="D218" s="14" t="str">
        <f>VLOOKUP(C218,'State Key'!$A$2:$B$210,2,False)</f>
        <v>Odisha</v>
      </c>
      <c r="E218" s="15">
        <v>350.0</v>
      </c>
      <c r="F218" s="16">
        <v>0.0</v>
      </c>
      <c r="G218" s="16">
        <v>0.0</v>
      </c>
      <c r="H218" s="16">
        <v>0.0</v>
      </c>
      <c r="I218" s="16">
        <v>0.0</v>
      </c>
      <c r="J218" s="16">
        <v>0.0</v>
      </c>
      <c r="K218" s="16">
        <v>0.0</v>
      </c>
      <c r="L218" s="16">
        <v>0.0</v>
      </c>
      <c r="M218" s="16">
        <v>0.0</v>
      </c>
      <c r="N218" s="16">
        <v>0.0</v>
      </c>
      <c r="O218" s="13" t="s">
        <v>58</v>
      </c>
      <c r="P218" s="18">
        <f t="shared" si="1"/>
        <v>0</v>
      </c>
    </row>
    <row r="219" ht="15.75" customHeight="1">
      <c r="A219" s="19" t="s">
        <v>206</v>
      </c>
      <c r="B219" s="19" t="s">
        <v>22</v>
      </c>
      <c r="C219" s="20" t="s">
        <v>60</v>
      </c>
      <c r="D219" s="14" t="str">
        <f>VLOOKUP(C219,'State Key'!$A$2:$B$210,2,False)</f>
        <v>Odisha</v>
      </c>
      <c r="E219" s="21">
        <v>600.0</v>
      </c>
      <c r="F219" s="22">
        <v>186.1</v>
      </c>
      <c r="G219" s="22">
        <v>0.0</v>
      </c>
      <c r="H219" s="22">
        <v>0.0</v>
      </c>
      <c r="I219" s="22">
        <v>0.0</v>
      </c>
      <c r="J219" s="22">
        <v>0.0</v>
      </c>
      <c r="K219" s="22">
        <v>0.0</v>
      </c>
      <c r="L219" s="22">
        <v>186.1</v>
      </c>
      <c r="M219" s="22">
        <v>181.62</v>
      </c>
      <c r="N219" s="22">
        <v>152.71</v>
      </c>
      <c r="O219" s="24">
        <v>25.2</v>
      </c>
      <c r="P219" s="18">
        <f t="shared" si="1"/>
        <v>186.1</v>
      </c>
    </row>
    <row r="220" ht="15.75" customHeight="1">
      <c r="A220" s="13" t="s">
        <v>206</v>
      </c>
      <c r="B220" s="13" t="s">
        <v>61</v>
      </c>
      <c r="C220" s="14" t="s">
        <v>62</v>
      </c>
      <c r="D220" s="14" t="str">
        <f>VLOOKUP(C220,'State Key'!$A$2:$B$210,2,False)</f>
        <v>Uttar Pradesh</v>
      </c>
      <c r="E220" s="15">
        <v>1200.0</v>
      </c>
      <c r="F220" s="16">
        <v>463.908</v>
      </c>
      <c r="G220" s="16">
        <v>0.0</v>
      </c>
      <c r="H220" s="16">
        <v>0.0</v>
      </c>
      <c r="I220" s="16">
        <v>0.0</v>
      </c>
      <c r="J220" s="16">
        <v>0.0</v>
      </c>
      <c r="K220" s="16">
        <v>0.0</v>
      </c>
      <c r="L220" s="16">
        <v>463.908</v>
      </c>
      <c r="M220" s="16">
        <v>456.986</v>
      </c>
      <c r="N220" s="16">
        <v>100.08</v>
      </c>
      <c r="O220" s="17">
        <v>6.6</v>
      </c>
      <c r="P220" s="18">
        <f t="shared" si="1"/>
        <v>463.908</v>
      </c>
    </row>
    <row r="221" ht="15.75" customHeight="1">
      <c r="A221" s="19" t="s">
        <v>206</v>
      </c>
      <c r="B221" s="19" t="s">
        <v>61</v>
      </c>
      <c r="C221" s="20" t="s">
        <v>63</v>
      </c>
      <c r="D221" s="14" t="str">
        <f>VLOOKUP(C221,'State Key'!$A$2:$B$210,2,False)</f>
        <v>Uttar Pradesh</v>
      </c>
      <c r="E221" s="21">
        <v>2630.0</v>
      </c>
      <c r="F221" s="22">
        <v>929.518</v>
      </c>
      <c r="G221" s="22">
        <v>0.0</v>
      </c>
      <c r="H221" s="22">
        <v>0.0</v>
      </c>
      <c r="I221" s="22">
        <v>0.0</v>
      </c>
      <c r="J221" s="22">
        <v>0.0</v>
      </c>
      <c r="K221" s="22">
        <v>0.0</v>
      </c>
      <c r="L221" s="22">
        <v>929.518</v>
      </c>
      <c r="M221" s="22">
        <v>1051.536</v>
      </c>
      <c r="N221" s="22">
        <v>803.91</v>
      </c>
      <c r="O221" s="24">
        <v>22.9</v>
      </c>
      <c r="P221" s="18">
        <f t="shared" si="1"/>
        <v>929.518</v>
      </c>
    </row>
    <row r="222" ht="15.75" customHeight="1">
      <c r="A222" s="13" t="s">
        <v>206</v>
      </c>
      <c r="B222" s="13" t="s">
        <v>61</v>
      </c>
      <c r="C222" s="14" t="s">
        <v>64</v>
      </c>
      <c r="D222" s="14" t="str">
        <f>VLOOKUP(C222,'State Key'!$A$2:$B$210,2,False)</f>
        <v>Uttar Pradesh</v>
      </c>
      <c r="E222" s="15">
        <v>90.0</v>
      </c>
      <c r="F222" s="16">
        <v>16.01</v>
      </c>
      <c r="G222" s="16">
        <v>0.0</v>
      </c>
      <c r="H222" s="16">
        <v>0.0</v>
      </c>
      <c r="I222" s="16">
        <v>0.0</v>
      </c>
      <c r="J222" s="16">
        <v>0.0</v>
      </c>
      <c r="K222" s="16">
        <v>0.0</v>
      </c>
      <c r="L222" s="16">
        <v>16.01</v>
      </c>
      <c r="M222" s="16">
        <v>21.65</v>
      </c>
      <c r="N222" s="16">
        <v>55.46</v>
      </c>
      <c r="O222" s="24">
        <v>76.8</v>
      </c>
      <c r="P222" s="18">
        <f t="shared" si="1"/>
        <v>16.01</v>
      </c>
    </row>
    <row r="223" ht="15.75" customHeight="1">
      <c r="A223" s="19" t="s">
        <v>206</v>
      </c>
      <c r="B223" s="19" t="s">
        <v>61</v>
      </c>
      <c r="C223" s="20" t="s">
        <v>65</v>
      </c>
      <c r="D223" s="14" t="str">
        <f>VLOOKUP(C223,'State Key'!$A$2:$B$210,2,False)</f>
        <v>Rajasthan</v>
      </c>
      <c r="E223" s="21">
        <v>500.0</v>
      </c>
      <c r="F223" s="22">
        <v>215.307</v>
      </c>
      <c r="G223" s="22">
        <v>0.0</v>
      </c>
      <c r="H223" s="22">
        <v>0.0</v>
      </c>
      <c r="I223" s="22">
        <v>0.0</v>
      </c>
      <c r="J223" s="22">
        <v>0.0</v>
      </c>
      <c r="K223" s="22">
        <v>0.0</v>
      </c>
      <c r="L223" s="22">
        <v>215.307</v>
      </c>
      <c r="M223" s="22">
        <v>299.456</v>
      </c>
      <c r="N223" s="22">
        <v>74.598</v>
      </c>
      <c r="O223" s="23">
        <v>7.5</v>
      </c>
      <c r="P223" s="18">
        <f t="shared" si="1"/>
        <v>215.307</v>
      </c>
    </row>
    <row r="224" ht="15.75" customHeight="1">
      <c r="A224" s="13" t="s">
        <v>206</v>
      </c>
      <c r="B224" s="13" t="s">
        <v>61</v>
      </c>
      <c r="C224" s="14" t="s">
        <v>66</v>
      </c>
      <c r="D224" s="14" t="str">
        <f>VLOOKUP(C224,'State Key'!$A$2:$B$210,2,False)</f>
        <v>Rajasthan</v>
      </c>
      <c r="E224" s="15">
        <v>500.0</v>
      </c>
      <c r="F224" s="16">
        <v>3.652</v>
      </c>
      <c r="G224" s="16">
        <v>0.0</v>
      </c>
      <c r="H224" s="16">
        <v>107.231</v>
      </c>
      <c r="I224" s="16">
        <v>0.0</v>
      </c>
      <c r="J224" s="16">
        <v>0.0</v>
      </c>
      <c r="K224" s="16">
        <v>0.0</v>
      </c>
      <c r="L224" s="16">
        <v>110.883</v>
      </c>
      <c r="M224" s="16">
        <v>67.816</v>
      </c>
      <c r="N224" s="16">
        <v>47.414</v>
      </c>
      <c r="O224" s="24">
        <v>21.0</v>
      </c>
      <c r="P224" s="18">
        <f t="shared" si="1"/>
        <v>110.883</v>
      </c>
    </row>
    <row r="225" ht="15.75" customHeight="1">
      <c r="A225" s="19" t="s">
        <v>206</v>
      </c>
      <c r="B225" s="19" t="s">
        <v>61</v>
      </c>
      <c r="C225" s="20" t="s">
        <v>67</v>
      </c>
      <c r="D225" s="14" t="str">
        <f>VLOOKUP(C225,'State Key'!$A$2:$B$210,2,False)</f>
        <v>Rajasthan</v>
      </c>
      <c r="E225" s="21">
        <v>1320.0</v>
      </c>
      <c r="F225" s="22">
        <v>109.12</v>
      </c>
      <c r="G225" s="22">
        <v>0.0</v>
      </c>
      <c r="H225" s="22">
        <v>329.874</v>
      </c>
      <c r="I225" s="22">
        <v>0.0</v>
      </c>
      <c r="J225" s="22">
        <v>0.0</v>
      </c>
      <c r="K225" s="22">
        <v>0.0</v>
      </c>
      <c r="L225" s="22">
        <v>438.994</v>
      </c>
      <c r="M225" s="22">
        <v>418.0191</v>
      </c>
      <c r="N225" s="22">
        <v>100.28</v>
      </c>
      <c r="O225" s="23">
        <v>7.2</v>
      </c>
      <c r="P225" s="18">
        <f t="shared" si="1"/>
        <v>438.994</v>
      </c>
    </row>
    <row r="226" ht="15.75" customHeight="1">
      <c r="A226" s="13" t="s">
        <v>206</v>
      </c>
      <c r="B226" s="13" t="s">
        <v>61</v>
      </c>
      <c r="C226" s="14" t="s">
        <v>68</v>
      </c>
      <c r="D226" s="14" t="str">
        <f>VLOOKUP(C226,'State Key'!$A$2:$B$210,2,False)</f>
        <v>Uttar Pradesh</v>
      </c>
      <c r="E226" s="15">
        <v>1820.0</v>
      </c>
      <c r="F226" s="16">
        <v>495.96</v>
      </c>
      <c r="G226" s="16">
        <v>0.0</v>
      </c>
      <c r="H226" s="16">
        <v>3.91</v>
      </c>
      <c r="I226" s="16">
        <v>63.694</v>
      </c>
      <c r="J226" s="16">
        <v>0.0</v>
      </c>
      <c r="K226" s="16">
        <v>0.0</v>
      </c>
      <c r="L226" s="16">
        <v>563.564</v>
      </c>
      <c r="M226" s="16">
        <v>474.379</v>
      </c>
      <c r="N226" s="16">
        <v>376.155</v>
      </c>
      <c r="O226" s="24">
        <v>23.8</v>
      </c>
      <c r="P226" s="18">
        <f t="shared" si="1"/>
        <v>563.564</v>
      </c>
    </row>
    <row r="227" ht="15.75" customHeight="1">
      <c r="A227" s="19" t="s">
        <v>206</v>
      </c>
      <c r="B227" s="19" t="s">
        <v>61</v>
      </c>
      <c r="C227" s="20" t="s">
        <v>69</v>
      </c>
      <c r="D227" s="14" t="str">
        <f>VLOOKUP(C227,'State Key'!$A$2:$B$210,2,False)</f>
        <v>Punjab</v>
      </c>
      <c r="E227" s="21">
        <v>920.0</v>
      </c>
      <c r="F227" s="22">
        <v>80.565</v>
      </c>
      <c r="G227" s="22">
        <v>0.0</v>
      </c>
      <c r="H227" s="22">
        <v>165.757</v>
      </c>
      <c r="I227" s="22">
        <v>0.0</v>
      </c>
      <c r="J227" s="22">
        <v>0.0</v>
      </c>
      <c r="K227" s="22">
        <v>0.0</v>
      </c>
      <c r="L227" s="22">
        <v>246.322</v>
      </c>
      <c r="M227" s="22">
        <v>154.67</v>
      </c>
      <c r="N227" s="22">
        <v>466.63</v>
      </c>
      <c r="O227" s="24">
        <v>90.5</v>
      </c>
      <c r="P227" s="18">
        <f t="shared" si="1"/>
        <v>246.322</v>
      </c>
    </row>
    <row r="228" ht="15.75" customHeight="1">
      <c r="A228" s="13" t="s">
        <v>206</v>
      </c>
      <c r="B228" s="13" t="s">
        <v>61</v>
      </c>
      <c r="C228" s="14" t="s">
        <v>70</v>
      </c>
      <c r="D228" s="14" t="str">
        <f>VLOOKUP(C228,'State Key'!$A$2:$B$210,2,False)</f>
        <v>Punjab</v>
      </c>
      <c r="E228" s="15">
        <v>540.0</v>
      </c>
      <c r="F228" s="16">
        <v>136.2318</v>
      </c>
      <c r="G228" s="16">
        <v>0.0</v>
      </c>
      <c r="H228" s="16">
        <v>0.0</v>
      </c>
      <c r="I228" s="16">
        <v>0.0</v>
      </c>
      <c r="J228" s="16">
        <v>0.0</v>
      </c>
      <c r="K228" s="16">
        <v>0.0</v>
      </c>
      <c r="L228" s="16">
        <v>136.2318</v>
      </c>
      <c r="M228" s="16">
        <v>141.15</v>
      </c>
      <c r="N228" s="16">
        <v>59.9</v>
      </c>
      <c r="O228" s="23">
        <v>12.7</v>
      </c>
      <c r="P228" s="18">
        <f t="shared" si="1"/>
        <v>136.2318</v>
      </c>
    </row>
    <row r="229" ht="15.75" customHeight="1">
      <c r="A229" s="19" t="s">
        <v>206</v>
      </c>
      <c r="B229" s="19" t="s">
        <v>61</v>
      </c>
      <c r="C229" s="20" t="s">
        <v>71</v>
      </c>
      <c r="D229" s="14" t="str">
        <f>VLOOKUP(C229,'State Key'!$A$2:$B$210,2,False)</f>
        <v>Uttar Pradesh</v>
      </c>
      <c r="E229" s="21">
        <v>1265.0</v>
      </c>
      <c r="F229" s="22">
        <v>233.013</v>
      </c>
      <c r="G229" s="22">
        <v>0.0</v>
      </c>
      <c r="H229" s="22">
        <v>0.0</v>
      </c>
      <c r="I229" s="22">
        <v>0.0</v>
      </c>
      <c r="J229" s="22">
        <v>0.0</v>
      </c>
      <c r="K229" s="22">
        <v>0.0</v>
      </c>
      <c r="L229" s="22">
        <v>233.013</v>
      </c>
      <c r="M229" s="22">
        <v>371.761</v>
      </c>
      <c r="N229" s="22">
        <v>86.73</v>
      </c>
      <c r="O229" s="23">
        <v>7.0</v>
      </c>
      <c r="P229" s="18">
        <f t="shared" si="1"/>
        <v>233.013</v>
      </c>
    </row>
    <row r="230" ht="15.75" customHeight="1">
      <c r="A230" s="13" t="s">
        <v>206</v>
      </c>
      <c r="B230" s="13" t="s">
        <v>61</v>
      </c>
      <c r="C230" s="14" t="s">
        <v>72</v>
      </c>
      <c r="D230" s="14" t="str">
        <f>VLOOKUP(C230,'State Key'!$A$2:$B$210,2,False)</f>
        <v>Haryana</v>
      </c>
      <c r="E230" s="15">
        <v>1500.0</v>
      </c>
      <c r="F230" s="16">
        <v>605.37</v>
      </c>
      <c r="G230" s="16">
        <v>0.0</v>
      </c>
      <c r="H230" s="16">
        <v>0.0</v>
      </c>
      <c r="I230" s="16">
        <v>24.15</v>
      </c>
      <c r="J230" s="16">
        <v>0.07</v>
      </c>
      <c r="K230" s="16">
        <v>0.0</v>
      </c>
      <c r="L230" s="16">
        <v>629.59</v>
      </c>
      <c r="M230" s="16">
        <v>321.965</v>
      </c>
      <c r="N230" s="16">
        <v>563.61</v>
      </c>
      <c r="O230" s="24">
        <v>52.5</v>
      </c>
      <c r="P230" s="18">
        <f t="shared" si="1"/>
        <v>629.59</v>
      </c>
    </row>
    <row r="231" ht="15.75" customHeight="1">
      <c r="A231" s="19" t="s">
        <v>206</v>
      </c>
      <c r="B231" s="19" t="s">
        <v>61</v>
      </c>
      <c r="C231" s="20" t="s">
        <v>73</v>
      </c>
      <c r="D231" s="14" t="str">
        <f>VLOOKUP(C231,'State Key'!$A$2:$B$210,2,False)</f>
        <v>Rajasthan</v>
      </c>
      <c r="E231" s="21">
        <v>1200.0</v>
      </c>
      <c r="F231" s="22">
        <v>42.74452</v>
      </c>
      <c r="G231" s="22">
        <v>0.0</v>
      </c>
      <c r="H231" s="22">
        <v>326.392</v>
      </c>
      <c r="I231" s="22">
        <v>0.0</v>
      </c>
      <c r="J231" s="22">
        <v>0.0</v>
      </c>
      <c r="K231" s="22">
        <v>0.0</v>
      </c>
      <c r="L231" s="22">
        <v>369.13652</v>
      </c>
      <c r="M231" s="22">
        <v>386.543</v>
      </c>
      <c r="N231" s="22">
        <v>175.65</v>
      </c>
      <c r="O231" s="23">
        <v>13.6</v>
      </c>
      <c r="P231" s="18">
        <f t="shared" si="1"/>
        <v>369.13652</v>
      </c>
    </row>
    <row r="232" ht="15.75" customHeight="1">
      <c r="A232" s="13" t="s">
        <v>206</v>
      </c>
      <c r="B232" s="13" t="s">
        <v>61</v>
      </c>
      <c r="C232" s="14" t="s">
        <v>74</v>
      </c>
      <c r="D232" s="14" t="str">
        <f>VLOOKUP(C232,'State Key'!$A$2:$B$210,2,False)</f>
        <v>Rajasthan</v>
      </c>
      <c r="E232" s="15">
        <v>1320.0</v>
      </c>
      <c r="F232" s="16">
        <v>203.94</v>
      </c>
      <c r="G232" s="16">
        <v>0.0</v>
      </c>
      <c r="H232" s="16">
        <v>0.0</v>
      </c>
      <c r="I232" s="16">
        <v>0.0</v>
      </c>
      <c r="J232" s="16">
        <v>0.0</v>
      </c>
      <c r="K232" s="16">
        <v>0.0</v>
      </c>
      <c r="L232" s="16">
        <v>203.94</v>
      </c>
      <c r="M232" s="16">
        <v>407.245</v>
      </c>
      <c r="N232" s="16">
        <v>258.04</v>
      </c>
      <c r="O232" s="24">
        <v>19.0</v>
      </c>
      <c r="P232" s="18">
        <f t="shared" si="1"/>
        <v>203.94</v>
      </c>
    </row>
    <row r="233" ht="15.75" customHeight="1">
      <c r="A233" s="19" t="s">
        <v>206</v>
      </c>
      <c r="B233" s="19" t="s">
        <v>61</v>
      </c>
      <c r="C233" s="20" t="s">
        <v>75</v>
      </c>
      <c r="D233" s="14" t="str">
        <f>VLOOKUP(C233,'State Key'!$A$2:$B$210,2,False)</f>
        <v>Uttar Pradesh</v>
      </c>
      <c r="E233" s="21">
        <v>90.0</v>
      </c>
      <c r="F233" s="22">
        <v>8.11</v>
      </c>
      <c r="G233" s="22">
        <v>0.0</v>
      </c>
      <c r="H233" s="22">
        <v>0.0</v>
      </c>
      <c r="I233" s="22">
        <v>0.0</v>
      </c>
      <c r="J233" s="22">
        <v>0.0</v>
      </c>
      <c r="K233" s="22">
        <v>0.0</v>
      </c>
      <c r="L233" s="22">
        <v>8.11</v>
      </c>
      <c r="M233" s="22">
        <v>20.96</v>
      </c>
      <c r="N233" s="22">
        <v>75.0</v>
      </c>
      <c r="O233" s="24">
        <v>107.3</v>
      </c>
      <c r="P233" s="18">
        <f t="shared" si="1"/>
        <v>8.11</v>
      </c>
    </row>
    <row r="234" ht="15.75" customHeight="1">
      <c r="A234" s="13" t="s">
        <v>206</v>
      </c>
      <c r="B234" s="13" t="s">
        <v>61</v>
      </c>
      <c r="C234" s="14" t="s">
        <v>76</v>
      </c>
      <c r="D234" s="14" t="str">
        <f>VLOOKUP(C234,'State Key'!$A$2:$B$210,2,False)</f>
        <v>Rajasthan</v>
      </c>
      <c r="E234" s="15">
        <v>1240.0</v>
      </c>
      <c r="F234" s="16">
        <v>501.5988</v>
      </c>
      <c r="G234" s="16">
        <v>0.0</v>
      </c>
      <c r="H234" s="16">
        <v>0.0</v>
      </c>
      <c r="I234" s="16">
        <v>0.0</v>
      </c>
      <c r="J234" s="16">
        <v>0.0</v>
      </c>
      <c r="K234" s="16">
        <v>0.0</v>
      </c>
      <c r="L234" s="16">
        <v>501.5988</v>
      </c>
      <c r="M234" s="16">
        <v>534.322</v>
      </c>
      <c r="N234" s="16">
        <v>147.93</v>
      </c>
      <c r="O234" s="23">
        <v>8.3</v>
      </c>
      <c r="P234" s="18">
        <f t="shared" si="1"/>
        <v>501.5988</v>
      </c>
    </row>
    <row r="235" ht="15.75" customHeight="1">
      <c r="A235" s="19" t="s">
        <v>206</v>
      </c>
      <c r="B235" s="19" t="s">
        <v>61</v>
      </c>
      <c r="C235" s="20" t="s">
        <v>77</v>
      </c>
      <c r="D235" s="14" t="str">
        <f>VLOOKUP(C235,'State Key'!$A$2:$B$210,2,False)</f>
        <v>Uttar Pradesh</v>
      </c>
      <c r="E235" s="21">
        <v>90.0</v>
      </c>
      <c r="F235" s="22">
        <v>11.76</v>
      </c>
      <c r="G235" s="22">
        <v>0.0</v>
      </c>
      <c r="H235" s="22">
        <v>0.0</v>
      </c>
      <c r="I235" s="22">
        <v>0.0</v>
      </c>
      <c r="J235" s="22">
        <v>0.0</v>
      </c>
      <c r="K235" s="22">
        <v>0.0</v>
      </c>
      <c r="L235" s="22">
        <v>11.76</v>
      </c>
      <c r="M235" s="22">
        <v>22.74</v>
      </c>
      <c r="N235" s="22">
        <v>69.67</v>
      </c>
      <c r="O235" s="24">
        <v>91.9</v>
      </c>
      <c r="P235" s="18">
        <f t="shared" si="1"/>
        <v>11.76</v>
      </c>
    </row>
    <row r="236" ht="15.75" customHeight="1">
      <c r="A236" s="13" t="s">
        <v>206</v>
      </c>
      <c r="B236" s="13" t="s">
        <v>61</v>
      </c>
      <c r="C236" s="14" t="s">
        <v>78</v>
      </c>
      <c r="D236" s="14" t="str">
        <f>VLOOKUP(C236,'State Key'!$A$2:$B$210,2,False)</f>
        <v>Uttar Pradesh</v>
      </c>
      <c r="E236" s="15">
        <v>1980.0</v>
      </c>
      <c r="F236" s="16">
        <v>611.24</v>
      </c>
      <c r="G236" s="16">
        <v>0.0</v>
      </c>
      <c r="H236" s="16">
        <v>0.0</v>
      </c>
      <c r="I236" s="16">
        <v>0.0</v>
      </c>
      <c r="J236" s="16">
        <v>0.0</v>
      </c>
      <c r="K236" s="16">
        <v>0.0</v>
      </c>
      <c r="L236" s="16">
        <v>611.24</v>
      </c>
      <c r="M236" s="16">
        <v>767.587</v>
      </c>
      <c r="N236" s="16">
        <v>507.34</v>
      </c>
      <c r="O236" s="24">
        <v>19.8</v>
      </c>
      <c r="P236" s="18">
        <f t="shared" si="1"/>
        <v>611.24</v>
      </c>
    </row>
    <row r="237" ht="15.75" customHeight="1">
      <c r="A237" s="19" t="s">
        <v>206</v>
      </c>
      <c r="B237" s="19" t="s">
        <v>61</v>
      </c>
      <c r="C237" s="20" t="s">
        <v>79</v>
      </c>
      <c r="D237" s="14" t="str">
        <f>VLOOKUP(C237,'State Key'!$A$2:$B$210,2,False)</f>
        <v>Haryana</v>
      </c>
      <c r="E237" s="21">
        <v>1320.0</v>
      </c>
      <c r="F237" s="22">
        <v>289.623</v>
      </c>
      <c r="G237" s="22">
        <v>0.0</v>
      </c>
      <c r="H237" s="22">
        <v>0.0</v>
      </c>
      <c r="I237" s="22">
        <v>0.0</v>
      </c>
      <c r="J237" s="22">
        <v>0.0</v>
      </c>
      <c r="K237" s="22">
        <v>0.0</v>
      </c>
      <c r="L237" s="22">
        <v>289.623</v>
      </c>
      <c r="M237" s="22">
        <v>426.964</v>
      </c>
      <c r="N237" s="22">
        <v>353.74</v>
      </c>
      <c r="O237" s="24">
        <v>24.9</v>
      </c>
      <c r="P237" s="18">
        <f t="shared" si="1"/>
        <v>289.623</v>
      </c>
    </row>
    <row r="238" ht="15.75" customHeight="1">
      <c r="A238" s="13" t="s">
        <v>206</v>
      </c>
      <c r="B238" s="13" t="s">
        <v>61</v>
      </c>
      <c r="C238" s="14" t="s">
        <v>80</v>
      </c>
      <c r="D238" s="14" t="str">
        <f>VLOOKUP(C238,'State Key'!$A$2:$B$210,2,False)</f>
        <v>Uttar Pradesh</v>
      </c>
      <c r="E238" s="15">
        <v>90.0</v>
      </c>
      <c r="F238" s="16">
        <v>11.99</v>
      </c>
      <c r="G238" s="16">
        <v>0.0</v>
      </c>
      <c r="H238" s="16">
        <v>0.0</v>
      </c>
      <c r="I238" s="16">
        <v>0.0</v>
      </c>
      <c r="J238" s="16">
        <v>0.0</v>
      </c>
      <c r="K238" s="16">
        <v>0.0</v>
      </c>
      <c r="L238" s="16">
        <v>11.99</v>
      </c>
      <c r="M238" s="16">
        <v>22.21</v>
      </c>
      <c r="N238" s="16">
        <v>62.66</v>
      </c>
      <c r="O238" s="24">
        <v>84.6</v>
      </c>
      <c r="P238" s="18">
        <f t="shared" si="1"/>
        <v>11.99</v>
      </c>
    </row>
    <row r="239" ht="15.75" customHeight="1">
      <c r="A239" s="19" t="s">
        <v>206</v>
      </c>
      <c r="B239" s="19" t="s">
        <v>61</v>
      </c>
      <c r="C239" s="20" t="s">
        <v>81</v>
      </c>
      <c r="D239" s="14" t="str">
        <f>VLOOKUP(C239,'State Key'!$A$2:$B$210,2,False)</f>
        <v>Uttar Pradesh</v>
      </c>
      <c r="E239" s="21">
        <v>1320.0</v>
      </c>
      <c r="F239" s="22">
        <v>454.0225</v>
      </c>
      <c r="G239" s="22">
        <v>0.0</v>
      </c>
      <c r="H239" s="22">
        <v>0.0</v>
      </c>
      <c r="I239" s="22">
        <v>63.3791</v>
      </c>
      <c r="J239" s="22">
        <v>0.0</v>
      </c>
      <c r="K239" s="22">
        <v>0.0</v>
      </c>
      <c r="L239" s="22">
        <v>517.4016</v>
      </c>
      <c r="M239" s="22">
        <v>406.365</v>
      </c>
      <c r="N239" s="22">
        <v>453.7</v>
      </c>
      <c r="O239" s="24">
        <v>33.5</v>
      </c>
      <c r="P239" s="18">
        <f t="shared" si="1"/>
        <v>517.4016</v>
      </c>
    </row>
    <row r="240" ht="15.75" customHeight="1">
      <c r="A240" s="13" t="s">
        <v>206</v>
      </c>
      <c r="B240" s="13" t="s">
        <v>61</v>
      </c>
      <c r="C240" s="14" t="s">
        <v>82</v>
      </c>
      <c r="D240" s="14" t="str">
        <f>VLOOKUP(C240,'State Key'!$A$2:$B$210,2,False)</f>
        <v>Uttar Pradesh</v>
      </c>
      <c r="E240" s="15">
        <v>1000.0</v>
      </c>
      <c r="F240" s="16">
        <v>252.715</v>
      </c>
      <c r="G240" s="16">
        <v>0.0</v>
      </c>
      <c r="H240" s="16">
        <v>0.0</v>
      </c>
      <c r="I240" s="16">
        <v>0.0</v>
      </c>
      <c r="J240" s="16">
        <v>0.0</v>
      </c>
      <c r="K240" s="16">
        <v>0.0</v>
      </c>
      <c r="L240" s="16">
        <v>252.715</v>
      </c>
      <c r="M240" s="16">
        <v>272.642</v>
      </c>
      <c r="N240" s="16">
        <v>145.66</v>
      </c>
      <c r="O240" s="24">
        <v>16.0</v>
      </c>
      <c r="P240" s="18">
        <f t="shared" si="1"/>
        <v>252.715</v>
      </c>
    </row>
    <row r="241" ht="15.75" customHeight="1">
      <c r="A241" s="19" t="s">
        <v>206</v>
      </c>
      <c r="B241" s="19" t="s">
        <v>61</v>
      </c>
      <c r="C241" s="20" t="s">
        <v>83</v>
      </c>
      <c r="D241" s="14" t="str">
        <f>VLOOKUP(C241,'State Key'!$A$2:$B$210,2,False)</f>
        <v>Haryana</v>
      </c>
      <c r="E241" s="21">
        <v>710.0</v>
      </c>
      <c r="F241" s="22">
        <v>93.9</v>
      </c>
      <c r="G241" s="22">
        <v>0.0</v>
      </c>
      <c r="H241" s="22">
        <v>0.0</v>
      </c>
      <c r="I241" s="22">
        <v>0.0</v>
      </c>
      <c r="J241" s="22">
        <v>0.0</v>
      </c>
      <c r="K241" s="22">
        <v>0.0</v>
      </c>
      <c r="L241" s="22">
        <v>93.9</v>
      </c>
      <c r="M241" s="22">
        <v>197.557</v>
      </c>
      <c r="N241" s="22">
        <v>400.828</v>
      </c>
      <c r="O241" s="24">
        <v>60.9</v>
      </c>
      <c r="P241" s="18">
        <f t="shared" si="1"/>
        <v>93.9</v>
      </c>
    </row>
    <row r="242" ht="15.75" customHeight="1">
      <c r="A242" s="13" t="s">
        <v>206</v>
      </c>
      <c r="B242" s="13" t="s">
        <v>61</v>
      </c>
      <c r="C242" s="14" t="s">
        <v>84</v>
      </c>
      <c r="D242" s="14" t="str">
        <f>VLOOKUP(C242,'State Key'!$A$2:$B$210,2,False)</f>
        <v>Uttar Pradesh</v>
      </c>
      <c r="E242" s="15">
        <v>1140.0</v>
      </c>
      <c r="F242" s="16">
        <v>349.271</v>
      </c>
      <c r="G242" s="16">
        <v>0.0</v>
      </c>
      <c r="H242" s="16">
        <v>0.0</v>
      </c>
      <c r="I242" s="16">
        <v>0.0</v>
      </c>
      <c r="J242" s="16">
        <v>0.0</v>
      </c>
      <c r="K242" s="16">
        <v>0.0</v>
      </c>
      <c r="L242" s="16">
        <v>349.271</v>
      </c>
      <c r="M242" s="16">
        <v>262.413</v>
      </c>
      <c r="N242" s="16">
        <v>179.404</v>
      </c>
      <c r="O242" s="24">
        <v>20.5</v>
      </c>
      <c r="P242" s="18">
        <f t="shared" si="1"/>
        <v>349.271</v>
      </c>
    </row>
    <row r="243" ht="15.75" customHeight="1">
      <c r="A243" s="19" t="s">
        <v>206</v>
      </c>
      <c r="B243" s="19" t="s">
        <v>61</v>
      </c>
      <c r="C243" s="20" t="s">
        <v>85</v>
      </c>
      <c r="D243" s="14" t="str">
        <f>VLOOKUP(C243,'State Key'!$A$2:$B$210,2,False)</f>
        <v>Uttar Pradesh</v>
      </c>
      <c r="E243" s="21">
        <v>1980.0</v>
      </c>
      <c r="F243" s="22">
        <v>704.97518</v>
      </c>
      <c r="G243" s="22">
        <v>0.0</v>
      </c>
      <c r="H243" s="22">
        <v>0.0</v>
      </c>
      <c r="I243" s="22">
        <v>0.0</v>
      </c>
      <c r="J243" s="22">
        <v>0.0</v>
      </c>
      <c r="K243" s="22">
        <v>0.0</v>
      </c>
      <c r="L243" s="22">
        <v>704.97518</v>
      </c>
      <c r="M243" s="22">
        <v>675.54</v>
      </c>
      <c r="N243" s="22">
        <v>565.58</v>
      </c>
      <c r="O243" s="24">
        <v>25.1</v>
      </c>
      <c r="P243" s="18">
        <f t="shared" si="1"/>
        <v>704.97518</v>
      </c>
    </row>
    <row r="244" ht="15.75" customHeight="1">
      <c r="A244" s="13" t="s">
        <v>206</v>
      </c>
      <c r="B244" s="13" t="s">
        <v>61</v>
      </c>
      <c r="C244" s="14" t="s">
        <v>86</v>
      </c>
      <c r="D244" s="14" t="str">
        <f>VLOOKUP(C244,'State Key'!$A$2:$B$210,2,False)</f>
        <v>Haryana</v>
      </c>
      <c r="E244" s="15">
        <v>1200.0</v>
      </c>
      <c r="F244" s="16">
        <v>114.752</v>
      </c>
      <c r="G244" s="16">
        <v>0.0</v>
      </c>
      <c r="H244" s="16">
        <v>0.0</v>
      </c>
      <c r="I244" s="16">
        <v>0.0</v>
      </c>
      <c r="J244" s="16">
        <v>0.0</v>
      </c>
      <c r="K244" s="16">
        <v>0.0</v>
      </c>
      <c r="L244" s="16">
        <v>114.752</v>
      </c>
      <c r="M244" s="16">
        <v>202.057</v>
      </c>
      <c r="N244" s="16">
        <v>253.564</v>
      </c>
      <c r="O244" s="24">
        <v>37.6</v>
      </c>
      <c r="P244" s="18">
        <f t="shared" si="1"/>
        <v>114.752</v>
      </c>
    </row>
    <row r="245" ht="15.75" customHeight="1">
      <c r="A245" s="19" t="s">
        <v>206</v>
      </c>
      <c r="B245" s="19" t="s">
        <v>61</v>
      </c>
      <c r="C245" s="20" t="s">
        <v>87</v>
      </c>
      <c r="D245" s="14" t="str">
        <f>VLOOKUP(C245,'State Key'!$A$2:$B$210,2,False)</f>
        <v>Punjab</v>
      </c>
      <c r="E245" s="21">
        <v>1400.0</v>
      </c>
      <c r="F245" s="22">
        <v>634.6945</v>
      </c>
      <c r="G245" s="22">
        <v>0.0</v>
      </c>
      <c r="H245" s="22">
        <v>0.0</v>
      </c>
      <c r="I245" s="22">
        <v>7.89303</v>
      </c>
      <c r="J245" s="22">
        <v>0.0</v>
      </c>
      <c r="K245" s="22">
        <v>0.0</v>
      </c>
      <c r="L245" s="22">
        <v>642.58753</v>
      </c>
      <c r="M245" s="22">
        <v>532.4344</v>
      </c>
      <c r="N245" s="22">
        <v>389.98</v>
      </c>
      <c r="O245" s="24">
        <v>22.0</v>
      </c>
      <c r="P245" s="18">
        <f t="shared" si="1"/>
        <v>642.58753</v>
      </c>
    </row>
    <row r="246" ht="15.75" customHeight="1">
      <c r="A246" s="13" t="s">
        <v>206</v>
      </c>
      <c r="B246" s="13" t="s">
        <v>61</v>
      </c>
      <c r="C246" s="14" t="s">
        <v>88</v>
      </c>
      <c r="D246" s="14" t="str">
        <f>VLOOKUP(C246,'State Key'!$A$2:$B$210,2,False)</f>
        <v>Uttar Pradesh</v>
      </c>
      <c r="E246" s="15">
        <v>3000.0</v>
      </c>
      <c r="F246" s="16">
        <v>1225.61</v>
      </c>
      <c r="G246" s="16">
        <v>0.0</v>
      </c>
      <c r="H246" s="16">
        <v>0.0</v>
      </c>
      <c r="I246" s="16">
        <v>0.0</v>
      </c>
      <c r="J246" s="16">
        <v>0.0</v>
      </c>
      <c r="K246" s="16">
        <v>0.0</v>
      </c>
      <c r="L246" s="16">
        <v>1225.61</v>
      </c>
      <c r="M246" s="16">
        <v>1302.101</v>
      </c>
      <c r="N246" s="16">
        <v>1006.515</v>
      </c>
      <c r="O246" s="24">
        <v>23.2</v>
      </c>
      <c r="P246" s="18">
        <f t="shared" si="1"/>
        <v>1225.61</v>
      </c>
    </row>
    <row r="247" ht="15.75" customHeight="1">
      <c r="A247" s="19" t="s">
        <v>206</v>
      </c>
      <c r="B247" s="19" t="s">
        <v>61</v>
      </c>
      <c r="C247" s="20" t="s">
        <v>89</v>
      </c>
      <c r="D247" s="14" t="str">
        <f>VLOOKUP(C247,'State Key'!$A$2:$B$210,2,False)</f>
        <v>Punjab</v>
      </c>
      <c r="E247" s="21">
        <v>840.0</v>
      </c>
      <c r="F247" s="22">
        <v>120.85936</v>
      </c>
      <c r="G247" s="22">
        <v>0.0</v>
      </c>
      <c r="H247" s="22">
        <v>145.0382</v>
      </c>
      <c r="I247" s="22">
        <v>0.0</v>
      </c>
      <c r="J247" s="22">
        <v>0.0</v>
      </c>
      <c r="K247" s="22">
        <v>0.0</v>
      </c>
      <c r="L247" s="22">
        <v>265.89756</v>
      </c>
      <c r="M247" s="22">
        <v>135.98</v>
      </c>
      <c r="N247" s="22">
        <v>672.57</v>
      </c>
      <c r="O247" s="24">
        <v>148.4</v>
      </c>
      <c r="P247" s="18">
        <f t="shared" si="1"/>
        <v>265.89756</v>
      </c>
    </row>
    <row r="248" ht="15.75" customHeight="1">
      <c r="A248" s="13" t="s">
        <v>206</v>
      </c>
      <c r="B248" s="13" t="s">
        <v>61</v>
      </c>
      <c r="C248" s="14" t="s">
        <v>90</v>
      </c>
      <c r="D248" s="14" t="str">
        <f>VLOOKUP(C248,'State Key'!$A$2:$B$210,2,False)</f>
        <v>Uttar Pradesh</v>
      </c>
      <c r="E248" s="15">
        <v>1200.0</v>
      </c>
      <c r="F248" s="16">
        <v>451.261</v>
      </c>
      <c r="G248" s="16">
        <v>0.0</v>
      </c>
      <c r="H248" s="16">
        <v>0.0</v>
      </c>
      <c r="I248" s="16">
        <v>0.0</v>
      </c>
      <c r="J248" s="16">
        <v>0.0</v>
      </c>
      <c r="K248" s="16">
        <v>0.0</v>
      </c>
      <c r="L248" s="16">
        <v>451.261</v>
      </c>
      <c r="M248" s="16">
        <v>428.979</v>
      </c>
      <c r="N248" s="16">
        <v>255.39</v>
      </c>
      <c r="O248" s="24">
        <v>17.9</v>
      </c>
      <c r="P248" s="18">
        <f t="shared" si="1"/>
        <v>451.261</v>
      </c>
    </row>
    <row r="249" ht="15.75" customHeight="1">
      <c r="A249" s="19" t="s">
        <v>206</v>
      </c>
      <c r="B249" s="19" t="s">
        <v>61</v>
      </c>
      <c r="C249" s="20" t="s">
        <v>91</v>
      </c>
      <c r="D249" s="14" t="str">
        <f>VLOOKUP(C249,'State Key'!$A$2:$B$210,2,False)</f>
        <v>Uttar Pradesh</v>
      </c>
      <c r="E249" s="21">
        <v>2000.0</v>
      </c>
      <c r="F249" s="22">
        <v>810.49</v>
      </c>
      <c r="G249" s="22">
        <v>0.0</v>
      </c>
      <c r="H249" s="22">
        <v>0.0</v>
      </c>
      <c r="I249" s="22">
        <v>0.0</v>
      </c>
      <c r="J249" s="22">
        <v>0.0</v>
      </c>
      <c r="K249" s="22">
        <v>0.0</v>
      </c>
      <c r="L249" s="22">
        <v>810.49</v>
      </c>
      <c r="M249" s="22">
        <v>857.667</v>
      </c>
      <c r="N249" s="22">
        <v>426.071</v>
      </c>
      <c r="O249" s="24">
        <v>14.9</v>
      </c>
      <c r="P249" s="18">
        <f t="shared" si="1"/>
        <v>810.49</v>
      </c>
    </row>
    <row r="250" ht="15.75" customHeight="1">
      <c r="A250" s="13" t="s">
        <v>206</v>
      </c>
      <c r="B250" s="13" t="s">
        <v>61</v>
      </c>
      <c r="C250" s="14" t="s">
        <v>92</v>
      </c>
      <c r="D250" s="14" t="str">
        <f>VLOOKUP(C250,'State Key'!$A$2:$B$210,2,False)</f>
        <v>Rajasthan</v>
      </c>
      <c r="E250" s="15">
        <v>1320.0</v>
      </c>
      <c r="F250" s="16">
        <v>321.518</v>
      </c>
      <c r="G250" s="16">
        <v>0.0</v>
      </c>
      <c r="H250" s="16">
        <v>27.85</v>
      </c>
      <c r="I250" s="16">
        <v>0.0</v>
      </c>
      <c r="J250" s="16">
        <v>0.0</v>
      </c>
      <c r="K250" s="16">
        <v>0.0</v>
      </c>
      <c r="L250" s="16">
        <v>349.368</v>
      </c>
      <c r="M250" s="16">
        <v>367.157</v>
      </c>
      <c r="N250" s="16">
        <v>87.68</v>
      </c>
      <c r="O250" s="23">
        <v>7.2</v>
      </c>
      <c r="P250" s="18">
        <f t="shared" si="1"/>
        <v>349.368</v>
      </c>
    </row>
    <row r="251" ht="15.75" customHeight="1">
      <c r="A251" s="19" t="s">
        <v>206</v>
      </c>
      <c r="B251" s="19" t="s">
        <v>61</v>
      </c>
      <c r="C251" s="20" t="s">
        <v>93</v>
      </c>
      <c r="D251" s="14" t="str">
        <f>VLOOKUP(C251,'State Key'!$A$2:$B$210,2,False)</f>
        <v>Rajasthan</v>
      </c>
      <c r="E251" s="21">
        <v>1500.0</v>
      </c>
      <c r="F251" s="22">
        <v>592.858</v>
      </c>
      <c r="G251" s="22">
        <v>0.0</v>
      </c>
      <c r="H251" s="22">
        <v>0.0</v>
      </c>
      <c r="I251" s="22">
        <v>0.0</v>
      </c>
      <c r="J251" s="22">
        <v>0.0</v>
      </c>
      <c r="K251" s="22">
        <v>0.0</v>
      </c>
      <c r="L251" s="22">
        <v>592.858</v>
      </c>
      <c r="M251" s="22">
        <v>380.3</v>
      </c>
      <c r="N251" s="22">
        <v>302.47</v>
      </c>
      <c r="O251" s="24">
        <v>23.9</v>
      </c>
      <c r="P251" s="18">
        <f t="shared" si="1"/>
        <v>592.858</v>
      </c>
    </row>
    <row r="252" ht="15.75" customHeight="1">
      <c r="A252" s="13" t="s">
        <v>206</v>
      </c>
      <c r="B252" s="13" t="s">
        <v>61</v>
      </c>
      <c r="C252" s="14" t="s">
        <v>94</v>
      </c>
      <c r="D252" s="14" t="str">
        <f>VLOOKUP(C252,'State Key'!$A$2:$B$210,2,False)</f>
        <v>Punjab</v>
      </c>
      <c r="E252" s="15">
        <v>1980.0</v>
      </c>
      <c r="F252" s="16">
        <v>676.616</v>
      </c>
      <c r="G252" s="16">
        <v>0.0</v>
      </c>
      <c r="H252" s="16">
        <v>0.0</v>
      </c>
      <c r="I252" s="16">
        <v>0.0</v>
      </c>
      <c r="J252" s="16">
        <v>0.0</v>
      </c>
      <c r="K252" s="16">
        <v>0.0</v>
      </c>
      <c r="L252" s="16">
        <v>676.616</v>
      </c>
      <c r="M252" s="16">
        <v>709.23</v>
      </c>
      <c r="N252" s="16">
        <v>43.16</v>
      </c>
      <c r="O252" s="17">
        <v>1.8</v>
      </c>
      <c r="P252" s="18">
        <f t="shared" si="1"/>
        <v>676.616</v>
      </c>
    </row>
    <row r="253" ht="15.75" customHeight="1">
      <c r="A253" s="19" t="s">
        <v>206</v>
      </c>
      <c r="B253" s="19" t="s">
        <v>61</v>
      </c>
      <c r="C253" s="20" t="s">
        <v>95</v>
      </c>
      <c r="D253" s="14" t="str">
        <f>VLOOKUP(C253,'State Key'!$A$2:$B$210,2,False)</f>
        <v>Uttar Pradesh</v>
      </c>
      <c r="E253" s="21">
        <v>1760.0</v>
      </c>
      <c r="F253" s="22">
        <v>401.72</v>
      </c>
      <c r="G253" s="22">
        <v>0.0</v>
      </c>
      <c r="H253" s="22">
        <v>45.63</v>
      </c>
      <c r="I253" s="22">
        <v>105.637</v>
      </c>
      <c r="J253" s="22">
        <v>0.0</v>
      </c>
      <c r="K253" s="22">
        <v>0.0</v>
      </c>
      <c r="L253" s="22">
        <v>552.987</v>
      </c>
      <c r="M253" s="22">
        <v>434.064</v>
      </c>
      <c r="N253" s="22">
        <v>560.69</v>
      </c>
      <c r="O253" s="24">
        <v>38.8</v>
      </c>
      <c r="P253" s="18">
        <f t="shared" si="1"/>
        <v>552.987</v>
      </c>
    </row>
    <row r="254" ht="15.75" customHeight="1">
      <c r="A254" s="13" t="s">
        <v>206</v>
      </c>
      <c r="B254" s="13" t="s">
        <v>61</v>
      </c>
      <c r="C254" s="14" t="s">
        <v>96</v>
      </c>
      <c r="D254" s="14" t="str">
        <f>VLOOKUP(C254,'State Key'!$A$2:$B$210,2,False)</f>
        <v>Uttar Pradesh</v>
      </c>
      <c r="E254" s="15">
        <v>1550.0</v>
      </c>
      <c r="F254" s="16">
        <v>422.34</v>
      </c>
      <c r="G254" s="16">
        <v>0.0</v>
      </c>
      <c r="H254" s="16">
        <v>65.15</v>
      </c>
      <c r="I254" s="16">
        <v>51.396</v>
      </c>
      <c r="J254" s="16">
        <v>0.0</v>
      </c>
      <c r="K254" s="16">
        <v>0.0</v>
      </c>
      <c r="L254" s="16">
        <v>538.886</v>
      </c>
      <c r="M254" s="16">
        <v>431.571</v>
      </c>
      <c r="N254" s="16">
        <v>496.578</v>
      </c>
      <c r="O254" s="24">
        <v>34.5</v>
      </c>
      <c r="P254" s="18">
        <f t="shared" si="1"/>
        <v>538.886</v>
      </c>
    </row>
    <row r="255" ht="15.75" customHeight="1">
      <c r="A255" s="19" t="s">
        <v>206</v>
      </c>
      <c r="B255" s="19" t="s">
        <v>61</v>
      </c>
      <c r="C255" s="20" t="s">
        <v>97</v>
      </c>
      <c r="D255" s="14" t="str">
        <f>VLOOKUP(C255,'State Key'!$A$2:$B$210,2,False)</f>
        <v>Uttar Pradesh</v>
      </c>
      <c r="E255" s="21">
        <v>90.0</v>
      </c>
      <c r="F255" s="22">
        <v>12.01</v>
      </c>
      <c r="G255" s="22">
        <v>0.0</v>
      </c>
      <c r="H255" s="22">
        <v>0.0</v>
      </c>
      <c r="I255" s="22">
        <v>0.0</v>
      </c>
      <c r="J255" s="22">
        <v>0.0</v>
      </c>
      <c r="K255" s="22">
        <v>0.0</v>
      </c>
      <c r="L255" s="22">
        <v>12.01</v>
      </c>
      <c r="M255" s="22">
        <v>20.92</v>
      </c>
      <c r="N255" s="22">
        <v>75.79</v>
      </c>
      <c r="O255" s="24">
        <v>108.7</v>
      </c>
      <c r="P255" s="18">
        <f t="shared" si="1"/>
        <v>12.01</v>
      </c>
    </row>
    <row r="256" ht="15.75" customHeight="1">
      <c r="A256" s="13" t="s">
        <v>206</v>
      </c>
      <c r="B256" s="13" t="s">
        <v>61</v>
      </c>
      <c r="C256" s="14" t="s">
        <v>98</v>
      </c>
      <c r="D256" s="14" t="str">
        <f>VLOOKUP(C256,'State Key'!$A$2:$B$210,2,False)</f>
        <v>Haryana</v>
      </c>
      <c r="E256" s="15">
        <v>600.0</v>
      </c>
      <c r="F256" s="16">
        <v>114.515</v>
      </c>
      <c r="G256" s="16">
        <v>0.0</v>
      </c>
      <c r="H256" s="16">
        <v>0.0</v>
      </c>
      <c r="I256" s="16">
        <v>0.0</v>
      </c>
      <c r="J256" s="16">
        <v>0.0</v>
      </c>
      <c r="K256" s="16">
        <v>0.0</v>
      </c>
      <c r="L256" s="16">
        <v>114.515</v>
      </c>
      <c r="M256" s="16">
        <v>191.129</v>
      </c>
      <c r="N256" s="16">
        <v>158.46</v>
      </c>
      <c r="O256" s="24">
        <v>24.9</v>
      </c>
      <c r="P256" s="18">
        <f t="shared" si="1"/>
        <v>114.515</v>
      </c>
    </row>
    <row r="257" ht="15.75" customHeight="1">
      <c r="A257" s="19" t="s">
        <v>206</v>
      </c>
      <c r="B257" s="19" t="s">
        <v>99</v>
      </c>
      <c r="C257" s="20" t="s">
        <v>100</v>
      </c>
      <c r="D257" s="14" t="str">
        <f>VLOOKUP(C257,'State Key'!$A$2:$B$210,2,False)</f>
        <v>Karnataka</v>
      </c>
      <c r="E257" s="21">
        <v>1700.0</v>
      </c>
      <c r="F257" s="22">
        <v>416.15254</v>
      </c>
      <c r="G257" s="22">
        <v>95.22744</v>
      </c>
      <c r="H257" s="22">
        <v>179.41678</v>
      </c>
      <c r="I257" s="22">
        <v>0.0</v>
      </c>
      <c r="J257" s="22">
        <v>0.0</v>
      </c>
      <c r="K257" s="22">
        <v>0.0</v>
      </c>
      <c r="L257" s="22">
        <v>690.79676</v>
      </c>
      <c r="M257" s="22">
        <v>665.518</v>
      </c>
      <c r="N257" s="22">
        <v>194.9521</v>
      </c>
      <c r="O257" s="23">
        <v>8.8</v>
      </c>
      <c r="P257" s="18">
        <f t="shared" si="1"/>
        <v>690.79676</v>
      </c>
    </row>
    <row r="258" ht="15.75" customHeight="1">
      <c r="A258" s="13" t="s">
        <v>206</v>
      </c>
      <c r="B258" s="13" t="s">
        <v>99</v>
      </c>
      <c r="C258" s="14" t="s">
        <v>101</v>
      </c>
      <c r="D258" s="14" t="str">
        <f>VLOOKUP(C258,'State Key'!$A$2:$B$210,2,False)</f>
        <v>Telangana</v>
      </c>
      <c r="E258" s="15">
        <v>1080.0</v>
      </c>
      <c r="F258" s="16">
        <v>0.0</v>
      </c>
      <c r="G258" s="16">
        <v>418.729</v>
      </c>
      <c r="H258" s="16">
        <v>0.0</v>
      </c>
      <c r="I258" s="16">
        <v>0.0</v>
      </c>
      <c r="J258" s="16">
        <v>0.0</v>
      </c>
      <c r="K258" s="16">
        <v>0.0</v>
      </c>
      <c r="L258" s="16">
        <v>418.729</v>
      </c>
      <c r="M258" s="16">
        <v>437.772</v>
      </c>
      <c r="N258" s="16">
        <v>132.529</v>
      </c>
      <c r="O258" s="23">
        <v>9.1</v>
      </c>
      <c r="P258" s="18">
        <f t="shared" si="1"/>
        <v>418.729</v>
      </c>
    </row>
    <row r="259" ht="15.75" customHeight="1">
      <c r="A259" s="19" t="s">
        <v>206</v>
      </c>
      <c r="B259" s="19" t="s">
        <v>99</v>
      </c>
      <c r="C259" s="20" t="s">
        <v>102</v>
      </c>
      <c r="D259" s="14" t="str">
        <f>VLOOKUP(C259,'State Key'!$A$2:$B$210,2,False)</f>
        <v>Andhra Pradesh</v>
      </c>
      <c r="E259" s="21">
        <v>2400.0</v>
      </c>
      <c r="F259" s="22">
        <v>530.636</v>
      </c>
      <c r="G259" s="22">
        <v>0.0</v>
      </c>
      <c r="H259" s="22">
        <v>0.0</v>
      </c>
      <c r="I259" s="22">
        <v>163.392</v>
      </c>
      <c r="J259" s="22">
        <v>0.0</v>
      </c>
      <c r="K259" s="22">
        <v>0.0</v>
      </c>
      <c r="L259" s="22">
        <v>694.028</v>
      </c>
      <c r="M259" s="22">
        <v>670.122</v>
      </c>
      <c r="N259" s="22">
        <v>56.498</v>
      </c>
      <c r="O259" s="17">
        <v>2.5</v>
      </c>
      <c r="P259" s="18">
        <f t="shared" si="1"/>
        <v>694.028</v>
      </c>
    </row>
    <row r="260" ht="15.75" customHeight="1">
      <c r="A260" s="13" t="s">
        <v>206</v>
      </c>
      <c r="B260" s="13" t="s">
        <v>99</v>
      </c>
      <c r="C260" s="14" t="s">
        <v>103</v>
      </c>
      <c r="D260" s="14" t="str">
        <f>VLOOKUP(C260,'State Key'!$A$2:$B$210,2,False)</f>
        <v>Andhra Pradesh</v>
      </c>
      <c r="E260" s="15">
        <v>1760.0</v>
      </c>
      <c r="F260" s="16">
        <v>518.897</v>
      </c>
      <c r="G260" s="16">
        <v>435.316</v>
      </c>
      <c r="H260" s="16">
        <v>0.0</v>
      </c>
      <c r="I260" s="16">
        <v>0.0</v>
      </c>
      <c r="J260" s="16">
        <v>0.0</v>
      </c>
      <c r="K260" s="16">
        <v>0.0</v>
      </c>
      <c r="L260" s="16">
        <v>954.213</v>
      </c>
      <c r="M260" s="16">
        <v>878.769</v>
      </c>
      <c r="N260" s="16">
        <v>137.358</v>
      </c>
      <c r="O260" s="17">
        <v>4.7</v>
      </c>
      <c r="P260" s="18">
        <f t="shared" si="1"/>
        <v>954.213</v>
      </c>
    </row>
    <row r="261" ht="15.75" customHeight="1">
      <c r="A261" s="19" t="s">
        <v>206</v>
      </c>
      <c r="B261" s="19" t="s">
        <v>99</v>
      </c>
      <c r="C261" s="20" t="s">
        <v>104</v>
      </c>
      <c r="D261" s="14" t="str">
        <f>VLOOKUP(C261,'State Key'!$A$2:$B$210,2,False)</f>
        <v>Tamil Nadu</v>
      </c>
      <c r="E261" s="21">
        <v>1200.0</v>
      </c>
      <c r="F261" s="22">
        <v>0.0</v>
      </c>
      <c r="G261" s="22">
        <v>0.0</v>
      </c>
      <c r="H261" s="22">
        <v>0.0</v>
      </c>
      <c r="I261" s="22">
        <v>266.443</v>
      </c>
      <c r="J261" s="22">
        <v>0.0</v>
      </c>
      <c r="K261" s="22">
        <v>0.0</v>
      </c>
      <c r="L261" s="22">
        <v>266.443</v>
      </c>
      <c r="M261" s="22">
        <v>313.995</v>
      </c>
      <c r="N261" s="22">
        <v>56.08</v>
      </c>
      <c r="O261" s="17">
        <v>5.4</v>
      </c>
      <c r="P261" s="18">
        <f t="shared" si="1"/>
        <v>266.443</v>
      </c>
    </row>
    <row r="262" ht="15.75" customHeight="1">
      <c r="A262" s="13" t="s">
        <v>206</v>
      </c>
      <c r="B262" s="13" t="s">
        <v>99</v>
      </c>
      <c r="C262" s="14" t="s">
        <v>105</v>
      </c>
      <c r="D262" s="14" t="str">
        <f>VLOOKUP(C262,'State Key'!$A$2:$B$210,2,False)</f>
        <v>Telangana</v>
      </c>
      <c r="E262" s="15">
        <v>1100.0</v>
      </c>
      <c r="F262" s="16">
        <v>0.0</v>
      </c>
      <c r="G262" s="16">
        <v>375.363</v>
      </c>
      <c r="H262" s="16">
        <v>0.0</v>
      </c>
      <c r="I262" s="16">
        <v>0.0</v>
      </c>
      <c r="J262" s="16">
        <v>0.0</v>
      </c>
      <c r="K262" s="16">
        <v>0.0</v>
      </c>
      <c r="L262" s="16">
        <v>375.363</v>
      </c>
      <c r="M262" s="16">
        <v>408.357</v>
      </c>
      <c r="N262" s="16">
        <v>357.827</v>
      </c>
      <c r="O262" s="24">
        <v>26.3</v>
      </c>
      <c r="P262" s="18">
        <f t="shared" si="1"/>
        <v>375.363</v>
      </c>
    </row>
    <row r="263" ht="15.75" customHeight="1">
      <c r="A263" s="19" t="s">
        <v>206</v>
      </c>
      <c r="B263" s="19" t="s">
        <v>99</v>
      </c>
      <c r="C263" s="20" t="s">
        <v>106</v>
      </c>
      <c r="D263" s="14" t="str">
        <f>VLOOKUP(C263,'State Key'!$A$2:$B$210,2,False)</f>
        <v>Telangana</v>
      </c>
      <c r="E263" s="21">
        <v>1000.0</v>
      </c>
      <c r="F263" s="22">
        <v>0.0</v>
      </c>
      <c r="G263" s="22">
        <v>368.179</v>
      </c>
      <c r="H263" s="22">
        <v>0.0</v>
      </c>
      <c r="I263" s="22">
        <v>0.0</v>
      </c>
      <c r="J263" s="22">
        <v>0.0</v>
      </c>
      <c r="K263" s="22">
        <v>0.0</v>
      </c>
      <c r="L263" s="22">
        <v>368.179</v>
      </c>
      <c r="M263" s="22">
        <v>395.31</v>
      </c>
      <c r="N263" s="22">
        <v>150.324</v>
      </c>
      <c r="O263" s="23">
        <v>11.4</v>
      </c>
      <c r="P263" s="18">
        <f t="shared" si="1"/>
        <v>368.179</v>
      </c>
    </row>
    <row r="264" ht="15.75" customHeight="1">
      <c r="A264" s="13" t="s">
        <v>206</v>
      </c>
      <c r="B264" s="13" t="s">
        <v>99</v>
      </c>
      <c r="C264" s="14" t="s">
        <v>107</v>
      </c>
      <c r="D264" s="14" t="str">
        <f>VLOOKUP(C264,'State Key'!$A$2:$B$210,2,False)</f>
        <v>Telangana</v>
      </c>
      <c r="E264" s="15">
        <v>800.0</v>
      </c>
      <c r="F264" s="16">
        <v>0.0</v>
      </c>
      <c r="G264" s="16">
        <v>296.501</v>
      </c>
      <c r="H264" s="16">
        <v>0.0</v>
      </c>
      <c r="I264" s="16">
        <v>0.0</v>
      </c>
      <c r="J264" s="16">
        <v>0.0</v>
      </c>
      <c r="K264" s="16">
        <v>0.0</v>
      </c>
      <c r="L264" s="16">
        <v>296.501</v>
      </c>
      <c r="M264" s="16">
        <v>251.073</v>
      </c>
      <c r="N264" s="16">
        <v>121.666</v>
      </c>
      <c r="O264" s="24">
        <v>14.5</v>
      </c>
      <c r="P264" s="18">
        <f t="shared" si="1"/>
        <v>296.501</v>
      </c>
    </row>
    <row r="265" ht="15.75" customHeight="1">
      <c r="A265" s="19" t="s">
        <v>206</v>
      </c>
      <c r="B265" s="19" t="s">
        <v>99</v>
      </c>
      <c r="C265" s="20" t="s">
        <v>108</v>
      </c>
      <c r="D265" s="14" t="str">
        <f>VLOOKUP(C265,'State Key'!$A$2:$B$210,2,False)</f>
        <v>Karnataka</v>
      </c>
      <c r="E265" s="21">
        <v>2400.0</v>
      </c>
      <c r="F265" s="22">
        <v>231.68</v>
      </c>
      <c r="G265" s="22">
        <v>76.77</v>
      </c>
      <c r="H265" s="22">
        <v>247.28</v>
      </c>
      <c r="I265" s="22">
        <v>137.622</v>
      </c>
      <c r="J265" s="22">
        <v>0.0</v>
      </c>
      <c r="K265" s="22">
        <v>0.0</v>
      </c>
      <c r="L265" s="22">
        <v>693.352</v>
      </c>
      <c r="M265" s="22">
        <v>649.72</v>
      </c>
      <c r="N265" s="22">
        <v>222.181</v>
      </c>
      <c r="O265" s="23">
        <v>10.3</v>
      </c>
      <c r="P265" s="18">
        <f t="shared" si="1"/>
        <v>693.352</v>
      </c>
    </row>
    <row r="266" ht="15.75" customHeight="1">
      <c r="A266" s="13" t="s">
        <v>206</v>
      </c>
      <c r="B266" s="13" t="s">
        <v>99</v>
      </c>
      <c r="C266" s="14" t="s">
        <v>109</v>
      </c>
      <c r="D266" s="14" t="str">
        <f>VLOOKUP(C266,'State Key'!$A$2:$B$210,2,False)</f>
        <v>Tamil Nadu</v>
      </c>
      <c r="E266" s="15">
        <v>840.0</v>
      </c>
      <c r="F266" s="16">
        <v>331.0153</v>
      </c>
      <c r="G266" s="16">
        <v>123.4045</v>
      </c>
      <c r="H266" s="16">
        <v>0.0</v>
      </c>
      <c r="I266" s="16">
        <v>0.0</v>
      </c>
      <c r="J266" s="16">
        <v>0.0</v>
      </c>
      <c r="K266" s="16">
        <v>0.0</v>
      </c>
      <c r="L266" s="16">
        <v>454.4198</v>
      </c>
      <c r="M266" s="16">
        <v>434.7967</v>
      </c>
      <c r="N266" s="16">
        <v>91.734</v>
      </c>
      <c r="O266" s="17">
        <v>6.3</v>
      </c>
      <c r="P266" s="18">
        <f t="shared" si="1"/>
        <v>454.4198</v>
      </c>
    </row>
    <row r="267" ht="15.75" customHeight="1">
      <c r="A267" s="19" t="s">
        <v>206</v>
      </c>
      <c r="B267" s="19" t="s">
        <v>99</v>
      </c>
      <c r="C267" s="20" t="s">
        <v>110</v>
      </c>
      <c r="D267" s="14" t="str">
        <f>VLOOKUP(C267,'State Key'!$A$2:$B$210,2,False)</f>
        <v>Tamil Nadu</v>
      </c>
      <c r="E267" s="21">
        <v>600.0</v>
      </c>
      <c r="F267" s="22">
        <v>145.83</v>
      </c>
      <c r="G267" s="22">
        <v>55.26</v>
      </c>
      <c r="H267" s="22">
        <v>0.0</v>
      </c>
      <c r="I267" s="22">
        <v>92.51</v>
      </c>
      <c r="J267" s="22">
        <v>0.0</v>
      </c>
      <c r="K267" s="22">
        <v>0.0</v>
      </c>
      <c r="L267" s="22">
        <v>293.6</v>
      </c>
      <c r="M267" s="22">
        <v>286.15</v>
      </c>
      <c r="N267" s="22">
        <v>86.68</v>
      </c>
      <c r="O267" s="23">
        <v>9.1</v>
      </c>
      <c r="P267" s="18">
        <f t="shared" si="1"/>
        <v>293.6</v>
      </c>
    </row>
    <row r="268" ht="15.75" customHeight="1">
      <c r="A268" s="13" t="s">
        <v>206</v>
      </c>
      <c r="B268" s="13" t="s">
        <v>99</v>
      </c>
      <c r="C268" s="14" t="s">
        <v>111</v>
      </c>
      <c r="D268" s="14" t="str">
        <f>VLOOKUP(C268,'State Key'!$A$2:$B$210,2,False)</f>
        <v>Tamil Nadu</v>
      </c>
      <c r="E268" s="15">
        <v>1200.0</v>
      </c>
      <c r="F268" s="16">
        <v>0.0</v>
      </c>
      <c r="G268" s="16">
        <v>0.0</v>
      </c>
      <c r="H268" s="16">
        <v>0.0</v>
      </c>
      <c r="I268" s="16">
        <v>315.703</v>
      </c>
      <c r="J268" s="16">
        <v>0.0</v>
      </c>
      <c r="K268" s="16">
        <v>0.0</v>
      </c>
      <c r="L268" s="16">
        <v>315.703</v>
      </c>
      <c r="M268" s="16">
        <v>349.373</v>
      </c>
      <c r="N268" s="16">
        <v>25.16</v>
      </c>
      <c r="O268" s="17">
        <v>2.2</v>
      </c>
      <c r="P268" s="18">
        <f t="shared" si="1"/>
        <v>315.703</v>
      </c>
    </row>
    <row r="269" ht="15.75" customHeight="1">
      <c r="A269" s="19" t="s">
        <v>206</v>
      </c>
      <c r="B269" s="19" t="s">
        <v>99</v>
      </c>
      <c r="C269" s="20" t="s">
        <v>112</v>
      </c>
      <c r="D269" s="14" t="str">
        <f>VLOOKUP(C269,'State Key'!$A$2:$B$210,2,False)</f>
        <v>Tamil Nadu</v>
      </c>
      <c r="E269" s="21">
        <v>1830.0</v>
      </c>
      <c r="F269" s="22">
        <v>654.94</v>
      </c>
      <c r="G269" s="22">
        <v>0.0</v>
      </c>
      <c r="H269" s="22">
        <v>0.0</v>
      </c>
      <c r="I269" s="22">
        <v>219.226</v>
      </c>
      <c r="J269" s="22">
        <v>0.0</v>
      </c>
      <c r="K269" s="22">
        <v>0.0</v>
      </c>
      <c r="L269" s="22">
        <v>874.166</v>
      </c>
      <c r="M269" s="22">
        <v>795.841</v>
      </c>
      <c r="N269" s="22">
        <v>328.675</v>
      </c>
      <c r="O269" s="23">
        <v>12.4</v>
      </c>
      <c r="P269" s="18">
        <f t="shared" si="1"/>
        <v>874.166</v>
      </c>
    </row>
    <row r="270" ht="15.75" customHeight="1">
      <c r="A270" s="13" t="s">
        <v>206</v>
      </c>
      <c r="B270" s="13" t="s">
        <v>99</v>
      </c>
      <c r="C270" s="14" t="s">
        <v>113</v>
      </c>
      <c r="D270" s="14" t="str">
        <f>VLOOKUP(C270,'State Key'!$A$2:$B$210,2,False)</f>
        <v>Tamil Nadu</v>
      </c>
      <c r="E270" s="15">
        <v>1000.0</v>
      </c>
      <c r="F270" s="16">
        <v>219.238</v>
      </c>
      <c r="G270" s="16">
        <v>0.0</v>
      </c>
      <c r="H270" s="16">
        <v>274.78</v>
      </c>
      <c r="I270" s="16">
        <v>0.0</v>
      </c>
      <c r="J270" s="16">
        <v>0.0</v>
      </c>
      <c r="K270" s="16">
        <v>0.0</v>
      </c>
      <c r="L270" s="16">
        <v>494.018</v>
      </c>
      <c r="M270" s="16">
        <v>324.888</v>
      </c>
      <c r="N270" s="16">
        <v>352.06</v>
      </c>
      <c r="O270" s="24">
        <v>32.5</v>
      </c>
      <c r="P270" s="18">
        <f t="shared" si="1"/>
        <v>494.018</v>
      </c>
    </row>
    <row r="271" ht="15.75" customHeight="1">
      <c r="A271" s="19" t="s">
        <v>206</v>
      </c>
      <c r="B271" s="19" t="s">
        <v>99</v>
      </c>
      <c r="C271" s="20" t="s">
        <v>114</v>
      </c>
      <c r="D271" s="14" t="str">
        <f>VLOOKUP(C271,'State Key'!$A$2:$B$210,2,False)</f>
        <v>Andhra Pradesh</v>
      </c>
      <c r="E271" s="21">
        <v>1320.0</v>
      </c>
      <c r="F271" s="22">
        <v>302.613</v>
      </c>
      <c r="G271" s="22">
        <v>0.0</v>
      </c>
      <c r="H271" s="22">
        <v>0.0</v>
      </c>
      <c r="I271" s="22">
        <v>212.887</v>
      </c>
      <c r="J271" s="22">
        <v>0.0</v>
      </c>
      <c r="K271" s="22">
        <v>0.0</v>
      </c>
      <c r="L271" s="22">
        <v>515.5</v>
      </c>
      <c r="M271" s="22">
        <v>530.309</v>
      </c>
      <c r="N271" s="22">
        <v>282.715</v>
      </c>
      <c r="O271" s="24">
        <v>16.0</v>
      </c>
      <c r="P271" s="18">
        <f t="shared" si="1"/>
        <v>515.5</v>
      </c>
    </row>
    <row r="272" ht="15.75" customHeight="1">
      <c r="A272" s="13" t="s">
        <v>206</v>
      </c>
      <c r="B272" s="13" t="s">
        <v>99</v>
      </c>
      <c r="C272" s="14" t="s">
        <v>115</v>
      </c>
      <c r="D272" s="14" t="str">
        <f>VLOOKUP(C272,'State Key'!$A$2:$B$210,2,False)</f>
        <v>Karnataka</v>
      </c>
      <c r="E272" s="15">
        <v>1720.0</v>
      </c>
      <c r="F272" s="16">
        <v>259.267</v>
      </c>
      <c r="G272" s="16">
        <v>319.294</v>
      </c>
      <c r="H272" s="16">
        <v>0.0</v>
      </c>
      <c r="I272" s="16">
        <v>0.0</v>
      </c>
      <c r="J272" s="16">
        <v>0.0</v>
      </c>
      <c r="K272" s="16">
        <v>0.0</v>
      </c>
      <c r="L272" s="16">
        <v>578.561</v>
      </c>
      <c r="M272" s="16">
        <v>585.5089</v>
      </c>
      <c r="N272" s="16">
        <v>125.24</v>
      </c>
      <c r="O272" s="17">
        <v>6.4</v>
      </c>
      <c r="P272" s="18">
        <f t="shared" si="1"/>
        <v>578.561</v>
      </c>
    </row>
    <row r="273" ht="15.75" customHeight="1">
      <c r="A273" s="19" t="s">
        <v>206</v>
      </c>
      <c r="B273" s="19" t="s">
        <v>99</v>
      </c>
      <c r="C273" s="20" t="s">
        <v>116</v>
      </c>
      <c r="D273" s="14" t="str">
        <f>VLOOKUP(C273,'State Key'!$A$2:$B$210,2,False)</f>
        <v>Telangana</v>
      </c>
      <c r="E273" s="21">
        <v>2600.0</v>
      </c>
      <c r="F273" s="22">
        <v>0.0</v>
      </c>
      <c r="G273" s="22">
        <v>987.88</v>
      </c>
      <c r="H273" s="22">
        <v>0.0</v>
      </c>
      <c r="I273" s="22">
        <v>0.0</v>
      </c>
      <c r="J273" s="22">
        <v>0.0</v>
      </c>
      <c r="K273" s="22">
        <v>0.0</v>
      </c>
      <c r="L273" s="22">
        <v>987.88</v>
      </c>
      <c r="M273" s="22">
        <v>934.637</v>
      </c>
      <c r="N273" s="22">
        <v>389.555</v>
      </c>
      <c r="O273" s="23">
        <v>12.5</v>
      </c>
      <c r="P273" s="18">
        <f t="shared" si="1"/>
        <v>987.88</v>
      </c>
    </row>
    <row r="274" ht="15.75" customHeight="1">
      <c r="A274" s="13" t="s">
        <v>206</v>
      </c>
      <c r="B274" s="13" t="s">
        <v>99</v>
      </c>
      <c r="C274" s="14" t="s">
        <v>117</v>
      </c>
      <c r="D274" s="14" t="str">
        <f>VLOOKUP(C274,'State Key'!$A$2:$B$210,2,False)</f>
        <v>Telangana</v>
      </c>
      <c r="E274" s="15">
        <v>62.5</v>
      </c>
      <c r="F274" s="16">
        <v>0.0</v>
      </c>
      <c r="G274" s="16">
        <v>20.996</v>
      </c>
      <c r="H274" s="16">
        <v>0.0</v>
      </c>
      <c r="I274" s="16">
        <v>0.0</v>
      </c>
      <c r="J274" s="16">
        <v>0.0</v>
      </c>
      <c r="K274" s="16">
        <v>0.0</v>
      </c>
      <c r="L274" s="16">
        <v>20.996</v>
      </c>
      <c r="M274" s="16">
        <v>24.862</v>
      </c>
      <c r="N274" s="16">
        <v>4.824</v>
      </c>
      <c r="O274" s="17">
        <v>5.8</v>
      </c>
      <c r="P274" s="18">
        <f t="shared" si="1"/>
        <v>20.996</v>
      </c>
    </row>
    <row r="275" ht="15.75" customHeight="1">
      <c r="A275" s="19" t="s">
        <v>206</v>
      </c>
      <c r="B275" s="19" t="s">
        <v>99</v>
      </c>
      <c r="C275" s="20" t="s">
        <v>118</v>
      </c>
      <c r="D275" s="14" t="str">
        <f>VLOOKUP(C275,'State Key'!$A$2:$B$210,2,False)</f>
        <v>Andhra Pradesh</v>
      </c>
      <c r="E275" s="21">
        <v>1650.0</v>
      </c>
      <c r="F275" s="22">
        <v>383.738</v>
      </c>
      <c r="G275" s="22">
        <v>331.649</v>
      </c>
      <c r="H275" s="22">
        <v>0.0</v>
      </c>
      <c r="I275" s="22">
        <v>0.0</v>
      </c>
      <c r="J275" s="22">
        <v>0.0</v>
      </c>
      <c r="K275" s="22">
        <v>0.0</v>
      </c>
      <c r="L275" s="22">
        <v>715.387</v>
      </c>
      <c r="M275" s="22">
        <v>698.809</v>
      </c>
      <c r="N275" s="22">
        <v>63.46</v>
      </c>
      <c r="O275" s="17">
        <v>2.7</v>
      </c>
      <c r="P275" s="18">
        <f t="shared" si="1"/>
        <v>715.387</v>
      </c>
    </row>
    <row r="276" ht="15.75" customHeight="1">
      <c r="A276" s="13" t="s">
        <v>206</v>
      </c>
      <c r="B276" s="13" t="s">
        <v>99</v>
      </c>
      <c r="C276" s="14" t="s">
        <v>119</v>
      </c>
      <c r="D276" s="14" t="str">
        <f>VLOOKUP(C276,'State Key'!$A$2:$B$210,2,False)</f>
        <v>Andhra Pradesh</v>
      </c>
      <c r="E276" s="15">
        <v>1320.0</v>
      </c>
      <c r="F276" s="16">
        <v>159.387</v>
      </c>
      <c r="G276" s="16">
        <v>0.0</v>
      </c>
      <c r="H276" s="16">
        <v>0.0</v>
      </c>
      <c r="I276" s="16">
        <v>390.369</v>
      </c>
      <c r="J276" s="16">
        <v>0.0</v>
      </c>
      <c r="K276" s="16">
        <v>0.0</v>
      </c>
      <c r="L276" s="16">
        <v>549.756</v>
      </c>
      <c r="M276" s="16">
        <v>518.172</v>
      </c>
      <c r="N276" s="16">
        <v>409.55</v>
      </c>
      <c r="O276" s="24">
        <v>23.7</v>
      </c>
      <c r="P276" s="18">
        <f t="shared" si="1"/>
        <v>549.756</v>
      </c>
    </row>
    <row r="277" ht="15.75" customHeight="1">
      <c r="A277" s="19" t="s">
        <v>206</v>
      </c>
      <c r="B277" s="19" t="s">
        <v>99</v>
      </c>
      <c r="C277" s="20" t="s">
        <v>120</v>
      </c>
      <c r="D277" s="14" t="str">
        <f>VLOOKUP(C277,'State Key'!$A$2:$B$210,2,False)</f>
        <v>Andhra Pradesh</v>
      </c>
      <c r="E277" s="21">
        <v>2000.0</v>
      </c>
      <c r="F277" s="22">
        <v>366.49</v>
      </c>
      <c r="G277" s="22">
        <v>100.57</v>
      </c>
      <c r="H277" s="22">
        <v>193.86</v>
      </c>
      <c r="I277" s="22">
        <v>80.038</v>
      </c>
      <c r="J277" s="22">
        <v>0.0</v>
      </c>
      <c r="K277" s="22">
        <v>0.0</v>
      </c>
      <c r="L277" s="22">
        <v>740.958</v>
      </c>
      <c r="M277" s="22">
        <v>519.833</v>
      </c>
      <c r="N277" s="22">
        <v>523.064</v>
      </c>
      <c r="O277" s="24">
        <v>30.2</v>
      </c>
      <c r="P277" s="18">
        <f t="shared" si="1"/>
        <v>740.958</v>
      </c>
    </row>
    <row r="278" ht="15.75" customHeight="1">
      <c r="A278" s="13" t="s">
        <v>206</v>
      </c>
      <c r="B278" s="13" t="s">
        <v>99</v>
      </c>
      <c r="C278" s="14" t="s">
        <v>121</v>
      </c>
      <c r="D278" s="14" t="str">
        <f>VLOOKUP(C278,'State Key'!$A$2:$B$210,2,False)</f>
        <v>Andhra Pradesh</v>
      </c>
      <c r="E278" s="15">
        <v>600.0</v>
      </c>
      <c r="F278" s="16">
        <v>0.0</v>
      </c>
      <c r="G278" s="16">
        <v>0.0</v>
      </c>
      <c r="H278" s="16">
        <v>0.0</v>
      </c>
      <c r="I278" s="16">
        <v>96.0</v>
      </c>
      <c r="J278" s="16">
        <v>0.0</v>
      </c>
      <c r="K278" s="16">
        <v>0.0</v>
      </c>
      <c r="L278" s="16">
        <v>96.0</v>
      </c>
      <c r="M278" s="16">
        <v>96.0</v>
      </c>
      <c r="N278" s="16">
        <v>1.84</v>
      </c>
      <c r="O278" s="17">
        <v>0.6</v>
      </c>
      <c r="P278" s="18">
        <f t="shared" si="1"/>
        <v>96</v>
      </c>
    </row>
    <row r="279" ht="15.75" customHeight="1">
      <c r="A279" s="19" t="s">
        <v>206</v>
      </c>
      <c r="B279" s="19" t="s">
        <v>99</v>
      </c>
      <c r="C279" s="20" t="s">
        <v>122</v>
      </c>
      <c r="D279" s="14" t="str">
        <f>VLOOKUP(C279,'State Key'!$A$2:$B$210,2,False)</f>
        <v>Telangana</v>
      </c>
      <c r="E279" s="21">
        <v>1200.0</v>
      </c>
      <c r="F279" s="22">
        <v>0.0</v>
      </c>
      <c r="G279" s="22">
        <v>533.987</v>
      </c>
      <c r="H279" s="22">
        <v>0.0</v>
      </c>
      <c r="I279" s="22">
        <v>0.0</v>
      </c>
      <c r="J279" s="22">
        <v>0.0</v>
      </c>
      <c r="K279" s="22">
        <v>0.0</v>
      </c>
      <c r="L279" s="22">
        <v>533.987</v>
      </c>
      <c r="M279" s="22">
        <v>504.119</v>
      </c>
      <c r="N279" s="22">
        <v>120.29</v>
      </c>
      <c r="O279" s="23">
        <v>7.2</v>
      </c>
      <c r="P279" s="18">
        <f t="shared" si="1"/>
        <v>533.987</v>
      </c>
    </row>
    <row r="280" ht="15.75" customHeight="1">
      <c r="A280" s="13" t="s">
        <v>206</v>
      </c>
      <c r="B280" s="13" t="s">
        <v>99</v>
      </c>
      <c r="C280" s="14" t="s">
        <v>123</v>
      </c>
      <c r="D280" s="14" t="str">
        <f>VLOOKUP(C280,'State Key'!$A$2:$B$210,2,False)</f>
        <v>Andhra Pradesh</v>
      </c>
      <c r="E280" s="15">
        <v>300.0</v>
      </c>
      <c r="F280" s="16">
        <v>0.0</v>
      </c>
      <c r="G280" s="16">
        <v>0.0</v>
      </c>
      <c r="H280" s="16">
        <v>0.0</v>
      </c>
      <c r="I280" s="16">
        <v>0.0</v>
      </c>
      <c r="J280" s="16">
        <v>0.0</v>
      </c>
      <c r="K280" s="16">
        <v>0.0</v>
      </c>
      <c r="L280" s="16">
        <v>0.0</v>
      </c>
      <c r="M280" s="16">
        <v>0.0</v>
      </c>
      <c r="N280" s="16">
        <v>0.98</v>
      </c>
      <c r="O280" s="13" t="s">
        <v>58</v>
      </c>
      <c r="P280" s="18">
        <f t="shared" si="1"/>
        <v>0</v>
      </c>
    </row>
    <row r="281" ht="15.75" customHeight="1">
      <c r="A281" s="19" t="s">
        <v>206</v>
      </c>
      <c r="B281" s="19" t="s">
        <v>99</v>
      </c>
      <c r="C281" s="20" t="s">
        <v>124</v>
      </c>
      <c r="D281" s="14" t="str">
        <f>VLOOKUP(C281,'State Key'!$A$2:$B$210,2,False)</f>
        <v>Karnataka</v>
      </c>
      <c r="E281" s="21">
        <v>260.0</v>
      </c>
      <c r="F281" s="22">
        <v>0.0</v>
      </c>
      <c r="G281" s="22">
        <v>0.0</v>
      </c>
      <c r="H281" s="22">
        <v>0.0</v>
      </c>
      <c r="I281" s="22">
        <v>50.37</v>
      </c>
      <c r="J281" s="22">
        <v>0.0</v>
      </c>
      <c r="K281" s="22">
        <v>0.0</v>
      </c>
      <c r="L281" s="22">
        <v>50.37</v>
      </c>
      <c r="M281" s="22">
        <v>50.37</v>
      </c>
      <c r="N281" s="22">
        <v>0.0</v>
      </c>
      <c r="O281" s="17">
        <v>0.0</v>
      </c>
      <c r="P281" s="18">
        <f t="shared" si="1"/>
        <v>50.37</v>
      </c>
    </row>
    <row r="282" ht="15.75" customHeight="1">
      <c r="A282" s="13" t="s">
        <v>206</v>
      </c>
      <c r="B282" s="13" t="s">
        <v>99</v>
      </c>
      <c r="C282" s="14" t="s">
        <v>125</v>
      </c>
      <c r="D282" s="14" t="str">
        <f>VLOOKUP(C282,'State Key'!$A$2:$B$210,2,False)</f>
        <v>Karnataka</v>
      </c>
      <c r="E282" s="15">
        <v>600.0</v>
      </c>
      <c r="F282" s="16">
        <v>0.0</v>
      </c>
      <c r="G282" s="16">
        <v>0.0</v>
      </c>
      <c r="H282" s="16">
        <v>0.0</v>
      </c>
      <c r="I282" s="16">
        <v>62.12</v>
      </c>
      <c r="J282" s="16">
        <v>0.0</v>
      </c>
      <c r="K282" s="16">
        <v>0.0</v>
      </c>
      <c r="L282" s="16">
        <v>62.12</v>
      </c>
      <c r="M282" s="16">
        <v>67.71</v>
      </c>
      <c r="N282" s="16">
        <v>8.19</v>
      </c>
      <c r="O282" s="17">
        <v>3.6</v>
      </c>
      <c r="P282" s="18">
        <f t="shared" si="1"/>
        <v>62.12</v>
      </c>
    </row>
    <row r="283" ht="15.75" customHeight="1">
      <c r="A283" s="19" t="s">
        <v>206</v>
      </c>
      <c r="B283" s="19" t="s">
        <v>99</v>
      </c>
      <c r="C283" s="20" t="s">
        <v>126</v>
      </c>
      <c r="D283" s="14" t="str">
        <f>VLOOKUP(C283,'State Key'!$A$2:$B$210,2,False)</f>
        <v>Tamil Nadu</v>
      </c>
      <c r="E283" s="21">
        <v>300.0</v>
      </c>
      <c r="F283" s="22">
        <v>0.0</v>
      </c>
      <c r="G283" s="22">
        <v>0.0</v>
      </c>
      <c r="H283" s="22">
        <v>0.0</v>
      </c>
      <c r="I283" s="22">
        <v>0.0</v>
      </c>
      <c r="J283" s="22">
        <v>0.0</v>
      </c>
      <c r="K283" s="22">
        <v>0.0</v>
      </c>
      <c r="L283" s="22">
        <v>0.0</v>
      </c>
      <c r="M283" s="22">
        <v>0.0</v>
      </c>
      <c r="N283" s="22">
        <v>0.0</v>
      </c>
      <c r="O283" s="19" t="s">
        <v>58</v>
      </c>
      <c r="P283" s="18">
        <f t="shared" si="1"/>
        <v>0</v>
      </c>
    </row>
    <row r="284" ht="15.75" customHeight="1">
      <c r="A284" s="13" t="s">
        <v>206</v>
      </c>
      <c r="B284" s="13" t="s">
        <v>99</v>
      </c>
      <c r="C284" s="14" t="s">
        <v>127</v>
      </c>
      <c r="D284" s="14" t="str">
        <f>VLOOKUP(C284,'State Key'!$A$2:$B$210,2,False)</f>
        <v>Tamil Nadu</v>
      </c>
      <c r="E284" s="15">
        <v>525.0</v>
      </c>
      <c r="F284" s="16">
        <v>0.0</v>
      </c>
      <c r="G284" s="16">
        <v>0.0</v>
      </c>
      <c r="H284" s="16">
        <v>0.0</v>
      </c>
      <c r="I284" s="16">
        <v>53.6</v>
      </c>
      <c r="J284" s="16">
        <v>0.0</v>
      </c>
      <c r="K284" s="16">
        <v>0.0</v>
      </c>
      <c r="L284" s="16">
        <v>53.6</v>
      </c>
      <c r="M284" s="16">
        <v>62.6</v>
      </c>
      <c r="N284" s="16">
        <v>10.37</v>
      </c>
      <c r="O284" s="17">
        <v>5.0</v>
      </c>
      <c r="P284" s="18">
        <f t="shared" si="1"/>
        <v>53.6</v>
      </c>
    </row>
    <row r="285" ht="15.75" customHeight="1">
      <c r="A285" s="19" t="s">
        <v>206</v>
      </c>
      <c r="B285" s="19" t="s">
        <v>99</v>
      </c>
      <c r="C285" s="20" t="s">
        <v>128</v>
      </c>
      <c r="D285" s="14" t="str">
        <f>VLOOKUP(C285,'State Key'!$A$2:$B$210,2,False)</f>
        <v>Tamil Nadu</v>
      </c>
      <c r="E285" s="21">
        <v>1050.0</v>
      </c>
      <c r="F285" s="22">
        <v>392.359</v>
      </c>
      <c r="G285" s="22">
        <v>0.0</v>
      </c>
      <c r="H285" s="22">
        <v>0.0</v>
      </c>
      <c r="I285" s="22">
        <v>0.0</v>
      </c>
      <c r="J285" s="22">
        <v>0.0</v>
      </c>
      <c r="K285" s="22">
        <v>0.0</v>
      </c>
      <c r="L285" s="22">
        <v>392.359</v>
      </c>
      <c r="M285" s="22">
        <v>530.901</v>
      </c>
      <c r="N285" s="22">
        <v>110.8</v>
      </c>
      <c r="O285" s="17">
        <v>6.3</v>
      </c>
      <c r="P285" s="18">
        <f t="shared" si="1"/>
        <v>392.359</v>
      </c>
    </row>
    <row r="286" ht="15.75" customHeight="1">
      <c r="A286" s="13" t="s">
        <v>206</v>
      </c>
      <c r="B286" s="13" t="s">
        <v>99</v>
      </c>
      <c r="C286" s="14" t="s">
        <v>129</v>
      </c>
      <c r="D286" s="14" t="str">
        <f>VLOOKUP(C286,'State Key'!$A$2:$B$210,2,False)</f>
        <v>Karnataka</v>
      </c>
      <c r="E286" s="15">
        <v>1200.0</v>
      </c>
      <c r="F286" s="16">
        <v>0.0</v>
      </c>
      <c r="G286" s="16">
        <v>0.0</v>
      </c>
      <c r="H286" s="16">
        <v>0.0</v>
      </c>
      <c r="I286" s="16">
        <v>79.8904</v>
      </c>
      <c r="J286" s="16">
        <v>0.0</v>
      </c>
      <c r="K286" s="16">
        <v>11.72957</v>
      </c>
      <c r="L286" s="16">
        <v>91.61997</v>
      </c>
      <c r="M286" s="16">
        <v>89.868</v>
      </c>
      <c r="N286" s="16">
        <v>126.46</v>
      </c>
      <c r="O286" s="24">
        <v>42.2</v>
      </c>
      <c r="P286" s="18">
        <f t="shared" si="1"/>
        <v>91.61997</v>
      </c>
    </row>
    <row r="287" ht="15.75" customHeight="1">
      <c r="A287" s="19" t="s">
        <v>206</v>
      </c>
      <c r="B287" s="19" t="s">
        <v>99</v>
      </c>
      <c r="C287" s="20" t="s">
        <v>130</v>
      </c>
      <c r="D287" s="14" t="str">
        <f>VLOOKUP(C287,'State Key'!$A$2:$B$210,2,False)</f>
        <v>Tamil Nadu</v>
      </c>
      <c r="E287" s="21">
        <v>1500.0</v>
      </c>
      <c r="F287" s="22">
        <v>518.854</v>
      </c>
      <c r="G287" s="22">
        <v>25.316</v>
      </c>
      <c r="H287" s="22">
        <v>0.0</v>
      </c>
      <c r="I287" s="22">
        <v>55.212</v>
      </c>
      <c r="J287" s="22">
        <v>0.0</v>
      </c>
      <c r="K287" s="22">
        <v>0.0</v>
      </c>
      <c r="L287" s="22">
        <v>599.382</v>
      </c>
      <c r="M287" s="22">
        <v>442.905</v>
      </c>
      <c r="N287" s="22">
        <v>356.233</v>
      </c>
      <c r="O287" s="24">
        <v>24.1</v>
      </c>
      <c r="P287" s="18">
        <f t="shared" si="1"/>
        <v>599.382</v>
      </c>
    </row>
    <row r="288" ht="15.75" customHeight="1">
      <c r="A288" s="13" t="s">
        <v>206</v>
      </c>
      <c r="B288" s="13" t="s">
        <v>99</v>
      </c>
      <c r="C288" s="14" t="s">
        <v>131</v>
      </c>
      <c r="D288" s="14" t="str">
        <f>VLOOKUP(C288,'State Key'!$A$2:$B$210,2,False)</f>
        <v>Andhra Pradesh</v>
      </c>
      <c r="E288" s="15">
        <v>1040.0</v>
      </c>
      <c r="F288" s="16">
        <v>335.0556</v>
      </c>
      <c r="G288" s="16">
        <v>0.0</v>
      </c>
      <c r="H288" s="16">
        <v>0.0</v>
      </c>
      <c r="I288" s="16">
        <v>61.7404</v>
      </c>
      <c r="J288" s="16">
        <v>0.0</v>
      </c>
      <c r="K288" s="16">
        <v>0.0</v>
      </c>
      <c r="L288" s="16">
        <v>396.796</v>
      </c>
      <c r="M288" s="16">
        <v>398.794</v>
      </c>
      <c r="N288" s="16">
        <v>77.87</v>
      </c>
      <c r="O288" s="17">
        <v>5.9</v>
      </c>
      <c r="P288" s="18">
        <f t="shared" si="1"/>
        <v>396.796</v>
      </c>
    </row>
    <row r="289" ht="15.75" customHeight="1">
      <c r="A289" s="19" t="s">
        <v>206</v>
      </c>
      <c r="B289" s="19" t="s">
        <v>99</v>
      </c>
      <c r="C289" s="20" t="s">
        <v>132</v>
      </c>
      <c r="D289" s="14" t="str">
        <f>VLOOKUP(C289,'State Key'!$A$2:$B$210,2,False)</f>
        <v>Karnataka</v>
      </c>
      <c r="E289" s="21">
        <v>1600.0</v>
      </c>
      <c r="F289" s="22">
        <v>0.0</v>
      </c>
      <c r="G289" s="22">
        <v>373.781</v>
      </c>
      <c r="H289" s="22">
        <v>0.0</v>
      </c>
      <c r="I289" s="22">
        <v>0.0</v>
      </c>
      <c r="J289" s="22">
        <v>0.0</v>
      </c>
      <c r="K289" s="22">
        <v>0.0</v>
      </c>
      <c r="L289" s="22">
        <v>373.781</v>
      </c>
      <c r="M289" s="22">
        <v>403.787</v>
      </c>
      <c r="N289" s="22">
        <v>187.397</v>
      </c>
      <c r="O289" s="23">
        <v>13.9</v>
      </c>
      <c r="P289" s="18">
        <f t="shared" si="1"/>
        <v>373.781</v>
      </c>
    </row>
    <row r="290" ht="15.75" customHeight="1">
      <c r="A290" s="13" t="s">
        <v>206</v>
      </c>
      <c r="B290" s="13" t="s">
        <v>133</v>
      </c>
      <c r="C290" s="14" t="s">
        <v>134</v>
      </c>
      <c r="D290" s="14" t="str">
        <f>VLOOKUP(C290,'State Key'!$A$2:$B$210,2,False)</f>
        <v>Chhattisgarh</v>
      </c>
      <c r="E290" s="15">
        <v>1800.0</v>
      </c>
      <c r="F290" s="16">
        <v>529.3581</v>
      </c>
      <c r="G290" s="16">
        <v>0.0</v>
      </c>
      <c r="H290" s="16">
        <v>0.0</v>
      </c>
      <c r="I290" s="16">
        <v>0.0</v>
      </c>
      <c r="J290" s="16">
        <v>0.0</v>
      </c>
      <c r="K290" s="16">
        <v>0.0</v>
      </c>
      <c r="L290" s="16">
        <v>529.3581</v>
      </c>
      <c r="M290" s="16">
        <v>556.865</v>
      </c>
      <c r="N290" s="16">
        <v>363.21</v>
      </c>
      <c r="O290" s="24">
        <v>19.6</v>
      </c>
      <c r="P290" s="18">
        <f t="shared" si="1"/>
        <v>529.3581</v>
      </c>
    </row>
    <row r="291" ht="15.75" customHeight="1">
      <c r="A291" s="19" t="s">
        <v>206</v>
      </c>
      <c r="B291" s="19" t="s">
        <v>133</v>
      </c>
      <c r="C291" s="20" t="s">
        <v>135</v>
      </c>
      <c r="D291" s="14" t="str">
        <f>VLOOKUP(C291,'State Key'!$A$2:$B$210,2,False)</f>
        <v>Madhya Pradesh</v>
      </c>
      <c r="E291" s="21">
        <v>210.0</v>
      </c>
      <c r="F291" s="22">
        <v>78.624</v>
      </c>
      <c r="G291" s="22">
        <v>0.0</v>
      </c>
      <c r="H291" s="22">
        <v>0.0</v>
      </c>
      <c r="I291" s="22">
        <v>0.0</v>
      </c>
      <c r="J291" s="22">
        <v>0.0</v>
      </c>
      <c r="K291" s="22">
        <v>0.0</v>
      </c>
      <c r="L291" s="22">
        <v>78.624</v>
      </c>
      <c r="M291" s="22">
        <v>99.456</v>
      </c>
      <c r="N291" s="22">
        <v>51.53</v>
      </c>
      <c r="O291" s="24">
        <v>15.5</v>
      </c>
      <c r="P291" s="18">
        <f t="shared" si="1"/>
        <v>78.624</v>
      </c>
    </row>
    <row r="292" ht="15.75" customHeight="1">
      <c r="A292" s="13" t="s">
        <v>206</v>
      </c>
      <c r="B292" s="13" t="s">
        <v>133</v>
      </c>
      <c r="C292" s="14" t="s">
        <v>136</v>
      </c>
      <c r="D292" s="14" t="str">
        <f>VLOOKUP(C292,'State Key'!$A$2:$B$210,2,False)</f>
        <v>Maharashtra</v>
      </c>
      <c r="E292" s="15">
        <v>1350.0</v>
      </c>
      <c r="F292" s="16">
        <v>547.689</v>
      </c>
      <c r="G292" s="16">
        <v>0.0</v>
      </c>
      <c r="H292" s="16">
        <v>0.0</v>
      </c>
      <c r="I292" s="16">
        <v>0.0</v>
      </c>
      <c r="J292" s="16">
        <v>0.0</v>
      </c>
      <c r="K292" s="16">
        <v>0.0</v>
      </c>
      <c r="L292" s="16">
        <v>547.689</v>
      </c>
      <c r="M292" s="16">
        <v>531.891</v>
      </c>
      <c r="N292" s="16">
        <v>33.52</v>
      </c>
      <c r="O292" s="17">
        <v>1.9</v>
      </c>
      <c r="P292" s="18">
        <f t="shared" si="1"/>
        <v>547.689</v>
      </c>
    </row>
    <row r="293" ht="15.75" customHeight="1">
      <c r="A293" s="19" t="s">
        <v>206</v>
      </c>
      <c r="B293" s="19" t="s">
        <v>133</v>
      </c>
      <c r="C293" s="20" t="s">
        <v>137</v>
      </c>
      <c r="D293" s="14" t="str">
        <f>VLOOKUP(C293,'State Key'!$A$2:$B$210,2,False)</f>
        <v>Madhya Pradesh</v>
      </c>
      <c r="E293" s="21">
        <v>1250.0</v>
      </c>
      <c r="F293" s="22">
        <v>398.29</v>
      </c>
      <c r="G293" s="22">
        <v>0.0</v>
      </c>
      <c r="H293" s="22">
        <v>0.0</v>
      </c>
      <c r="I293" s="22">
        <v>0.0</v>
      </c>
      <c r="J293" s="22">
        <v>0.0</v>
      </c>
      <c r="K293" s="22">
        <v>129.28</v>
      </c>
      <c r="L293" s="22">
        <v>527.57</v>
      </c>
      <c r="M293" s="22">
        <v>514.9</v>
      </c>
      <c r="N293" s="22">
        <v>393.03</v>
      </c>
      <c r="O293" s="24">
        <v>22.9</v>
      </c>
      <c r="P293" s="18">
        <f t="shared" si="1"/>
        <v>527.57</v>
      </c>
    </row>
    <row r="294" ht="15.75" customHeight="1">
      <c r="A294" s="13" t="s">
        <v>206</v>
      </c>
      <c r="B294" s="13" t="s">
        <v>133</v>
      </c>
      <c r="C294" s="14" t="s">
        <v>138</v>
      </c>
      <c r="D294" s="14" t="str">
        <f>VLOOKUP(C294,'State Key'!$A$2:$B$210,2,False)</f>
        <v>Chhattisgarh</v>
      </c>
      <c r="E294" s="15">
        <v>600.0</v>
      </c>
      <c r="F294" s="16">
        <v>326.576</v>
      </c>
      <c r="G294" s="16">
        <v>0.0</v>
      </c>
      <c r="H294" s="16">
        <v>0.0</v>
      </c>
      <c r="I294" s="16">
        <v>0.0</v>
      </c>
      <c r="J294" s="16">
        <v>3.329</v>
      </c>
      <c r="K294" s="16">
        <v>0.0</v>
      </c>
      <c r="L294" s="16">
        <v>329.905</v>
      </c>
      <c r="M294" s="16">
        <v>314.936</v>
      </c>
      <c r="N294" s="16">
        <v>177.96</v>
      </c>
      <c r="O294" s="24">
        <v>17.0</v>
      </c>
      <c r="P294" s="18">
        <f t="shared" si="1"/>
        <v>329.905</v>
      </c>
    </row>
    <row r="295" ht="15.75" customHeight="1">
      <c r="A295" s="19" t="s">
        <v>206</v>
      </c>
      <c r="B295" s="19" t="s">
        <v>133</v>
      </c>
      <c r="C295" s="20" t="s">
        <v>139</v>
      </c>
      <c r="D295" s="14" t="str">
        <f>VLOOKUP(C295,'State Key'!$A$2:$B$210,2,False)</f>
        <v>Chhattisgarh</v>
      </c>
      <c r="E295" s="21">
        <v>600.0</v>
      </c>
      <c r="F295" s="22">
        <v>109.5</v>
      </c>
      <c r="G295" s="22">
        <v>0.0</v>
      </c>
      <c r="H295" s="22">
        <v>0.0</v>
      </c>
      <c r="I295" s="22">
        <v>14.26</v>
      </c>
      <c r="J295" s="22">
        <v>0.0</v>
      </c>
      <c r="K295" s="22">
        <v>63.5</v>
      </c>
      <c r="L295" s="22">
        <v>187.26</v>
      </c>
      <c r="M295" s="22">
        <v>210.534</v>
      </c>
      <c r="N295" s="22">
        <v>56.37</v>
      </c>
      <c r="O295" s="23">
        <v>8.0</v>
      </c>
      <c r="P295" s="18">
        <f t="shared" si="1"/>
        <v>187.26</v>
      </c>
    </row>
    <row r="296" ht="15.75" customHeight="1">
      <c r="A296" s="13" t="s">
        <v>206</v>
      </c>
      <c r="B296" s="13" t="s">
        <v>133</v>
      </c>
      <c r="C296" s="14" t="s">
        <v>140</v>
      </c>
      <c r="D296" s="14" t="str">
        <f>VLOOKUP(C296,'State Key'!$A$2:$B$210,2,False)</f>
        <v>Chhattisgarh</v>
      </c>
      <c r="E296" s="15">
        <v>300.0</v>
      </c>
      <c r="F296" s="16">
        <v>93.381</v>
      </c>
      <c r="G296" s="16">
        <v>0.0</v>
      </c>
      <c r="H296" s="16">
        <v>0.0</v>
      </c>
      <c r="I296" s="16">
        <v>0.0</v>
      </c>
      <c r="J296" s="16">
        <v>12.201</v>
      </c>
      <c r="K296" s="16">
        <v>13.948</v>
      </c>
      <c r="L296" s="16">
        <v>119.53</v>
      </c>
      <c r="M296" s="16">
        <v>123.706</v>
      </c>
      <c r="N296" s="16">
        <v>141.55</v>
      </c>
      <c r="O296" s="24">
        <v>34.3</v>
      </c>
      <c r="P296" s="18">
        <f t="shared" si="1"/>
        <v>119.53</v>
      </c>
    </row>
    <row r="297" ht="15.75" customHeight="1">
      <c r="A297" s="19" t="s">
        <v>206</v>
      </c>
      <c r="B297" s="19" t="s">
        <v>133</v>
      </c>
      <c r="C297" s="20" t="s">
        <v>141</v>
      </c>
      <c r="D297" s="14" t="str">
        <f>VLOOKUP(C297,'State Key'!$A$2:$B$210,2,False)</f>
        <v>Chhattisgarh</v>
      </c>
      <c r="E297" s="21">
        <v>1200.0</v>
      </c>
      <c r="F297" s="22">
        <v>264.181</v>
      </c>
      <c r="G297" s="22">
        <v>0.0</v>
      </c>
      <c r="H297" s="22">
        <v>0.0</v>
      </c>
      <c r="I297" s="22">
        <v>0.0</v>
      </c>
      <c r="J297" s="22">
        <v>0.0</v>
      </c>
      <c r="K297" s="22">
        <v>265.78</v>
      </c>
      <c r="L297" s="22">
        <v>529.961</v>
      </c>
      <c r="M297" s="22">
        <v>518.439</v>
      </c>
      <c r="N297" s="22">
        <v>389.38</v>
      </c>
      <c r="O297" s="24">
        <v>22.5</v>
      </c>
      <c r="P297" s="18">
        <f t="shared" si="1"/>
        <v>529.961</v>
      </c>
    </row>
    <row r="298" ht="15.75" customHeight="1">
      <c r="A298" s="13" t="s">
        <v>206</v>
      </c>
      <c r="B298" s="13" t="s">
        <v>133</v>
      </c>
      <c r="C298" s="14" t="s">
        <v>142</v>
      </c>
      <c r="D298" s="14" t="str">
        <f>VLOOKUP(C298,'State Key'!$A$2:$B$210,2,False)</f>
        <v>Maharashtra</v>
      </c>
      <c r="E298" s="15">
        <v>270.0</v>
      </c>
      <c r="F298" s="16">
        <v>88.834</v>
      </c>
      <c r="G298" s="16">
        <v>0.0</v>
      </c>
      <c r="H298" s="16">
        <v>0.0</v>
      </c>
      <c r="I298" s="16">
        <v>0.0</v>
      </c>
      <c r="J298" s="16">
        <v>0.0</v>
      </c>
      <c r="K298" s="16">
        <v>6.567</v>
      </c>
      <c r="L298" s="16">
        <v>95.401</v>
      </c>
      <c r="M298" s="16">
        <v>82.632</v>
      </c>
      <c r="N298" s="16">
        <v>74.57</v>
      </c>
      <c r="O298" s="24">
        <v>27.1</v>
      </c>
      <c r="P298" s="18">
        <f t="shared" si="1"/>
        <v>95.401</v>
      </c>
    </row>
    <row r="299" ht="15.75" customHeight="1">
      <c r="A299" s="19" t="s">
        <v>206</v>
      </c>
      <c r="B299" s="19" t="s">
        <v>133</v>
      </c>
      <c r="C299" s="20" t="s">
        <v>143</v>
      </c>
      <c r="D299" s="14" t="str">
        <f>VLOOKUP(C299,'State Key'!$A$2:$B$210,2,False)</f>
        <v>Chhattisgarh</v>
      </c>
      <c r="E299" s="21">
        <v>500.0</v>
      </c>
      <c r="F299" s="22">
        <v>175.493</v>
      </c>
      <c r="G299" s="22">
        <v>0.0</v>
      </c>
      <c r="H299" s="22">
        <v>0.0</v>
      </c>
      <c r="I299" s="22">
        <v>0.0</v>
      </c>
      <c r="J299" s="22">
        <v>0.0</v>
      </c>
      <c r="K299" s="22">
        <v>0.0</v>
      </c>
      <c r="L299" s="22">
        <v>175.493</v>
      </c>
      <c r="M299" s="22">
        <v>248.589</v>
      </c>
      <c r="N299" s="22">
        <v>153.659</v>
      </c>
      <c r="O299" s="24">
        <v>18.5</v>
      </c>
      <c r="P299" s="18">
        <f t="shared" si="1"/>
        <v>175.493</v>
      </c>
    </row>
    <row r="300" ht="15.75" customHeight="1">
      <c r="A300" s="13" t="s">
        <v>206</v>
      </c>
      <c r="B300" s="13" t="s">
        <v>133</v>
      </c>
      <c r="C300" s="14" t="s">
        <v>144</v>
      </c>
      <c r="D300" s="14" t="str">
        <f>VLOOKUP(C300,'State Key'!$A$2:$B$210,2,False)</f>
        <v>Maharashtra</v>
      </c>
      <c r="E300" s="15">
        <v>1210.0</v>
      </c>
      <c r="F300" s="16">
        <v>644.514</v>
      </c>
      <c r="G300" s="16">
        <v>0.0</v>
      </c>
      <c r="H300" s="16">
        <v>0.0</v>
      </c>
      <c r="I300" s="16">
        <v>0.0</v>
      </c>
      <c r="J300" s="16">
        <v>0.0</v>
      </c>
      <c r="K300" s="16">
        <v>0.0</v>
      </c>
      <c r="L300" s="16">
        <v>644.514</v>
      </c>
      <c r="M300" s="16">
        <v>516.748</v>
      </c>
      <c r="N300" s="16">
        <v>194.26</v>
      </c>
      <c r="O300" s="23">
        <v>11.3</v>
      </c>
      <c r="P300" s="18">
        <f t="shared" si="1"/>
        <v>644.514</v>
      </c>
    </row>
    <row r="301" ht="15.75" customHeight="1">
      <c r="A301" s="19" t="s">
        <v>206</v>
      </c>
      <c r="B301" s="19" t="s">
        <v>133</v>
      </c>
      <c r="C301" s="20" t="s">
        <v>145</v>
      </c>
      <c r="D301" s="14" t="str">
        <f>VLOOKUP(C301,'State Key'!$A$2:$B$210,2,False)</f>
        <v>Madhya Pradesh</v>
      </c>
      <c r="E301" s="21">
        <v>500.0</v>
      </c>
      <c r="F301" s="22">
        <v>184.16</v>
      </c>
      <c r="G301" s="22">
        <v>0.0</v>
      </c>
      <c r="H301" s="22">
        <v>0.0</v>
      </c>
      <c r="I301" s="22">
        <v>0.0</v>
      </c>
      <c r="J301" s="22">
        <v>0.0</v>
      </c>
      <c r="K301" s="22">
        <v>66.1</v>
      </c>
      <c r="L301" s="22">
        <v>250.26</v>
      </c>
      <c r="M301" s="22">
        <v>209.11</v>
      </c>
      <c r="N301" s="22">
        <v>139.18</v>
      </c>
      <c r="O301" s="24">
        <v>20.0</v>
      </c>
      <c r="P301" s="18">
        <f t="shared" si="1"/>
        <v>250.26</v>
      </c>
    </row>
    <row r="302" ht="15.75" customHeight="1">
      <c r="A302" s="13" t="s">
        <v>206</v>
      </c>
      <c r="B302" s="13" t="s">
        <v>133</v>
      </c>
      <c r="C302" s="14" t="s">
        <v>146</v>
      </c>
      <c r="D302" s="14" t="str">
        <f>VLOOKUP(C302,'State Key'!$A$2:$B$210,2,False)</f>
        <v>Chhattisgarh</v>
      </c>
      <c r="E302" s="15">
        <v>600.0</v>
      </c>
      <c r="F302" s="16">
        <v>62.825</v>
      </c>
      <c r="G302" s="16">
        <v>0.0</v>
      </c>
      <c r="H302" s="16">
        <v>0.0</v>
      </c>
      <c r="I302" s="16">
        <v>0.0</v>
      </c>
      <c r="J302" s="16">
        <v>0.0</v>
      </c>
      <c r="K302" s="16">
        <v>150.918</v>
      </c>
      <c r="L302" s="16">
        <v>213.743</v>
      </c>
      <c r="M302" s="16">
        <v>185.959</v>
      </c>
      <c r="N302" s="16">
        <v>102.29</v>
      </c>
      <c r="O302" s="24">
        <v>16.5</v>
      </c>
      <c r="P302" s="18">
        <f t="shared" si="1"/>
        <v>213.743</v>
      </c>
    </row>
    <row r="303" ht="15.75" customHeight="1">
      <c r="A303" s="19" t="s">
        <v>206</v>
      </c>
      <c r="B303" s="19" t="s">
        <v>133</v>
      </c>
      <c r="C303" s="20" t="s">
        <v>147</v>
      </c>
      <c r="D303" s="14" t="str">
        <f>VLOOKUP(C303,'State Key'!$A$2:$B$210,2,False)</f>
        <v>Maharashtra</v>
      </c>
      <c r="E303" s="21">
        <v>600.0</v>
      </c>
      <c r="F303" s="22">
        <v>0.0</v>
      </c>
      <c r="G303" s="22">
        <v>0.0</v>
      </c>
      <c r="H303" s="22">
        <v>0.0</v>
      </c>
      <c r="I303" s="22">
        <v>0.0</v>
      </c>
      <c r="J303" s="22">
        <v>0.0</v>
      </c>
      <c r="K303" s="22">
        <v>0.0</v>
      </c>
      <c r="L303" s="22">
        <v>0.0</v>
      </c>
      <c r="M303" s="22">
        <v>0.0</v>
      </c>
      <c r="N303" s="22">
        <v>0.0</v>
      </c>
      <c r="O303" s="19" t="s">
        <v>58</v>
      </c>
      <c r="P303" s="18">
        <f t="shared" si="1"/>
        <v>0</v>
      </c>
    </row>
    <row r="304" ht="15.75" customHeight="1">
      <c r="A304" s="13" t="s">
        <v>206</v>
      </c>
      <c r="B304" s="13" t="s">
        <v>133</v>
      </c>
      <c r="C304" s="14" t="s">
        <v>148</v>
      </c>
      <c r="D304" s="14" t="str">
        <f>VLOOKUP(C304,'State Key'!$A$2:$B$210,2,False)</f>
        <v>Chhattisgarh</v>
      </c>
      <c r="E304" s="15">
        <v>30.0</v>
      </c>
      <c r="F304" s="16">
        <v>1.066</v>
      </c>
      <c r="G304" s="16">
        <v>0.0</v>
      </c>
      <c r="H304" s="16">
        <v>0.0</v>
      </c>
      <c r="I304" s="16">
        <v>0.0</v>
      </c>
      <c r="J304" s="16">
        <v>59.191</v>
      </c>
      <c r="K304" s="16">
        <v>0.0</v>
      </c>
      <c r="L304" s="16">
        <v>60.257</v>
      </c>
      <c r="M304" s="16">
        <v>64.043</v>
      </c>
      <c r="N304" s="16">
        <v>34.47</v>
      </c>
      <c r="O304" s="24">
        <v>16.1</v>
      </c>
      <c r="P304" s="18">
        <f t="shared" si="1"/>
        <v>60.257</v>
      </c>
    </row>
    <row r="305" ht="15.75" customHeight="1">
      <c r="A305" s="19" t="s">
        <v>206</v>
      </c>
      <c r="B305" s="19" t="s">
        <v>133</v>
      </c>
      <c r="C305" s="20" t="s">
        <v>149</v>
      </c>
      <c r="D305" s="14" t="str">
        <f>VLOOKUP(C305,'State Key'!$A$2:$B$210,2,False)</f>
        <v>Maharashtra</v>
      </c>
      <c r="E305" s="21">
        <v>2920.0</v>
      </c>
      <c r="F305" s="22">
        <v>998.012</v>
      </c>
      <c r="G305" s="22">
        <v>95.182</v>
      </c>
      <c r="H305" s="22">
        <v>0.0</v>
      </c>
      <c r="I305" s="22">
        <v>0.0</v>
      </c>
      <c r="J305" s="22">
        <v>0.0</v>
      </c>
      <c r="K305" s="22">
        <v>0.0</v>
      </c>
      <c r="L305" s="22">
        <v>1093.194</v>
      </c>
      <c r="M305" s="22">
        <v>1251.68</v>
      </c>
      <c r="N305" s="22">
        <v>316.53</v>
      </c>
      <c r="O305" s="23">
        <v>7.6</v>
      </c>
      <c r="P305" s="18">
        <f t="shared" si="1"/>
        <v>1093.194</v>
      </c>
    </row>
    <row r="306" ht="15.75" customHeight="1">
      <c r="A306" s="13" t="s">
        <v>206</v>
      </c>
      <c r="B306" s="13" t="s">
        <v>133</v>
      </c>
      <c r="C306" s="14" t="s">
        <v>150</v>
      </c>
      <c r="D306" s="14" t="str">
        <f>VLOOKUP(C306,'State Key'!$A$2:$B$210,2,False)</f>
        <v>Maharashtra</v>
      </c>
      <c r="E306" s="15">
        <v>500.0</v>
      </c>
      <c r="F306" s="16">
        <v>198.367</v>
      </c>
      <c r="G306" s="16">
        <v>0.0</v>
      </c>
      <c r="H306" s="16">
        <v>0.0</v>
      </c>
      <c r="I306" s="16">
        <v>0.0</v>
      </c>
      <c r="J306" s="16">
        <v>0.0</v>
      </c>
      <c r="K306" s="16">
        <v>0.0</v>
      </c>
      <c r="L306" s="16">
        <v>198.367</v>
      </c>
      <c r="M306" s="16">
        <v>218.659</v>
      </c>
      <c r="N306" s="16">
        <v>2.46</v>
      </c>
      <c r="O306" s="17">
        <v>0.3</v>
      </c>
      <c r="P306" s="18">
        <f t="shared" si="1"/>
        <v>198.367</v>
      </c>
    </row>
    <row r="307" ht="15.75" customHeight="1">
      <c r="A307" s="19" t="s">
        <v>206</v>
      </c>
      <c r="B307" s="19" t="s">
        <v>133</v>
      </c>
      <c r="C307" s="20" t="s">
        <v>151</v>
      </c>
      <c r="D307" s="14" t="str">
        <f>VLOOKUP(C307,'State Key'!$A$2:$B$210,2,False)</f>
        <v>Maharashtra</v>
      </c>
      <c r="E307" s="21">
        <v>600.0</v>
      </c>
      <c r="F307" s="22">
        <v>251.694</v>
      </c>
      <c r="G307" s="22">
        <v>0.0</v>
      </c>
      <c r="H307" s="22">
        <v>0.0</v>
      </c>
      <c r="I307" s="22">
        <v>0.0</v>
      </c>
      <c r="J307" s="22">
        <v>0.0</v>
      </c>
      <c r="K307" s="22">
        <v>25.018</v>
      </c>
      <c r="L307" s="22">
        <v>276.712</v>
      </c>
      <c r="M307" s="22">
        <v>267.271</v>
      </c>
      <c r="N307" s="22">
        <v>212.77</v>
      </c>
      <c r="O307" s="24">
        <v>23.9</v>
      </c>
      <c r="P307" s="18">
        <f t="shared" si="1"/>
        <v>276.712</v>
      </c>
    </row>
    <row r="308" ht="15.75" customHeight="1">
      <c r="A308" s="13" t="s">
        <v>206</v>
      </c>
      <c r="B308" s="13" t="s">
        <v>133</v>
      </c>
      <c r="C308" s="14" t="s">
        <v>152</v>
      </c>
      <c r="D308" s="14" t="str">
        <f>VLOOKUP(C308,'State Key'!$A$2:$B$210,2,False)</f>
        <v>Chhattisgarh</v>
      </c>
      <c r="E308" s="15">
        <v>500.0</v>
      </c>
      <c r="F308" s="16">
        <v>167.11328</v>
      </c>
      <c r="G308" s="16">
        <v>0.0</v>
      </c>
      <c r="H308" s="16">
        <v>0.0</v>
      </c>
      <c r="I308" s="16">
        <v>0.0</v>
      </c>
      <c r="J308" s="16">
        <v>0.0</v>
      </c>
      <c r="K308" s="16">
        <v>0.0</v>
      </c>
      <c r="L308" s="16">
        <v>167.11328</v>
      </c>
      <c r="M308" s="16">
        <v>256.523</v>
      </c>
      <c r="N308" s="16">
        <v>261.29</v>
      </c>
      <c r="O308" s="24">
        <v>30.6</v>
      </c>
      <c r="P308" s="18">
        <f t="shared" si="1"/>
        <v>167.11328</v>
      </c>
    </row>
    <row r="309" ht="15.75" customHeight="1">
      <c r="A309" s="19" t="s">
        <v>206</v>
      </c>
      <c r="B309" s="19" t="s">
        <v>133</v>
      </c>
      <c r="C309" s="20" t="s">
        <v>153</v>
      </c>
      <c r="D309" s="14" t="str">
        <f>VLOOKUP(C309,'State Key'!$A$2:$B$210,2,False)</f>
        <v>Madhya Pradesh</v>
      </c>
      <c r="E309" s="21">
        <v>1600.0</v>
      </c>
      <c r="F309" s="22">
        <v>256.28</v>
      </c>
      <c r="G309" s="22">
        <v>0.0</v>
      </c>
      <c r="H309" s="22">
        <v>11.82</v>
      </c>
      <c r="I309" s="22">
        <v>24.45</v>
      </c>
      <c r="J309" s="22">
        <v>0.0</v>
      </c>
      <c r="K309" s="22">
        <v>0.0</v>
      </c>
      <c r="L309" s="22">
        <v>292.55</v>
      </c>
      <c r="M309" s="22">
        <v>294.927</v>
      </c>
      <c r="N309" s="22">
        <v>367.945</v>
      </c>
      <c r="O309" s="24">
        <v>37.4</v>
      </c>
      <c r="P309" s="18">
        <f t="shared" si="1"/>
        <v>292.55</v>
      </c>
    </row>
    <row r="310" ht="15.75" customHeight="1">
      <c r="A310" s="13" t="s">
        <v>206</v>
      </c>
      <c r="B310" s="13" t="s">
        <v>133</v>
      </c>
      <c r="C310" s="14" t="s">
        <v>154</v>
      </c>
      <c r="D310" s="14" t="str">
        <f>VLOOKUP(C310,'State Key'!$A$2:$B$210,2,False)</f>
        <v>Gujarat</v>
      </c>
      <c r="E310" s="15">
        <v>630.0</v>
      </c>
      <c r="F310" s="16">
        <v>279.777</v>
      </c>
      <c r="G310" s="16">
        <v>0.0</v>
      </c>
      <c r="H310" s="16">
        <v>0.0</v>
      </c>
      <c r="I310" s="16">
        <v>0.0</v>
      </c>
      <c r="J310" s="16">
        <v>0.0</v>
      </c>
      <c r="K310" s="16">
        <v>0.0</v>
      </c>
      <c r="L310" s="16">
        <v>279.777</v>
      </c>
      <c r="M310" s="16">
        <v>226.463</v>
      </c>
      <c r="N310" s="16">
        <v>128.62</v>
      </c>
      <c r="O310" s="24">
        <v>17.0</v>
      </c>
      <c r="P310" s="18">
        <f t="shared" si="1"/>
        <v>279.777</v>
      </c>
    </row>
    <row r="311" ht="15.75" customHeight="1">
      <c r="A311" s="19" t="s">
        <v>206</v>
      </c>
      <c r="B311" s="19" t="s">
        <v>133</v>
      </c>
      <c r="C311" s="20" t="s">
        <v>155</v>
      </c>
      <c r="D311" s="14" t="str">
        <f>VLOOKUP(C311,'State Key'!$A$2:$B$210,2,False)</f>
        <v>Maharashtra</v>
      </c>
      <c r="E311" s="21">
        <v>120.0</v>
      </c>
      <c r="F311" s="22">
        <v>0.0</v>
      </c>
      <c r="G311" s="22">
        <v>0.0</v>
      </c>
      <c r="H311" s="22">
        <v>0.0</v>
      </c>
      <c r="I311" s="22">
        <v>0.0</v>
      </c>
      <c r="J311" s="22">
        <v>0.0</v>
      </c>
      <c r="K311" s="22">
        <v>0.0</v>
      </c>
      <c r="L311" s="22">
        <v>0.0</v>
      </c>
      <c r="M311" s="22">
        <v>0.0</v>
      </c>
      <c r="N311" s="22">
        <v>0.0</v>
      </c>
      <c r="O311" s="19" t="s">
        <v>58</v>
      </c>
      <c r="P311" s="18">
        <f t="shared" si="1"/>
        <v>0</v>
      </c>
    </row>
    <row r="312" ht="15.75" customHeight="1">
      <c r="A312" s="13" t="s">
        <v>206</v>
      </c>
      <c r="B312" s="13" t="s">
        <v>133</v>
      </c>
      <c r="C312" s="14" t="s">
        <v>156</v>
      </c>
      <c r="D312" s="14" t="str">
        <f>VLOOKUP(C312,'State Key'!$A$2:$B$210,2,False)</f>
        <v>Maharashtra</v>
      </c>
      <c r="E312" s="15">
        <v>600.0</v>
      </c>
      <c r="F312" s="16">
        <v>242.308</v>
      </c>
      <c r="G312" s="16">
        <v>0.0</v>
      </c>
      <c r="H312" s="16">
        <v>0.0</v>
      </c>
      <c r="I312" s="16">
        <v>0.0</v>
      </c>
      <c r="J312" s="16">
        <v>0.0</v>
      </c>
      <c r="K312" s="16">
        <v>49.665</v>
      </c>
      <c r="L312" s="16">
        <v>291.973</v>
      </c>
      <c r="M312" s="16">
        <v>255.486</v>
      </c>
      <c r="N312" s="16">
        <v>40.07</v>
      </c>
      <c r="O312" s="17">
        <v>4.7</v>
      </c>
      <c r="P312" s="18">
        <f t="shared" si="1"/>
        <v>291.973</v>
      </c>
    </row>
    <row r="313" ht="15.75" customHeight="1">
      <c r="A313" s="19" t="s">
        <v>206</v>
      </c>
      <c r="B313" s="19" t="s">
        <v>133</v>
      </c>
      <c r="C313" s="20" t="s">
        <v>157</v>
      </c>
      <c r="D313" s="14" t="str">
        <f>VLOOKUP(C313,'State Key'!$A$2:$B$210,2,False)</f>
        <v>Maharashtra</v>
      </c>
      <c r="E313" s="21">
        <v>300.0</v>
      </c>
      <c r="F313" s="22">
        <v>0.0</v>
      </c>
      <c r="G313" s="22">
        <v>0.0</v>
      </c>
      <c r="H313" s="22">
        <v>0.0</v>
      </c>
      <c r="I313" s="22">
        <v>75.0</v>
      </c>
      <c r="J313" s="22">
        <v>0.0</v>
      </c>
      <c r="K313" s="22">
        <v>0.0</v>
      </c>
      <c r="L313" s="22">
        <v>75.0</v>
      </c>
      <c r="M313" s="22">
        <v>76.022</v>
      </c>
      <c r="N313" s="22">
        <v>62.11</v>
      </c>
      <c r="O313" s="24">
        <v>24.5</v>
      </c>
      <c r="P313" s="18">
        <f t="shared" si="1"/>
        <v>75</v>
      </c>
    </row>
    <row r="314" ht="15.75" customHeight="1">
      <c r="A314" s="13" t="s">
        <v>206</v>
      </c>
      <c r="B314" s="13" t="s">
        <v>133</v>
      </c>
      <c r="C314" s="14" t="s">
        <v>158</v>
      </c>
      <c r="D314" s="14" t="str">
        <f>VLOOKUP(C314,'State Key'!$A$2:$B$210,2,False)</f>
        <v>Chhattisgarh</v>
      </c>
      <c r="E314" s="15">
        <v>270.0</v>
      </c>
      <c r="F314" s="16">
        <v>70.807</v>
      </c>
      <c r="G314" s="16">
        <v>0.0</v>
      </c>
      <c r="H314" s="16">
        <v>0.0</v>
      </c>
      <c r="I314" s="16">
        <v>0.0</v>
      </c>
      <c r="J314" s="16">
        <v>170.7452</v>
      </c>
      <c r="K314" s="16">
        <v>0.0</v>
      </c>
      <c r="L314" s="16">
        <v>241.5522</v>
      </c>
      <c r="M314" s="16">
        <v>172.5</v>
      </c>
      <c r="N314" s="16">
        <v>82.24</v>
      </c>
      <c r="O314" s="24">
        <v>14.3</v>
      </c>
      <c r="P314" s="18">
        <f t="shared" si="1"/>
        <v>241.5522</v>
      </c>
    </row>
    <row r="315" ht="15.75" customHeight="1">
      <c r="A315" s="19" t="s">
        <v>206</v>
      </c>
      <c r="B315" s="19" t="s">
        <v>133</v>
      </c>
      <c r="C315" s="20" t="s">
        <v>159</v>
      </c>
      <c r="D315" s="14" t="str">
        <f>VLOOKUP(C315,'State Key'!$A$2:$B$210,2,False)</f>
        <v>Chhattisgarh</v>
      </c>
      <c r="E315" s="21">
        <v>35.0</v>
      </c>
      <c r="F315" s="22">
        <v>0.0</v>
      </c>
      <c r="G315" s="22">
        <v>0.0</v>
      </c>
      <c r="H315" s="22">
        <v>0.0</v>
      </c>
      <c r="I315" s="22">
        <v>0.0</v>
      </c>
      <c r="J315" s="22">
        <v>0.0</v>
      </c>
      <c r="K315" s="22">
        <v>0.0</v>
      </c>
      <c r="L315" s="22">
        <v>0.0</v>
      </c>
      <c r="M315" s="22">
        <v>0.0</v>
      </c>
      <c r="N315" s="22">
        <v>0.0</v>
      </c>
      <c r="O315" s="19" t="s">
        <v>58</v>
      </c>
      <c r="P315" s="18">
        <f t="shared" si="1"/>
        <v>0</v>
      </c>
    </row>
    <row r="316" ht="15.75" customHeight="1">
      <c r="A316" s="13" t="s">
        <v>206</v>
      </c>
      <c r="B316" s="13" t="s">
        <v>133</v>
      </c>
      <c r="C316" s="14" t="s">
        <v>160</v>
      </c>
      <c r="D316" s="14" t="str">
        <f>VLOOKUP(C316,'State Key'!$A$2:$B$210,2,False)</f>
        <v>Maharashtra</v>
      </c>
      <c r="E316" s="15">
        <v>1340.0</v>
      </c>
      <c r="F316" s="16">
        <v>567.016</v>
      </c>
      <c r="G316" s="16">
        <v>0.0</v>
      </c>
      <c r="H316" s="16">
        <v>0.0</v>
      </c>
      <c r="I316" s="16">
        <v>0.0</v>
      </c>
      <c r="J316" s="16">
        <v>0.0</v>
      </c>
      <c r="K316" s="16">
        <v>0.0</v>
      </c>
      <c r="L316" s="16">
        <v>567.016</v>
      </c>
      <c r="M316" s="16">
        <v>570.273</v>
      </c>
      <c r="N316" s="16">
        <v>480.85</v>
      </c>
      <c r="O316" s="24">
        <v>25.3</v>
      </c>
      <c r="P316" s="18">
        <f t="shared" si="1"/>
        <v>567.016</v>
      </c>
    </row>
    <row r="317" ht="15.75" customHeight="1">
      <c r="A317" s="19" t="s">
        <v>206</v>
      </c>
      <c r="B317" s="19" t="s">
        <v>133</v>
      </c>
      <c r="C317" s="20" t="s">
        <v>161</v>
      </c>
      <c r="D317" s="14" t="str">
        <f>VLOOKUP(C317,'State Key'!$A$2:$B$210,2,False)</f>
        <v>Madhya Pradesh</v>
      </c>
      <c r="E317" s="21">
        <v>1320.0</v>
      </c>
      <c r="F317" s="22">
        <v>201.49</v>
      </c>
      <c r="G317" s="22">
        <v>0.0</v>
      </c>
      <c r="H317" s="22">
        <v>198.62</v>
      </c>
      <c r="I317" s="22">
        <v>0.0</v>
      </c>
      <c r="J317" s="22">
        <v>0.0</v>
      </c>
      <c r="K317" s="22">
        <v>0.0</v>
      </c>
      <c r="L317" s="22">
        <v>400.11</v>
      </c>
      <c r="M317" s="22">
        <v>359.923</v>
      </c>
      <c r="N317" s="22">
        <v>264.666</v>
      </c>
      <c r="O317" s="24">
        <v>22.1</v>
      </c>
      <c r="P317" s="18">
        <f t="shared" si="1"/>
        <v>400.11</v>
      </c>
    </row>
    <row r="318" ht="15.75" customHeight="1">
      <c r="A318" s="13" t="s">
        <v>206</v>
      </c>
      <c r="B318" s="13" t="s">
        <v>133</v>
      </c>
      <c r="C318" s="14" t="s">
        <v>162</v>
      </c>
      <c r="D318" s="14" t="str">
        <f>VLOOKUP(C318,'State Key'!$A$2:$B$210,2,False)</f>
        <v>Maharashtra</v>
      </c>
      <c r="E318" s="15">
        <v>2190.0</v>
      </c>
      <c r="F318" s="16">
        <v>724.231</v>
      </c>
      <c r="G318" s="16">
        <v>0.0</v>
      </c>
      <c r="H318" s="16">
        <v>0.0</v>
      </c>
      <c r="I318" s="16">
        <v>0.0</v>
      </c>
      <c r="J318" s="16">
        <v>0.0</v>
      </c>
      <c r="K318" s="16">
        <v>0.0</v>
      </c>
      <c r="L318" s="16">
        <v>724.231</v>
      </c>
      <c r="M318" s="16">
        <v>893.89</v>
      </c>
      <c r="N318" s="16">
        <v>278.61</v>
      </c>
      <c r="O318" s="23">
        <v>9.4</v>
      </c>
      <c r="P318" s="18">
        <f t="shared" si="1"/>
        <v>724.231</v>
      </c>
    </row>
    <row r="319" ht="15.75" customHeight="1">
      <c r="A319" s="19" t="s">
        <v>206</v>
      </c>
      <c r="B319" s="19" t="s">
        <v>133</v>
      </c>
      <c r="C319" s="20" t="s">
        <v>163</v>
      </c>
      <c r="D319" s="14" t="str">
        <f>VLOOKUP(C319,'State Key'!$A$2:$B$210,2,False)</f>
        <v>Chhattisgarh</v>
      </c>
      <c r="E319" s="21">
        <v>2600.0</v>
      </c>
      <c r="F319" s="22">
        <v>1242.01</v>
      </c>
      <c r="G319" s="22">
        <v>0.0</v>
      </c>
      <c r="H319" s="22">
        <v>0.0</v>
      </c>
      <c r="I319" s="22">
        <v>0.0</v>
      </c>
      <c r="J319" s="22">
        <v>0.0</v>
      </c>
      <c r="K319" s="22">
        <v>0.0</v>
      </c>
      <c r="L319" s="22">
        <v>1242.01</v>
      </c>
      <c r="M319" s="22">
        <v>1383.528</v>
      </c>
      <c r="N319" s="22">
        <v>346.038</v>
      </c>
      <c r="O319" s="23">
        <v>7.5</v>
      </c>
      <c r="P319" s="18">
        <f t="shared" si="1"/>
        <v>1242.01</v>
      </c>
    </row>
    <row r="320" ht="15.75" customHeight="1">
      <c r="A320" s="13" t="s">
        <v>206</v>
      </c>
      <c r="B320" s="13" t="s">
        <v>133</v>
      </c>
      <c r="C320" s="14" t="s">
        <v>164</v>
      </c>
      <c r="D320" s="14" t="str">
        <f>VLOOKUP(C320,'State Key'!$A$2:$B$210,2,False)</f>
        <v>Chhattisgarh</v>
      </c>
      <c r="E320" s="15">
        <v>1340.0</v>
      </c>
      <c r="F320" s="16">
        <v>599.863</v>
      </c>
      <c r="G320" s="16">
        <v>0.0</v>
      </c>
      <c r="H320" s="16">
        <v>0.0</v>
      </c>
      <c r="I320" s="16">
        <v>0.0</v>
      </c>
      <c r="J320" s="16">
        <v>0.0</v>
      </c>
      <c r="K320" s="16">
        <v>0.0</v>
      </c>
      <c r="L320" s="16">
        <v>599.863</v>
      </c>
      <c r="M320" s="16">
        <v>660.651</v>
      </c>
      <c r="N320" s="16">
        <v>115.41</v>
      </c>
      <c r="O320" s="17">
        <v>5.2</v>
      </c>
      <c r="P320" s="18">
        <f t="shared" si="1"/>
        <v>599.863</v>
      </c>
    </row>
    <row r="321" ht="15.75" customHeight="1">
      <c r="A321" s="19" t="s">
        <v>206</v>
      </c>
      <c r="B321" s="19" t="s">
        <v>133</v>
      </c>
      <c r="C321" s="20" t="s">
        <v>165</v>
      </c>
      <c r="D321" s="14" t="str">
        <f>VLOOKUP(C321,'State Key'!$A$2:$B$210,2,False)</f>
        <v>Chhattisgarh</v>
      </c>
      <c r="E321" s="21">
        <v>1600.0</v>
      </c>
      <c r="F321" s="22">
        <v>0.0</v>
      </c>
      <c r="G321" s="22">
        <v>0.0</v>
      </c>
      <c r="H321" s="22">
        <v>676.06</v>
      </c>
      <c r="I321" s="22">
        <v>0.0</v>
      </c>
      <c r="J321" s="22">
        <v>0.0</v>
      </c>
      <c r="K321" s="22">
        <v>0.0</v>
      </c>
      <c r="L321" s="22">
        <v>676.06</v>
      </c>
      <c r="M321" s="22">
        <v>811.464</v>
      </c>
      <c r="N321" s="22">
        <v>303.62</v>
      </c>
      <c r="O321" s="23">
        <v>11.2</v>
      </c>
      <c r="P321" s="18">
        <f t="shared" si="1"/>
        <v>676.06</v>
      </c>
    </row>
    <row r="322" ht="15.75" customHeight="1">
      <c r="A322" s="13" t="s">
        <v>206</v>
      </c>
      <c r="B322" s="13" t="s">
        <v>133</v>
      </c>
      <c r="C322" s="14" t="s">
        <v>166</v>
      </c>
      <c r="D322" s="14" t="str">
        <f>VLOOKUP(C322,'State Key'!$A$2:$B$210,2,False)</f>
        <v>Madhya Pradesh</v>
      </c>
      <c r="E322" s="15">
        <v>1200.0</v>
      </c>
      <c r="F322" s="16">
        <v>408.801</v>
      </c>
      <c r="G322" s="16">
        <v>0.0</v>
      </c>
      <c r="H322" s="16">
        <v>0.0</v>
      </c>
      <c r="I322" s="16">
        <v>0.0</v>
      </c>
      <c r="J322" s="16">
        <v>10.581</v>
      </c>
      <c r="K322" s="16">
        <v>0.0</v>
      </c>
      <c r="L322" s="16">
        <v>419.382</v>
      </c>
      <c r="M322" s="16">
        <v>351.919</v>
      </c>
      <c r="N322" s="16">
        <v>261.74</v>
      </c>
      <c r="O322" s="24">
        <v>22.3</v>
      </c>
      <c r="P322" s="18">
        <f t="shared" si="1"/>
        <v>419.382</v>
      </c>
    </row>
    <row r="323" ht="15.75" customHeight="1">
      <c r="A323" s="19" t="s">
        <v>206</v>
      </c>
      <c r="B323" s="19" t="s">
        <v>133</v>
      </c>
      <c r="C323" s="20" t="s">
        <v>167</v>
      </c>
      <c r="D323" s="14" t="str">
        <f>VLOOKUP(C323,'State Key'!$A$2:$B$210,2,False)</f>
        <v>Chhattisgarh</v>
      </c>
      <c r="E323" s="21">
        <v>1000.0</v>
      </c>
      <c r="F323" s="22">
        <v>367.92</v>
      </c>
      <c r="G323" s="22">
        <v>0.0</v>
      </c>
      <c r="H323" s="22">
        <v>200.42</v>
      </c>
      <c r="I323" s="22">
        <v>0.0</v>
      </c>
      <c r="J323" s="22">
        <v>0.0</v>
      </c>
      <c r="K323" s="22">
        <v>0.0</v>
      </c>
      <c r="L323" s="22">
        <v>568.34</v>
      </c>
      <c r="M323" s="22">
        <v>463.2479</v>
      </c>
      <c r="N323" s="22">
        <v>414.48</v>
      </c>
      <c r="O323" s="24">
        <v>26.8</v>
      </c>
      <c r="P323" s="18">
        <f t="shared" si="1"/>
        <v>568.34</v>
      </c>
    </row>
    <row r="324" ht="15.75" customHeight="1">
      <c r="A324" s="13" t="s">
        <v>206</v>
      </c>
      <c r="B324" s="13" t="s">
        <v>133</v>
      </c>
      <c r="C324" s="14" t="s">
        <v>168</v>
      </c>
      <c r="D324" s="14" t="str">
        <f>VLOOKUP(C324,'State Key'!$A$2:$B$210,2,False)</f>
        <v>Maharashtra</v>
      </c>
      <c r="E324" s="15">
        <v>2320.0</v>
      </c>
      <c r="F324" s="16">
        <v>759.79</v>
      </c>
      <c r="G324" s="16">
        <v>24.12</v>
      </c>
      <c r="H324" s="16">
        <v>31.19</v>
      </c>
      <c r="I324" s="16">
        <v>159.092</v>
      </c>
      <c r="J324" s="16">
        <v>0.0</v>
      </c>
      <c r="K324" s="16">
        <v>0.0</v>
      </c>
      <c r="L324" s="16">
        <v>974.192</v>
      </c>
      <c r="M324" s="16">
        <v>806.752</v>
      </c>
      <c r="N324" s="16">
        <v>689.435</v>
      </c>
      <c r="O324" s="24">
        <v>25.6</v>
      </c>
      <c r="P324" s="18">
        <f t="shared" si="1"/>
        <v>974.192</v>
      </c>
    </row>
    <row r="325" ht="15.75" customHeight="1">
      <c r="A325" s="19" t="s">
        <v>206</v>
      </c>
      <c r="B325" s="19" t="s">
        <v>133</v>
      </c>
      <c r="C325" s="20" t="s">
        <v>169</v>
      </c>
      <c r="D325" s="14" t="str">
        <f>VLOOKUP(C325,'State Key'!$A$2:$B$210,2,False)</f>
        <v>Madhya Pradesh</v>
      </c>
      <c r="E325" s="21">
        <v>246.0</v>
      </c>
      <c r="F325" s="22">
        <v>0.0</v>
      </c>
      <c r="G325" s="22">
        <v>0.0</v>
      </c>
      <c r="H325" s="22">
        <v>0.0</v>
      </c>
      <c r="I325" s="22">
        <v>0.0</v>
      </c>
      <c r="J325" s="22">
        <v>0.0</v>
      </c>
      <c r="K325" s="22">
        <v>0.0</v>
      </c>
      <c r="L325" s="22">
        <v>0.0</v>
      </c>
      <c r="M325" s="22">
        <v>0.0</v>
      </c>
      <c r="N325" s="22">
        <v>0.0</v>
      </c>
      <c r="O325" s="19" t="s">
        <v>58</v>
      </c>
      <c r="P325" s="18">
        <f t="shared" si="1"/>
        <v>0</v>
      </c>
    </row>
    <row r="326" ht="15.75" customHeight="1">
      <c r="A326" s="13" t="s">
        <v>206</v>
      </c>
      <c r="B326" s="13" t="s">
        <v>133</v>
      </c>
      <c r="C326" s="14" t="s">
        <v>170</v>
      </c>
      <c r="D326" s="14" t="str">
        <f>VLOOKUP(C326,'State Key'!$A$2:$B$210,2,False)</f>
        <v>Gujarat</v>
      </c>
      <c r="E326" s="15">
        <v>2640.0</v>
      </c>
      <c r="F326" s="16">
        <v>0.0</v>
      </c>
      <c r="G326" s="16">
        <v>0.0</v>
      </c>
      <c r="H326" s="16">
        <v>0.0</v>
      </c>
      <c r="I326" s="16">
        <v>29.477</v>
      </c>
      <c r="J326" s="16">
        <v>0.0</v>
      </c>
      <c r="K326" s="16">
        <v>0.0</v>
      </c>
      <c r="L326" s="16">
        <v>29.477</v>
      </c>
      <c r="M326" s="16">
        <v>62.128</v>
      </c>
      <c r="N326" s="16">
        <v>24.387</v>
      </c>
      <c r="O326" s="23">
        <v>11.8</v>
      </c>
      <c r="P326" s="18">
        <f t="shared" si="1"/>
        <v>29.477</v>
      </c>
    </row>
    <row r="327" ht="15.75" customHeight="1">
      <c r="A327" s="19" t="s">
        <v>206</v>
      </c>
      <c r="B327" s="19" t="s">
        <v>133</v>
      </c>
      <c r="C327" s="20" t="s">
        <v>171</v>
      </c>
      <c r="D327" s="14" t="str">
        <f>VLOOKUP(C327,'State Key'!$A$2:$B$210,2,False)</f>
        <v>Gujarat</v>
      </c>
      <c r="E327" s="21">
        <v>1980.0</v>
      </c>
      <c r="F327" s="22">
        <v>0.0</v>
      </c>
      <c r="G327" s="22">
        <v>0.0</v>
      </c>
      <c r="H327" s="22">
        <v>0.0</v>
      </c>
      <c r="I327" s="22">
        <v>738.919</v>
      </c>
      <c r="J327" s="22">
        <v>0.0</v>
      </c>
      <c r="K327" s="22">
        <v>0.0</v>
      </c>
      <c r="L327" s="22">
        <v>738.919</v>
      </c>
      <c r="M327" s="22">
        <v>721.34</v>
      </c>
      <c r="N327" s="22">
        <v>64.025</v>
      </c>
      <c r="O327" s="17">
        <v>2.7</v>
      </c>
      <c r="P327" s="18">
        <f t="shared" si="1"/>
        <v>738.919</v>
      </c>
    </row>
    <row r="328" ht="15.75" customHeight="1">
      <c r="A328" s="13" t="s">
        <v>206</v>
      </c>
      <c r="B328" s="13" t="s">
        <v>133</v>
      </c>
      <c r="C328" s="14" t="s">
        <v>172</v>
      </c>
      <c r="D328" s="14" t="str">
        <f>VLOOKUP(C328,'State Key'!$A$2:$B$210,2,False)</f>
        <v>Gujarat</v>
      </c>
      <c r="E328" s="15">
        <v>4000.0</v>
      </c>
      <c r="F328" s="16">
        <v>0.0</v>
      </c>
      <c r="G328" s="16">
        <v>0.0</v>
      </c>
      <c r="H328" s="16">
        <v>0.0</v>
      </c>
      <c r="I328" s="16">
        <v>298.483</v>
      </c>
      <c r="J328" s="16">
        <v>0.0</v>
      </c>
      <c r="K328" s="16">
        <v>0.0</v>
      </c>
      <c r="L328" s="16">
        <v>298.483</v>
      </c>
      <c r="M328" s="16">
        <v>754.451</v>
      </c>
      <c r="N328" s="16">
        <v>346.561</v>
      </c>
      <c r="O328" s="23">
        <v>13.8</v>
      </c>
      <c r="P328" s="18">
        <f t="shared" si="1"/>
        <v>298.483</v>
      </c>
    </row>
    <row r="329" ht="15.75" customHeight="1">
      <c r="A329" s="19" t="s">
        <v>206</v>
      </c>
      <c r="B329" s="19" t="s">
        <v>133</v>
      </c>
      <c r="C329" s="20" t="s">
        <v>173</v>
      </c>
      <c r="D329" s="14" t="str">
        <f>VLOOKUP(C329,'State Key'!$A$2:$B$210,2,False)</f>
        <v>Maharashtra</v>
      </c>
      <c r="E329" s="21">
        <v>1350.0</v>
      </c>
      <c r="F329" s="22">
        <v>0.0</v>
      </c>
      <c r="G329" s="22">
        <v>0.0</v>
      </c>
      <c r="H329" s="22">
        <v>0.0</v>
      </c>
      <c r="I329" s="22">
        <v>0.0</v>
      </c>
      <c r="J329" s="22">
        <v>0.0</v>
      </c>
      <c r="K329" s="22">
        <v>0.0</v>
      </c>
      <c r="L329" s="22">
        <v>0.0</v>
      </c>
      <c r="M329" s="22">
        <v>0.0</v>
      </c>
      <c r="N329" s="22">
        <v>0.0</v>
      </c>
      <c r="O329" s="19" t="s">
        <v>58</v>
      </c>
      <c r="P329" s="18">
        <f t="shared" si="1"/>
        <v>0</v>
      </c>
    </row>
    <row r="330" ht="15.75" customHeight="1">
      <c r="A330" s="13" t="s">
        <v>206</v>
      </c>
      <c r="B330" s="13" t="s">
        <v>133</v>
      </c>
      <c r="C330" s="14" t="s">
        <v>174</v>
      </c>
      <c r="D330" s="14" t="str">
        <f>VLOOKUP(C330,'State Key'!$A$2:$B$210,2,False)</f>
        <v>Maharashtra</v>
      </c>
      <c r="E330" s="15">
        <v>630.0</v>
      </c>
      <c r="F330" s="16">
        <v>250.76</v>
      </c>
      <c r="G330" s="16">
        <v>0.0</v>
      </c>
      <c r="H330" s="16">
        <v>0.0</v>
      </c>
      <c r="I330" s="16">
        <v>0.0</v>
      </c>
      <c r="J330" s="16">
        <v>0.0</v>
      </c>
      <c r="K330" s="16">
        <v>0.0</v>
      </c>
      <c r="L330" s="16">
        <v>250.76</v>
      </c>
      <c r="M330" s="16">
        <v>228.961</v>
      </c>
      <c r="N330" s="16">
        <v>77.14</v>
      </c>
      <c r="O330" s="23">
        <v>10.1</v>
      </c>
      <c r="P330" s="18">
        <f t="shared" si="1"/>
        <v>250.76</v>
      </c>
    </row>
    <row r="331" ht="15.75" customHeight="1">
      <c r="A331" s="19" t="s">
        <v>206</v>
      </c>
      <c r="B331" s="19" t="s">
        <v>133</v>
      </c>
      <c r="C331" s="20" t="s">
        <v>175</v>
      </c>
      <c r="D331" s="14" t="str">
        <f>VLOOKUP(C331,'State Key'!$A$2:$B$210,2,False)</f>
        <v>Chhattisgarh</v>
      </c>
      <c r="E331" s="21">
        <v>600.0</v>
      </c>
      <c r="F331" s="22">
        <v>150.264</v>
      </c>
      <c r="G331" s="22">
        <v>0.0</v>
      </c>
      <c r="H331" s="22">
        <v>0.0</v>
      </c>
      <c r="I331" s="22">
        <v>0.0</v>
      </c>
      <c r="J331" s="22">
        <v>0.0</v>
      </c>
      <c r="K331" s="22">
        <v>90.53</v>
      </c>
      <c r="L331" s="22">
        <v>240.794</v>
      </c>
      <c r="M331" s="22">
        <v>248.627</v>
      </c>
      <c r="N331" s="22">
        <v>161.92</v>
      </c>
      <c r="O331" s="24">
        <v>19.5</v>
      </c>
      <c r="P331" s="18">
        <f t="shared" si="1"/>
        <v>240.794</v>
      </c>
    </row>
    <row r="332" ht="15.75" customHeight="1">
      <c r="A332" s="13" t="s">
        <v>206</v>
      </c>
      <c r="B332" s="13" t="s">
        <v>133</v>
      </c>
      <c r="C332" s="14" t="s">
        <v>176</v>
      </c>
      <c r="D332" s="14" t="str">
        <f>VLOOKUP(C332,'State Key'!$A$2:$B$210,2,False)</f>
        <v>Madhya Pradesh</v>
      </c>
      <c r="E332" s="15">
        <v>1320.0</v>
      </c>
      <c r="F332" s="16">
        <v>0.0</v>
      </c>
      <c r="G332" s="16">
        <v>0.0</v>
      </c>
      <c r="H332" s="16">
        <v>295.6511</v>
      </c>
      <c r="I332" s="16">
        <v>0.0</v>
      </c>
      <c r="J332" s="16">
        <v>0.0</v>
      </c>
      <c r="K332" s="16">
        <v>230.4238</v>
      </c>
      <c r="L332" s="16">
        <v>526.0749</v>
      </c>
      <c r="M332" s="16">
        <v>497.5053</v>
      </c>
      <c r="N332" s="16">
        <v>250.38</v>
      </c>
      <c r="O332" s="24">
        <v>15.1</v>
      </c>
      <c r="P332" s="18">
        <f t="shared" si="1"/>
        <v>526.0749</v>
      </c>
    </row>
    <row r="333" ht="15.75" customHeight="1">
      <c r="A333" s="19" t="s">
        <v>206</v>
      </c>
      <c r="B333" s="19" t="s">
        <v>133</v>
      </c>
      <c r="C333" s="20" t="s">
        <v>177</v>
      </c>
      <c r="D333" s="14" t="str">
        <f>VLOOKUP(C333,'State Key'!$A$2:$B$210,2,False)</f>
        <v>Madhya Pradesh</v>
      </c>
      <c r="E333" s="21">
        <v>90.0</v>
      </c>
      <c r="F333" s="22">
        <v>0.0</v>
      </c>
      <c r="G333" s="22">
        <v>0.0</v>
      </c>
      <c r="H333" s="22">
        <v>0.0</v>
      </c>
      <c r="I333" s="22">
        <v>0.0</v>
      </c>
      <c r="J333" s="22">
        <v>62.0</v>
      </c>
      <c r="K333" s="22">
        <v>0.0</v>
      </c>
      <c r="L333" s="22">
        <v>62.0</v>
      </c>
      <c r="M333" s="22">
        <v>54.0</v>
      </c>
      <c r="N333" s="22">
        <v>12.0</v>
      </c>
      <c r="O333" s="17">
        <v>6.7</v>
      </c>
      <c r="P333" s="18">
        <f t="shared" si="1"/>
        <v>62</v>
      </c>
    </row>
    <row r="334" ht="15.75" customHeight="1">
      <c r="A334" s="13" t="s">
        <v>206</v>
      </c>
      <c r="B334" s="13" t="s">
        <v>133</v>
      </c>
      <c r="C334" s="14" t="s">
        <v>178</v>
      </c>
      <c r="D334" s="14" t="str">
        <f>VLOOKUP(C334,'State Key'!$A$2:$B$210,2,False)</f>
        <v>Chhattisgarh</v>
      </c>
      <c r="E334" s="15">
        <v>1000.0</v>
      </c>
      <c r="F334" s="16">
        <v>0.0</v>
      </c>
      <c r="G334" s="16">
        <v>0.0</v>
      </c>
      <c r="H334" s="16">
        <v>0.0</v>
      </c>
      <c r="I334" s="16">
        <v>0.0</v>
      </c>
      <c r="J334" s="16">
        <v>0.0</v>
      </c>
      <c r="K334" s="16">
        <v>437.751</v>
      </c>
      <c r="L334" s="16">
        <v>437.751</v>
      </c>
      <c r="M334" s="16">
        <v>480.245</v>
      </c>
      <c r="N334" s="16">
        <v>103.584</v>
      </c>
      <c r="O334" s="17">
        <v>6.5</v>
      </c>
      <c r="P334" s="18">
        <f t="shared" si="1"/>
        <v>437.751</v>
      </c>
    </row>
    <row r="335" ht="15.75" customHeight="1">
      <c r="A335" s="19" t="s">
        <v>206</v>
      </c>
      <c r="B335" s="19" t="s">
        <v>133</v>
      </c>
      <c r="C335" s="20" t="s">
        <v>179</v>
      </c>
      <c r="D335" s="14" t="str">
        <f>VLOOKUP(C335,'State Key'!$A$2:$B$210,2,False)</f>
        <v>Maharashtra</v>
      </c>
      <c r="E335" s="21">
        <v>500.0</v>
      </c>
      <c r="F335" s="22">
        <v>265.709</v>
      </c>
      <c r="G335" s="22">
        <v>0.0</v>
      </c>
      <c r="H335" s="22">
        <v>0.0</v>
      </c>
      <c r="I335" s="22">
        <v>0.0</v>
      </c>
      <c r="J335" s="22">
        <v>0.0</v>
      </c>
      <c r="K335" s="22">
        <v>0.0</v>
      </c>
      <c r="L335" s="22">
        <v>265.709</v>
      </c>
      <c r="M335" s="22">
        <v>235.238</v>
      </c>
      <c r="N335" s="22">
        <v>71.77</v>
      </c>
      <c r="O335" s="23">
        <v>9.2</v>
      </c>
      <c r="P335" s="18">
        <f t="shared" si="1"/>
        <v>265.709</v>
      </c>
    </row>
    <row r="336" ht="15.75" customHeight="1">
      <c r="A336" s="13" t="s">
        <v>206</v>
      </c>
      <c r="B336" s="13" t="s">
        <v>133</v>
      </c>
      <c r="C336" s="14" t="s">
        <v>180</v>
      </c>
      <c r="D336" s="14" t="str">
        <f>VLOOKUP(C336,'State Key'!$A$2:$B$210,2,False)</f>
        <v>Maharashtra</v>
      </c>
      <c r="E336" s="15">
        <v>750.0</v>
      </c>
      <c r="F336" s="16">
        <v>0.0</v>
      </c>
      <c r="G336" s="16">
        <v>295.249</v>
      </c>
      <c r="H336" s="16">
        <v>0.0</v>
      </c>
      <c r="I336" s="16">
        <v>0.0</v>
      </c>
      <c r="J336" s="16">
        <v>0.0</v>
      </c>
      <c r="K336" s="16">
        <v>0.0</v>
      </c>
      <c r="L336" s="16">
        <v>295.249</v>
      </c>
      <c r="M336" s="16">
        <v>275.248</v>
      </c>
      <c r="N336" s="16">
        <v>67.68</v>
      </c>
      <c r="O336" s="23">
        <v>7.4</v>
      </c>
      <c r="P336" s="18">
        <f t="shared" si="1"/>
        <v>295.249</v>
      </c>
    </row>
    <row r="337" ht="15.75" customHeight="1">
      <c r="A337" s="19" t="s">
        <v>206</v>
      </c>
      <c r="B337" s="19" t="s">
        <v>133</v>
      </c>
      <c r="C337" s="20" t="s">
        <v>181</v>
      </c>
      <c r="D337" s="14" t="str">
        <f>VLOOKUP(C337,'State Key'!$A$2:$B$210,2,False)</f>
        <v>Chhattisgarh</v>
      </c>
      <c r="E337" s="21">
        <v>600.0</v>
      </c>
      <c r="F337" s="22">
        <v>211.78</v>
      </c>
      <c r="G337" s="22">
        <v>0.0</v>
      </c>
      <c r="H337" s="22">
        <v>0.0</v>
      </c>
      <c r="I337" s="22">
        <v>0.0</v>
      </c>
      <c r="J337" s="22">
        <v>0.0</v>
      </c>
      <c r="K337" s="22">
        <v>0.0</v>
      </c>
      <c r="L337" s="22">
        <v>211.78</v>
      </c>
      <c r="M337" s="22">
        <v>261.0399</v>
      </c>
      <c r="N337" s="22">
        <v>205.93</v>
      </c>
      <c r="O337" s="24">
        <v>23.7</v>
      </c>
      <c r="P337" s="18">
        <f t="shared" si="1"/>
        <v>211.78</v>
      </c>
    </row>
    <row r="338" ht="15.75" customHeight="1">
      <c r="A338" s="13" t="s">
        <v>206</v>
      </c>
      <c r="B338" s="13" t="s">
        <v>133</v>
      </c>
      <c r="C338" s="14" t="s">
        <v>182</v>
      </c>
      <c r="D338" s="14" t="str">
        <f>VLOOKUP(C338,'State Key'!$A$2:$B$210,2,False)</f>
        <v>Chhattisgarh</v>
      </c>
      <c r="E338" s="15">
        <v>1370.0</v>
      </c>
      <c r="F338" s="16">
        <v>460.592</v>
      </c>
      <c r="G338" s="16">
        <v>0.0</v>
      </c>
      <c r="H338" s="16">
        <v>0.0</v>
      </c>
      <c r="I338" s="16">
        <v>0.272</v>
      </c>
      <c r="J338" s="16">
        <v>51.44</v>
      </c>
      <c r="K338" s="16">
        <v>0.069</v>
      </c>
      <c r="L338" s="16">
        <v>512.373</v>
      </c>
      <c r="M338" s="16">
        <v>456.773</v>
      </c>
      <c r="N338" s="16">
        <v>225.32</v>
      </c>
      <c r="O338" s="24">
        <v>14.8</v>
      </c>
      <c r="P338" s="18">
        <f t="shared" si="1"/>
        <v>512.373</v>
      </c>
    </row>
    <row r="339" ht="15.75" customHeight="1">
      <c r="A339" s="19" t="s">
        <v>206</v>
      </c>
      <c r="B339" s="19" t="s">
        <v>133</v>
      </c>
      <c r="C339" s="20" t="s">
        <v>183</v>
      </c>
      <c r="D339" s="14" t="str">
        <f>VLOOKUP(C339,'State Key'!$A$2:$B$210,2,False)</f>
        <v>Chhattisgarh</v>
      </c>
      <c r="E339" s="21">
        <v>100.0</v>
      </c>
      <c r="F339" s="22">
        <v>3.266</v>
      </c>
      <c r="G339" s="22">
        <v>0.0</v>
      </c>
      <c r="H339" s="22">
        <v>0.0</v>
      </c>
      <c r="I339" s="22">
        <v>0.0</v>
      </c>
      <c r="J339" s="22">
        <v>87.989</v>
      </c>
      <c r="K339" s="22">
        <v>0.0</v>
      </c>
      <c r="L339" s="22">
        <v>91.255</v>
      </c>
      <c r="M339" s="22">
        <v>79.525</v>
      </c>
      <c r="N339" s="22">
        <v>18.72</v>
      </c>
      <c r="O339" s="23">
        <v>7.1</v>
      </c>
      <c r="P339" s="18">
        <f t="shared" si="1"/>
        <v>91.255</v>
      </c>
    </row>
    <row r="340" ht="15.75" customHeight="1">
      <c r="A340" s="13" t="s">
        <v>206</v>
      </c>
      <c r="B340" s="13" t="s">
        <v>133</v>
      </c>
      <c r="C340" s="14" t="s">
        <v>184</v>
      </c>
      <c r="D340" s="14" t="str">
        <f>VLOOKUP(C340,'State Key'!$A$2:$B$210,2,False)</f>
        <v>Gujarat</v>
      </c>
      <c r="E340" s="15">
        <v>362.0</v>
      </c>
      <c r="F340" s="16">
        <v>112.142</v>
      </c>
      <c r="G340" s="16">
        <v>0.0</v>
      </c>
      <c r="H340" s="16">
        <v>0.0</v>
      </c>
      <c r="I340" s="16">
        <v>19.639</v>
      </c>
      <c r="J340" s="16">
        <v>0.0</v>
      </c>
      <c r="K340" s="16">
        <v>0.0</v>
      </c>
      <c r="L340" s="16">
        <v>131.781</v>
      </c>
      <c r="M340" s="16">
        <v>147.44</v>
      </c>
      <c r="N340" s="16">
        <v>104.92</v>
      </c>
      <c r="O340" s="24">
        <v>21.3</v>
      </c>
      <c r="P340" s="18">
        <f t="shared" si="1"/>
        <v>131.781</v>
      </c>
    </row>
    <row r="341" ht="15.75" customHeight="1">
      <c r="A341" s="19" t="s">
        <v>206</v>
      </c>
      <c r="B341" s="19" t="s">
        <v>133</v>
      </c>
      <c r="C341" s="20" t="s">
        <v>185</v>
      </c>
      <c r="D341" s="14" t="str">
        <f>VLOOKUP(C341,'State Key'!$A$2:$B$210,2,False)</f>
        <v>Gujarat</v>
      </c>
      <c r="E341" s="21">
        <v>1200.0</v>
      </c>
      <c r="F341" s="22">
        <v>0.0</v>
      </c>
      <c r="G341" s="22">
        <v>0.0</v>
      </c>
      <c r="H341" s="22">
        <v>0.0</v>
      </c>
      <c r="I341" s="22">
        <v>75.0</v>
      </c>
      <c r="J341" s="22">
        <v>0.0</v>
      </c>
      <c r="K341" s="22">
        <v>0.0</v>
      </c>
      <c r="L341" s="22">
        <v>75.0</v>
      </c>
      <c r="M341" s="22">
        <v>130.774</v>
      </c>
      <c r="N341" s="22">
        <v>70.66</v>
      </c>
      <c r="O341" s="24">
        <v>16.2</v>
      </c>
      <c r="P341" s="18">
        <f t="shared" si="1"/>
        <v>75</v>
      </c>
    </row>
    <row r="342" ht="15.75" customHeight="1">
      <c r="A342" s="13" t="s">
        <v>206</v>
      </c>
      <c r="B342" s="13" t="s">
        <v>133</v>
      </c>
      <c r="C342" s="14" t="s">
        <v>186</v>
      </c>
      <c r="D342" s="14" t="str">
        <f>VLOOKUP(C342,'State Key'!$A$2:$B$210,2,False)</f>
        <v>Chhattisgarh</v>
      </c>
      <c r="E342" s="15">
        <v>135.0</v>
      </c>
      <c r="F342" s="16">
        <v>0.0</v>
      </c>
      <c r="G342" s="16">
        <v>0.0</v>
      </c>
      <c r="H342" s="16">
        <v>0.0</v>
      </c>
      <c r="I342" s="16">
        <v>0.0</v>
      </c>
      <c r="J342" s="16">
        <v>0.0</v>
      </c>
      <c r="K342" s="16">
        <v>0.0</v>
      </c>
      <c r="L342" s="16">
        <v>0.0</v>
      </c>
      <c r="M342" s="16">
        <v>0.0</v>
      </c>
      <c r="N342" s="16">
        <v>0.0</v>
      </c>
      <c r="O342" s="13" t="s">
        <v>58</v>
      </c>
      <c r="P342" s="18">
        <f t="shared" si="1"/>
        <v>0</v>
      </c>
    </row>
    <row r="343" ht="15.75" customHeight="1">
      <c r="A343" s="19" t="s">
        <v>206</v>
      </c>
      <c r="B343" s="19" t="s">
        <v>133</v>
      </c>
      <c r="C343" s="20" t="s">
        <v>187</v>
      </c>
      <c r="D343" s="14" t="str">
        <f>VLOOKUP(C343,'State Key'!$A$2:$B$210,2,False)</f>
        <v>Madhya Pradesh</v>
      </c>
      <c r="E343" s="21">
        <v>1340.0</v>
      </c>
      <c r="F343" s="22">
        <v>502.542</v>
      </c>
      <c r="G343" s="22">
        <v>0.0</v>
      </c>
      <c r="H343" s="22">
        <v>0.0</v>
      </c>
      <c r="I343" s="22">
        <v>0.0</v>
      </c>
      <c r="J343" s="22">
        <v>0.0</v>
      </c>
      <c r="K343" s="22">
        <v>0.0</v>
      </c>
      <c r="L343" s="22">
        <v>502.542</v>
      </c>
      <c r="M343" s="22">
        <v>454.735</v>
      </c>
      <c r="N343" s="22">
        <v>178.14</v>
      </c>
      <c r="O343" s="23">
        <v>11.8</v>
      </c>
      <c r="P343" s="18">
        <f t="shared" si="1"/>
        <v>502.542</v>
      </c>
    </row>
    <row r="344" ht="15.75" customHeight="1">
      <c r="A344" s="13" t="s">
        <v>206</v>
      </c>
      <c r="B344" s="13" t="s">
        <v>133</v>
      </c>
      <c r="C344" s="14" t="s">
        <v>188</v>
      </c>
      <c r="D344" s="14" t="str">
        <f>VLOOKUP(C344,'State Key'!$A$2:$B$210,2,False)</f>
        <v>Madhya Pradesh</v>
      </c>
      <c r="E344" s="15">
        <v>3960.0</v>
      </c>
      <c r="F344" s="16">
        <v>0.0</v>
      </c>
      <c r="G344" s="16">
        <v>0.0</v>
      </c>
      <c r="H344" s="16">
        <v>1235.829</v>
      </c>
      <c r="I344" s="16">
        <v>0.0</v>
      </c>
      <c r="J344" s="16">
        <v>0.0</v>
      </c>
      <c r="K344" s="16">
        <v>0.0</v>
      </c>
      <c r="L344" s="16">
        <v>1235.829</v>
      </c>
      <c r="M344" s="16">
        <v>1377.737</v>
      </c>
      <c r="N344" s="16">
        <v>199.21</v>
      </c>
      <c r="O344" s="17">
        <v>4.3</v>
      </c>
      <c r="P344" s="18">
        <f t="shared" si="1"/>
        <v>1235.829</v>
      </c>
    </row>
    <row r="345" ht="15.75" customHeight="1">
      <c r="A345" s="19" t="s">
        <v>206</v>
      </c>
      <c r="B345" s="19" t="s">
        <v>133</v>
      </c>
      <c r="C345" s="20" t="s">
        <v>189</v>
      </c>
      <c r="D345" s="14" t="str">
        <f>VLOOKUP(C345,'State Key'!$A$2:$B$210,2,False)</f>
        <v>Madhya Pradesh</v>
      </c>
      <c r="E345" s="21">
        <v>1330.0</v>
      </c>
      <c r="F345" s="22">
        <v>201.327</v>
      </c>
      <c r="G345" s="22">
        <v>0.0</v>
      </c>
      <c r="H345" s="22">
        <v>0.0</v>
      </c>
      <c r="I345" s="22">
        <v>0.0</v>
      </c>
      <c r="J345" s="22">
        <v>0.0</v>
      </c>
      <c r="K345" s="22">
        <v>0.0</v>
      </c>
      <c r="L345" s="22">
        <v>201.327</v>
      </c>
      <c r="M345" s="22">
        <v>213.741</v>
      </c>
      <c r="N345" s="22">
        <v>106.52</v>
      </c>
      <c r="O345" s="24">
        <v>15.0</v>
      </c>
      <c r="P345" s="18">
        <f t="shared" si="1"/>
        <v>201.327</v>
      </c>
    </row>
    <row r="346" ht="15.75" customHeight="1">
      <c r="A346" s="13" t="s">
        <v>206</v>
      </c>
      <c r="B346" s="13" t="s">
        <v>133</v>
      </c>
      <c r="C346" s="14" t="s">
        <v>190</v>
      </c>
      <c r="D346" s="14" t="str">
        <f>VLOOKUP(C346,'State Key'!$A$2:$B$210,2,False)</f>
        <v>Madhya Pradesh</v>
      </c>
      <c r="E346" s="15">
        <v>600.0</v>
      </c>
      <c r="F346" s="16">
        <v>204.969</v>
      </c>
      <c r="G346" s="16">
        <v>0.0</v>
      </c>
      <c r="H346" s="16">
        <v>0.0</v>
      </c>
      <c r="I346" s="16">
        <v>0.0</v>
      </c>
      <c r="J346" s="16">
        <v>0.0</v>
      </c>
      <c r="K346" s="16">
        <v>32.04</v>
      </c>
      <c r="L346" s="16">
        <v>237.009</v>
      </c>
      <c r="M346" s="16">
        <v>258.355</v>
      </c>
      <c r="N346" s="16">
        <v>100.08</v>
      </c>
      <c r="O346" s="23">
        <v>11.6</v>
      </c>
      <c r="P346" s="18">
        <f t="shared" si="1"/>
        <v>237.009</v>
      </c>
    </row>
    <row r="347" ht="15.75" customHeight="1">
      <c r="A347" s="19" t="s">
        <v>206</v>
      </c>
      <c r="B347" s="19" t="s">
        <v>133</v>
      </c>
      <c r="C347" s="20" t="s">
        <v>191</v>
      </c>
      <c r="D347" s="14" t="str">
        <f>VLOOKUP(C347,'State Key'!$A$2:$B$210,2,False)</f>
        <v>Maharashtra</v>
      </c>
      <c r="E347" s="21">
        <v>150.0</v>
      </c>
      <c r="F347" s="22">
        <v>0.0</v>
      </c>
      <c r="G347" s="22">
        <v>0.0</v>
      </c>
      <c r="H347" s="22">
        <v>0.0</v>
      </c>
      <c r="I347" s="22">
        <v>0.0</v>
      </c>
      <c r="J347" s="22">
        <v>0.0</v>
      </c>
      <c r="K347" s="22">
        <v>0.0</v>
      </c>
      <c r="L347" s="22">
        <v>0.0</v>
      </c>
      <c r="M347" s="22">
        <v>0.0</v>
      </c>
      <c r="N347" s="22">
        <v>0.0</v>
      </c>
      <c r="O347" s="19" t="s">
        <v>58</v>
      </c>
      <c r="P347" s="18">
        <f t="shared" si="1"/>
        <v>0</v>
      </c>
    </row>
    <row r="348" ht="15.75" customHeight="1">
      <c r="A348" s="13" t="s">
        <v>206</v>
      </c>
      <c r="B348" s="13" t="s">
        <v>133</v>
      </c>
      <c r="C348" s="14" t="s">
        <v>192</v>
      </c>
      <c r="D348" s="14" t="str">
        <f>VLOOKUP(C348,'State Key'!$A$2:$B$210,2,False)</f>
        <v>Madhya Pradesh</v>
      </c>
      <c r="E348" s="15">
        <v>2520.0</v>
      </c>
      <c r="F348" s="16">
        <v>834.683</v>
      </c>
      <c r="G348" s="16">
        <v>0.0</v>
      </c>
      <c r="H348" s="16">
        <v>0.0</v>
      </c>
      <c r="I348" s="16">
        <v>0.0</v>
      </c>
      <c r="J348" s="16">
        <v>0.0</v>
      </c>
      <c r="K348" s="16">
        <v>0.0</v>
      </c>
      <c r="L348" s="16">
        <v>834.683</v>
      </c>
      <c r="M348" s="16">
        <v>842.089</v>
      </c>
      <c r="N348" s="16">
        <v>186.35</v>
      </c>
      <c r="O348" s="17">
        <v>6.6</v>
      </c>
      <c r="P348" s="18">
        <f t="shared" si="1"/>
        <v>834.683</v>
      </c>
    </row>
    <row r="349" ht="15.75" customHeight="1">
      <c r="A349" s="19" t="s">
        <v>206</v>
      </c>
      <c r="B349" s="19" t="s">
        <v>133</v>
      </c>
      <c r="C349" s="20" t="s">
        <v>193</v>
      </c>
      <c r="D349" s="14" t="str">
        <f>VLOOKUP(C349,'State Key'!$A$2:$B$210,2,False)</f>
        <v>Gujarat</v>
      </c>
      <c r="E349" s="21">
        <v>500.0</v>
      </c>
      <c r="F349" s="22">
        <v>0.0</v>
      </c>
      <c r="G349" s="22">
        <v>0.0</v>
      </c>
      <c r="H349" s="22">
        <v>0.0</v>
      </c>
      <c r="I349" s="22">
        <v>16.192</v>
      </c>
      <c r="J349" s="22">
        <v>0.0</v>
      </c>
      <c r="K349" s="22">
        <v>0.0</v>
      </c>
      <c r="L349" s="22">
        <v>16.192</v>
      </c>
      <c r="M349" s="22">
        <v>0.0</v>
      </c>
      <c r="N349" s="22">
        <v>79.94</v>
      </c>
      <c r="O349" s="19" t="s">
        <v>58</v>
      </c>
      <c r="P349" s="18">
        <f t="shared" si="1"/>
        <v>16.192</v>
      </c>
    </row>
    <row r="350" ht="15.75" customHeight="1">
      <c r="A350" s="13" t="s">
        <v>206</v>
      </c>
      <c r="B350" s="13" t="s">
        <v>133</v>
      </c>
      <c r="C350" s="14" t="s">
        <v>194</v>
      </c>
      <c r="D350" s="14" t="str">
        <f>VLOOKUP(C350,'State Key'!$A$2:$B$210,2,False)</f>
        <v>Chhattisgarh</v>
      </c>
      <c r="E350" s="15">
        <v>2980.0</v>
      </c>
      <c r="F350" s="16">
        <v>1221.95</v>
      </c>
      <c r="G350" s="16">
        <v>0.0</v>
      </c>
      <c r="H350" s="16">
        <v>0.0</v>
      </c>
      <c r="I350" s="16">
        <v>0.0</v>
      </c>
      <c r="J350" s="16">
        <v>0.0</v>
      </c>
      <c r="K350" s="16">
        <v>0.0</v>
      </c>
      <c r="L350" s="16">
        <v>1221.95</v>
      </c>
      <c r="M350" s="16">
        <v>1203.657</v>
      </c>
      <c r="N350" s="16">
        <v>561.299</v>
      </c>
      <c r="O350" s="24">
        <v>14.0</v>
      </c>
      <c r="P350" s="18">
        <f t="shared" si="1"/>
        <v>1221.95</v>
      </c>
    </row>
    <row r="351" ht="15.75" customHeight="1">
      <c r="A351" s="19" t="s">
        <v>206</v>
      </c>
      <c r="B351" s="19" t="s">
        <v>133</v>
      </c>
      <c r="C351" s="20" t="s">
        <v>195</v>
      </c>
      <c r="D351" s="14" t="str">
        <f>VLOOKUP(C351,'State Key'!$A$2:$B$210,2,False)</f>
        <v>Maharashtra</v>
      </c>
      <c r="E351" s="21">
        <v>1320.0</v>
      </c>
      <c r="F351" s="22">
        <v>141.17</v>
      </c>
      <c r="G351" s="22">
        <v>57.16</v>
      </c>
      <c r="H351" s="22">
        <v>95.05</v>
      </c>
      <c r="I351" s="22">
        <v>0.0</v>
      </c>
      <c r="J351" s="22">
        <v>0.0</v>
      </c>
      <c r="K351" s="22">
        <v>0.0</v>
      </c>
      <c r="L351" s="22">
        <v>293.38</v>
      </c>
      <c r="M351" s="22">
        <v>299.837</v>
      </c>
      <c r="N351" s="22">
        <v>269.92</v>
      </c>
      <c r="O351" s="24">
        <v>27.0</v>
      </c>
      <c r="P351" s="18">
        <f t="shared" si="1"/>
        <v>293.38</v>
      </c>
    </row>
    <row r="352" ht="15.75" customHeight="1">
      <c r="A352" s="13" t="s">
        <v>206</v>
      </c>
      <c r="B352" s="13" t="s">
        <v>133</v>
      </c>
      <c r="C352" s="14" t="s">
        <v>196</v>
      </c>
      <c r="D352" s="14" t="str">
        <f>VLOOKUP(C352,'State Key'!$A$2:$B$210,2,False)</f>
        <v>Chhattisgarh</v>
      </c>
      <c r="E352" s="15">
        <v>63.0</v>
      </c>
      <c r="F352" s="16">
        <v>0.0</v>
      </c>
      <c r="G352" s="16">
        <v>0.0</v>
      </c>
      <c r="H352" s="16">
        <v>0.0</v>
      </c>
      <c r="I352" s="16">
        <v>0.0</v>
      </c>
      <c r="J352" s="16">
        <v>0.0</v>
      </c>
      <c r="K352" s="16">
        <v>0.0</v>
      </c>
      <c r="L352" s="16">
        <v>0.0</v>
      </c>
      <c r="M352" s="16">
        <v>0.0</v>
      </c>
      <c r="N352" s="16">
        <v>0.0</v>
      </c>
      <c r="O352" s="13" t="s">
        <v>58</v>
      </c>
      <c r="P352" s="18">
        <f t="shared" si="1"/>
        <v>0</v>
      </c>
    </row>
    <row r="353" ht="15.75" customHeight="1">
      <c r="A353" s="19" t="s">
        <v>206</v>
      </c>
      <c r="B353" s="19" t="s">
        <v>133</v>
      </c>
      <c r="C353" s="20" t="s">
        <v>197</v>
      </c>
      <c r="D353" s="14" t="str">
        <f>VLOOKUP(C353,'State Key'!$A$2:$B$210,2,False)</f>
        <v>Chhattisgarh</v>
      </c>
      <c r="E353" s="21">
        <v>25.0</v>
      </c>
      <c r="F353" s="22">
        <v>0.0</v>
      </c>
      <c r="G353" s="22">
        <v>0.0</v>
      </c>
      <c r="H353" s="22">
        <v>0.0</v>
      </c>
      <c r="I353" s="22">
        <v>0.0</v>
      </c>
      <c r="J353" s="22">
        <v>0.0</v>
      </c>
      <c r="K353" s="22">
        <v>0.0</v>
      </c>
      <c r="L353" s="22">
        <v>0.0</v>
      </c>
      <c r="M353" s="22">
        <v>0.0</v>
      </c>
      <c r="N353" s="22">
        <v>0.0</v>
      </c>
      <c r="O353" s="19" t="s">
        <v>58</v>
      </c>
      <c r="P353" s="18">
        <f t="shared" si="1"/>
        <v>0</v>
      </c>
    </row>
    <row r="354" ht="15.75" customHeight="1">
      <c r="A354" s="13" t="s">
        <v>206</v>
      </c>
      <c r="B354" s="13" t="s">
        <v>133</v>
      </c>
      <c r="C354" s="14" t="s">
        <v>198</v>
      </c>
      <c r="D354" s="14" t="str">
        <f>VLOOKUP(C354,'State Key'!$A$2:$B$210,2,False)</f>
        <v>Chhattisgarh</v>
      </c>
      <c r="E354" s="15">
        <v>2400.0</v>
      </c>
      <c r="F354" s="16">
        <v>227.713</v>
      </c>
      <c r="G354" s="16">
        <v>0.0</v>
      </c>
      <c r="H354" s="16">
        <v>0.0</v>
      </c>
      <c r="I354" s="16">
        <v>55.302</v>
      </c>
      <c r="J354" s="16">
        <v>0.0</v>
      </c>
      <c r="K354" s="16">
        <v>1009.306</v>
      </c>
      <c r="L354" s="16">
        <v>1292.321</v>
      </c>
      <c r="M354" s="16">
        <v>1161.636</v>
      </c>
      <c r="N354" s="16">
        <v>407.85</v>
      </c>
      <c r="O354" s="23">
        <v>10.5</v>
      </c>
      <c r="P354" s="18">
        <f t="shared" si="1"/>
        <v>1292.321</v>
      </c>
    </row>
    <row r="355" ht="15.75" customHeight="1">
      <c r="A355" s="19" t="s">
        <v>206</v>
      </c>
      <c r="B355" s="19" t="s">
        <v>133</v>
      </c>
      <c r="C355" s="20" t="s">
        <v>199</v>
      </c>
      <c r="D355" s="14" t="str">
        <f>VLOOKUP(C355,'State Key'!$A$2:$B$210,2,False)</f>
        <v>Maharashtra</v>
      </c>
      <c r="E355" s="21">
        <v>3300.0</v>
      </c>
      <c r="F355" s="22">
        <v>1161.245</v>
      </c>
      <c r="G355" s="22">
        <v>0.0</v>
      </c>
      <c r="H355" s="22">
        <v>0.0</v>
      </c>
      <c r="I355" s="22">
        <v>0.0</v>
      </c>
      <c r="J355" s="22">
        <v>0.0</v>
      </c>
      <c r="K355" s="22">
        <v>0.0</v>
      </c>
      <c r="L355" s="22">
        <v>1161.245</v>
      </c>
      <c r="M355" s="22">
        <v>1211.336</v>
      </c>
      <c r="N355" s="22">
        <v>734.52</v>
      </c>
      <c r="O355" s="24">
        <v>18.2</v>
      </c>
      <c r="P355" s="18">
        <f t="shared" si="1"/>
        <v>1161.245</v>
      </c>
    </row>
    <row r="356" ht="15.75" customHeight="1">
      <c r="A356" s="13" t="s">
        <v>206</v>
      </c>
      <c r="B356" s="13" t="s">
        <v>133</v>
      </c>
      <c r="C356" s="14" t="s">
        <v>200</v>
      </c>
      <c r="D356" s="14" t="str">
        <f>VLOOKUP(C356,'State Key'!$A$2:$B$210,2,False)</f>
        <v>Maharashtra</v>
      </c>
      <c r="E356" s="15">
        <v>750.0</v>
      </c>
      <c r="F356" s="16">
        <v>0.0</v>
      </c>
      <c r="G356" s="16">
        <v>0.0</v>
      </c>
      <c r="H356" s="16">
        <v>0.0</v>
      </c>
      <c r="I356" s="16">
        <v>219.751</v>
      </c>
      <c r="J356" s="16">
        <v>0.0</v>
      </c>
      <c r="K356" s="16">
        <v>0.0</v>
      </c>
      <c r="L356" s="16">
        <v>219.751</v>
      </c>
      <c r="M356" s="16">
        <v>231.854</v>
      </c>
      <c r="N356" s="16">
        <v>208.3</v>
      </c>
      <c r="O356" s="24">
        <v>27.0</v>
      </c>
      <c r="P356" s="18">
        <f t="shared" si="1"/>
        <v>219.751</v>
      </c>
    </row>
    <row r="357" ht="15.75" customHeight="1">
      <c r="A357" s="19" t="s">
        <v>206</v>
      </c>
      <c r="B357" s="19" t="s">
        <v>133</v>
      </c>
      <c r="C357" s="20" t="s">
        <v>201</v>
      </c>
      <c r="D357" s="14" t="str">
        <f>VLOOKUP(C357,'State Key'!$A$2:$B$210,2,False)</f>
        <v>Chhattisgarh</v>
      </c>
      <c r="E357" s="21">
        <v>1440.0</v>
      </c>
      <c r="F357" s="22">
        <v>195.876</v>
      </c>
      <c r="G357" s="22">
        <v>0.0</v>
      </c>
      <c r="H357" s="22">
        <v>0.0</v>
      </c>
      <c r="I357" s="22">
        <v>0.0</v>
      </c>
      <c r="J357" s="22">
        <v>0.0</v>
      </c>
      <c r="K357" s="22">
        <v>258.547</v>
      </c>
      <c r="L357" s="22">
        <v>454.423</v>
      </c>
      <c r="M357" s="22">
        <v>517.671</v>
      </c>
      <c r="N357" s="22">
        <v>239.05</v>
      </c>
      <c r="O357" s="23">
        <v>13.9</v>
      </c>
      <c r="P357" s="18">
        <f t="shared" si="1"/>
        <v>454.423</v>
      </c>
    </row>
    <row r="358" ht="15.75" customHeight="1">
      <c r="A358" s="13" t="s">
        <v>206</v>
      </c>
      <c r="B358" s="13" t="s">
        <v>133</v>
      </c>
      <c r="C358" s="14" t="s">
        <v>202</v>
      </c>
      <c r="D358" s="14" t="str">
        <f>VLOOKUP(C358,'State Key'!$A$2:$B$210,2,False)</f>
        <v>Gujarat</v>
      </c>
      <c r="E358" s="15">
        <v>1110.0</v>
      </c>
      <c r="F358" s="16">
        <v>417.677</v>
      </c>
      <c r="G358" s="16">
        <v>0.0</v>
      </c>
      <c r="H358" s="16">
        <v>0.0</v>
      </c>
      <c r="I358" s="16">
        <v>0.0</v>
      </c>
      <c r="J358" s="16">
        <v>0.0</v>
      </c>
      <c r="K358" s="16">
        <v>0.0</v>
      </c>
      <c r="L358" s="16">
        <v>417.677</v>
      </c>
      <c r="M358" s="16">
        <v>390.526</v>
      </c>
      <c r="N358" s="16">
        <v>196.02</v>
      </c>
      <c r="O358" s="24">
        <v>15.1</v>
      </c>
      <c r="P358" s="18">
        <f t="shared" si="1"/>
        <v>417.677</v>
      </c>
    </row>
    <row r="359" ht="15.75" customHeight="1">
      <c r="A359" s="19" t="s">
        <v>206</v>
      </c>
      <c r="B359" s="19" t="s">
        <v>133</v>
      </c>
      <c r="C359" s="20" t="s">
        <v>203</v>
      </c>
      <c r="D359" s="14" t="str">
        <f>VLOOKUP(C359,'State Key'!$A$2:$B$210,2,False)</f>
        <v>Madhya Pradesh</v>
      </c>
      <c r="E359" s="21">
        <v>4760.0</v>
      </c>
      <c r="F359" s="22">
        <v>2015.17</v>
      </c>
      <c r="G359" s="22">
        <v>0.0</v>
      </c>
      <c r="H359" s="22">
        <v>0.0</v>
      </c>
      <c r="I359" s="22">
        <v>0.0</v>
      </c>
      <c r="J359" s="22">
        <v>0.0</v>
      </c>
      <c r="K359" s="22">
        <v>0.0</v>
      </c>
      <c r="L359" s="22">
        <v>2015.17</v>
      </c>
      <c r="M359" s="22">
        <v>2170.574</v>
      </c>
      <c r="N359" s="22">
        <v>1342.149</v>
      </c>
      <c r="O359" s="24">
        <v>18.6</v>
      </c>
      <c r="P359" s="18">
        <f t="shared" si="1"/>
        <v>2015.17</v>
      </c>
    </row>
    <row r="360" ht="15.75" customHeight="1">
      <c r="A360" s="13" t="s">
        <v>206</v>
      </c>
      <c r="B360" s="13" t="s">
        <v>133</v>
      </c>
      <c r="C360" s="14" t="s">
        <v>204</v>
      </c>
      <c r="D360" s="14" t="str">
        <f>VLOOKUP(C360,'State Key'!$A$2:$B$210,2,False)</f>
        <v>Gujarat</v>
      </c>
      <c r="E360" s="15">
        <v>2270.0</v>
      </c>
      <c r="F360" s="16">
        <v>826.546</v>
      </c>
      <c r="G360" s="16">
        <v>0.0</v>
      </c>
      <c r="H360" s="16">
        <v>0.0</v>
      </c>
      <c r="I360" s="16">
        <v>0.0</v>
      </c>
      <c r="J360" s="16">
        <v>0.0</v>
      </c>
      <c r="K360" s="16">
        <v>0.0</v>
      </c>
      <c r="L360" s="16">
        <v>826.546</v>
      </c>
      <c r="M360" s="16">
        <v>536.699</v>
      </c>
      <c r="N360" s="16">
        <v>418.65</v>
      </c>
      <c r="O360" s="24">
        <v>23.4</v>
      </c>
      <c r="P360" s="18">
        <f t="shared" si="1"/>
        <v>826.546</v>
      </c>
    </row>
    <row r="361" ht="15.75" customHeight="1">
      <c r="A361" s="19" t="s">
        <v>206</v>
      </c>
      <c r="B361" s="19" t="s">
        <v>133</v>
      </c>
      <c r="C361" s="20" t="s">
        <v>205</v>
      </c>
      <c r="D361" s="14" t="str">
        <f>VLOOKUP(C361,'State Key'!$A$2:$B$210,2,False)</f>
        <v>Maharashtra</v>
      </c>
      <c r="E361" s="21">
        <v>540.0</v>
      </c>
      <c r="F361" s="22">
        <v>234.83</v>
      </c>
      <c r="G361" s="22">
        <v>0.0</v>
      </c>
      <c r="H361" s="22">
        <v>0.0</v>
      </c>
      <c r="I361" s="22">
        <v>0.0</v>
      </c>
      <c r="J361" s="22">
        <v>0.0</v>
      </c>
      <c r="K361" s="22">
        <v>0.0</v>
      </c>
      <c r="L361" s="22">
        <v>234.83</v>
      </c>
      <c r="M361" s="22">
        <v>211.64</v>
      </c>
      <c r="N361" s="22">
        <v>106.05</v>
      </c>
      <c r="O361" s="24">
        <v>15.0</v>
      </c>
      <c r="P361" s="18">
        <f t="shared" si="1"/>
        <v>234.83</v>
      </c>
    </row>
    <row r="362" ht="15.75" customHeight="1">
      <c r="A362" s="13" t="s">
        <v>207</v>
      </c>
      <c r="B362" s="13" t="s">
        <v>22</v>
      </c>
      <c r="C362" s="14" t="s">
        <v>23</v>
      </c>
      <c r="D362" s="14" t="str">
        <f>VLOOKUP(C362,'State Key'!$A$2:$B$210,2,False)</f>
        <v>West Bengal</v>
      </c>
      <c r="E362" s="15">
        <v>1050.0</v>
      </c>
      <c r="F362" s="16">
        <v>14.037</v>
      </c>
      <c r="G362" s="16">
        <v>0.0</v>
      </c>
      <c r="H362" s="16">
        <v>392.199</v>
      </c>
      <c r="I362" s="16">
        <v>0.0</v>
      </c>
      <c r="J362" s="16">
        <v>0.0</v>
      </c>
      <c r="K362" s="16">
        <v>0.0</v>
      </c>
      <c r="L362" s="16">
        <v>406.236</v>
      </c>
      <c r="M362" s="16">
        <v>378.02</v>
      </c>
      <c r="N362" s="16">
        <v>40.38</v>
      </c>
      <c r="O362" s="17">
        <v>3.2</v>
      </c>
      <c r="P362" s="18">
        <f t="shared" si="1"/>
        <v>406.236</v>
      </c>
    </row>
    <row r="363" ht="15.75" customHeight="1">
      <c r="A363" s="19" t="s">
        <v>207</v>
      </c>
      <c r="B363" s="19" t="s">
        <v>22</v>
      </c>
      <c r="C363" s="20" t="s">
        <v>24</v>
      </c>
      <c r="D363" s="14" t="str">
        <f>VLOOKUP(C363,'State Key'!$A$2:$B$210,2,False)</f>
        <v>West Bengal</v>
      </c>
      <c r="E363" s="21">
        <v>270.0</v>
      </c>
      <c r="F363" s="22">
        <v>0.0</v>
      </c>
      <c r="G363" s="22">
        <v>0.0</v>
      </c>
      <c r="H363" s="22">
        <v>100.973</v>
      </c>
      <c r="I363" s="22">
        <v>0.0</v>
      </c>
      <c r="J363" s="22">
        <v>0.0</v>
      </c>
      <c r="K363" s="22">
        <v>3.99</v>
      </c>
      <c r="L363" s="22">
        <v>104.963</v>
      </c>
      <c r="M363" s="22">
        <v>89.465</v>
      </c>
      <c r="N363" s="22">
        <v>20.05</v>
      </c>
      <c r="O363" s="17">
        <v>6.7</v>
      </c>
      <c r="P363" s="18">
        <f t="shared" si="1"/>
        <v>104.963</v>
      </c>
    </row>
    <row r="364" ht="15.75" customHeight="1">
      <c r="A364" s="13" t="s">
        <v>207</v>
      </c>
      <c r="B364" s="13" t="s">
        <v>22</v>
      </c>
      <c r="C364" s="14" t="s">
        <v>25</v>
      </c>
      <c r="D364" s="14" t="str">
        <f>VLOOKUP(C364,'State Key'!$A$2:$B$210,2,False)</f>
        <v>Bihar</v>
      </c>
      <c r="E364" s="15">
        <v>710.0</v>
      </c>
      <c r="F364" s="16">
        <v>52.22</v>
      </c>
      <c r="G364" s="16">
        <v>0.0</v>
      </c>
      <c r="H364" s="16">
        <v>175.5</v>
      </c>
      <c r="I364" s="16">
        <v>0.0</v>
      </c>
      <c r="J364" s="16">
        <v>0.0</v>
      </c>
      <c r="K364" s="16">
        <v>0.0</v>
      </c>
      <c r="L364" s="16">
        <v>227.72</v>
      </c>
      <c r="M364" s="16">
        <v>236.247</v>
      </c>
      <c r="N364" s="16">
        <v>49.362</v>
      </c>
      <c r="O364" s="17">
        <v>6.3</v>
      </c>
      <c r="P364" s="18">
        <f t="shared" si="1"/>
        <v>227.72</v>
      </c>
    </row>
    <row r="365" ht="15.75" customHeight="1">
      <c r="A365" s="19" t="s">
        <v>207</v>
      </c>
      <c r="B365" s="19" t="s">
        <v>22</v>
      </c>
      <c r="C365" s="20" t="s">
        <v>26</v>
      </c>
      <c r="D365" s="14" t="str">
        <f>VLOOKUP(C365,'State Key'!$A$2:$B$210,2,False)</f>
        <v>Bihar</v>
      </c>
      <c r="E365" s="21">
        <v>2640.0</v>
      </c>
      <c r="F365" s="22">
        <v>466.44</v>
      </c>
      <c r="G365" s="22">
        <v>0.0</v>
      </c>
      <c r="H365" s="22">
        <v>190.23</v>
      </c>
      <c r="I365" s="22">
        <v>3.617</v>
      </c>
      <c r="J365" s="22">
        <v>0.0</v>
      </c>
      <c r="K365" s="22">
        <v>0.0</v>
      </c>
      <c r="L365" s="22">
        <v>660.287</v>
      </c>
      <c r="M365" s="22">
        <v>781.6279</v>
      </c>
      <c r="N365" s="22">
        <v>247.67</v>
      </c>
      <c r="O365" s="23">
        <v>9.5</v>
      </c>
      <c r="P365" s="18">
        <f t="shared" si="1"/>
        <v>660.287</v>
      </c>
    </row>
    <row r="366" ht="15.75" customHeight="1">
      <c r="A366" s="13" t="s">
        <v>207</v>
      </c>
      <c r="B366" s="13" t="s">
        <v>22</v>
      </c>
      <c r="C366" s="14" t="s">
        <v>27</v>
      </c>
      <c r="D366" s="14" t="str">
        <f>VLOOKUP(C366,'State Key'!$A$2:$B$210,2,False)</f>
        <v>Jharkhand</v>
      </c>
      <c r="E366" s="15">
        <v>500.0</v>
      </c>
      <c r="F366" s="16">
        <v>191.331</v>
      </c>
      <c r="G366" s="16">
        <v>0.0</v>
      </c>
      <c r="H366" s="16">
        <v>0.0</v>
      </c>
      <c r="I366" s="16">
        <v>0.0</v>
      </c>
      <c r="J366" s="16">
        <v>0.0</v>
      </c>
      <c r="K366" s="16">
        <v>0.0</v>
      </c>
      <c r="L366" s="16">
        <v>191.331</v>
      </c>
      <c r="M366" s="16">
        <v>163.8</v>
      </c>
      <c r="N366" s="16">
        <v>188.45</v>
      </c>
      <c r="O366" s="24">
        <v>34.5</v>
      </c>
      <c r="P366" s="18">
        <f t="shared" si="1"/>
        <v>191.331</v>
      </c>
    </row>
    <row r="367" ht="15.75" customHeight="1">
      <c r="A367" s="19" t="s">
        <v>207</v>
      </c>
      <c r="B367" s="19" t="s">
        <v>22</v>
      </c>
      <c r="C367" s="20" t="s">
        <v>28</v>
      </c>
      <c r="D367" s="14" t="str">
        <f>VLOOKUP(C367,'State Key'!$A$2:$B$210,2,False)</f>
        <v>West Bengal</v>
      </c>
      <c r="E367" s="21">
        <v>750.0</v>
      </c>
      <c r="F367" s="22">
        <v>99.778</v>
      </c>
      <c r="G367" s="22">
        <v>0.0</v>
      </c>
      <c r="H367" s="22">
        <v>127.316</v>
      </c>
      <c r="I367" s="22">
        <v>0.0</v>
      </c>
      <c r="J367" s="22">
        <v>0.0</v>
      </c>
      <c r="K367" s="22">
        <v>51.109</v>
      </c>
      <c r="L367" s="22">
        <v>278.203</v>
      </c>
      <c r="M367" s="22">
        <v>306.982</v>
      </c>
      <c r="N367" s="22">
        <v>272.4</v>
      </c>
      <c r="O367" s="24">
        <v>26.6</v>
      </c>
      <c r="P367" s="18">
        <f t="shared" si="1"/>
        <v>278.203</v>
      </c>
    </row>
    <row r="368" ht="15.75" customHeight="1">
      <c r="A368" s="13" t="s">
        <v>207</v>
      </c>
      <c r="B368" s="13" t="s">
        <v>22</v>
      </c>
      <c r="C368" s="14" t="s">
        <v>29</v>
      </c>
      <c r="D368" s="14" t="str">
        <f>VLOOKUP(C368,'State Key'!$A$2:$B$210,2,False)</f>
        <v>Jharkhand</v>
      </c>
      <c r="E368" s="15">
        <v>500.0</v>
      </c>
      <c r="F368" s="16">
        <v>157.73</v>
      </c>
      <c r="G368" s="16">
        <v>0.0</v>
      </c>
      <c r="H368" s="16">
        <v>22.97</v>
      </c>
      <c r="I368" s="16">
        <v>0.0</v>
      </c>
      <c r="J368" s="16">
        <v>0.0</v>
      </c>
      <c r="K368" s="16">
        <v>0.0</v>
      </c>
      <c r="L368" s="16">
        <v>180.7</v>
      </c>
      <c r="M368" s="16">
        <v>222.19</v>
      </c>
      <c r="N368" s="16">
        <v>76.5</v>
      </c>
      <c r="O368" s="23">
        <v>10.3</v>
      </c>
      <c r="P368" s="18">
        <f t="shared" si="1"/>
        <v>180.7</v>
      </c>
    </row>
    <row r="369" ht="15.75" customHeight="1">
      <c r="A369" s="19" t="s">
        <v>207</v>
      </c>
      <c r="B369" s="19" t="s">
        <v>22</v>
      </c>
      <c r="C369" s="20" t="s">
        <v>30</v>
      </c>
      <c r="D369" s="14" t="str">
        <f>VLOOKUP(C369,'State Key'!$A$2:$B$210,2,False)</f>
        <v>West Bengal</v>
      </c>
      <c r="E369" s="21">
        <v>550.0</v>
      </c>
      <c r="F369" s="22">
        <v>122.357</v>
      </c>
      <c r="G369" s="22">
        <v>0.0</v>
      </c>
      <c r="H369" s="22">
        <v>56.456</v>
      </c>
      <c r="I369" s="22">
        <v>0.0</v>
      </c>
      <c r="J369" s="22">
        <v>0.0</v>
      </c>
      <c r="K369" s="22">
        <v>0.0</v>
      </c>
      <c r="L369" s="22">
        <v>178.813</v>
      </c>
      <c r="M369" s="22">
        <v>166.787</v>
      </c>
      <c r="N369" s="22">
        <v>21.61</v>
      </c>
      <c r="O369" s="17">
        <v>3.9</v>
      </c>
      <c r="P369" s="18">
        <f t="shared" si="1"/>
        <v>178.813</v>
      </c>
    </row>
    <row r="370" ht="15.75" customHeight="1">
      <c r="A370" s="13" t="s">
        <v>207</v>
      </c>
      <c r="B370" s="13" t="s">
        <v>22</v>
      </c>
      <c r="C370" s="14" t="s">
        <v>31</v>
      </c>
      <c r="D370" s="14" t="str">
        <f>VLOOKUP(C370,'State Key'!$A$2:$B$210,2,False)</f>
        <v>Odisha</v>
      </c>
      <c r="E370" s="15">
        <v>1600.0</v>
      </c>
      <c r="F370" s="16">
        <v>0.0</v>
      </c>
      <c r="G370" s="16">
        <v>0.0</v>
      </c>
      <c r="H370" s="16">
        <v>711.08</v>
      </c>
      <c r="I370" s="16">
        <v>0.0</v>
      </c>
      <c r="J370" s="16">
        <v>0.0</v>
      </c>
      <c r="K370" s="16">
        <v>0.0</v>
      </c>
      <c r="L370" s="16">
        <v>711.08</v>
      </c>
      <c r="M370" s="16">
        <v>646.416</v>
      </c>
      <c r="N370" s="16">
        <v>614.567</v>
      </c>
      <c r="O370" s="24">
        <v>28.5</v>
      </c>
      <c r="P370" s="18">
        <f t="shared" si="1"/>
        <v>711.08</v>
      </c>
    </row>
    <row r="371" ht="15.75" customHeight="1">
      <c r="A371" s="19" t="s">
        <v>207</v>
      </c>
      <c r="B371" s="19" t="s">
        <v>22</v>
      </c>
      <c r="C371" s="20" t="s">
        <v>32</v>
      </c>
      <c r="D371" s="14" t="str">
        <f>VLOOKUP(C371,'State Key'!$A$2:$B$210,2,False)</f>
        <v>Odisha</v>
      </c>
      <c r="E371" s="21">
        <v>1200.0</v>
      </c>
      <c r="F371" s="22">
        <v>421.438</v>
      </c>
      <c r="G371" s="22">
        <v>0.0</v>
      </c>
      <c r="H371" s="22">
        <v>0.0</v>
      </c>
      <c r="I371" s="22">
        <v>0.0</v>
      </c>
      <c r="J371" s="22">
        <v>0.0</v>
      </c>
      <c r="K371" s="22">
        <v>73.054</v>
      </c>
      <c r="L371" s="22">
        <v>494.492</v>
      </c>
      <c r="M371" s="22">
        <v>605.138</v>
      </c>
      <c r="N371" s="22">
        <v>469.07</v>
      </c>
      <c r="O371" s="24">
        <v>23.3</v>
      </c>
      <c r="P371" s="18">
        <f t="shared" si="1"/>
        <v>494.492</v>
      </c>
    </row>
    <row r="372" ht="15.75" customHeight="1">
      <c r="A372" s="13" t="s">
        <v>207</v>
      </c>
      <c r="B372" s="13" t="s">
        <v>22</v>
      </c>
      <c r="C372" s="14" t="s">
        <v>33</v>
      </c>
      <c r="D372" s="14" t="str">
        <f>VLOOKUP(C372,'State Key'!$A$2:$B$210,2,False)</f>
        <v>West Bengal</v>
      </c>
      <c r="E372" s="15">
        <v>12.0</v>
      </c>
      <c r="F372" s="16">
        <v>3.78</v>
      </c>
      <c r="G372" s="16">
        <v>0.0</v>
      </c>
      <c r="H372" s="16">
        <v>0.0</v>
      </c>
      <c r="I372" s="16">
        <v>0.0</v>
      </c>
      <c r="J372" s="16">
        <v>0.0</v>
      </c>
      <c r="K372" s="16">
        <v>0.0</v>
      </c>
      <c r="L372" s="16">
        <v>3.78</v>
      </c>
      <c r="M372" s="16">
        <v>5.25</v>
      </c>
      <c r="N372" s="16">
        <v>0.0</v>
      </c>
      <c r="O372" s="17">
        <v>0.0</v>
      </c>
      <c r="P372" s="18">
        <f t="shared" si="1"/>
        <v>3.78</v>
      </c>
    </row>
    <row r="373" ht="15.75" customHeight="1">
      <c r="A373" s="19" t="s">
        <v>207</v>
      </c>
      <c r="B373" s="19" t="s">
        <v>22</v>
      </c>
      <c r="C373" s="20" t="s">
        <v>34</v>
      </c>
      <c r="D373" s="14" t="str">
        <f>VLOOKUP(C373,'State Key'!$A$2:$B$210,2,False)</f>
        <v>West Bengal</v>
      </c>
      <c r="E373" s="21">
        <v>1000.0</v>
      </c>
      <c r="F373" s="22">
        <v>378.766</v>
      </c>
      <c r="G373" s="22">
        <v>12.342</v>
      </c>
      <c r="H373" s="22">
        <v>0.0</v>
      </c>
      <c r="I373" s="22">
        <v>7.89</v>
      </c>
      <c r="J373" s="22">
        <v>0.0</v>
      </c>
      <c r="K373" s="22">
        <v>0.0</v>
      </c>
      <c r="L373" s="22">
        <v>398.998</v>
      </c>
      <c r="M373" s="22">
        <v>385.23</v>
      </c>
      <c r="N373" s="22">
        <v>163.569</v>
      </c>
      <c r="O373" s="23">
        <v>12.7</v>
      </c>
      <c r="P373" s="18">
        <f t="shared" si="1"/>
        <v>398.998</v>
      </c>
    </row>
    <row r="374" ht="15.75" customHeight="1">
      <c r="A374" s="13" t="s">
        <v>207</v>
      </c>
      <c r="B374" s="13" t="s">
        <v>22</v>
      </c>
      <c r="C374" s="14" t="s">
        <v>35</v>
      </c>
      <c r="D374" s="14" t="str">
        <f>VLOOKUP(C374,'State Key'!$A$2:$B$210,2,False)</f>
        <v>West Bengal</v>
      </c>
      <c r="E374" s="15">
        <v>2100.0</v>
      </c>
      <c r="F374" s="16">
        <v>623.9</v>
      </c>
      <c r="G374" s="16">
        <v>0.0</v>
      </c>
      <c r="H374" s="16">
        <v>60.96</v>
      </c>
      <c r="I374" s="16">
        <v>7.7976</v>
      </c>
      <c r="J374" s="16">
        <v>0.0</v>
      </c>
      <c r="K374" s="16">
        <v>0.0</v>
      </c>
      <c r="L374" s="16">
        <v>692.6576</v>
      </c>
      <c r="M374" s="16">
        <v>768.926</v>
      </c>
      <c r="N374" s="16">
        <v>295.505</v>
      </c>
      <c r="O374" s="23">
        <v>11.5</v>
      </c>
      <c r="P374" s="18">
        <f t="shared" si="1"/>
        <v>692.6576</v>
      </c>
    </row>
    <row r="375" ht="15.75" customHeight="1">
      <c r="A375" s="19" t="s">
        <v>207</v>
      </c>
      <c r="B375" s="19" t="s">
        <v>22</v>
      </c>
      <c r="C375" s="20" t="s">
        <v>36</v>
      </c>
      <c r="D375" s="14" t="str">
        <f>VLOOKUP(C375,'State Key'!$A$2:$B$210,2,False)</f>
        <v>West Bengal</v>
      </c>
      <c r="E375" s="21">
        <v>600.0</v>
      </c>
      <c r="F375" s="22">
        <v>276.396</v>
      </c>
      <c r="G375" s="22">
        <v>0.0</v>
      </c>
      <c r="H375" s="22">
        <v>0.0</v>
      </c>
      <c r="I375" s="22">
        <v>0.0</v>
      </c>
      <c r="J375" s="22">
        <v>0.0</v>
      </c>
      <c r="K375" s="22">
        <v>15.49</v>
      </c>
      <c r="L375" s="22">
        <v>291.886</v>
      </c>
      <c r="M375" s="22">
        <v>282.979</v>
      </c>
      <c r="N375" s="22">
        <v>128.83</v>
      </c>
      <c r="O375" s="23">
        <v>13.7</v>
      </c>
      <c r="P375" s="18">
        <f t="shared" si="1"/>
        <v>291.886</v>
      </c>
    </row>
    <row r="376" ht="15.75" customHeight="1">
      <c r="A376" s="13" t="s">
        <v>207</v>
      </c>
      <c r="B376" s="13" t="s">
        <v>22</v>
      </c>
      <c r="C376" s="14" t="s">
        <v>37</v>
      </c>
      <c r="D376" s="14" t="str">
        <f>VLOOKUP(C376,'State Key'!$A$2:$B$210,2,False)</f>
        <v>West Bengal</v>
      </c>
      <c r="E376" s="15">
        <v>300.0</v>
      </c>
      <c r="F376" s="16">
        <v>114.852</v>
      </c>
      <c r="G376" s="16">
        <v>0.0</v>
      </c>
      <c r="H376" s="16">
        <v>0.0</v>
      </c>
      <c r="I376" s="16">
        <v>0.0</v>
      </c>
      <c r="J376" s="16">
        <v>0.0</v>
      </c>
      <c r="K376" s="16">
        <v>0.0</v>
      </c>
      <c r="L376" s="16">
        <v>114.852</v>
      </c>
      <c r="M376" s="16">
        <v>108.899</v>
      </c>
      <c r="N376" s="16">
        <v>48.76</v>
      </c>
      <c r="O376" s="23">
        <v>13.4</v>
      </c>
      <c r="P376" s="18">
        <f t="shared" si="1"/>
        <v>114.852</v>
      </c>
    </row>
    <row r="377" ht="15.75" customHeight="1">
      <c r="A377" s="19" t="s">
        <v>207</v>
      </c>
      <c r="B377" s="19" t="s">
        <v>22</v>
      </c>
      <c r="C377" s="20" t="s">
        <v>38</v>
      </c>
      <c r="D377" s="14" t="str">
        <f>VLOOKUP(C377,'State Key'!$A$2:$B$210,2,False)</f>
        <v>Odisha</v>
      </c>
      <c r="E377" s="21">
        <v>1740.0</v>
      </c>
      <c r="F377" s="22">
        <v>202.185</v>
      </c>
      <c r="G377" s="22">
        <v>0.0</v>
      </c>
      <c r="H377" s="22">
        <v>499.103</v>
      </c>
      <c r="I377" s="22">
        <v>0.0</v>
      </c>
      <c r="J377" s="22">
        <v>0.0</v>
      </c>
      <c r="K377" s="22">
        <v>0.0</v>
      </c>
      <c r="L377" s="22">
        <v>701.288</v>
      </c>
      <c r="M377" s="22">
        <v>731.43</v>
      </c>
      <c r="N377" s="22">
        <v>341.25</v>
      </c>
      <c r="O377" s="24">
        <v>14.0</v>
      </c>
      <c r="P377" s="18">
        <f t="shared" si="1"/>
        <v>701.288</v>
      </c>
    </row>
    <row r="378" ht="15.75" customHeight="1">
      <c r="A378" s="13" t="s">
        <v>207</v>
      </c>
      <c r="B378" s="13" t="s">
        <v>22</v>
      </c>
      <c r="C378" s="14" t="s">
        <v>39</v>
      </c>
      <c r="D378" s="14" t="str">
        <f>VLOOKUP(C378,'State Key'!$A$2:$B$210,2,False)</f>
        <v>Jharkhand</v>
      </c>
      <c r="E378" s="15">
        <v>240.0</v>
      </c>
      <c r="F378" s="16">
        <v>93.847</v>
      </c>
      <c r="G378" s="16">
        <v>0.0</v>
      </c>
      <c r="H378" s="16">
        <v>0.0</v>
      </c>
      <c r="I378" s="16">
        <v>0.0</v>
      </c>
      <c r="J378" s="16">
        <v>6.152</v>
      </c>
      <c r="K378" s="16">
        <v>0.0</v>
      </c>
      <c r="L378" s="16">
        <v>99.999</v>
      </c>
      <c r="M378" s="16">
        <v>105.488</v>
      </c>
      <c r="N378" s="16">
        <v>62.37</v>
      </c>
      <c r="O378" s="24">
        <v>17.7</v>
      </c>
      <c r="P378" s="18">
        <f t="shared" si="1"/>
        <v>99.999</v>
      </c>
    </row>
    <row r="379" ht="15.75" customHeight="1">
      <c r="A379" s="19" t="s">
        <v>207</v>
      </c>
      <c r="B379" s="19" t="s">
        <v>22</v>
      </c>
      <c r="C379" s="20" t="s">
        <v>40</v>
      </c>
      <c r="D379" s="14" t="str">
        <f>VLOOKUP(C379,'State Key'!$A$2:$B$210,2,False)</f>
        <v>Bihar</v>
      </c>
      <c r="E379" s="21">
        <v>2340.0</v>
      </c>
      <c r="F379" s="22">
        <v>803.29</v>
      </c>
      <c r="G379" s="22">
        <v>0.0</v>
      </c>
      <c r="H379" s="22">
        <v>41.12</v>
      </c>
      <c r="I379" s="22">
        <v>11.107</v>
      </c>
      <c r="J379" s="22">
        <v>0.0</v>
      </c>
      <c r="K379" s="22">
        <v>0.0</v>
      </c>
      <c r="L379" s="22">
        <v>855.517</v>
      </c>
      <c r="M379" s="22">
        <v>1040.406</v>
      </c>
      <c r="N379" s="22">
        <v>283.854</v>
      </c>
      <c r="O379" s="23">
        <v>8.2</v>
      </c>
      <c r="P379" s="18">
        <f t="shared" si="1"/>
        <v>855.517</v>
      </c>
    </row>
    <row r="380" ht="15.75" customHeight="1">
      <c r="A380" s="13" t="s">
        <v>207</v>
      </c>
      <c r="B380" s="13" t="s">
        <v>22</v>
      </c>
      <c r="C380" s="14" t="s">
        <v>41</v>
      </c>
      <c r="D380" s="14" t="str">
        <f>VLOOKUP(C380,'State Key'!$A$2:$B$210,2,False)</f>
        <v>Odisha</v>
      </c>
      <c r="E380" s="15">
        <v>1050.0</v>
      </c>
      <c r="F380" s="16">
        <v>413.919</v>
      </c>
      <c r="G380" s="16">
        <v>0.0</v>
      </c>
      <c r="H380" s="16">
        <v>0.0</v>
      </c>
      <c r="I380" s="16">
        <v>29.275</v>
      </c>
      <c r="J380" s="16">
        <v>0.0</v>
      </c>
      <c r="K380" s="16">
        <v>64.45</v>
      </c>
      <c r="L380" s="16">
        <v>507.644</v>
      </c>
      <c r="M380" s="16">
        <v>473.044</v>
      </c>
      <c r="N380" s="16">
        <v>155.041</v>
      </c>
      <c r="O380" s="23">
        <v>9.8</v>
      </c>
      <c r="P380" s="18">
        <f t="shared" si="1"/>
        <v>507.644</v>
      </c>
    </row>
    <row r="381" ht="15.75" customHeight="1">
      <c r="A381" s="19" t="s">
        <v>207</v>
      </c>
      <c r="B381" s="19" t="s">
        <v>22</v>
      </c>
      <c r="C381" s="20" t="s">
        <v>42</v>
      </c>
      <c r="D381" s="14" t="str">
        <f>VLOOKUP(C381,'State Key'!$A$2:$B$210,2,False)</f>
        <v>Jharkhand</v>
      </c>
      <c r="E381" s="21">
        <v>1000.0</v>
      </c>
      <c r="F381" s="22">
        <v>344.332</v>
      </c>
      <c r="G381" s="22">
        <v>0.0</v>
      </c>
      <c r="H381" s="22">
        <v>0.0</v>
      </c>
      <c r="I381" s="22">
        <v>16.134</v>
      </c>
      <c r="J381" s="22">
        <v>0.0</v>
      </c>
      <c r="K381" s="22">
        <v>0.0</v>
      </c>
      <c r="L381" s="22">
        <v>360.466</v>
      </c>
      <c r="M381" s="22">
        <v>395.18</v>
      </c>
      <c r="N381" s="22">
        <v>277.721</v>
      </c>
      <c r="O381" s="24">
        <v>21.1</v>
      </c>
      <c r="P381" s="18">
        <f t="shared" si="1"/>
        <v>360.466</v>
      </c>
    </row>
    <row r="382" ht="15.75" customHeight="1">
      <c r="A382" s="13" t="s">
        <v>207</v>
      </c>
      <c r="B382" s="13" t="s">
        <v>22</v>
      </c>
      <c r="C382" s="14" t="s">
        <v>43</v>
      </c>
      <c r="D382" s="14" t="str">
        <f>VLOOKUP(C382,'State Key'!$A$2:$B$210,2,False)</f>
        <v>West Bengal</v>
      </c>
      <c r="E382" s="15">
        <v>840.0</v>
      </c>
      <c r="F382" s="16">
        <v>10.866</v>
      </c>
      <c r="G382" s="16">
        <v>0.0</v>
      </c>
      <c r="H382" s="16">
        <v>257.852</v>
      </c>
      <c r="I382" s="16">
        <v>0.0</v>
      </c>
      <c r="J382" s="16">
        <v>0.0</v>
      </c>
      <c r="K382" s="16">
        <v>0.0</v>
      </c>
      <c r="L382" s="16">
        <v>268.718</v>
      </c>
      <c r="M382" s="16">
        <v>266.47</v>
      </c>
      <c r="N382" s="16">
        <v>13.38</v>
      </c>
      <c r="O382" s="17">
        <v>1.5</v>
      </c>
      <c r="P382" s="18">
        <f t="shared" si="1"/>
        <v>268.718</v>
      </c>
    </row>
    <row r="383" ht="15.75" customHeight="1">
      <c r="A383" s="19" t="s">
        <v>207</v>
      </c>
      <c r="B383" s="19" t="s">
        <v>22</v>
      </c>
      <c r="C383" s="20" t="s">
        <v>44</v>
      </c>
      <c r="D383" s="14" t="str">
        <f>VLOOKUP(C383,'State Key'!$A$2:$B$210,2,False)</f>
        <v>Jharkhand</v>
      </c>
      <c r="E383" s="21">
        <v>540.0</v>
      </c>
      <c r="F383" s="22">
        <v>155.854</v>
      </c>
      <c r="G383" s="22">
        <v>0.0</v>
      </c>
      <c r="H383" s="22">
        <v>0.0</v>
      </c>
      <c r="I383" s="22">
        <v>0.0</v>
      </c>
      <c r="J383" s="22">
        <v>0.0</v>
      </c>
      <c r="K383" s="22">
        <v>0.0</v>
      </c>
      <c r="L383" s="22">
        <v>155.854</v>
      </c>
      <c r="M383" s="22">
        <v>175.815</v>
      </c>
      <c r="N383" s="22">
        <v>77.32</v>
      </c>
      <c r="O383" s="23">
        <v>13.2</v>
      </c>
      <c r="P383" s="18">
        <f t="shared" si="1"/>
        <v>155.854</v>
      </c>
    </row>
    <row r="384" ht="15.75" customHeight="1">
      <c r="A384" s="13" t="s">
        <v>207</v>
      </c>
      <c r="B384" s="13" t="s">
        <v>22</v>
      </c>
      <c r="C384" s="14" t="s">
        <v>45</v>
      </c>
      <c r="D384" s="14" t="str">
        <f>VLOOKUP(C384,'State Key'!$A$2:$B$210,2,False)</f>
        <v>Jharkhand</v>
      </c>
      <c r="E384" s="15">
        <v>1050.0</v>
      </c>
      <c r="F384" s="16">
        <v>376.181</v>
      </c>
      <c r="G384" s="16">
        <v>0.0</v>
      </c>
      <c r="H384" s="16">
        <v>0.0</v>
      </c>
      <c r="I384" s="16">
        <v>0.0</v>
      </c>
      <c r="J384" s="16">
        <v>0.0</v>
      </c>
      <c r="K384" s="16">
        <v>0.0</v>
      </c>
      <c r="L384" s="16">
        <v>376.181</v>
      </c>
      <c r="M384" s="16">
        <v>340.86</v>
      </c>
      <c r="N384" s="16">
        <v>509.99</v>
      </c>
      <c r="O384" s="24">
        <v>44.9</v>
      </c>
      <c r="P384" s="18">
        <f t="shared" si="1"/>
        <v>376.181</v>
      </c>
    </row>
    <row r="385" ht="15.75" customHeight="1">
      <c r="A385" s="19" t="s">
        <v>207</v>
      </c>
      <c r="B385" s="19" t="s">
        <v>22</v>
      </c>
      <c r="C385" s="20" t="s">
        <v>46</v>
      </c>
      <c r="D385" s="14" t="str">
        <f>VLOOKUP(C385,'State Key'!$A$2:$B$210,2,False)</f>
        <v>West Bengal</v>
      </c>
      <c r="E385" s="21">
        <v>2340.0</v>
      </c>
      <c r="F385" s="22">
        <v>764.06</v>
      </c>
      <c r="G385" s="22">
        <v>0.0</v>
      </c>
      <c r="H385" s="22">
        <v>0.0</v>
      </c>
      <c r="I385" s="22">
        <v>6.267</v>
      </c>
      <c r="J385" s="22">
        <v>0.0</v>
      </c>
      <c r="K385" s="22">
        <v>0.0</v>
      </c>
      <c r="L385" s="22">
        <v>770.327</v>
      </c>
      <c r="M385" s="22">
        <v>836.864</v>
      </c>
      <c r="N385" s="22">
        <v>133.298</v>
      </c>
      <c r="O385" s="17">
        <v>4.8</v>
      </c>
      <c r="P385" s="18">
        <f t="shared" si="1"/>
        <v>770.327</v>
      </c>
    </row>
    <row r="386" ht="15.75" customHeight="1">
      <c r="A386" s="13" t="s">
        <v>207</v>
      </c>
      <c r="B386" s="13" t="s">
        <v>22</v>
      </c>
      <c r="C386" s="14" t="s">
        <v>47</v>
      </c>
      <c r="D386" s="14" t="str">
        <f>VLOOKUP(C386,'State Key'!$A$2:$B$210,2,False)</f>
        <v>Bihar</v>
      </c>
      <c r="E386" s="15">
        <v>390.0</v>
      </c>
      <c r="F386" s="16">
        <v>15.986</v>
      </c>
      <c r="G386" s="16">
        <v>0.0</v>
      </c>
      <c r="H386" s="16">
        <v>134.86</v>
      </c>
      <c r="I386" s="16">
        <v>0.0</v>
      </c>
      <c r="J386" s="16">
        <v>0.0</v>
      </c>
      <c r="K386" s="16">
        <v>0.0</v>
      </c>
      <c r="L386" s="16">
        <v>150.846</v>
      </c>
      <c r="M386" s="16">
        <v>174.104</v>
      </c>
      <c r="N386" s="16">
        <v>29.48</v>
      </c>
      <c r="O386" s="17">
        <v>5.1</v>
      </c>
      <c r="P386" s="18">
        <f t="shared" si="1"/>
        <v>150.846</v>
      </c>
    </row>
    <row r="387" ht="15.75" customHeight="1">
      <c r="A387" s="19" t="s">
        <v>207</v>
      </c>
      <c r="B387" s="19" t="s">
        <v>22</v>
      </c>
      <c r="C387" s="20" t="s">
        <v>48</v>
      </c>
      <c r="D387" s="14" t="str">
        <f>VLOOKUP(C387,'State Key'!$A$2:$B$210,2,False)</f>
        <v>Bihar</v>
      </c>
      <c r="E387" s="21">
        <v>1980.0</v>
      </c>
      <c r="F387" s="22">
        <v>606.79</v>
      </c>
      <c r="G387" s="22">
        <v>0.0</v>
      </c>
      <c r="H387" s="22">
        <v>163.451</v>
      </c>
      <c r="I387" s="22">
        <v>0.0</v>
      </c>
      <c r="J387" s="22">
        <v>0.0</v>
      </c>
      <c r="K387" s="22">
        <v>0.0</v>
      </c>
      <c r="L387" s="22">
        <v>770.241</v>
      </c>
      <c r="M387" s="22">
        <v>757.906</v>
      </c>
      <c r="N387" s="22">
        <v>242.616</v>
      </c>
      <c r="O387" s="23">
        <v>9.6</v>
      </c>
      <c r="P387" s="18">
        <f t="shared" si="1"/>
        <v>770.241</v>
      </c>
    </row>
    <row r="388" ht="15.75" customHeight="1">
      <c r="A388" s="13" t="s">
        <v>207</v>
      </c>
      <c r="B388" s="13" t="s">
        <v>22</v>
      </c>
      <c r="C388" s="14" t="s">
        <v>49</v>
      </c>
      <c r="D388" s="14" t="str">
        <f>VLOOKUP(C388,'State Key'!$A$2:$B$210,2,False)</f>
        <v>Bihar</v>
      </c>
      <c r="E388" s="15">
        <v>1000.0</v>
      </c>
      <c r="F388" s="16">
        <v>421.05815</v>
      </c>
      <c r="G388" s="16">
        <v>0.0</v>
      </c>
      <c r="H388" s="16">
        <v>0.0</v>
      </c>
      <c r="I388" s="16">
        <v>0.0</v>
      </c>
      <c r="J388" s="16">
        <v>0.0</v>
      </c>
      <c r="K388" s="16">
        <v>0.0</v>
      </c>
      <c r="L388" s="16">
        <v>421.05815</v>
      </c>
      <c r="M388" s="16">
        <v>426.856</v>
      </c>
      <c r="N388" s="16">
        <v>67.84</v>
      </c>
      <c r="O388" s="17">
        <v>4.8</v>
      </c>
      <c r="P388" s="18">
        <f t="shared" si="1"/>
        <v>421.05815</v>
      </c>
    </row>
    <row r="389" ht="15.75" customHeight="1">
      <c r="A389" s="19" t="s">
        <v>207</v>
      </c>
      <c r="B389" s="19" t="s">
        <v>22</v>
      </c>
      <c r="C389" s="20" t="s">
        <v>50</v>
      </c>
      <c r="D389" s="14" t="str">
        <f>VLOOKUP(C389,'State Key'!$A$2:$B$210,2,False)</f>
        <v>Jharkhand</v>
      </c>
      <c r="E389" s="21">
        <v>660.0</v>
      </c>
      <c r="F389" s="22">
        <v>303.11</v>
      </c>
      <c r="G389" s="22">
        <v>0.0</v>
      </c>
      <c r="H389" s="22">
        <v>0.0</v>
      </c>
      <c r="I389" s="22">
        <v>0.0</v>
      </c>
      <c r="J389" s="22">
        <v>0.0</v>
      </c>
      <c r="K389" s="22">
        <v>0.0</v>
      </c>
      <c r="L389" s="22">
        <v>303.11</v>
      </c>
      <c r="M389" s="22">
        <v>261.185</v>
      </c>
      <c r="N389" s="22">
        <v>245.741</v>
      </c>
      <c r="O389" s="24">
        <v>28.2</v>
      </c>
      <c r="P389" s="18">
        <f t="shared" si="1"/>
        <v>303.11</v>
      </c>
    </row>
    <row r="390" ht="15.75" customHeight="1">
      <c r="A390" s="13" t="s">
        <v>207</v>
      </c>
      <c r="B390" s="13" t="s">
        <v>22</v>
      </c>
      <c r="C390" s="14" t="s">
        <v>51</v>
      </c>
      <c r="D390" s="14" t="str">
        <f>VLOOKUP(C390,'State Key'!$A$2:$B$210,2,False)</f>
        <v>West Bengal</v>
      </c>
      <c r="E390" s="15">
        <v>1200.0</v>
      </c>
      <c r="F390" s="16">
        <v>443.785</v>
      </c>
      <c r="G390" s="16">
        <v>0.0</v>
      </c>
      <c r="H390" s="16">
        <v>0.0</v>
      </c>
      <c r="I390" s="16">
        <v>0.0</v>
      </c>
      <c r="J390" s="16">
        <v>0.0</v>
      </c>
      <c r="K390" s="16">
        <v>0.0</v>
      </c>
      <c r="L390" s="16">
        <v>443.785</v>
      </c>
      <c r="M390" s="16">
        <v>385.743</v>
      </c>
      <c r="N390" s="16">
        <v>412.27</v>
      </c>
      <c r="O390" s="24">
        <v>32.1</v>
      </c>
      <c r="P390" s="18">
        <f t="shared" si="1"/>
        <v>443.785</v>
      </c>
    </row>
    <row r="391" ht="15.75" customHeight="1">
      <c r="A391" s="19" t="s">
        <v>207</v>
      </c>
      <c r="B391" s="19" t="s">
        <v>22</v>
      </c>
      <c r="C391" s="20" t="s">
        <v>52</v>
      </c>
      <c r="D391" s="14" t="str">
        <f>VLOOKUP(C391,'State Key'!$A$2:$B$210,2,False)</f>
        <v>West Bengal</v>
      </c>
      <c r="E391" s="21">
        <v>1600.0</v>
      </c>
      <c r="F391" s="22">
        <v>59.719</v>
      </c>
      <c r="G391" s="22">
        <v>0.0</v>
      </c>
      <c r="H391" s="22">
        <v>534.676</v>
      </c>
      <c r="I391" s="22">
        <v>0.0</v>
      </c>
      <c r="J391" s="22">
        <v>0.0</v>
      </c>
      <c r="K391" s="22">
        <v>11.983</v>
      </c>
      <c r="L391" s="22">
        <v>606.378</v>
      </c>
      <c r="M391" s="22">
        <v>595.978</v>
      </c>
      <c r="N391" s="22">
        <v>33.62</v>
      </c>
      <c r="O391" s="17">
        <v>1.7</v>
      </c>
      <c r="P391" s="18">
        <f t="shared" si="1"/>
        <v>606.378</v>
      </c>
    </row>
    <row r="392" ht="15.75" customHeight="1">
      <c r="A392" s="13" t="s">
        <v>207</v>
      </c>
      <c r="B392" s="13" t="s">
        <v>22</v>
      </c>
      <c r="C392" s="14" t="s">
        <v>53</v>
      </c>
      <c r="D392" s="14" t="str">
        <f>VLOOKUP(C392,'State Key'!$A$2:$B$210,2,False)</f>
        <v>West Bengal</v>
      </c>
      <c r="E392" s="15">
        <v>500.0</v>
      </c>
      <c r="F392" s="16">
        <v>84.068</v>
      </c>
      <c r="G392" s="16">
        <v>0.0</v>
      </c>
      <c r="H392" s="16">
        <v>133.446</v>
      </c>
      <c r="I392" s="16">
        <v>0.0</v>
      </c>
      <c r="J392" s="16">
        <v>0.0</v>
      </c>
      <c r="K392" s="16">
        <v>0.0</v>
      </c>
      <c r="L392" s="16">
        <v>217.514</v>
      </c>
      <c r="M392" s="16">
        <v>205.522</v>
      </c>
      <c r="N392" s="16">
        <v>36.97</v>
      </c>
      <c r="O392" s="17">
        <v>5.4</v>
      </c>
      <c r="P392" s="18">
        <f t="shared" si="1"/>
        <v>217.514</v>
      </c>
    </row>
    <row r="393" ht="15.75" customHeight="1">
      <c r="A393" s="19" t="s">
        <v>207</v>
      </c>
      <c r="B393" s="19" t="s">
        <v>22</v>
      </c>
      <c r="C393" s="20" t="s">
        <v>54</v>
      </c>
      <c r="D393" s="14" t="str">
        <f>VLOOKUP(C393,'State Key'!$A$2:$B$210,2,False)</f>
        <v>West Bengal</v>
      </c>
      <c r="E393" s="21">
        <v>135.0</v>
      </c>
      <c r="F393" s="22">
        <v>23.291</v>
      </c>
      <c r="G393" s="22">
        <v>0.0</v>
      </c>
      <c r="H393" s="22">
        <v>0.0</v>
      </c>
      <c r="I393" s="22">
        <v>0.0</v>
      </c>
      <c r="J393" s="22">
        <v>0.0</v>
      </c>
      <c r="K393" s="22">
        <v>30.889</v>
      </c>
      <c r="L393" s="22">
        <v>54.18</v>
      </c>
      <c r="M393" s="22">
        <v>55.228</v>
      </c>
      <c r="N393" s="22">
        <v>33.16</v>
      </c>
      <c r="O393" s="24">
        <v>18.0</v>
      </c>
      <c r="P393" s="18">
        <f t="shared" si="1"/>
        <v>54.18</v>
      </c>
    </row>
    <row r="394" ht="15.75" customHeight="1">
      <c r="A394" s="13" t="s">
        <v>207</v>
      </c>
      <c r="B394" s="13" t="s">
        <v>22</v>
      </c>
      <c r="C394" s="14" t="s">
        <v>55</v>
      </c>
      <c r="D394" s="14" t="str">
        <f>VLOOKUP(C394,'State Key'!$A$2:$B$210,2,False)</f>
        <v>Odisha</v>
      </c>
      <c r="E394" s="15">
        <v>3000.0</v>
      </c>
      <c r="F394" s="16">
        <v>1321.15</v>
      </c>
      <c r="G394" s="16">
        <v>0.0</v>
      </c>
      <c r="H394" s="16">
        <v>0.0</v>
      </c>
      <c r="I394" s="16">
        <v>65.89</v>
      </c>
      <c r="J394" s="16">
        <v>0.0</v>
      </c>
      <c r="K394" s="16">
        <v>0.0</v>
      </c>
      <c r="L394" s="16">
        <v>1387.04</v>
      </c>
      <c r="M394" s="16">
        <v>1236.227</v>
      </c>
      <c r="N394" s="16">
        <v>317.78</v>
      </c>
      <c r="O394" s="23">
        <v>7.7</v>
      </c>
      <c r="P394" s="18">
        <f t="shared" si="1"/>
        <v>1387.04</v>
      </c>
    </row>
    <row r="395" ht="15.75" customHeight="1">
      <c r="A395" s="19" t="s">
        <v>207</v>
      </c>
      <c r="B395" s="19" t="s">
        <v>22</v>
      </c>
      <c r="C395" s="20" t="s">
        <v>56</v>
      </c>
      <c r="D395" s="14" t="str">
        <f>VLOOKUP(C395,'State Key'!$A$2:$B$210,2,False)</f>
        <v>Jharkhand</v>
      </c>
      <c r="E395" s="21">
        <v>420.0</v>
      </c>
      <c r="F395" s="22">
        <v>108.66</v>
      </c>
      <c r="G395" s="22">
        <v>0.0</v>
      </c>
      <c r="H395" s="22">
        <v>0.0</v>
      </c>
      <c r="I395" s="22">
        <v>0.0</v>
      </c>
      <c r="J395" s="22">
        <v>0.0</v>
      </c>
      <c r="K395" s="22">
        <v>0.0</v>
      </c>
      <c r="L395" s="22">
        <v>108.66</v>
      </c>
      <c r="M395" s="22">
        <v>119.46</v>
      </c>
      <c r="N395" s="22">
        <v>84.22</v>
      </c>
      <c r="O395" s="24">
        <v>21.2</v>
      </c>
      <c r="P395" s="18">
        <f t="shared" si="1"/>
        <v>108.66</v>
      </c>
    </row>
    <row r="396" ht="15.75" customHeight="1">
      <c r="A396" s="13" t="s">
        <v>207</v>
      </c>
      <c r="B396" s="13" t="s">
        <v>22</v>
      </c>
      <c r="C396" s="14" t="s">
        <v>57</v>
      </c>
      <c r="D396" s="14" t="str">
        <f>VLOOKUP(C396,'State Key'!$A$2:$B$210,2,False)</f>
        <v>West Bengal</v>
      </c>
      <c r="E396" s="15">
        <v>240.0</v>
      </c>
      <c r="F396" s="16">
        <v>0.0</v>
      </c>
      <c r="G396" s="16">
        <v>0.0</v>
      </c>
      <c r="H396" s="16">
        <v>0.0</v>
      </c>
      <c r="I396" s="16">
        <v>0.0</v>
      </c>
      <c r="J396" s="16">
        <v>0.0</v>
      </c>
      <c r="K396" s="16">
        <v>0.0</v>
      </c>
      <c r="L396" s="16">
        <v>0.0</v>
      </c>
      <c r="M396" s="16">
        <v>0.0</v>
      </c>
      <c r="N396" s="16">
        <v>0.0</v>
      </c>
      <c r="O396" s="13" t="s">
        <v>58</v>
      </c>
      <c r="P396" s="18">
        <f t="shared" si="1"/>
        <v>0</v>
      </c>
    </row>
    <row r="397" ht="15.75" customHeight="1">
      <c r="A397" s="19" t="s">
        <v>207</v>
      </c>
      <c r="B397" s="19" t="s">
        <v>22</v>
      </c>
      <c r="C397" s="20" t="s">
        <v>59</v>
      </c>
      <c r="D397" s="14" t="str">
        <f>VLOOKUP(C397,'State Key'!$A$2:$B$210,2,False)</f>
        <v>Odisha</v>
      </c>
      <c r="E397" s="21">
        <v>350.0</v>
      </c>
      <c r="F397" s="22">
        <v>0.0</v>
      </c>
      <c r="G397" s="22">
        <v>0.0</v>
      </c>
      <c r="H397" s="22">
        <v>0.0</v>
      </c>
      <c r="I397" s="22">
        <v>0.0</v>
      </c>
      <c r="J397" s="22">
        <v>0.0</v>
      </c>
      <c r="K397" s="22">
        <v>0.0</v>
      </c>
      <c r="L397" s="22">
        <v>0.0</v>
      </c>
      <c r="M397" s="22">
        <v>0.0</v>
      </c>
      <c r="N397" s="22">
        <v>0.0</v>
      </c>
      <c r="O397" s="19" t="s">
        <v>58</v>
      </c>
      <c r="P397" s="18">
        <f t="shared" si="1"/>
        <v>0</v>
      </c>
    </row>
    <row r="398" ht="15.75" customHeight="1">
      <c r="A398" s="13" t="s">
        <v>207</v>
      </c>
      <c r="B398" s="13" t="s">
        <v>22</v>
      </c>
      <c r="C398" s="14" t="s">
        <v>60</v>
      </c>
      <c r="D398" s="14" t="str">
        <f>VLOOKUP(C398,'State Key'!$A$2:$B$210,2,False)</f>
        <v>Odisha</v>
      </c>
      <c r="E398" s="15">
        <v>600.0</v>
      </c>
      <c r="F398" s="16">
        <v>129.93</v>
      </c>
      <c r="G398" s="16">
        <v>0.0</v>
      </c>
      <c r="H398" s="16">
        <v>0.0</v>
      </c>
      <c r="I398" s="16">
        <v>0.0</v>
      </c>
      <c r="J398" s="16">
        <v>0.0</v>
      </c>
      <c r="K398" s="16">
        <v>12.94</v>
      </c>
      <c r="L398" s="16">
        <v>142.87</v>
      </c>
      <c r="M398" s="16">
        <v>175.06</v>
      </c>
      <c r="N398" s="16">
        <v>127.58</v>
      </c>
      <c r="O398" s="24">
        <v>21.9</v>
      </c>
      <c r="P398" s="18">
        <f t="shared" si="1"/>
        <v>142.87</v>
      </c>
    </row>
    <row r="399" ht="15.75" customHeight="1">
      <c r="A399" s="19" t="s">
        <v>207</v>
      </c>
      <c r="B399" s="19" t="s">
        <v>61</v>
      </c>
      <c r="C399" s="20" t="s">
        <v>62</v>
      </c>
      <c r="D399" s="14" t="str">
        <f>VLOOKUP(C399,'State Key'!$A$2:$B$210,2,False)</f>
        <v>Uttar Pradesh</v>
      </c>
      <c r="E399" s="21">
        <v>1200.0</v>
      </c>
      <c r="F399" s="22">
        <v>462.993</v>
      </c>
      <c r="G399" s="22">
        <v>0.0</v>
      </c>
      <c r="H399" s="22">
        <v>0.0</v>
      </c>
      <c r="I399" s="22">
        <v>0.0</v>
      </c>
      <c r="J399" s="22">
        <v>0.0</v>
      </c>
      <c r="K399" s="22">
        <v>0.0</v>
      </c>
      <c r="L399" s="22">
        <v>462.993</v>
      </c>
      <c r="M399" s="22">
        <v>521.5679</v>
      </c>
      <c r="N399" s="22">
        <v>41.51</v>
      </c>
      <c r="O399" s="17">
        <v>2.4</v>
      </c>
      <c r="P399" s="18">
        <f t="shared" si="1"/>
        <v>462.993</v>
      </c>
    </row>
    <row r="400" ht="15.75" customHeight="1">
      <c r="A400" s="13" t="s">
        <v>207</v>
      </c>
      <c r="B400" s="13" t="s">
        <v>61</v>
      </c>
      <c r="C400" s="14" t="s">
        <v>63</v>
      </c>
      <c r="D400" s="14" t="str">
        <f>VLOOKUP(C400,'State Key'!$A$2:$B$210,2,False)</f>
        <v>Uttar Pradesh</v>
      </c>
      <c r="E400" s="15">
        <v>2630.0</v>
      </c>
      <c r="F400" s="16">
        <v>934.149</v>
      </c>
      <c r="G400" s="16">
        <v>0.0</v>
      </c>
      <c r="H400" s="16">
        <v>0.0</v>
      </c>
      <c r="I400" s="16">
        <v>0.0</v>
      </c>
      <c r="J400" s="16">
        <v>0.0</v>
      </c>
      <c r="K400" s="16">
        <v>0.0</v>
      </c>
      <c r="L400" s="16">
        <v>934.149</v>
      </c>
      <c r="M400" s="16">
        <v>1036.715</v>
      </c>
      <c r="N400" s="16">
        <v>701.34</v>
      </c>
      <c r="O400" s="24">
        <v>20.3</v>
      </c>
      <c r="P400" s="18">
        <f t="shared" si="1"/>
        <v>934.149</v>
      </c>
    </row>
    <row r="401" ht="15.75" customHeight="1">
      <c r="A401" s="19" t="s">
        <v>207</v>
      </c>
      <c r="B401" s="19" t="s">
        <v>61</v>
      </c>
      <c r="C401" s="20" t="s">
        <v>64</v>
      </c>
      <c r="D401" s="14" t="str">
        <f>VLOOKUP(C401,'State Key'!$A$2:$B$210,2,False)</f>
        <v>Uttar Pradesh</v>
      </c>
      <c r="E401" s="21">
        <v>90.0</v>
      </c>
      <c r="F401" s="22">
        <v>15.81</v>
      </c>
      <c r="G401" s="22">
        <v>0.0</v>
      </c>
      <c r="H401" s="22">
        <v>0.0</v>
      </c>
      <c r="I401" s="22">
        <v>0.0</v>
      </c>
      <c r="J401" s="22">
        <v>0.0</v>
      </c>
      <c r="K401" s="22">
        <v>0.0</v>
      </c>
      <c r="L401" s="22">
        <v>15.81</v>
      </c>
      <c r="M401" s="22">
        <v>29.66</v>
      </c>
      <c r="N401" s="22">
        <v>41.48</v>
      </c>
      <c r="O401" s="24">
        <v>42.0</v>
      </c>
      <c r="P401" s="18">
        <f t="shared" si="1"/>
        <v>15.81</v>
      </c>
    </row>
    <row r="402" ht="15.75" customHeight="1">
      <c r="A402" s="13" t="s">
        <v>207</v>
      </c>
      <c r="B402" s="13" t="s">
        <v>61</v>
      </c>
      <c r="C402" s="14" t="s">
        <v>65</v>
      </c>
      <c r="D402" s="14" t="str">
        <f>VLOOKUP(C402,'State Key'!$A$2:$B$210,2,False)</f>
        <v>Rajasthan</v>
      </c>
      <c r="E402" s="15">
        <v>500.0</v>
      </c>
      <c r="F402" s="16">
        <v>202.517</v>
      </c>
      <c r="G402" s="16">
        <v>0.0</v>
      </c>
      <c r="H402" s="16">
        <v>0.0</v>
      </c>
      <c r="I402" s="16">
        <v>0.0</v>
      </c>
      <c r="J402" s="16">
        <v>0.0</v>
      </c>
      <c r="K402" s="16">
        <v>0.0</v>
      </c>
      <c r="L402" s="16">
        <v>202.517</v>
      </c>
      <c r="M402" s="16">
        <v>218.411</v>
      </c>
      <c r="N402" s="16">
        <v>58.7</v>
      </c>
      <c r="O402" s="23">
        <v>8.1</v>
      </c>
      <c r="P402" s="18">
        <f t="shared" si="1"/>
        <v>202.517</v>
      </c>
    </row>
    <row r="403" ht="15.75" customHeight="1">
      <c r="A403" s="19" t="s">
        <v>207</v>
      </c>
      <c r="B403" s="19" t="s">
        <v>61</v>
      </c>
      <c r="C403" s="20" t="s">
        <v>66</v>
      </c>
      <c r="D403" s="14" t="str">
        <f>VLOOKUP(C403,'State Key'!$A$2:$B$210,2,False)</f>
        <v>Rajasthan</v>
      </c>
      <c r="E403" s="21">
        <v>500.0</v>
      </c>
      <c r="F403" s="22">
        <v>0.0</v>
      </c>
      <c r="G403" s="22">
        <v>0.0</v>
      </c>
      <c r="H403" s="22">
        <v>69.135</v>
      </c>
      <c r="I403" s="22">
        <v>0.0</v>
      </c>
      <c r="J403" s="22">
        <v>0.0</v>
      </c>
      <c r="K403" s="22">
        <v>0.0</v>
      </c>
      <c r="L403" s="22">
        <v>69.135</v>
      </c>
      <c r="M403" s="22">
        <v>79.912</v>
      </c>
      <c r="N403" s="22">
        <v>36.64</v>
      </c>
      <c r="O403" s="23">
        <v>13.8</v>
      </c>
      <c r="P403" s="18">
        <f t="shared" si="1"/>
        <v>69.135</v>
      </c>
    </row>
    <row r="404" ht="15.75" customHeight="1">
      <c r="A404" s="13" t="s">
        <v>207</v>
      </c>
      <c r="B404" s="13" t="s">
        <v>61</v>
      </c>
      <c r="C404" s="14" t="s">
        <v>67</v>
      </c>
      <c r="D404" s="14" t="str">
        <f>VLOOKUP(C404,'State Key'!$A$2:$B$210,2,False)</f>
        <v>Rajasthan</v>
      </c>
      <c r="E404" s="15">
        <v>1320.0</v>
      </c>
      <c r="F404" s="16">
        <v>50.489</v>
      </c>
      <c r="G404" s="16">
        <v>0.0</v>
      </c>
      <c r="H404" s="16">
        <v>294.474</v>
      </c>
      <c r="I404" s="16">
        <v>0.0</v>
      </c>
      <c r="J404" s="16">
        <v>0.0</v>
      </c>
      <c r="K404" s="16">
        <v>0.0</v>
      </c>
      <c r="L404" s="16">
        <v>344.963</v>
      </c>
      <c r="M404" s="16">
        <v>329.993</v>
      </c>
      <c r="N404" s="16">
        <v>115.25</v>
      </c>
      <c r="O404" s="23">
        <v>10.5</v>
      </c>
      <c r="P404" s="18">
        <f t="shared" si="1"/>
        <v>344.963</v>
      </c>
    </row>
    <row r="405" ht="15.75" customHeight="1">
      <c r="A405" s="19" t="s">
        <v>207</v>
      </c>
      <c r="B405" s="19" t="s">
        <v>61</v>
      </c>
      <c r="C405" s="20" t="s">
        <v>68</v>
      </c>
      <c r="D405" s="14" t="str">
        <f>VLOOKUP(C405,'State Key'!$A$2:$B$210,2,False)</f>
        <v>Uttar Pradesh</v>
      </c>
      <c r="E405" s="21">
        <v>1820.0</v>
      </c>
      <c r="F405" s="22">
        <v>461.2</v>
      </c>
      <c r="G405" s="22">
        <v>0.0</v>
      </c>
      <c r="H405" s="22">
        <v>18.83</v>
      </c>
      <c r="I405" s="22">
        <v>91.048</v>
      </c>
      <c r="J405" s="22">
        <v>0.0</v>
      </c>
      <c r="K405" s="22">
        <v>0.0</v>
      </c>
      <c r="L405" s="22">
        <v>571.078</v>
      </c>
      <c r="M405" s="22">
        <v>604.917</v>
      </c>
      <c r="N405" s="22">
        <v>341.28</v>
      </c>
      <c r="O405" s="24">
        <v>16.9</v>
      </c>
      <c r="P405" s="18">
        <f t="shared" si="1"/>
        <v>571.078</v>
      </c>
    </row>
    <row r="406" ht="15.75" customHeight="1">
      <c r="A406" s="13" t="s">
        <v>207</v>
      </c>
      <c r="B406" s="13" t="s">
        <v>61</v>
      </c>
      <c r="C406" s="14" t="s">
        <v>69</v>
      </c>
      <c r="D406" s="14" t="str">
        <f>VLOOKUP(C406,'State Key'!$A$2:$B$210,2,False)</f>
        <v>Punjab</v>
      </c>
      <c r="E406" s="15">
        <v>920.0</v>
      </c>
      <c r="F406" s="16">
        <v>20.437</v>
      </c>
      <c r="G406" s="16">
        <v>0.0</v>
      </c>
      <c r="H406" s="16">
        <v>106.611</v>
      </c>
      <c r="I406" s="16">
        <v>0.0</v>
      </c>
      <c r="J406" s="16">
        <v>0.0</v>
      </c>
      <c r="K406" s="16">
        <v>0.0</v>
      </c>
      <c r="L406" s="16">
        <v>127.048</v>
      </c>
      <c r="M406" s="16">
        <v>241.992</v>
      </c>
      <c r="N406" s="16">
        <v>339.01</v>
      </c>
      <c r="O406" s="24">
        <v>42.0</v>
      </c>
      <c r="P406" s="18">
        <f t="shared" si="1"/>
        <v>127.048</v>
      </c>
    </row>
    <row r="407" ht="15.75" customHeight="1">
      <c r="A407" s="19" t="s">
        <v>207</v>
      </c>
      <c r="B407" s="19" t="s">
        <v>61</v>
      </c>
      <c r="C407" s="20" t="s">
        <v>70</v>
      </c>
      <c r="D407" s="14" t="str">
        <f>VLOOKUP(C407,'State Key'!$A$2:$B$210,2,False)</f>
        <v>Punjab</v>
      </c>
      <c r="E407" s="21">
        <v>540.0</v>
      </c>
      <c r="F407" s="22">
        <v>147.157</v>
      </c>
      <c r="G407" s="22">
        <v>0.0</v>
      </c>
      <c r="H407" s="22">
        <v>0.0</v>
      </c>
      <c r="I407" s="22">
        <v>0.0</v>
      </c>
      <c r="J407" s="22">
        <v>0.0</v>
      </c>
      <c r="K407" s="22">
        <v>0.0</v>
      </c>
      <c r="L407" s="22">
        <v>147.157</v>
      </c>
      <c r="M407" s="22">
        <v>164.379</v>
      </c>
      <c r="N407" s="22">
        <v>42.68</v>
      </c>
      <c r="O407" s="23">
        <v>7.8</v>
      </c>
      <c r="P407" s="18">
        <f t="shared" si="1"/>
        <v>147.157</v>
      </c>
    </row>
    <row r="408" ht="15.75" customHeight="1">
      <c r="A408" s="13" t="s">
        <v>207</v>
      </c>
      <c r="B408" s="13" t="s">
        <v>61</v>
      </c>
      <c r="C408" s="14" t="s">
        <v>71</v>
      </c>
      <c r="D408" s="14" t="str">
        <f>VLOOKUP(C408,'State Key'!$A$2:$B$210,2,False)</f>
        <v>Uttar Pradesh</v>
      </c>
      <c r="E408" s="15">
        <v>1265.0</v>
      </c>
      <c r="F408" s="16">
        <v>497.352</v>
      </c>
      <c r="G408" s="16">
        <v>0.0</v>
      </c>
      <c r="H408" s="16">
        <v>0.0</v>
      </c>
      <c r="I408" s="16">
        <v>0.0</v>
      </c>
      <c r="J408" s="16">
        <v>0.0</v>
      </c>
      <c r="K408" s="16">
        <v>0.0</v>
      </c>
      <c r="L408" s="16">
        <v>497.352</v>
      </c>
      <c r="M408" s="16">
        <v>413.255</v>
      </c>
      <c r="N408" s="16">
        <v>170.83</v>
      </c>
      <c r="O408" s="23">
        <v>12.4</v>
      </c>
      <c r="P408" s="18">
        <f t="shared" si="1"/>
        <v>497.352</v>
      </c>
    </row>
    <row r="409" ht="15.75" customHeight="1">
      <c r="A409" s="19" t="s">
        <v>207</v>
      </c>
      <c r="B409" s="19" t="s">
        <v>61</v>
      </c>
      <c r="C409" s="20" t="s">
        <v>72</v>
      </c>
      <c r="D409" s="14" t="str">
        <f>VLOOKUP(C409,'State Key'!$A$2:$B$210,2,False)</f>
        <v>Haryana</v>
      </c>
      <c r="E409" s="21">
        <v>1500.0</v>
      </c>
      <c r="F409" s="22">
        <v>475.86255</v>
      </c>
      <c r="G409" s="22">
        <v>0.27668</v>
      </c>
      <c r="H409" s="22">
        <v>0.0</v>
      </c>
      <c r="I409" s="22">
        <v>88.7158</v>
      </c>
      <c r="J409" s="22">
        <v>0.0</v>
      </c>
      <c r="K409" s="22">
        <v>0.0</v>
      </c>
      <c r="L409" s="22">
        <v>564.85503</v>
      </c>
      <c r="M409" s="22">
        <v>459.694</v>
      </c>
      <c r="N409" s="22">
        <v>654.852</v>
      </c>
      <c r="O409" s="24">
        <v>42.7</v>
      </c>
      <c r="P409" s="18">
        <f t="shared" si="1"/>
        <v>564.85503</v>
      </c>
    </row>
    <row r="410" ht="15.75" customHeight="1">
      <c r="A410" s="13" t="s">
        <v>207</v>
      </c>
      <c r="B410" s="13" t="s">
        <v>61</v>
      </c>
      <c r="C410" s="14" t="s">
        <v>73</v>
      </c>
      <c r="D410" s="14" t="str">
        <f>VLOOKUP(C410,'State Key'!$A$2:$B$210,2,False)</f>
        <v>Rajasthan</v>
      </c>
      <c r="E410" s="15">
        <v>1200.0</v>
      </c>
      <c r="F410" s="16">
        <v>15.396</v>
      </c>
      <c r="G410" s="16">
        <v>0.0</v>
      </c>
      <c r="H410" s="16">
        <v>338.328</v>
      </c>
      <c r="I410" s="16">
        <v>0.0</v>
      </c>
      <c r="J410" s="16">
        <v>0.0</v>
      </c>
      <c r="K410" s="16">
        <v>0.0</v>
      </c>
      <c r="L410" s="16">
        <v>353.724</v>
      </c>
      <c r="M410" s="16">
        <v>435.223</v>
      </c>
      <c r="N410" s="16">
        <v>94.15</v>
      </c>
      <c r="O410" s="17">
        <v>6.5</v>
      </c>
      <c r="P410" s="18">
        <f t="shared" si="1"/>
        <v>353.724</v>
      </c>
    </row>
    <row r="411" ht="15.75" customHeight="1">
      <c r="A411" s="19" t="s">
        <v>207</v>
      </c>
      <c r="B411" s="19" t="s">
        <v>61</v>
      </c>
      <c r="C411" s="20" t="s">
        <v>74</v>
      </c>
      <c r="D411" s="14" t="str">
        <f>VLOOKUP(C411,'State Key'!$A$2:$B$210,2,False)</f>
        <v>Rajasthan</v>
      </c>
      <c r="E411" s="21">
        <v>1320.0</v>
      </c>
      <c r="F411" s="22">
        <v>339.043</v>
      </c>
      <c r="G411" s="22">
        <v>0.0</v>
      </c>
      <c r="H411" s="22">
        <v>0.0</v>
      </c>
      <c r="I411" s="22">
        <v>0.0</v>
      </c>
      <c r="J411" s="22">
        <v>0.0</v>
      </c>
      <c r="K411" s="22">
        <v>0.0</v>
      </c>
      <c r="L411" s="22">
        <v>339.043</v>
      </c>
      <c r="M411" s="22">
        <v>429.304</v>
      </c>
      <c r="N411" s="22">
        <v>167.8</v>
      </c>
      <c r="O411" s="23">
        <v>11.7</v>
      </c>
      <c r="P411" s="18">
        <f t="shared" si="1"/>
        <v>339.043</v>
      </c>
    </row>
    <row r="412" ht="15.75" customHeight="1">
      <c r="A412" s="13" t="s">
        <v>207</v>
      </c>
      <c r="B412" s="13" t="s">
        <v>61</v>
      </c>
      <c r="C412" s="14" t="s">
        <v>75</v>
      </c>
      <c r="D412" s="14" t="str">
        <f>VLOOKUP(C412,'State Key'!$A$2:$B$210,2,False)</f>
        <v>Uttar Pradesh</v>
      </c>
      <c r="E412" s="15">
        <v>90.0</v>
      </c>
      <c r="F412" s="16">
        <v>23.35</v>
      </c>
      <c r="G412" s="16">
        <v>0.0</v>
      </c>
      <c r="H412" s="16">
        <v>0.0</v>
      </c>
      <c r="I412" s="16">
        <v>0.0</v>
      </c>
      <c r="J412" s="16">
        <v>0.0</v>
      </c>
      <c r="K412" s="16">
        <v>0.0</v>
      </c>
      <c r="L412" s="16">
        <v>23.35</v>
      </c>
      <c r="M412" s="16">
        <v>31.97</v>
      </c>
      <c r="N412" s="16">
        <v>66.19</v>
      </c>
      <c r="O412" s="24">
        <v>62.1</v>
      </c>
      <c r="P412" s="18">
        <f t="shared" si="1"/>
        <v>23.35</v>
      </c>
    </row>
    <row r="413" ht="15.75" customHeight="1">
      <c r="A413" s="19" t="s">
        <v>207</v>
      </c>
      <c r="B413" s="19" t="s">
        <v>61</v>
      </c>
      <c r="C413" s="20" t="s">
        <v>76</v>
      </c>
      <c r="D413" s="14" t="str">
        <f>VLOOKUP(C413,'State Key'!$A$2:$B$210,2,False)</f>
        <v>Rajasthan</v>
      </c>
      <c r="E413" s="21">
        <v>1240.0</v>
      </c>
      <c r="F413" s="22">
        <v>457.74392</v>
      </c>
      <c r="G413" s="22">
        <v>0.0</v>
      </c>
      <c r="H413" s="22">
        <v>0.0</v>
      </c>
      <c r="I413" s="22">
        <v>0.0</v>
      </c>
      <c r="J413" s="22">
        <v>0.0</v>
      </c>
      <c r="K413" s="22">
        <v>0.0</v>
      </c>
      <c r="L413" s="22">
        <v>457.74392</v>
      </c>
      <c r="M413" s="22">
        <v>507.8591</v>
      </c>
      <c r="N413" s="22">
        <v>97.69</v>
      </c>
      <c r="O413" s="17">
        <v>5.8</v>
      </c>
      <c r="P413" s="18">
        <f t="shared" si="1"/>
        <v>457.74392</v>
      </c>
    </row>
    <row r="414" ht="15.75" customHeight="1">
      <c r="A414" s="13" t="s">
        <v>207</v>
      </c>
      <c r="B414" s="13" t="s">
        <v>61</v>
      </c>
      <c r="C414" s="14" t="s">
        <v>77</v>
      </c>
      <c r="D414" s="14" t="str">
        <f>VLOOKUP(C414,'State Key'!$A$2:$B$210,2,False)</f>
        <v>Uttar Pradesh</v>
      </c>
      <c r="E414" s="15">
        <v>90.0</v>
      </c>
      <c r="F414" s="16">
        <v>16.12</v>
      </c>
      <c r="G414" s="16">
        <v>0.0</v>
      </c>
      <c r="H414" s="16">
        <v>0.0</v>
      </c>
      <c r="I414" s="16">
        <v>0.0</v>
      </c>
      <c r="J414" s="16">
        <v>0.0</v>
      </c>
      <c r="K414" s="16">
        <v>0.0</v>
      </c>
      <c r="L414" s="16">
        <v>16.12</v>
      </c>
      <c r="M414" s="16">
        <v>31.27</v>
      </c>
      <c r="N414" s="16">
        <v>54.39</v>
      </c>
      <c r="O414" s="24">
        <v>52.2</v>
      </c>
      <c r="P414" s="18">
        <f t="shared" si="1"/>
        <v>16.12</v>
      </c>
    </row>
    <row r="415" ht="15.75" customHeight="1">
      <c r="A415" s="19" t="s">
        <v>207</v>
      </c>
      <c r="B415" s="19" t="s">
        <v>61</v>
      </c>
      <c r="C415" s="20" t="s">
        <v>78</v>
      </c>
      <c r="D415" s="14" t="str">
        <f>VLOOKUP(C415,'State Key'!$A$2:$B$210,2,False)</f>
        <v>Uttar Pradesh</v>
      </c>
      <c r="E415" s="21">
        <v>1980.0</v>
      </c>
      <c r="F415" s="22">
        <v>681.567</v>
      </c>
      <c r="G415" s="22">
        <v>0.0</v>
      </c>
      <c r="H415" s="22">
        <v>0.0</v>
      </c>
      <c r="I415" s="22">
        <v>0.0</v>
      </c>
      <c r="J415" s="22">
        <v>0.0</v>
      </c>
      <c r="K415" s="22">
        <v>0.0</v>
      </c>
      <c r="L415" s="22">
        <v>681.567</v>
      </c>
      <c r="M415" s="22">
        <v>713.553</v>
      </c>
      <c r="N415" s="22">
        <v>469.9</v>
      </c>
      <c r="O415" s="24">
        <v>19.8</v>
      </c>
      <c r="P415" s="18">
        <f t="shared" si="1"/>
        <v>681.567</v>
      </c>
    </row>
    <row r="416" ht="15.75" customHeight="1">
      <c r="A416" s="13" t="s">
        <v>207</v>
      </c>
      <c r="B416" s="13" t="s">
        <v>61</v>
      </c>
      <c r="C416" s="14" t="s">
        <v>79</v>
      </c>
      <c r="D416" s="14" t="str">
        <f>VLOOKUP(C416,'State Key'!$A$2:$B$210,2,False)</f>
        <v>Haryana</v>
      </c>
      <c r="E416" s="15">
        <v>1320.0</v>
      </c>
      <c r="F416" s="16">
        <v>406.427</v>
      </c>
      <c r="G416" s="16">
        <v>0.0</v>
      </c>
      <c r="H416" s="16">
        <v>0.0</v>
      </c>
      <c r="I416" s="16">
        <v>0.0</v>
      </c>
      <c r="J416" s="16">
        <v>0.0</v>
      </c>
      <c r="K416" s="16">
        <v>0.0</v>
      </c>
      <c r="L416" s="16">
        <v>406.427</v>
      </c>
      <c r="M416" s="16">
        <v>453.957</v>
      </c>
      <c r="N416" s="16">
        <v>287.22</v>
      </c>
      <c r="O416" s="24">
        <v>19.0</v>
      </c>
      <c r="P416" s="18">
        <f t="shared" si="1"/>
        <v>406.427</v>
      </c>
    </row>
    <row r="417" ht="15.75" customHeight="1">
      <c r="A417" s="19" t="s">
        <v>207</v>
      </c>
      <c r="B417" s="19" t="s">
        <v>61</v>
      </c>
      <c r="C417" s="20" t="s">
        <v>80</v>
      </c>
      <c r="D417" s="14" t="str">
        <f>VLOOKUP(C417,'State Key'!$A$2:$B$210,2,False)</f>
        <v>Uttar Pradesh</v>
      </c>
      <c r="E417" s="21">
        <v>90.0</v>
      </c>
      <c r="F417" s="22">
        <v>19.73</v>
      </c>
      <c r="G417" s="22">
        <v>0.0</v>
      </c>
      <c r="H417" s="22">
        <v>0.0</v>
      </c>
      <c r="I417" s="22">
        <v>0.0</v>
      </c>
      <c r="J417" s="22">
        <v>0.0</v>
      </c>
      <c r="K417" s="22">
        <v>0.0</v>
      </c>
      <c r="L417" s="22">
        <v>19.73</v>
      </c>
      <c r="M417" s="22">
        <v>30.8</v>
      </c>
      <c r="N417" s="22">
        <v>51.45</v>
      </c>
      <c r="O417" s="24">
        <v>50.1</v>
      </c>
      <c r="P417" s="18">
        <f t="shared" si="1"/>
        <v>19.73</v>
      </c>
    </row>
    <row r="418" ht="15.75" customHeight="1">
      <c r="A418" s="13" t="s">
        <v>207</v>
      </c>
      <c r="B418" s="13" t="s">
        <v>61</v>
      </c>
      <c r="C418" s="14" t="s">
        <v>81</v>
      </c>
      <c r="D418" s="14" t="str">
        <f>VLOOKUP(C418,'State Key'!$A$2:$B$210,2,False)</f>
        <v>Uttar Pradesh</v>
      </c>
      <c r="E418" s="15">
        <v>1320.0</v>
      </c>
      <c r="F418" s="16">
        <v>356.699</v>
      </c>
      <c r="G418" s="16">
        <v>0.0</v>
      </c>
      <c r="H418" s="16">
        <v>0.0</v>
      </c>
      <c r="I418" s="16">
        <v>0.0</v>
      </c>
      <c r="J418" s="16">
        <v>0.0</v>
      </c>
      <c r="K418" s="16">
        <v>0.0</v>
      </c>
      <c r="L418" s="16">
        <v>356.699</v>
      </c>
      <c r="M418" s="16">
        <v>431.804</v>
      </c>
      <c r="N418" s="16">
        <v>374.89</v>
      </c>
      <c r="O418" s="24">
        <v>26.0</v>
      </c>
      <c r="P418" s="18">
        <f t="shared" si="1"/>
        <v>356.699</v>
      </c>
    </row>
    <row r="419" ht="15.75" customHeight="1">
      <c r="A419" s="19" t="s">
        <v>207</v>
      </c>
      <c r="B419" s="19" t="s">
        <v>61</v>
      </c>
      <c r="C419" s="20" t="s">
        <v>82</v>
      </c>
      <c r="D419" s="14" t="str">
        <f>VLOOKUP(C419,'State Key'!$A$2:$B$210,2,False)</f>
        <v>Uttar Pradesh</v>
      </c>
      <c r="E419" s="21">
        <v>1000.0</v>
      </c>
      <c r="F419" s="22">
        <v>299.74</v>
      </c>
      <c r="G419" s="22">
        <v>0.0</v>
      </c>
      <c r="H419" s="22">
        <v>0.0</v>
      </c>
      <c r="I419" s="22">
        <v>0.0</v>
      </c>
      <c r="J419" s="22">
        <v>0.0</v>
      </c>
      <c r="K419" s="22">
        <v>0.0</v>
      </c>
      <c r="L419" s="22">
        <v>299.74</v>
      </c>
      <c r="M419" s="22">
        <v>269.393</v>
      </c>
      <c r="N419" s="22">
        <v>94.434</v>
      </c>
      <c r="O419" s="23">
        <v>10.5</v>
      </c>
      <c r="P419" s="18">
        <f t="shared" si="1"/>
        <v>299.74</v>
      </c>
    </row>
    <row r="420" ht="15.75" customHeight="1">
      <c r="A420" s="13" t="s">
        <v>207</v>
      </c>
      <c r="B420" s="13" t="s">
        <v>61</v>
      </c>
      <c r="C420" s="14" t="s">
        <v>83</v>
      </c>
      <c r="D420" s="14" t="str">
        <f>VLOOKUP(C420,'State Key'!$A$2:$B$210,2,False)</f>
        <v>Haryana</v>
      </c>
      <c r="E420" s="15">
        <v>710.0</v>
      </c>
      <c r="F420" s="16">
        <v>75.991</v>
      </c>
      <c r="G420" s="16">
        <v>0.0</v>
      </c>
      <c r="H420" s="16">
        <v>0.0</v>
      </c>
      <c r="I420" s="16">
        <v>0.0</v>
      </c>
      <c r="J420" s="16">
        <v>0.0</v>
      </c>
      <c r="K420" s="16">
        <v>0.0</v>
      </c>
      <c r="L420" s="16">
        <v>75.991</v>
      </c>
      <c r="M420" s="16">
        <v>275.788</v>
      </c>
      <c r="N420" s="16">
        <v>201.03</v>
      </c>
      <c r="O420" s="24">
        <v>21.9</v>
      </c>
      <c r="P420" s="18">
        <f t="shared" si="1"/>
        <v>75.991</v>
      </c>
    </row>
    <row r="421" ht="15.75" customHeight="1">
      <c r="A421" s="19" t="s">
        <v>207</v>
      </c>
      <c r="B421" s="19" t="s">
        <v>61</v>
      </c>
      <c r="C421" s="20" t="s">
        <v>84</v>
      </c>
      <c r="D421" s="14" t="str">
        <f>VLOOKUP(C421,'State Key'!$A$2:$B$210,2,False)</f>
        <v>Uttar Pradesh</v>
      </c>
      <c r="E421" s="21">
        <v>1140.0</v>
      </c>
      <c r="F421" s="22">
        <v>366.423</v>
      </c>
      <c r="G421" s="22">
        <v>0.0</v>
      </c>
      <c r="H421" s="22">
        <v>0.0</v>
      </c>
      <c r="I421" s="22">
        <v>0.0</v>
      </c>
      <c r="J421" s="22">
        <v>0.0</v>
      </c>
      <c r="K421" s="22">
        <v>0.0</v>
      </c>
      <c r="L421" s="22">
        <v>366.423</v>
      </c>
      <c r="M421" s="22">
        <v>330.567</v>
      </c>
      <c r="N421" s="22">
        <v>215.251</v>
      </c>
      <c r="O421" s="24">
        <v>19.5</v>
      </c>
      <c r="P421" s="18">
        <f t="shared" si="1"/>
        <v>366.423</v>
      </c>
    </row>
    <row r="422" ht="15.75" customHeight="1">
      <c r="A422" s="13" t="s">
        <v>207</v>
      </c>
      <c r="B422" s="13" t="s">
        <v>61</v>
      </c>
      <c r="C422" s="14" t="s">
        <v>85</v>
      </c>
      <c r="D422" s="14" t="str">
        <f>VLOOKUP(C422,'State Key'!$A$2:$B$210,2,False)</f>
        <v>Uttar Pradesh</v>
      </c>
      <c r="E422" s="15">
        <v>1980.0</v>
      </c>
      <c r="F422" s="16">
        <v>600.51538</v>
      </c>
      <c r="G422" s="16">
        <v>0.0</v>
      </c>
      <c r="H422" s="16">
        <v>0.0</v>
      </c>
      <c r="I422" s="16">
        <v>0.0</v>
      </c>
      <c r="J422" s="16">
        <v>0.0</v>
      </c>
      <c r="K422" s="16">
        <v>0.0</v>
      </c>
      <c r="L422" s="16">
        <v>600.51538</v>
      </c>
      <c r="M422" s="16">
        <v>692.14</v>
      </c>
      <c r="N422" s="16">
        <v>473.96</v>
      </c>
      <c r="O422" s="24">
        <v>20.5</v>
      </c>
      <c r="P422" s="18">
        <f t="shared" si="1"/>
        <v>600.51538</v>
      </c>
    </row>
    <row r="423" ht="15.75" customHeight="1">
      <c r="A423" s="19" t="s">
        <v>207</v>
      </c>
      <c r="B423" s="19" t="s">
        <v>61</v>
      </c>
      <c r="C423" s="20" t="s">
        <v>86</v>
      </c>
      <c r="D423" s="14" t="str">
        <f>VLOOKUP(C423,'State Key'!$A$2:$B$210,2,False)</f>
        <v>Haryana</v>
      </c>
      <c r="E423" s="21">
        <v>1200.0</v>
      </c>
      <c r="F423" s="22">
        <v>145.839</v>
      </c>
      <c r="G423" s="22">
        <v>0.0</v>
      </c>
      <c r="H423" s="22">
        <v>0.0</v>
      </c>
      <c r="I423" s="22">
        <v>0.0</v>
      </c>
      <c r="J423" s="22">
        <v>0.0</v>
      </c>
      <c r="K423" s="22">
        <v>0.0</v>
      </c>
      <c r="L423" s="22">
        <v>145.839</v>
      </c>
      <c r="M423" s="22">
        <v>264.13</v>
      </c>
      <c r="N423" s="22">
        <v>135.273</v>
      </c>
      <c r="O423" s="24">
        <v>15.4</v>
      </c>
      <c r="P423" s="18">
        <f t="shared" si="1"/>
        <v>145.839</v>
      </c>
    </row>
    <row r="424" ht="15.75" customHeight="1">
      <c r="A424" s="13" t="s">
        <v>207</v>
      </c>
      <c r="B424" s="13" t="s">
        <v>61</v>
      </c>
      <c r="C424" s="14" t="s">
        <v>87</v>
      </c>
      <c r="D424" s="14" t="str">
        <f>VLOOKUP(C424,'State Key'!$A$2:$B$210,2,False)</f>
        <v>Punjab</v>
      </c>
      <c r="E424" s="15">
        <v>1400.0</v>
      </c>
      <c r="F424" s="16">
        <v>648.0315</v>
      </c>
      <c r="G424" s="16">
        <v>0.0</v>
      </c>
      <c r="H424" s="16">
        <v>0.0</v>
      </c>
      <c r="I424" s="16">
        <v>27.0796</v>
      </c>
      <c r="J424" s="16">
        <v>0.0</v>
      </c>
      <c r="K424" s="16">
        <v>0.0</v>
      </c>
      <c r="L424" s="16">
        <v>675.1111</v>
      </c>
      <c r="M424" s="16">
        <v>513.819</v>
      </c>
      <c r="N424" s="16">
        <v>551.27</v>
      </c>
      <c r="O424" s="24">
        <v>32.2</v>
      </c>
      <c r="P424" s="18">
        <f t="shared" si="1"/>
        <v>675.1111</v>
      </c>
    </row>
    <row r="425" ht="15.75" customHeight="1">
      <c r="A425" s="19" t="s">
        <v>207</v>
      </c>
      <c r="B425" s="19" t="s">
        <v>61</v>
      </c>
      <c r="C425" s="20" t="s">
        <v>88</v>
      </c>
      <c r="D425" s="14" t="str">
        <f>VLOOKUP(C425,'State Key'!$A$2:$B$210,2,False)</f>
        <v>Uttar Pradesh</v>
      </c>
      <c r="E425" s="21">
        <v>3000.0</v>
      </c>
      <c r="F425" s="22">
        <v>1221.81</v>
      </c>
      <c r="G425" s="22">
        <v>0.0</v>
      </c>
      <c r="H425" s="22">
        <v>0.0</v>
      </c>
      <c r="I425" s="22">
        <v>0.0</v>
      </c>
      <c r="J425" s="22">
        <v>0.0</v>
      </c>
      <c r="K425" s="22">
        <v>0.0</v>
      </c>
      <c r="L425" s="22">
        <v>1221.81</v>
      </c>
      <c r="M425" s="22">
        <v>1267.686</v>
      </c>
      <c r="N425" s="22">
        <v>960.621</v>
      </c>
      <c r="O425" s="24">
        <v>22.7</v>
      </c>
      <c r="P425" s="18">
        <f t="shared" si="1"/>
        <v>1221.81</v>
      </c>
    </row>
    <row r="426" ht="15.75" customHeight="1">
      <c r="A426" s="13" t="s">
        <v>207</v>
      </c>
      <c r="B426" s="13" t="s">
        <v>61</v>
      </c>
      <c r="C426" s="14" t="s">
        <v>89</v>
      </c>
      <c r="D426" s="14" t="str">
        <f>VLOOKUP(C426,'State Key'!$A$2:$B$210,2,False)</f>
        <v>Punjab</v>
      </c>
      <c r="E426" s="15">
        <v>840.0</v>
      </c>
      <c r="F426" s="16">
        <v>80.84647</v>
      </c>
      <c r="G426" s="16">
        <v>0.0</v>
      </c>
      <c r="H426" s="16">
        <v>78.58519</v>
      </c>
      <c r="I426" s="16">
        <v>0.0</v>
      </c>
      <c r="J426" s="16">
        <v>0.0</v>
      </c>
      <c r="K426" s="16">
        <v>0.0</v>
      </c>
      <c r="L426" s="16">
        <v>159.43166</v>
      </c>
      <c r="M426" s="16">
        <v>226.917</v>
      </c>
      <c r="N426" s="16">
        <v>604.68</v>
      </c>
      <c r="O426" s="24">
        <v>79.9</v>
      </c>
      <c r="P426" s="18">
        <f t="shared" si="1"/>
        <v>159.43166</v>
      </c>
    </row>
    <row r="427" ht="15.75" customHeight="1">
      <c r="A427" s="19" t="s">
        <v>207</v>
      </c>
      <c r="B427" s="19" t="s">
        <v>61</v>
      </c>
      <c r="C427" s="20" t="s">
        <v>90</v>
      </c>
      <c r="D427" s="14" t="str">
        <f>VLOOKUP(C427,'State Key'!$A$2:$B$210,2,False)</f>
        <v>Uttar Pradesh</v>
      </c>
      <c r="E427" s="21">
        <v>1200.0</v>
      </c>
      <c r="F427" s="22">
        <v>423.33</v>
      </c>
      <c r="G427" s="22">
        <v>0.0</v>
      </c>
      <c r="H427" s="22">
        <v>0.0</v>
      </c>
      <c r="I427" s="22">
        <v>0.0</v>
      </c>
      <c r="J427" s="22">
        <v>0.0</v>
      </c>
      <c r="K427" s="22">
        <v>0.0</v>
      </c>
      <c r="L427" s="22">
        <v>423.33</v>
      </c>
      <c r="M427" s="22">
        <v>390.482</v>
      </c>
      <c r="N427" s="22">
        <v>285.77</v>
      </c>
      <c r="O427" s="24">
        <v>22.0</v>
      </c>
      <c r="P427" s="18">
        <f t="shared" si="1"/>
        <v>423.33</v>
      </c>
    </row>
    <row r="428" ht="15.75" customHeight="1">
      <c r="A428" s="13" t="s">
        <v>207</v>
      </c>
      <c r="B428" s="13" t="s">
        <v>61</v>
      </c>
      <c r="C428" s="14" t="s">
        <v>91</v>
      </c>
      <c r="D428" s="14" t="str">
        <f>VLOOKUP(C428,'State Key'!$A$2:$B$210,2,False)</f>
        <v>Uttar Pradesh</v>
      </c>
      <c r="E428" s="15">
        <v>2000.0</v>
      </c>
      <c r="F428" s="16">
        <v>846.21</v>
      </c>
      <c r="G428" s="16">
        <v>0.0</v>
      </c>
      <c r="H428" s="16">
        <v>0.0</v>
      </c>
      <c r="I428" s="16">
        <v>0.0</v>
      </c>
      <c r="J428" s="16">
        <v>0.0</v>
      </c>
      <c r="K428" s="16">
        <v>0.0</v>
      </c>
      <c r="L428" s="16">
        <v>846.21</v>
      </c>
      <c r="M428" s="16">
        <v>877.604</v>
      </c>
      <c r="N428" s="16">
        <v>394.736</v>
      </c>
      <c r="O428" s="23">
        <v>13.5</v>
      </c>
      <c r="P428" s="18">
        <f t="shared" si="1"/>
        <v>846.21</v>
      </c>
    </row>
    <row r="429" ht="15.75" customHeight="1">
      <c r="A429" s="19" t="s">
        <v>207</v>
      </c>
      <c r="B429" s="19" t="s">
        <v>61</v>
      </c>
      <c r="C429" s="20" t="s">
        <v>92</v>
      </c>
      <c r="D429" s="14" t="str">
        <f>VLOOKUP(C429,'State Key'!$A$2:$B$210,2,False)</f>
        <v>Rajasthan</v>
      </c>
      <c r="E429" s="21">
        <v>1320.0</v>
      </c>
      <c r="F429" s="22">
        <v>376.3868</v>
      </c>
      <c r="G429" s="22">
        <v>0.0</v>
      </c>
      <c r="H429" s="22">
        <v>0.0</v>
      </c>
      <c r="I429" s="22">
        <v>0.0</v>
      </c>
      <c r="J429" s="22">
        <v>0.0</v>
      </c>
      <c r="K429" s="22">
        <v>0.0</v>
      </c>
      <c r="L429" s="22">
        <v>376.3868</v>
      </c>
      <c r="M429" s="22">
        <v>350.634</v>
      </c>
      <c r="N429" s="22">
        <v>112.24</v>
      </c>
      <c r="O429" s="23">
        <v>9.6</v>
      </c>
      <c r="P429" s="18">
        <f t="shared" si="1"/>
        <v>376.3868</v>
      </c>
    </row>
    <row r="430" ht="15.75" customHeight="1">
      <c r="A430" s="13" t="s">
        <v>207</v>
      </c>
      <c r="B430" s="13" t="s">
        <v>61</v>
      </c>
      <c r="C430" s="14" t="s">
        <v>93</v>
      </c>
      <c r="D430" s="14" t="str">
        <f>VLOOKUP(C430,'State Key'!$A$2:$B$210,2,False)</f>
        <v>Rajasthan</v>
      </c>
      <c r="E430" s="15">
        <v>1500.0</v>
      </c>
      <c r="F430" s="16">
        <v>373.904</v>
      </c>
      <c r="G430" s="16">
        <v>0.0</v>
      </c>
      <c r="H430" s="16">
        <v>0.0</v>
      </c>
      <c r="I430" s="16">
        <v>0.0</v>
      </c>
      <c r="J430" s="16">
        <v>0.0</v>
      </c>
      <c r="K430" s="16">
        <v>0.0</v>
      </c>
      <c r="L430" s="16">
        <v>373.904</v>
      </c>
      <c r="M430" s="16">
        <v>430.83</v>
      </c>
      <c r="N430" s="16">
        <v>245.54</v>
      </c>
      <c r="O430" s="24">
        <v>17.1</v>
      </c>
      <c r="P430" s="18">
        <f t="shared" si="1"/>
        <v>373.904</v>
      </c>
    </row>
    <row r="431" ht="15.75" customHeight="1">
      <c r="A431" s="19" t="s">
        <v>207</v>
      </c>
      <c r="B431" s="19" t="s">
        <v>61</v>
      </c>
      <c r="C431" s="20" t="s">
        <v>94</v>
      </c>
      <c r="D431" s="14" t="str">
        <f>VLOOKUP(C431,'State Key'!$A$2:$B$210,2,False)</f>
        <v>Punjab</v>
      </c>
      <c r="E431" s="21">
        <v>1980.0</v>
      </c>
      <c r="F431" s="22">
        <v>859.396</v>
      </c>
      <c r="G431" s="22">
        <v>0.0</v>
      </c>
      <c r="H431" s="22">
        <v>0.0</v>
      </c>
      <c r="I431" s="22">
        <v>3.914</v>
      </c>
      <c r="J431" s="22">
        <v>0.0</v>
      </c>
      <c r="K431" s="22">
        <v>0.0</v>
      </c>
      <c r="L431" s="22">
        <v>863.31</v>
      </c>
      <c r="M431" s="22">
        <v>662.152</v>
      </c>
      <c r="N431" s="22">
        <v>244.31</v>
      </c>
      <c r="O431" s="23">
        <v>11.1</v>
      </c>
      <c r="P431" s="18">
        <f t="shared" si="1"/>
        <v>863.31</v>
      </c>
    </row>
    <row r="432" ht="15.75" customHeight="1">
      <c r="A432" s="13" t="s">
        <v>207</v>
      </c>
      <c r="B432" s="13" t="s">
        <v>61</v>
      </c>
      <c r="C432" s="14" t="s">
        <v>95</v>
      </c>
      <c r="D432" s="14" t="str">
        <f>VLOOKUP(C432,'State Key'!$A$2:$B$210,2,False)</f>
        <v>Uttar Pradesh</v>
      </c>
      <c r="E432" s="15">
        <v>1760.0</v>
      </c>
      <c r="F432" s="16">
        <v>401.01</v>
      </c>
      <c r="G432" s="16">
        <v>0.0</v>
      </c>
      <c r="H432" s="16">
        <v>38.16</v>
      </c>
      <c r="I432" s="16">
        <v>39.915</v>
      </c>
      <c r="J432" s="16">
        <v>0.0</v>
      </c>
      <c r="K432" s="16">
        <v>0.0</v>
      </c>
      <c r="L432" s="16">
        <v>479.085</v>
      </c>
      <c r="M432" s="16">
        <v>525.177</v>
      </c>
      <c r="N432" s="16">
        <v>535.929</v>
      </c>
      <c r="O432" s="24">
        <v>30.6</v>
      </c>
      <c r="P432" s="18">
        <f t="shared" si="1"/>
        <v>479.085</v>
      </c>
    </row>
    <row r="433" ht="15.75" customHeight="1">
      <c r="A433" s="19" t="s">
        <v>207</v>
      </c>
      <c r="B433" s="19" t="s">
        <v>61</v>
      </c>
      <c r="C433" s="20" t="s">
        <v>96</v>
      </c>
      <c r="D433" s="14" t="str">
        <f>VLOOKUP(C433,'State Key'!$A$2:$B$210,2,False)</f>
        <v>Uttar Pradesh</v>
      </c>
      <c r="E433" s="21">
        <v>1550.0</v>
      </c>
      <c r="F433" s="22">
        <v>372.16</v>
      </c>
      <c r="G433" s="22">
        <v>0.0</v>
      </c>
      <c r="H433" s="22">
        <v>19.45</v>
      </c>
      <c r="I433" s="22">
        <v>0.0</v>
      </c>
      <c r="J433" s="22">
        <v>0.0</v>
      </c>
      <c r="K433" s="22">
        <v>0.0</v>
      </c>
      <c r="L433" s="22">
        <v>391.61</v>
      </c>
      <c r="M433" s="22">
        <v>459.081</v>
      </c>
      <c r="N433" s="22">
        <v>393.617</v>
      </c>
      <c r="O433" s="24">
        <v>25.7</v>
      </c>
      <c r="P433" s="18">
        <f t="shared" si="1"/>
        <v>391.61</v>
      </c>
    </row>
    <row r="434" ht="15.75" customHeight="1">
      <c r="A434" s="13" t="s">
        <v>207</v>
      </c>
      <c r="B434" s="13" t="s">
        <v>61</v>
      </c>
      <c r="C434" s="14" t="s">
        <v>97</v>
      </c>
      <c r="D434" s="14" t="str">
        <f>VLOOKUP(C434,'State Key'!$A$2:$B$210,2,False)</f>
        <v>Uttar Pradesh</v>
      </c>
      <c r="E434" s="15">
        <v>90.0</v>
      </c>
      <c r="F434" s="16">
        <v>28.16</v>
      </c>
      <c r="G434" s="16">
        <v>0.0</v>
      </c>
      <c r="H434" s="16">
        <v>0.0</v>
      </c>
      <c r="I434" s="16">
        <v>0.0</v>
      </c>
      <c r="J434" s="16">
        <v>0.0</v>
      </c>
      <c r="K434" s="16">
        <v>0.0</v>
      </c>
      <c r="L434" s="16">
        <v>28.16</v>
      </c>
      <c r="M434" s="16">
        <v>27.31</v>
      </c>
      <c r="N434" s="16">
        <v>76.42</v>
      </c>
      <c r="O434" s="24">
        <v>83.9</v>
      </c>
      <c r="P434" s="18">
        <f t="shared" si="1"/>
        <v>28.16</v>
      </c>
    </row>
    <row r="435" ht="15.75" customHeight="1">
      <c r="A435" s="19" t="s">
        <v>207</v>
      </c>
      <c r="B435" s="19" t="s">
        <v>61</v>
      </c>
      <c r="C435" s="20" t="s">
        <v>98</v>
      </c>
      <c r="D435" s="14" t="str">
        <f>VLOOKUP(C435,'State Key'!$A$2:$B$210,2,False)</f>
        <v>Haryana</v>
      </c>
      <c r="E435" s="21">
        <v>600.0</v>
      </c>
      <c r="F435" s="22">
        <v>175.512</v>
      </c>
      <c r="G435" s="22">
        <v>0.0</v>
      </c>
      <c r="H435" s="22">
        <v>0.0</v>
      </c>
      <c r="I435" s="22">
        <v>0.0</v>
      </c>
      <c r="J435" s="22">
        <v>0.0</v>
      </c>
      <c r="K435" s="22">
        <v>0.0</v>
      </c>
      <c r="L435" s="22">
        <v>175.512</v>
      </c>
      <c r="M435" s="22">
        <v>217.162</v>
      </c>
      <c r="N435" s="22">
        <v>116.81</v>
      </c>
      <c r="O435" s="24">
        <v>16.1</v>
      </c>
      <c r="P435" s="18">
        <f t="shared" si="1"/>
        <v>175.512</v>
      </c>
    </row>
    <row r="436" ht="15.75" customHeight="1">
      <c r="A436" s="13" t="s">
        <v>207</v>
      </c>
      <c r="B436" s="13" t="s">
        <v>99</v>
      </c>
      <c r="C436" s="14" t="s">
        <v>100</v>
      </c>
      <c r="D436" s="14" t="str">
        <f>VLOOKUP(C436,'State Key'!$A$2:$B$210,2,False)</f>
        <v>Karnataka</v>
      </c>
      <c r="E436" s="15">
        <v>1700.0</v>
      </c>
      <c r="F436" s="16">
        <v>214.04454</v>
      </c>
      <c r="G436" s="16">
        <v>132.06695</v>
      </c>
      <c r="H436" s="16">
        <v>174.42723</v>
      </c>
      <c r="I436" s="16">
        <v>0.0</v>
      </c>
      <c r="J436" s="16">
        <v>0.0</v>
      </c>
      <c r="K436" s="16">
        <v>0.0</v>
      </c>
      <c r="L436" s="16">
        <v>520.53872</v>
      </c>
      <c r="M436" s="16">
        <v>601.873</v>
      </c>
      <c r="N436" s="16">
        <v>109.4535</v>
      </c>
      <c r="O436" s="17">
        <v>5.5</v>
      </c>
      <c r="P436" s="18">
        <f t="shared" si="1"/>
        <v>520.53872</v>
      </c>
    </row>
    <row r="437" ht="15.75" customHeight="1">
      <c r="A437" s="19" t="s">
        <v>207</v>
      </c>
      <c r="B437" s="19" t="s">
        <v>99</v>
      </c>
      <c r="C437" s="20" t="s">
        <v>101</v>
      </c>
      <c r="D437" s="14" t="str">
        <f>VLOOKUP(C437,'State Key'!$A$2:$B$210,2,False)</f>
        <v>Telangana</v>
      </c>
      <c r="E437" s="21">
        <v>1080.0</v>
      </c>
      <c r="F437" s="22">
        <v>0.0</v>
      </c>
      <c r="G437" s="22">
        <v>428.917</v>
      </c>
      <c r="H437" s="22">
        <v>0.0</v>
      </c>
      <c r="I437" s="22">
        <v>0.0</v>
      </c>
      <c r="J437" s="22">
        <v>0.0</v>
      </c>
      <c r="K437" s="22">
        <v>0.0</v>
      </c>
      <c r="L437" s="22">
        <v>428.917</v>
      </c>
      <c r="M437" s="22">
        <v>404.113</v>
      </c>
      <c r="N437" s="22">
        <v>157.333</v>
      </c>
      <c r="O437" s="23">
        <v>11.7</v>
      </c>
      <c r="P437" s="18">
        <f t="shared" si="1"/>
        <v>428.917</v>
      </c>
    </row>
    <row r="438" ht="15.75" customHeight="1">
      <c r="A438" s="13" t="s">
        <v>207</v>
      </c>
      <c r="B438" s="13" t="s">
        <v>99</v>
      </c>
      <c r="C438" s="14" t="s">
        <v>102</v>
      </c>
      <c r="D438" s="14" t="str">
        <f>VLOOKUP(C438,'State Key'!$A$2:$B$210,2,False)</f>
        <v>Andhra Pradesh</v>
      </c>
      <c r="E438" s="15">
        <v>2400.0</v>
      </c>
      <c r="F438" s="16">
        <v>526.954</v>
      </c>
      <c r="G438" s="16">
        <v>0.0</v>
      </c>
      <c r="H438" s="16">
        <v>0.0</v>
      </c>
      <c r="I438" s="16">
        <v>100.1603</v>
      </c>
      <c r="J438" s="16">
        <v>0.0</v>
      </c>
      <c r="K438" s="16">
        <v>0.0</v>
      </c>
      <c r="L438" s="16">
        <v>627.1143</v>
      </c>
      <c r="M438" s="16">
        <v>641.3459</v>
      </c>
      <c r="N438" s="16">
        <v>28.844</v>
      </c>
      <c r="O438" s="17">
        <v>1.3</v>
      </c>
      <c r="P438" s="18">
        <f t="shared" si="1"/>
        <v>627.1143</v>
      </c>
    </row>
    <row r="439" ht="15.75" customHeight="1">
      <c r="A439" s="19" t="s">
        <v>207</v>
      </c>
      <c r="B439" s="19" t="s">
        <v>99</v>
      </c>
      <c r="C439" s="20" t="s">
        <v>103</v>
      </c>
      <c r="D439" s="14" t="str">
        <f>VLOOKUP(C439,'State Key'!$A$2:$B$210,2,False)</f>
        <v>Andhra Pradesh</v>
      </c>
      <c r="E439" s="21">
        <v>1760.0</v>
      </c>
      <c r="F439" s="22">
        <v>455.08973</v>
      </c>
      <c r="G439" s="22">
        <v>368.04914</v>
      </c>
      <c r="H439" s="22">
        <v>0.0</v>
      </c>
      <c r="I439" s="22">
        <v>0.0</v>
      </c>
      <c r="J439" s="22">
        <v>0.0</v>
      </c>
      <c r="K439" s="22">
        <v>0.0</v>
      </c>
      <c r="L439" s="22">
        <v>823.13887</v>
      </c>
      <c r="M439" s="22">
        <v>884.841</v>
      </c>
      <c r="N439" s="22">
        <v>75.717</v>
      </c>
      <c r="O439" s="17">
        <v>2.6</v>
      </c>
      <c r="P439" s="18">
        <f t="shared" si="1"/>
        <v>823.13887</v>
      </c>
    </row>
    <row r="440" ht="15.75" customHeight="1">
      <c r="A440" s="13" t="s">
        <v>207</v>
      </c>
      <c r="B440" s="13" t="s">
        <v>99</v>
      </c>
      <c r="C440" s="14" t="s">
        <v>104</v>
      </c>
      <c r="D440" s="14" t="str">
        <f>VLOOKUP(C440,'State Key'!$A$2:$B$210,2,False)</f>
        <v>Tamil Nadu</v>
      </c>
      <c r="E440" s="15">
        <v>1200.0</v>
      </c>
      <c r="F440" s="16">
        <v>0.0</v>
      </c>
      <c r="G440" s="16">
        <v>0.0</v>
      </c>
      <c r="H440" s="16">
        <v>0.0</v>
      </c>
      <c r="I440" s="16">
        <v>302.069</v>
      </c>
      <c r="J440" s="16">
        <v>0.0</v>
      </c>
      <c r="K440" s="16">
        <v>0.0</v>
      </c>
      <c r="L440" s="16">
        <v>302.069</v>
      </c>
      <c r="M440" s="16">
        <v>346.02</v>
      </c>
      <c r="N440" s="16">
        <v>12.13</v>
      </c>
      <c r="O440" s="17">
        <v>1.1</v>
      </c>
      <c r="P440" s="18">
        <f t="shared" si="1"/>
        <v>302.069</v>
      </c>
    </row>
    <row r="441" ht="15.75" customHeight="1">
      <c r="A441" s="19" t="s">
        <v>207</v>
      </c>
      <c r="B441" s="19" t="s">
        <v>99</v>
      </c>
      <c r="C441" s="20" t="s">
        <v>105</v>
      </c>
      <c r="D441" s="14" t="str">
        <f>VLOOKUP(C441,'State Key'!$A$2:$B$210,2,False)</f>
        <v>Telangana</v>
      </c>
      <c r="E441" s="21">
        <v>1100.0</v>
      </c>
      <c r="F441" s="22">
        <v>0.0</v>
      </c>
      <c r="G441" s="22">
        <v>365.533</v>
      </c>
      <c r="H441" s="22">
        <v>0.0</v>
      </c>
      <c r="I441" s="22">
        <v>0.0</v>
      </c>
      <c r="J441" s="22">
        <v>0.0</v>
      </c>
      <c r="K441" s="22">
        <v>0.0</v>
      </c>
      <c r="L441" s="22">
        <v>365.533</v>
      </c>
      <c r="M441" s="22">
        <v>394.013</v>
      </c>
      <c r="N441" s="22">
        <v>319.621</v>
      </c>
      <c r="O441" s="24">
        <v>24.3</v>
      </c>
      <c r="P441" s="18">
        <f t="shared" si="1"/>
        <v>365.533</v>
      </c>
    </row>
    <row r="442" ht="15.75" customHeight="1">
      <c r="A442" s="13" t="s">
        <v>207</v>
      </c>
      <c r="B442" s="13" t="s">
        <v>99</v>
      </c>
      <c r="C442" s="14" t="s">
        <v>106</v>
      </c>
      <c r="D442" s="14" t="str">
        <f>VLOOKUP(C442,'State Key'!$A$2:$B$210,2,False)</f>
        <v>Telangana</v>
      </c>
      <c r="E442" s="15">
        <v>1000.0</v>
      </c>
      <c r="F442" s="16">
        <v>0.0</v>
      </c>
      <c r="G442" s="16">
        <v>419.35</v>
      </c>
      <c r="H442" s="16">
        <v>0.0</v>
      </c>
      <c r="I442" s="16">
        <v>0.0</v>
      </c>
      <c r="J442" s="16">
        <v>0.0</v>
      </c>
      <c r="K442" s="16">
        <v>0.0</v>
      </c>
      <c r="L442" s="16">
        <v>419.35</v>
      </c>
      <c r="M442" s="16">
        <v>414.6</v>
      </c>
      <c r="N442" s="16">
        <v>155.074</v>
      </c>
      <c r="O442" s="23">
        <v>11.2</v>
      </c>
      <c r="P442" s="18">
        <f t="shared" si="1"/>
        <v>419.35</v>
      </c>
    </row>
    <row r="443" ht="15.75" customHeight="1">
      <c r="A443" s="19" t="s">
        <v>207</v>
      </c>
      <c r="B443" s="19" t="s">
        <v>99</v>
      </c>
      <c r="C443" s="20" t="s">
        <v>107</v>
      </c>
      <c r="D443" s="14" t="str">
        <f>VLOOKUP(C443,'State Key'!$A$2:$B$210,2,False)</f>
        <v>Telangana</v>
      </c>
      <c r="E443" s="21">
        <v>800.0</v>
      </c>
      <c r="F443" s="22">
        <v>0.0</v>
      </c>
      <c r="G443" s="22">
        <v>254.472</v>
      </c>
      <c r="H443" s="22">
        <v>0.0</v>
      </c>
      <c r="I443" s="22">
        <v>0.0</v>
      </c>
      <c r="J443" s="22">
        <v>0.0</v>
      </c>
      <c r="K443" s="22">
        <v>0.0</v>
      </c>
      <c r="L443" s="22">
        <v>254.472</v>
      </c>
      <c r="M443" s="22">
        <v>241.779</v>
      </c>
      <c r="N443" s="22">
        <v>134.359</v>
      </c>
      <c r="O443" s="24">
        <v>16.7</v>
      </c>
      <c r="P443" s="18">
        <f t="shared" si="1"/>
        <v>254.472</v>
      </c>
    </row>
    <row r="444" ht="15.75" customHeight="1">
      <c r="A444" s="13" t="s">
        <v>207</v>
      </c>
      <c r="B444" s="13" t="s">
        <v>99</v>
      </c>
      <c r="C444" s="14" t="s">
        <v>108</v>
      </c>
      <c r="D444" s="14" t="str">
        <f>VLOOKUP(C444,'State Key'!$A$2:$B$210,2,False)</f>
        <v>Karnataka</v>
      </c>
      <c r="E444" s="15">
        <v>2400.0</v>
      </c>
      <c r="F444" s="16">
        <v>222.45</v>
      </c>
      <c r="G444" s="16">
        <v>174.2</v>
      </c>
      <c r="H444" s="16">
        <v>137.0</v>
      </c>
      <c r="I444" s="16">
        <v>48.081</v>
      </c>
      <c r="J444" s="16">
        <v>0.0</v>
      </c>
      <c r="K444" s="16">
        <v>0.0</v>
      </c>
      <c r="L444" s="16">
        <v>581.731</v>
      </c>
      <c r="M444" s="16">
        <v>664.4859</v>
      </c>
      <c r="N444" s="16">
        <v>125.68</v>
      </c>
      <c r="O444" s="17">
        <v>5.7</v>
      </c>
      <c r="P444" s="18">
        <f t="shared" si="1"/>
        <v>581.731</v>
      </c>
    </row>
    <row r="445" ht="15.75" customHeight="1">
      <c r="A445" s="19" t="s">
        <v>207</v>
      </c>
      <c r="B445" s="19" t="s">
        <v>99</v>
      </c>
      <c r="C445" s="20" t="s">
        <v>109</v>
      </c>
      <c r="D445" s="14" t="str">
        <f>VLOOKUP(C445,'State Key'!$A$2:$B$210,2,False)</f>
        <v>Tamil Nadu</v>
      </c>
      <c r="E445" s="21">
        <v>840.0</v>
      </c>
      <c r="F445" s="22">
        <v>245.0719</v>
      </c>
      <c r="G445" s="22">
        <v>110.7308</v>
      </c>
      <c r="H445" s="22">
        <v>0.0</v>
      </c>
      <c r="I445" s="22">
        <v>0.0</v>
      </c>
      <c r="J445" s="22">
        <v>0.0</v>
      </c>
      <c r="K445" s="22">
        <v>0.0</v>
      </c>
      <c r="L445" s="22">
        <v>355.8027</v>
      </c>
      <c r="M445" s="22">
        <v>368.3465</v>
      </c>
      <c r="N445" s="22">
        <v>79.1903</v>
      </c>
      <c r="O445" s="17">
        <v>6.4</v>
      </c>
      <c r="P445" s="18">
        <f t="shared" si="1"/>
        <v>355.8027</v>
      </c>
    </row>
    <row r="446" ht="15.75" customHeight="1">
      <c r="A446" s="13" t="s">
        <v>207</v>
      </c>
      <c r="B446" s="13" t="s">
        <v>99</v>
      </c>
      <c r="C446" s="14" t="s">
        <v>110</v>
      </c>
      <c r="D446" s="14" t="str">
        <f>VLOOKUP(C446,'State Key'!$A$2:$B$210,2,False)</f>
        <v>Tamil Nadu</v>
      </c>
      <c r="E446" s="15">
        <v>600.0</v>
      </c>
      <c r="F446" s="16">
        <v>103.02</v>
      </c>
      <c r="G446" s="16">
        <v>50.15</v>
      </c>
      <c r="H446" s="16">
        <v>0.0</v>
      </c>
      <c r="I446" s="16">
        <v>126.04</v>
      </c>
      <c r="J446" s="16">
        <v>0.0</v>
      </c>
      <c r="K446" s="16">
        <v>0.0</v>
      </c>
      <c r="L446" s="16">
        <v>279.21</v>
      </c>
      <c r="M446" s="16">
        <v>215.3</v>
      </c>
      <c r="N446" s="16">
        <v>150.59</v>
      </c>
      <c r="O446" s="24">
        <v>21.0</v>
      </c>
      <c r="P446" s="18">
        <f t="shared" si="1"/>
        <v>279.21</v>
      </c>
    </row>
    <row r="447" ht="15.75" customHeight="1">
      <c r="A447" s="19" t="s">
        <v>207</v>
      </c>
      <c r="B447" s="19" t="s">
        <v>99</v>
      </c>
      <c r="C447" s="20" t="s">
        <v>111</v>
      </c>
      <c r="D447" s="14" t="str">
        <f>VLOOKUP(C447,'State Key'!$A$2:$B$210,2,False)</f>
        <v>Tamil Nadu</v>
      </c>
      <c r="E447" s="21">
        <v>1200.0</v>
      </c>
      <c r="F447" s="22">
        <v>0.0</v>
      </c>
      <c r="G447" s="22">
        <v>0.0</v>
      </c>
      <c r="H447" s="22">
        <v>0.0</v>
      </c>
      <c r="I447" s="22">
        <v>209.811</v>
      </c>
      <c r="J447" s="22">
        <v>0.0</v>
      </c>
      <c r="K447" s="22">
        <v>0.0</v>
      </c>
      <c r="L447" s="22">
        <v>209.811</v>
      </c>
      <c r="M447" s="22">
        <v>221.223</v>
      </c>
      <c r="N447" s="22">
        <v>15.27</v>
      </c>
      <c r="O447" s="17">
        <v>2.1</v>
      </c>
      <c r="P447" s="18">
        <f t="shared" si="1"/>
        <v>209.811</v>
      </c>
    </row>
    <row r="448" ht="15.75" customHeight="1">
      <c r="A448" s="13" t="s">
        <v>207</v>
      </c>
      <c r="B448" s="13" t="s">
        <v>99</v>
      </c>
      <c r="C448" s="14" t="s">
        <v>112</v>
      </c>
      <c r="D448" s="14" t="str">
        <f>VLOOKUP(C448,'State Key'!$A$2:$B$210,2,False)</f>
        <v>Tamil Nadu</v>
      </c>
      <c r="E448" s="15">
        <v>1830.0</v>
      </c>
      <c r="F448" s="16">
        <v>742.161</v>
      </c>
      <c r="G448" s="16">
        <v>0.0</v>
      </c>
      <c r="H448" s="16">
        <v>0.0</v>
      </c>
      <c r="I448" s="16">
        <v>104.288</v>
      </c>
      <c r="J448" s="16">
        <v>0.0</v>
      </c>
      <c r="K448" s="16">
        <v>0.0</v>
      </c>
      <c r="L448" s="16">
        <v>846.449</v>
      </c>
      <c r="M448" s="16">
        <v>930.2342</v>
      </c>
      <c r="N448" s="16">
        <v>237.91</v>
      </c>
      <c r="O448" s="23">
        <v>7.7</v>
      </c>
      <c r="P448" s="18">
        <f t="shared" si="1"/>
        <v>846.449</v>
      </c>
    </row>
    <row r="449" ht="15.75" customHeight="1">
      <c r="A449" s="19" t="s">
        <v>207</v>
      </c>
      <c r="B449" s="19" t="s">
        <v>99</v>
      </c>
      <c r="C449" s="20" t="s">
        <v>113</v>
      </c>
      <c r="D449" s="14" t="str">
        <f>VLOOKUP(C449,'State Key'!$A$2:$B$210,2,False)</f>
        <v>Tamil Nadu</v>
      </c>
      <c r="E449" s="21">
        <v>1000.0</v>
      </c>
      <c r="F449" s="22">
        <v>145.988</v>
      </c>
      <c r="G449" s="22">
        <v>0.0</v>
      </c>
      <c r="H449" s="22">
        <v>75.916</v>
      </c>
      <c r="I449" s="22">
        <v>76.05</v>
      </c>
      <c r="J449" s="22">
        <v>0.0</v>
      </c>
      <c r="K449" s="22">
        <v>0.0</v>
      </c>
      <c r="L449" s="22">
        <v>297.954</v>
      </c>
      <c r="M449" s="22">
        <v>358.224</v>
      </c>
      <c r="N449" s="22">
        <v>291.79</v>
      </c>
      <c r="O449" s="24">
        <v>24.4</v>
      </c>
      <c r="P449" s="18">
        <f t="shared" si="1"/>
        <v>297.954</v>
      </c>
    </row>
    <row r="450" ht="15.75" customHeight="1">
      <c r="A450" s="13" t="s">
        <v>207</v>
      </c>
      <c r="B450" s="13" t="s">
        <v>99</v>
      </c>
      <c r="C450" s="14" t="s">
        <v>114</v>
      </c>
      <c r="D450" s="14" t="str">
        <f>VLOOKUP(C450,'State Key'!$A$2:$B$210,2,False)</f>
        <v>Andhra Pradesh</v>
      </c>
      <c r="E450" s="15">
        <v>1320.0</v>
      </c>
      <c r="F450" s="16">
        <v>432.962</v>
      </c>
      <c r="G450" s="16">
        <v>0.0</v>
      </c>
      <c r="H450" s="16">
        <v>0.0</v>
      </c>
      <c r="I450" s="16">
        <v>116.231</v>
      </c>
      <c r="J450" s="16">
        <v>0.0</v>
      </c>
      <c r="K450" s="16">
        <v>0.0</v>
      </c>
      <c r="L450" s="16">
        <v>549.193</v>
      </c>
      <c r="M450" s="16">
        <v>523.837</v>
      </c>
      <c r="N450" s="16">
        <v>299.045</v>
      </c>
      <c r="O450" s="24">
        <v>17.1</v>
      </c>
      <c r="P450" s="18">
        <f t="shared" si="1"/>
        <v>549.193</v>
      </c>
    </row>
    <row r="451" ht="15.75" customHeight="1">
      <c r="A451" s="19" t="s">
        <v>207</v>
      </c>
      <c r="B451" s="19" t="s">
        <v>99</v>
      </c>
      <c r="C451" s="20" t="s">
        <v>115</v>
      </c>
      <c r="D451" s="14" t="str">
        <f>VLOOKUP(C451,'State Key'!$A$2:$B$210,2,False)</f>
        <v>Karnataka</v>
      </c>
      <c r="E451" s="21">
        <v>1720.0</v>
      </c>
      <c r="F451" s="22">
        <v>268.707</v>
      </c>
      <c r="G451" s="22">
        <v>203.005</v>
      </c>
      <c r="H451" s="22">
        <v>0.0</v>
      </c>
      <c r="I451" s="22">
        <v>0.0</v>
      </c>
      <c r="J451" s="22">
        <v>0.0</v>
      </c>
      <c r="K451" s="22">
        <v>0.0</v>
      </c>
      <c r="L451" s="22">
        <v>471.712</v>
      </c>
      <c r="M451" s="22">
        <v>527.28</v>
      </c>
      <c r="N451" s="22">
        <v>69.67</v>
      </c>
      <c r="O451" s="17">
        <v>4.0</v>
      </c>
      <c r="P451" s="18">
        <f t="shared" si="1"/>
        <v>471.712</v>
      </c>
    </row>
    <row r="452" ht="15.75" customHeight="1">
      <c r="A452" s="13" t="s">
        <v>207</v>
      </c>
      <c r="B452" s="13" t="s">
        <v>99</v>
      </c>
      <c r="C452" s="14" t="s">
        <v>116</v>
      </c>
      <c r="D452" s="14" t="str">
        <f>VLOOKUP(C452,'State Key'!$A$2:$B$210,2,False)</f>
        <v>Telangana</v>
      </c>
      <c r="E452" s="15">
        <v>2600.0</v>
      </c>
      <c r="F452" s="16">
        <v>0.0</v>
      </c>
      <c r="G452" s="16">
        <v>886.45</v>
      </c>
      <c r="H452" s="16">
        <v>0.0</v>
      </c>
      <c r="I452" s="16">
        <v>0.0</v>
      </c>
      <c r="J452" s="16">
        <v>0.0</v>
      </c>
      <c r="K452" s="16">
        <v>0.0</v>
      </c>
      <c r="L452" s="16">
        <v>886.45</v>
      </c>
      <c r="M452" s="16">
        <v>799.895</v>
      </c>
      <c r="N452" s="16">
        <v>474.95</v>
      </c>
      <c r="O452" s="24">
        <v>17.8</v>
      </c>
      <c r="P452" s="18">
        <f t="shared" si="1"/>
        <v>886.45</v>
      </c>
    </row>
    <row r="453" ht="15.75" customHeight="1">
      <c r="A453" s="19" t="s">
        <v>207</v>
      </c>
      <c r="B453" s="19" t="s">
        <v>99</v>
      </c>
      <c r="C453" s="20" t="s">
        <v>117</v>
      </c>
      <c r="D453" s="14" t="str">
        <f>VLOOKUP(C453,'State Key'!$A$2:$B$210,2,False)</f>
        <v>Telangana</v>
      </c>
      <c r="E453" s="21">
        <v>62.5</v>
      </c>
      <c r="F453" s="22">
        <v>0.0</v>
      </c>
      <c r="G453" s="22">
        <v>22.352</v>
      </c>
      <c r="H453" s="22">
        <v>0.0</v>
      </c>
      <c r="I453" s="22">
        <v>0.0</v>
      </c>
      <c r="J453" s="22">
        <v>0.0</v>
      </c>
      <c r="K453" s="22">
        <v>0.0</v>
      </c>
      <c r="L453" s="22">
        <v>22.352</v>
      </c>
      <c r="M453" s="22">
        <v>21.657</v>
      </c>
      <c r="N453" s="22">
        <v>5.519</v>
      </c>
      <c r="O453" s="23">
        <v>7.6</v>
      </c>
      <c r="P453" s="18">
        <f t="shared" si="1"/>
        <v>22.352</v>
      </c>
    </row>
    <row r="454" ht="15.75" customHeight="1">
      <c r="A454" s="13" t="s">
        <v>207</v>
      </c>
      <c r="B454" s="13" t="s">
        <v>99</v>
      </c>
      <c r="C454" s="14" t="s">
        <v>118</v>
      </c>
      <c r="D454" s="14" t="str">
        <f>VLOOKUP(C454,'State Key'!$A$2:$B$210,2,False)</f>
        <v>Andhra Pradesh</v>
      </c>
      <c r="E454" s="15">
        <v>1650.0</v>
      </c>
      <c r="F454" s="16">
        <v>388.93833</v>
      </c>
      <c r="G454" s="16">
        <v>290.70401</v>
      </c>
      <c r="H454" s="16">
        <v>0.0</v>
      </c>
      <c r="I454" s="16">
        <v>0.0</v>
      </c>
      <c r="J454" s="16">
        <v>0.0</v>
      </c>
      <c r="K454" s="16">
        <v>0.0</v>
      </c>
      <c r="L454" s="16">
        <v>679.64234</v>
      </c>
      <c r="M454" s="16">
        <v>686.002</v>
      </c>
      <c r="N454" s="16">
        <v>57.103</v>
      </c>
      <c r="O454" s="17">
        <v>2.5</v>
      </c>
      <c r="P454" s="18">
        <f t="shared" si="1"/>
        <v>679.64234</v>
      </c>
    </row>
    <row r="455" ht="15.75" customHeight="1">
      <c r="A455" s="19" t="s">
        <v>207</v>
      </c>
      <c r="B455" s="19" t="s">
        <v>99</v>
      </c>
      <c r="C455" s="20" t="s">
        <v>119</v>
      </c>
      <c r="D455" s="14" t="str">
        <f>VLOOKUP(C455,'State Key'!$A$2:$B$210,2,False)</f>
        <v>Andhra Pradesh</v>
      </c>
      <c r="E455" s="21">
        <v>1320.0</v>
      </c>
      <c r="F455" s="22">
        <v>250.924</v>
      </c>
      <c r="G455" s="22">
        <v>0.0</v>
      </c>
      <c r="H455" s="22">
        <v>0.0</v>
      </c>
      <c r="I455" s="22">
        <v>181.666</v>
      </c>
      <c r="J455" s="22">
        <v>0.0</v>
      </c>
      <c r="K455" s="22">
        <v>0.0</v>
      </c>
      <c r="L455" s="22">
        <v>432.59</v>
      </c>
      <c r="M455" s="22">
        <v>472.909</v>
      </c>
      <c r="N455" s="22">
        <v>357.715</v>
      </c>
      <c r="O455" s="24">
        <v>22.7</v>
      </c>
      <c r="P455" s="18">
        <f t="shared" si="1"/>
        <v>432.59</v>
      </c>
    </row>
    <row r="456" ht="15.75" customHeight="1">
      <c r="A456" s="13" t="s">
        <v>207</v>
      </c>
      <c r="B456" s="13" t="s">
        <v>99</v>
      </c>
      <c r="C456" s="14" t="s">
        <v>120</v>
      </c>
      <c r="D456" s="14" t="str">
        <f>VLOOKUP(C456,'State Key'!$A$2:$B$210,2,False)</f>
        <v>Andhra Pradesh</v>
      </c>
      <c r="E456" s="15">
        <v>2000.0</v>
      </c>
      <c r="F456" s="16">
        <v>343.82</v>
      </c>
      <c r="G456" s="16">
        <v>170.31</v>
      </c>
      <c r="H456" s="16">
        <v>51.29</v>
      </c>
      <c r="I456" s="16">
        <v>103.046</v>
      </c>
      <c r="J456" s="16">
        <v>0.0</v>
      </c>
      <c r="K456" s="16">
        <v>0.0</v>
      </c>
      <c r="L456" s="16">
        <v>668.466</v>
      </c>
      <c r="M456" s="16">
        <v>670.896</v>
      </c>
      <c r="N456" s="16">
        <v>519.88</v>
      </c>
      <c r="O456" s="24">
        <v>23.2</v>
      </c>
      <c r="P456" s="18">
        <f t="shared" si="1"/>
        <v>668.466</v>
      </c>
    </row>
    <row r="457" ht="15.75" customHeight="1">
      <c r="A457" s="19" t="s">
        <v>207</v>
      </c>
      <c r="B457" s="19" t="s">
        <v>99</v>
      </c>
      <c r="C457" s="20" t="s">
        <v>121</v>
      </c>
      <c r="D457" s="14" t="str">
        <f>VLOOKUP(C457,'State Key'!$A$2:$B$210,2,False)</f>
        <v>Andhra Pradesh</v>
      </c>
      <c r="E457" s="21">
        <v>600.0</v>
      </c>
      <c r="F457" s="22">
        <v>0.0</v>
      </c>
      <c r="G457" s="22">
        <v>0.0</v>
      </c>
      <c r="H457" s="22">
        <v>0.0</v>
      </c>
      <c r="I457" s="22">
        <v>0.0</v>
      </c>
      <c r="J457" s="22">
        <v>0.0</v>
      </c>
      <c r="K457" s="22">
        <v>0.0</v>
      </c>
      <c r="L457" s="22">
        <v>0.0</v>
      </c>
      <c r="M457" s="22">
        <v>0.0</v>
      </c>
      <c r="N457" s="22">
        <v>0.0</v>
      </c>
      <c r="O457" s="19" t="s">
        <v>58</v>
      </c>
      <c r="P457" s="18">
        <f t="shared" si="1"/>
        <v>0</v>
      </c>
    </row>
    <row r="458" ht="15.75" customHeight="1">
      <c r="A458" s="13" t="s">
        <v>207</v>
      </c>
      <c r="B458" s="13" t="s">
        <v>99</v>
      </c>
      <c r="C458" s="14" t="s">
        <v>122</v>
      </c>
      <c r="D458" s="14" t="str">
        <f>VLOOKUP(C458,'State Key'!$A$2:$B$210,2,False)</f>
        <v>Telangana</v>
      </c>
      <c r="E458" s="15">
        <v>1200.0</v>
      </c>
      <c r="F458" s="16">
        <v>0.0</v>
      </c>
      <c r="G458" s="16">
        <v>314.348</v>
      </c>
      <c r="H458" s="16">
        <v>0.0</v>
      </c>
      <c r="I458" s="16">
        <v>0.0</v>
      </c>
      <c r="J458" s="16">
        <v>0.0</v>
      </c>
      <c r="K458" s="16">
        <v>0.0</v>
      </c>
      <c r="L458" s="16">
        <v>314.348</v>
      </c>
      <c r="M458" s="16">
        <v>242.755</v>
      </c>
      <c r="N458" s="16">
        <v>191.88</v>
      </c>
      <c r="O458" s="24">
        <v>23.7</v>
      </c>
      <c r="P458" s="18">
        <f t="shared" si="1"/>
        <v>314.348</v>
      </c>
    </row>
    <row r="459" ht="15.75" customHeight="1">
      <c r="A459" s="19" t="s">
        <v>207</v>
      </c>
      <c r="B459" s="19" t="s">
        <v>99</v>
      </c>
      <c r="C459" s="20" t="s">
        <v>123</v>
      </c>
      <c r="D459" s="14" t="str">
        <f>VLOOKUP(C459,'State Key'!$A$2:$B$210,2,False)</f>
        <v>Andhra Pradesh</v>
      </c>
      <c r="E459" s="21">
        <v>300.0</v>
      </c>
      <c r="F459" s="22">
        <v>0.0</v>
      </c>
      <c r="G459" s="22">
        <v>0.0</v>
      </c>
      <c r="H459" s="22">
        <v>0.0</v>
      </c>
      <c r="I459" s="22">
        <v>0.0</v>
      </c>
      <c r="J459" s="22">
        <v>0.0</v>
      </c>
      <c r="K459" s="22">
        <v>0.0</v>
      </c>
      <c r="L459" s="22">
        <v>0.0</v>
      </c>
      <c r="M459" s="22">
        <v>0.0</v>
      </c>
      <c r="N459" s="22">
        <v>0.0</v>
      </c>
      <c r="O459" s="19" t="s">
        <v>58</v>
      </c>
      <c r="P459" s="18">
        <f t="shared" si="1"/>
        <v>0</v>
      </c>
    </row>
    <row r="460" ht="15.75" customHeight="1">
      <c r="A460" s="13" t="s">
        <v>207</v>
      </c>
      <c r="B460" s="13" t="s">
        <v>99</v>
      </c>
      <c r="C460" s="14" t="s">
        <v>124</v>
      </c>
      <c r="D460" s="14" t="str">
        <f>VLOOKUP(C460,'State Key'!$A$2:$B$210,2,False)</f>
        <v>Karnataka</v>
      </c>
      <c r="E460" s="15">
        <v>260.0</v>
      </c>
      <c r="F460" s="16">
        <v>0.0</v>
      </c>
      <c r="G460" s="16">
        <v>0.0</v>
      </c>
      <c r="H460" s="16">
        <v>0.0</v>
      </c>
      <c r="I460" s="16">
        <v>51.91</v>
      </c>
      <c r="J460" s="16">
        <v>0.0</v>
      </c>
      <c r="K460" s="16">
        <v>0.0</v>
      </c>
      <c r="L460" s="16">
        <v>51.91</v>
      </c>
      <c r="M460" s="16">
        <v>51.9099</v>
      </c>
      <c r="N460" s="16">
        <v>0.0</v>
      </c>
      <c r="O460" s="17">
        <v>0.0</v>
      </c>
      <c r="P460" s="18">
        <f t="shared" si="1"/>
        <v>51.91</v>
      </c>
    </row>
    <row r="461" ht="15.75" customHeight="1">
      <c r="A461" s="19" t="s">
        <v>207</v>
      </c>
      <c r="B461" s="19" t="s">
        <v>99</v>
      </c>
      <c r="C461" s="20" t="s">
        <v>125</v>
      </c>
      <c r="D461" s="14" t="str">
        <f>VLOOKUP(C461,'State Key'!$A$2:$B$210,2,False)</f>
        <v>Karnataka</v>
      </c>
      <c r="E461" s="21">
        <v>600.0</v>
      </c>
      <c r="F461" s="22">
        <v>0.0</v>
      </c>
      <c r="G461" s="22">
        <v>0.0</v>
      </c>
      <c r="H461" s="22">
        <v>0.0</v>
      </c>
      <c r="I461" s="22">
        <v>156.32</v>
      </c>
      <c r="J461" s="22">
        <v>0.0</v>
      </c>
      <c r="K461" s="22">
        <v>0.0</v>
      </c>
      <c r="L461" s="22">
        <v>156.32</v>
      </c>
      <c r="M461" s="22">
        <v>102.37</v>
      </c>
      <c r="N461" s="22">
        <v>62.14</v>
      </c>
      <c r="O461" s="24">
        <v>18.2</v>
      </c>
      <c r="P461" s="18">
        <f t="shared" si="1"/>
        <v>156.32</v>
      </c>
    </row>
    <row r="462" ht="15.75" customHeight="1">
      <c r="A462" s="13" t="s">
        <v>207</v>
      </c>
      <c r="B462" s="13" t="s">
        <v>99</v>
      </c>
      <c r="C462" s="14" t="s">
        <v>126</v>
      </c>
      <c r="D462" s="14" t="str">
        <f>VLOOKUP(C462,'State Key'!$A$2:$B$210,2,False)</f>
        <v>Tamil Nadu</v>
      </c>
      <c r="E462" s="15">
        <v>300.0</v>
      </c>
      <c r="F462" s="16">
        <v>0.0</v>
      </c>
      <c r="G462" s="16">
        <v>0.0</v>
      </c>
      <c r="H462" s="16">
        <v>0.0</v>
      </c>
      <c r="I462" s="16">
        <v>0.0</v>
      </c>
      <c r="J462" s="16">
        <v>0.0</v>
      </c>
      <c r="K462" s="16">
        <v>0.0</v>
      </c>
      <c r="L462" s="16">
        <v>0.0</v>
      </c>
      <c r="M462" s="16">
        <v>0.0</v>
      </c>
      <c r="N462" s="16">
        <v>0.0</v>
      </c>
      <c r="O462" s="13" t="s">
        <v>58</v>
      </c>
      <c r="P462" s="18">
        <f t="shared" si="1"/>
        <v>0</v>
      </c>
    </row>
    <row r="463" ht="15.75" customHeight="1">
      <c r="A463" s="19" t="s">
        <v>207</v>
      </c>
      <c r="B463" s="19" t="s">
        <v>99</v>
      </c>
      <c r="C463" s="20" t="s">
        <v>127</v>
      </c>
      <c r="D463" s="14" t="str">
        <f>VLOOKUP(C463,'State Key'!$A$2:$B$210,2,False)</f>
        <v>Tamil Nadu</v>
      </c>
      <c r="E463" s="21">
        <v>525.0</v>
      </c>
      <c r="F463" s="22">
        <v>0.0</v>
      </c>
      <c r="G463" s="22">
        <v>0.0</v>
      </c>
      <c r="H463" s="22">
        <v>0.0</v>
      </c>
      <c r="I463" s="22">
        <v>146.2</v>
      </c>
      <c r="J463" s="22">
        <v>0.0</v>
      </c>
      <c r="K463" s="22">
        <v>0.0</v>
      </c>
      <c r="L463" s="22">
        <v>146.2</v>
      </c>
      <c r="M463" s="22">
        <v>129.35</v>
      </c>
      <c r="N463" s="22">
        <v>27.22</v>
      </c>
      <c r="O463" s="17">
        <v>6.3</v>
      </c>
      <c r="P463" s="18">
        <f t="shared" si="1"/>
        <v>146.2</v>
      </c>
    </row>
    <row r="464" ht="15.75" customHeight="1">
      <c r="A464" s="13" t="s">
        <v>207</v>
      </c>
      <c r="B464" s="13" t="s">
        <v>99</v>
      </c>
      <c r="C464" s="14" t="s">
        <v>128</v>
      </c>
      <c r="D464" s="14" t="str">
        <f>VLOOKUP(C464,'State Key'!$A$2:$B$210,2,False)</f>
        <v>Tamil Nadu</v>
      </c>
      <c r="E464" s="15">
        <v>1050.0</v>
      </c>
      <c r="F464" s="16">
        <v>488.411</v>
      </c>
      <c r="G464" s="16">
        <v>0.0</v>
      </c>
      <c r="H464" s="16">
        <v>0.0</v>
      </c>
      <c r="I464" s="16">
        <v>0.0</v>
      </c>
      <c r="J464" s="16">
        <v>0.0</v>
      </c>
      <c r="K464" s="16">
        <v>0.0</v>
      </c>
      <c r="L464" s="16">
        <v>488.411</v>
      </c>
      <c r="M464" s="16">
        <v>462.359</v>
      </c>
      <c r="N464" s="16">
        <v>133.67</v>
      </c>
      <c r="O464" s="23">
        <v>8.7</v>
      </c>
      <c r="P464" s="18">
        <f t="shared" si="1"/>
        <v>488.411</v>
      </c>
    </row>
    <row r="465" ht="15.75" customHeight="1">
      <c r="A465" s="19" t="s">
        <v>207</v>
      </c>
      <c r="B465" s="19" t="s">
        <v>99</v>
      </c>
      <c r="C465" s="20" t="s">
        <v>129</v>
      </c>
      <c r="D465" s="14" t="str">
        <f>VLOOKUP(C465,'State Key'!$A$2:$B$210,2,False)</f>
        <v>Karnataka</v>
      </c>
      <c r="E465" s="21">
        <v>1200.0</v>
      </c>
      <c r="F465" s="22">
        <v>0.0</v>
      </c>
      <c r="G465" s="22">
        <v>0.0</v>
      </c>
      <c r="H465" s="22">
        <v>0.0</v>
      </c>
      <c r="I465" s="22">
        <v>81.2565</v>
      </c>
      <c r="J465" s="22">
        <v>0.0</v>
      </c>
      <c r="K465" s="22">
        <v>0.0</v>
      </c>
      <c r="L465" s="22">
        <v>81.2565</v>
      </c>
      <c r="M465" s="22">
        <v>176.1862</v>
      </c>
      <c r="N465" s="22">
        <v>31.53</v>
      </c>
      <c r="O465" s="17">
        <v>5.4</v>
      </c>
      <c r="P465" s="18">
        <f t="shared" si="1"/>
        <v>81.2565</v>
      </c>
    </row>
    <row r="466" ht="15.75" customHeight="1">
      <c r="A466" s="13" t="s">
        <v>207</v>
      </c>
      <c r="B466" s="13" t="s">
        <v>99</v>
      </c>
      <c r="C466" s="14" t="s">
        <v>130</v>
      </c>
      <c r="D466" s="14" t="str">
        <f>VLOOKUP(C466,'State Key'!$A$2:$B$210,2,False)</f>
        <v>Tamil Nadu</v>
      </c>
      <c r="E466" s="15">
        <v>1500.0</v>
      </c>
      <c r="F466" s="16">
        <v>390.578</v>
      </c>
      <c r="G466" s="16">
        <v>75.625</v>
      </c>
      <c r="H466" s="16">
        <v>0.0</v>
      </c>
      <c r="I466" s="16">
        <v>99.349</v>
      </c>
      <c r="J466" s="16">
        <v>0.0</v>
      </c>
      <c r="K466" s="16">
        <v>0.0</v>
      </c>
      <c r="L466" s="16">
        <v>565.552</v>
      </c>
      <c r="M466" s="16">
        <v>496.45</v>
      </c>
      <c r="N466" s="16">
        <v>425.3349</v>
      </c>
      <c r="O466" s="24">
        <v>25.7</v>
      </c>
      <c r="P466" s="18">
        <f t="shared" si="1"/>
        <v>565.552</v>
      </c>
    </row>
    <row r="467" ht="15.75" customHeight="1">
      <c r="A467" s="19" t="s">
        <v>207</v>
      </c>
      <c r="B467" s="19" t="s">
        <v>99</v>
      </c>
      <c r="C467" s="20" t="s">
        <v>131</v>
      </c>
      <c r="D467" s="14" t="str">
        <f>VLOOKUP(C467,'State Key'!$A$2:$B$210,2,False)</f>
        <v>Andhra Pradesh</v>
      </c>
      <c r="E467" s="21">
        <v>1040.0</v>
      </c>
      <c r="F467" s="22">
        <v>283.726</v>
      </c>
      <c r="G467" s="22">
        <v>0.0</v>
      </c>
      <c r="H467" s="22">
        <v>0.0</v>
      </c>
      <c r="I467" s="22">
        <v>82.361</v>
      </c>
      <c r="J467" s="22">
        <v>0.0</v>
      </c>
      <c r="K467" s="22">
        <v>0.0</v>
      </c>
      <c r="L467" s="22">
        <v>366.087</v>
      </c>
      <c r="M467" s="22">
        <v>353.03</v>
      </c>
      <c r="N467" s="22">
        <v>90.921</v>
      </c>
      <c r="O467" s="23">
        <v>7.7</v>
      </c>
      <c r="P467" s="18">
        <f t="shared" si="1"/>
        <v>366.087</v>
      </c>
    </row>
    <row r="468" ht="15.75" customHeight="1">
      <c r="A468" s="13" t="s">
        <v>207</v>
      </c>
      <c r="B468" s="13" t="s">
        <v>99</v>
      </c>
      <c r="C468" s="14" t="s">
        <v>132</v>
      </c>
      <c r="D468" s="14" t="str">
        <f>VLOOKUP(C468,'State Key'!$A$2:$B$210,2,False)</f>
        <v>Karnataka</v>
      </c>
      <c r="E468" s="15">
        <v>1600.0</v>
      </c>
      <c r="F468" s="16">
        <v>0.0</v>
      </c>
      <c r="G468" s="16">
        <v>335.726</v>
      </c>
      <c r="H468" s="16">
        <v>0.0</v>
      </c>
      <c r="I468" s="16">
        <v>0.0</v>
      </c>
      <c r="J468" s="16">
        <v>0.0</v>
      </c>
      <c r="K468" s="16">
        <v>0.0</v>
      </c>
      <c r="L468" s="16">
        <v>335.726</v>
      </c>
      <c r="M468" s="16">
        <v>430.263</v>
      </c>
      <c r="N468" s="16">
        <v>91.897</v>
      </c>
      <c r="O468" s="17">
        <v>6.4</v>
      </c>
      <c r="P468" s="18">
        <f t="shared" si="1"/>
        <v>335.726</v>
      </c>
    </row>
    <row r="469" ht="15.75" customHeight="1">
      <c r="A469" s="19" t="s">
        <v>207</v>
      </c>
      <c r="B469" s="19" t="s">
        <v>133</v>
      </c>
      <c r="C469" s="20" t="s">
        <v>134</v>
      </c>
      <c r="D469" s="14" t="str">
        <f>VLOOKUP(C469,'State Key'!$A$2:$B$210,2,False)</f>
        <v>Chhattisgarh</v>
      </c>
      <c r="E469" s="21">
        <v>1800.0</v>
      </c>
      <c r="F469" s="22">
        <v>579.1024</v>
      </c>
      <c r="G469" s="22">
        <v>0.0</v>
      </c>
      <c r="H469" s="22">
        <v>0.0</v>
      </c>
      <c r="I469" s="22">
        <v>0.0</v>
      </c>
      <c r="J469" s="22">
        <v>0.0</v>
      </c>
      <c r="K469" s="22">
        <v>0.0</v>
      </c>
      <c r="L469" s="22">
        <v>579.1024</v>
      </c>
      <c r="M469" s="22">
        <v>617.836</v>
      </c>
      <c r="N469" s="22">
        <v>322.37</v>
      </c>
      <c r="O469" s="24">
        <v>15.7</v>
      </c>
      <c r="P469" s="18">
        <f t="shared" si="1"/>
        <v>579.1024</v>
      </c>
    </row>
    <row r="470" ht="15.75" customHeight="1">
      <c r="A470" s="13" t="s">
        <v>207</v>
      </c>
      <c r="B470" s="13" t="s">
        <v>133</v>
      </c>
      <c r="C470" s="14" t="s">
        <v>135</v>
      </c>
      <c r="D470" s="14" t="str">
        <f>VLOOKUP(C470,'State Key'!$A$2:$B$210,2,False)</f>
        <v>Madhya Pradesh</v>
      </c>
      <c r="E470" s="15">
        <v>210.0</v>
      </c>
      <c r="F470" s="16">
        <v>65.13</v>
      </c>
      <c r="G470" s="16">
        <v>0.0</v>
      </c>
      <c r="H470" s="16">
        <v>0.0</v>
      </c>
      <c r="I470" s="16">
        <v>0.0</v>
      </c>
      <c r="J470" s="16">
        <v>0.0</v>
      </c>
      <c r="K470" s="16">
        <v>0.0</v>
      </c>
      <c r="L470" s="16">
        <v>65.13</v>
      </c>
      <c r="M470" s="16">
        <v>85.54</v>
      </c>
      <c r="N470" s="16">
        <v>30.89</v>
      </c>
      <c r="O470" s="23">
        <v>10.8</v>
      </c>
      <c r="P470" s="18">
        <f t="shared" si="1"/>
        <v>65.13</v>
      </c>
    </row>
    <row r="471" ht="15.75" customHeight="1">
      <c r="A471" s="19" t="s">
        <v>207</v>
      </c>
      <c r="B471" s="19" t="s">
        <v>133</v>
      </c>
      <c r="C471" s="20" t="s">
        <v>136</v>
      </c>
      <c r="D471" s="14" t="str">
        <f>VLOOKUP(C471,'State Key'!$A$2:$B$210,2,False)</f>
        <v>Maharashtra</v>
      </c>
      <c r="E471" s="21">
        <v>1350.0</v>
      </c>
      <c r="F471" s="22">
        <v>571.281</v>
      </c>
      <c r="G471" s="22">
        <v>0.0</v>
      </c>
      <c r="H471" s="22">
        <v>0.0</v>
      </c>
      <c r="I471" s="22">
        <v>0.0</v>
      </c>
      <c r="J471" s="22">
        <v>0.0</v>
      </c>
      <c r="K471" s="22">
        <v>0.0</v>
      </c>
      <c r="L471" s="22">
        <v>571.281</v>
      </c>
      <c r="M471" s="22">
        <v>512.551</v>
      </c>
      <c r="N471" s="22">
        <v>92.25</v>
      </c>
      <c r="O471" s="17">
        <v>5.4</v>
      </c>
      <c r="P471" s="18">
        <f t="shared" si="1"/>
        <v>571.281</v>
      </c>
    </row>
    <row r="472" ht="15.75" customHeight="1">
      <c r="A472" s="13" t="s">
        <v>207</v>
      </c>
      <c r="B472" s="13" t="s">
        <v>133</v>
      </c>
      <c r="C472" s="14" t="s">
        <v>137</v>
      </c>
      <c r="D472" s="14" t="str">
        <f>VLOOKUP(C472,'State Key'!$A$2:$B$210,2,False)</f>
        <v>Madhya Pradesh</v>
      </c>
      <c r="E472" s="15">
        <v>1250.0</v>
      </c>
      <c r="F472" s="16">
        <v>284.58</v>
      </c>
      <c r="G472" s="16">
        <v>0.0</v>
      </c>
      <c r="H472" s="16">
        <v>0.0</v>
      </c>
      <c r="I472" s="16">
        <v>0.0</v>
      </c>
      <c r="J472" s="16">
        <v>0.0</v>
      </c>
      <c r="K472" s="16">
        <v>212.74</v>
      </c>
      <c r="L472" s="16">
        <v>497.32</v>
      </c>
      <c r="M472" s="16">
        <v>523.33</v>
      </c>
      <c r="N472" s="16">
        <v>367.02</v>
      </c>
      <c r="O472" s="24">
        <v>21.0</v>
      </c>
      <c r="P472" s="18">
        <f t="shared" si="1"/>
        <v>497.32</v>
      </c>
    </row>
    <row r="473" ht="15.75" customHeight="1">
      <c r="A473" s="19" t="s">
        <v>207</v>
      </c>
      <c r="B473" s="19" t="s">
        <v>133</v>
      </c>
      <c r="C473" s="20" t="s">
        <v>138</v>
      </c>
      <c r="D473" s="14" t="str">
        <f>VLOOKUP(C473,'State Key'!$A$2:$B$210,2,False)</f>
        <v>Chhattisgarh</v>
      </c>
      <c r="E473" s="21">
        <v>600.0</v>
      </c>
      <c r="F473" s="22">
        <v>228.216</v>
      </c>
      <c r="G473" s="22">
        <v>0.0</v>
      </c>
      <c r="H473" s="22">
        <v>0.0</v>
      </c>
      <c r="I473" s="22">
        <v>0.0</v>
      </c>
      <c r="J473" s="22">
        <v>0.0</v>
      </c>
      <c r="K473" s="22">
        <v>0.0</v>
      </c>
      <c r="L473" s="22">
        <v>228.216</v>
      </c>
      <c r="M473" s="22">
        <v>299.682</v>
      </c>
      <c r="N473" s="22">
        <v>106.49</v>
      </c>
      <c r="O473" s="23">
        <v>10.7</v>
      </c>
      <c r="P473" s="18">
        <f t="shared" si="1"/>
        <v>228.216</v>
      </c>
    </row>
    <row r="474" ht="15.75" customHeight="1">
      <c r="A474" s="13" t="s">
        <v>207</v>
      </c>
      <c r="B474" s="13" t="s">
        <v>133</v>
      </c>
      <c r="C474" s="14" t="s">
        <v>139</v>
      </c>
      <c r="D474" s="14" t="str">
        <f>VLOOKUP(C474,'State Key'!$A$2:$B$210,2,False)</f>
        <v>Chhattisgarh</v>
      </c>
      <c r="E474" s="15">
        <v>600.0</v>
      </c>
      <c r="F474" s="16">
        <v>137.57</v>
      </c>
      <c r="G474" s="16">
        <v>0.0</v>
      </c>
      <c r="H474" s="16">
        <v>0.0</v>
      </c>
      <c r="I474" s="16">
        <v>0.0</v>
      </c>
      <c r="J474" s="16">
        <v>0.0</v>
      </c>
      <c r="K474" s="16">
        <v>47.709</v>
      </c>
      <c r="L474" s="16">
        <v>185.279</v>
      </c>
      <c r="M474" s="16">
        <v>159.868</v>
      </c>
      <c r="N474" s="16">
        <v>81.78</v>
      </c>
      <c r="O474" s="24">
        <v>15.3</v>
      </c>
      <c r="P474" s="18">
        <f t="shared" si="1"/>
        <v>185.279</v>
      </c>
    </row>
    <row r="475" ht="15.75" customHeight="1">
      <c r="A475" s="19" t="s">
        <v>207</v>
      </c>
      <c r="B475" s="19" t="s">
        <v>133</v>
      </c>
      <c r="C475" s="20" t="s">
        <v>140</v>
      </c>
      <c r="D475" s="14" t="str">
        <f>VLOOKUP(C475,'State Key'!$A$2:$B$210,2,False)</f>
        <v>Chhattisgarh</v>
      </c>
      <c r="E475" s="21">
        <v>300.0</v>
      </c>
      <c r="F475" s="22">
        <v>70.515</v>
      </c>
      <c r="G475" s="22">
        <v>0.0</v>
      </c>
      <c r="H475" s="22">
        <v>0.0</v>
      </c>
      <c r="I475" s="22">
        <v>0.0</v>
      </c>
      <c r="J475" s="22">
        <v>0.0</v>
      </c>
      <c r="K475" s="22">
        <v>0.0</v>
      </c>
      <c r="L475" s="22">
        <v>70.515</v>
      </c>
      <c r="M475" s="22">
        <v>137.169</v>
      </c>
      <c r="N475" s="22">
        <v>74.8</v>
      </c>
      <c r="O475" s="24">
        <v>16.4</v>
      </c>
      <c r="P475" s="18">
        <f t="shared" si="1"/>
        <v>70.515</v>
      </c>
    </row>
    <row r="476" ht="15.75" customHeight="1">
      <c r="A476" s="13" t="s">
        <v>207</v>
      </c>
      <c r="B476" s="13" t="s">
        <v>133</v>
      </c>
      <c r="C476" s="14" t="s">
        <v>141</v>
      </c>
      <c r="D476" s="14" t="str">
        <f>VLOOKUP(C476,'State Key'!$A$2:$B$210,2,False)</f>
        <v>Chhattisgarh</v>
      </c>
      <c r="E476" s="15">
        <v>1200.0</v>
      </c>
      <c r="F476" s="16">
        <v>205.94</v>
      </c>
      <c r="G476" s="16">
        <v>0.0</v>
      </c>
      <c r="H476" s="16">
        <v>0.0</v>
      </c>
      <c r="I476" s="16">
        <v>0.0</v>
      </c>
      <c r="J476" s="16">
        <v>0.0</v>
      </c>
      <c r="K476" s="16">
        <v>325.84</v>
      </c>
      <c r="L476" s="16">
        <v>531.78</v>
      </c>
      <c r="M476" s="16">
        <v>472.213</v>
      </c>
      <c r="N476" s="16">
        <v>448.88</v>
      </c>
      <c r="O476" s="24">
        <v>28.5</v>
      </c>
      <c r="P476" s="18">
        <f t="shared" si="1"/>
        <v>531.78</v>
      </c>
    </row>
    <row r="477" ht="15.75" customHeight="1">
      <c r="A477" s="19" t="s">
        <v>207</v>
      </c>
      <c r="B477" s="19" t="s">
        <v>133</v>
      </c>
      <c r="C477" s="20" t="s">
        <v>142</v>
      </c>
      <c r="D477" s="14" t="str">
        <f>VLOOKUP(C477,'State Key'!$A$2:$B$210,2,False)</f>
        <v>Maharashtra</v>
      </c>
      <c r="E477" s="21">
        <v>270.0</v>
      </c>
      <c r="F477" s="22">
        <v>57.764</v>
      </c>
      <c r="G477" s="22">
        <v>0.0</v>
      </c>
      <c r="H477" s="22">
        <v>0.0</v>
      </c>
      <c r="I477" s="22">
        <v>0.0</v>
      </c>
      <c r="J477" s="22">
        <v>0.0</v>
      </c>
      <c r="K477" s="22">
        <v>6.524</v>
      </c>
      <c r="L477" s="22">
        <v>64.288</v>
      </c>
      <c r="M477" s="22">
        <v>84.429</v>
      </c>
      <c r="N477" s="22">
        <v>39.68</v>
      </c>
      <c r="O477" s="24">
        <v>14.1</v>
      </c>
      <c r="P477" s="18">
        <f t="shared" si="1"/>
        <v>64.288</v>
      </c>
    </row>
    <row r="478" ht="15.75" customHeight="1">
      <c r="A478" s="13" t="s">
        <v>207</v>
      </c>
      <c r="B478" s="13" t="s">
        <v>133</v>
      </c>
      <c r="C478" s="14" t="s">
        <v>143</v>
      </c>
      <c r="D478" s="14" t="str">
        <f>VLOOKUP(C478,'State Key'!$A$2:$B$210,2,False)</f>
        <v>Chhattisgarh</v>
      </c>
      <c r="E478" s="15">
        <v>500.0</v>
      </c>
      <c r="F478" s="16">
        <v>251.828</v>
      </c>
      <c r="G478" s="16">
        <v>8.248</v>
      </c>
      <c r="H478" s="16">
        <v>0.0</v>
      </c>
      <c r="I478" s="16">
        <v>0.0</v>
      </c>
      <c r="J478" s="16">
        <v>0.0</v>
      </c>
      <c r="K478" s="16">
        <v>0.0</v>
      </c>
      <c r="L478" s="16">
        <v>260.076</v>
      </c>
      <c r="M478" s="16">
        <v>235.626</v>
      </c>
      <c r="N478" s="16">
        <v>165.59</v>
      </c>
      <c r="O478" s="24">
        <v>21.1</v>
      </c>
      <c r="P478" s="18">
        <f t="shared" si="1"/>
        <v>260.076</v>
      </c>
    </row>
    <row r="479" ht="15.75" customHeight="1">
      <c r="A479" s="19" t="s">
        <v>207</v>
      </c>
      <c r="B479" s="19" t="s">
        <v>133</v>
      </c>
      <c r="C479" s="20" t="s">
        <v>144</v>
      </c>
      <c r="D479" s="14" t="str">
        <f>VLOOKUP(C479,'State Key'!$A$2:$B$210,2,False)</f>
        <v>Maharashtra</v>
      </c>
      <c r="E479" s="21">
        <v>1210.0</v>
      </c>
      <c r="F479" s="22">
        <v>606.516</v>
      </c>
      <c r="G479" s="22">
        <v>0.0</v>
      </c>
      <c r="H479" s="22">
        <v>0.0</v>
      </c>
      <c r="I479" s="22">
        <v>15.61</v>
      </c>
      <c r="J479" s="22">
        <v>0.0</v>
      </c>
      <c r="K479" s="22">
        <v>0.0</v>
      </c>
      <c r="L479" s="22">
        <v>622.126</v>
      </c>
      <c r="M479" s="22">
        <v>550.013</v>
      </c>
      <c r="N479" s="22">
        <v>266.3699</v>
      </c>
      <c r="O479" s="24">
        <v>14.5</v>
      </c>
      <c r="P479" s="18">
        <f t="shared" si="1"/>
        <v>622.126</v>
      </c>
    </row>
    <row r="480" ht="15.75" customHeight="1">
      <c r="A480" s="13" t="s">
        <v>207</v>
      </c>
      <c r="B480" s="13" t="s">
        <v>133</v>
      </c>
      <c r="C480" s="14" t="s">
        <v>145</v>
      </c>
      <c r="D480" s="14" t="str">
        <f>VLOOKUP(C480,'State Key'!$A$2:$B$210,2,False)</f>
        <v>Madhya Pradesh</v>
      </c>
      <c r="E480" s="15">
        <v>500.0</v>
      </c>
      <c r="F480" s="16">
        <v>143.07</v>
      </c>
      <c r="G480" s="16">
        <v>0.0</v>
      </c>
      <c r="H480" s="16">
        <v>0.0</v>
      </c>
      <c r="I480" s="16">
        <v>0.0</v>
      </c>
      <c r="J480" s="16">
        <v>0.0</v>
      </c>
      <c r="K480" s="16">
        <v>0.0</v>
      </c>
      <c r="L480" s="16">
        <v>143.07</v>
      </c>
      <c r="M480" s="16">
        <v>197.44</v>
      </c>
      <c r="N480" s="16">
        <v>153.96</v>
      </c>
      <c r="O480" s="24">
        <v>23.4</v>
      </c>
      <c r="P480" s="18">
        <f t="shared" si="1"/>
        <v>143.07</v>
      </c>
    </row>
    <row r="481" ht="15.75" customHeight="1">
      <c r="A481" s="19" t="s">
        <v>207</v>
      </c>
      <c r="B481" s="19" t="s">
        <v>133</v>
      </c>
      <c r="C481" s="20" t="s">
        <v>146</v>
      </c>
      <c r="D481" s="14" t="str">
        <f>VLOOKUP(C481,'State Key'!$A$2:$B$210,2,False)</f>
        <v>Chhattisgarh</v>
      </c>
      <c r="E481" s="21">
        <v>600.0</v>
      </c>
      <c r="F481" s="22">
        <v>76.086</v>
      </c>
      <c r="G481" s="22">
        <v>0.0</v>
      </c>
      <c r="H481" s="22">
        <v>0.0</v>
      </c>
      <c r="I481" s="22">
        <v>0.0</v>
      </c>
      <c r="J481" s="22">
        <v>0.0</v>
      </c>
      <c r="K481" s="22">
        <v>125.105</v>
      </c>
      <c r="L481" s="22">
        <v>201.191</v>
      </c>
      <c r="M481" s="22">
        <v>161.528</v>
      </c>
      <c r="N481" s="22">
        <v>141.95</v>
      </c>
      <c r="O481" s="24">
        <v>26.4</v>
      </c>
      <c r="P481" s="18">
        <f t="shared" si="1"/>
        <v>201.191</v>
      </c>
    </row>
    <row r="482" ht="15.75" customHeight="1">
      <c r="A482" s="13" t="s">
        <v>207</v>
      </c>
      <c r="B482" s="13" t="s">
        <v>133</v>
      </c>
      <c r="C482" s="14" t="s">
        <v>147</v>
      </c>
      <c r="D482" s="14" t="str">
        <f>VLOOKUP(C482,'State Key'!$A$2:$B$210,2,False)</f>
        <v>Maharashtra</v>
      </c>
      <c r="E482" s="15">
        <v>600.0</v>
      </c>
      <c r="F482" s="16">
        <v>0.0</v>
      </c>
      <c r="G482" s="16">
        <v>0.0</v>
      </c>
      <c r="H482" s="16">
        <v>0.0</v>
      </c>
      <c r="I482" s="16">
        <v>0.0</v>
      </c>
      <c r="J482" s="16">
        <v>0.0</v>
      </c>
      <c r="K482" s="16">
        <v>0.0</v>
      </c>
      <c r="L482" s="16">
        <v>0.0</v>
      </c>
      <c r="M482" s="16">
        <v>0.0</v>
      </c>
      <c r="N482" s="16">
        <v>0.0</v>
      </c>
      <c r="O482" s="13" t="s">
        <v>58</v>
      </c>
      <c r="P482" s="18">
        <f t="shared" si="1"/>
        <v>0</v>
      </c>
    </row>
    <row r="483" ht="15.75" customHeight="1">
      <c r="A483" s="19" t="s">
        <v>207</v>
      </c>
      <c r="B483" s="19" t="s">
        <v>133</v>
      </c>
      <c r="C483" s="20" t="s">
        <v>148</v>
      </c>
      <c r="D483" s="14" t="str">
        <f>VLOOKUP(C483,'State Key'!$A$2:$B$210,2,False)</f>
        <v>Chhattisgarh</v>
      </c>
      <c r="E483" s="21">
        <v>30.0</v>
      </c>
      <c r="F483" s="22">
        <v>0.0</v>
      </c>
      <c r="G483" s="22">
        <v>0.0</v>
      </c>
      <c r="H483" s="22">
        <v>0.0</v>
      </c>
      <c r="I483" s="22">
        <v>0.0</v>
      </c>
      <c r="J483" s="22">
        <v>60.205</v>
      </c>
      <c r="K483" s="22">
        <v>0.0</v>
      </c>
      <c r="L483" s="22">
        <v>60.205</v>
      </c>
      <c r="M483" s="22">
        <v>62.002</v>
      </c>
      <c r="N483" s="22">
        <v>32.633</v>
      </c>
      <c r="O483" s="24">
        <v>15.8</v>
      </c>
      <c r="P483" s="18">
        <f t="shared" si="1"/>
        <v>60.205</v>
      </c>
    </row>
    <row r="484" ht="15.75" customHeight="1">
      <c r="A484" s="13" t="s">
        <v>207</v>
      </c>
      <c r="B484" s="13" t="s">
        <v>133</v>
      </c>
      <c r="C484" s="14" t="s">
        <v>149</v>
      </c>
      <c r="D484" s="14" t="str">
        <f>VLOOKUP(C484,'State Key'!$A$2:$B$210,2,False)</f>
        <v>Maharashtra</v>
      </c>
      <c r="E484" s="15">
        <v>2920.0</v>
      </c>
      <c r="F484" s="16">
        <v>1023.135</v>
      </c>
      <c r="G484" s="16">
        <v>63.689</v>
      </c>
      <c r="H484" s="16">
        <v>0.0</v>
      </c>
      <c r="I484" s="16">
        <v>91.19</v>
      </c>
      <c r="J484" s="16">
        <v>0.0</v>
      </c>
      <c r="K484" s="16">
        <v>0.0</v>
      </c>
      <c r="L484" s="16">
        <v>1178.014</v>
      </c>
      <c r="M484" s="16">
        <v>1024.77</v>
      </c>
      <c r="N484" s="16">
        <v>469.77</v>
      </c>
      <c r="O484" s="23">
        <v>13.8</v>
      </c>
      <c r="P484" s="18">
        <f t="shared" si="1"/>
        <v>1178.014</v>
      </c>
    </row>
    <row r="485" ht="15.75" customHeight="1">
      <c r="A485" s="19" t="s">
        <v>207</v>
      </c>
      <c r="B485" s="19" t="s">
        <v>133</v>
      </c>
      <c r="C485" s="20" t="s">
        <v>150</v>
      </c>
      <c r="D485" s="14" t="str">
        <f>VLOOKUP(C485,'State Key'!$A$2:$B$210,2,False)</f>
        <v>Maharashtra</v>
      </c>
      <c r="E485" s="21">
        <v>500.0</v>
      </c>
      <c r="F485" s="22">
        <v>187.446</v>
      </c>
      <c r="G485" s="22">
        <v>0.0</v>
      </c>
      <c r="H485" s="22">
        <v>0.0</v>
      </c>
      <c r="I485" s="22">
        <v>0.0</v>
      </c>
      <c r="J485" s="22">
        <v>0.0</v>
      </c>
      <c r="K485" s="22">
        <v>0.0</v>
      </c>
      <c r="L485" s="22">
        <v>187.446</v>
      </c>
      <c r="M485" s="22">
        <v>185.443</v>
      </c>
      <c r="N485" s="22">
        <v>4.46</v>
      </c>
      <c r="O485" s="17">
        <v>0.7</v>
      </c>
      <c r="P485" s="18">
        <f t="shared" si="1"/>
        <v>187.446</v>
      </c>
    </row>
    <row r="486" ht="15.75" customHeight="1">
      <c r="A486" s="13" t="s">
        <v>207</v>
      </c>
      <c r="B486" s="13" t="s">
        <v>133</v>
      </c>
      <c r="C486" s="14" t="s">
        <v>151</v>
      </c>
      <c r="D486" s="14" t="str">
        <f>VLOOKUP(C486,'State Key'!$A$2:$B$210,2,False)</f>
        <v>Maharashtra</v>
      </c>
      <c r="E486" s="15">
        <v>600.0</v>
      </c>
      <c r="F486" s="16">
        <v>251.694</v>
      </c>
      <c r="G486" s="16">
        <v>0.0</v>
      </c>
      <c r="H486" s="16">
        <v>0.0</v>
      </c>
      <c r="I486" s="16">
        <v>0.0</v>
      </c>
      <c r="J486" s="16">
        <v>0.0</v>
      </c>
      <c r="K486" s="16">
        <v>25.018</v>
      </c>
      <c r="L486" s="16">
        <v>276.712</v>
      </c>
      <c r="M486" s="16">
        <v>267.271</v>
      </c>
      <c r="N486" s="16">
        <v>9.44</v>
      </c>
      <c r="O486" s="17">
        <v>1.1</v>
      </c>
      <c r="P486" s="18">
        <f t="shared" si="1"/>
        <v>276.712</v>
      </c>
    </row>
    <row r="487" ht="15.75" customHeight="1">
      <c r="A487" s="19" t="s">
        <v>207</v>
      </c>
      <c r="B487" s="19" t="s">
        <v>133</v>
      </c>
      <c r="C487" s="20" t="s">
        <v>152</v>
      </c>
      <c r="D487" s="14" t="str">
        <f>VLOOKUP(C487,'State Key'!$A$2:$B$210,2,False)</f>
        <v>Chhattisgarh</v>
      </c>
      <c r="E487" s="21">
        <v>500.0</v>
      </c>
      <c r="F487" s="22">
        <v>203.08221</v>
      </c>
      <c r="G487" s="22">
        <v>0.0</v>
      </c>
      <c r="H487" s="22">
        <v>0.0</v>
      </c>
      <c r="I487" s="22">
        <v>0.0</v>
      </c>
      <c r="J487" s="22">
        <v>0.0</v>
      </c>
      <c r="K487" s="22">
        <v>0.0</v>
      </c>
      <c r="L487" s="22">
        <v>203.08221</v>
      </c>
      <c r="M487" s="22">
        <v>253.22</v>
      </c>
      <c r="N487" s="22">
        <v>210.62</v>
      </c>
      <c r="O487" s="24">
        <v>25.0</v>
      </c>
      <c r="P487" s="18">
        <f t="shared" si="1"/>
        <v>203.08221</v>
      </c>
    </row>
    <row r="488" ht="15.75" customHeight="1">
      <c r="A488" s="13" t="s">
        <v>207</v>
      </c>
      <c r="B488" s="13" t="s">
        <v>133</v>
      </c>
      <c r="C488" s="14" t="s">
        <v>153</v>
      </c>
      <c r="D488" s="14" t="str">
        <f>VLOOKUP(C488,'State Key'!$A$2:$B$210,2,False)</f>
        <v>Madhya Pradesh</v>
      </c>
      <c r="E488" s="15">
        <v>1600.0</v>
      </c>
      <c r="F488" s="16">
        <v>286.54</v>
      </c>
      <c r="G488" s="16">
        <v>0.0</v>
      </c>
      <c r="H488" s="16">
        <v>102.08</v>
      </c>
      <c r="I488" s="16">
        <v>12.17</v>
      </c>
      <c r="J488" s="16">
        <v>0.0</v>
      </c>
      <c r="K488" s="16">
        <v>0.0</v>
      </c>
      <c r="L488" s="16">
        <v>400.79</v>
      </c>
      <c r="M488" s="16">
        <v>490.265</v>
      </c>
      <c r="N488" s="16">
        <v>278.446</v>
      </c>
      <c r="O488" s="24">
        <v>17.0</v>
      </c>
      <c r="P488" s="18">
        <f t="shared" si="1"/>
        <v>400.79</v>
      </c>
    </row>
    <row r="489" ht="15.75" customHeight="1">
      <c r="A489" s="19" t="s">
        <v>207</v>
      </c>
      <c r="B489" s="19" t="s">
        <v>133</v>
      </c>
      <c r="C489" s="20" t="s">
        <v>154</v>
      </c>
      <c r="D489" s="14" t="str">
        <f>VLOOKUP(C489,'State Key'!$A$2:$B$210,2,False)</f>
        <v>Gujarat</v>
      </c>
      <c r="E489" s="21">
        <v>630.0</v>
      </c>
      <c r="F489" s="22">
        <v>220.019</v>
      </c>
      <c r="G489" s="22">
        <v>0.0</v>
      </c>
      <c r="H489" s="22">
        <v>0.0</v>
      </c>
      <c r="I489" s="22">
        <v>0.0</v>
      </c>
      <c r="J489" s="22">
        <v>0.0</v>
      </c>
      <c r="K489" s="22">
        <v>0.0</v>
      </c>
      <c r="L489" s="22">
        <v>220.019</v>
      </c>
      <c r="M489" s="22">
        <v>174.762</v>
      </c>
      <c r="N489" s="22">
        <v>173.87</v>
      </c>
      <c r="O489" s="24">
        <v>29.8</v>
      </c>
      <c r="P489" s="18">
        <f t="shared" si="1"/>
        <v>220.019</v>
      </c>
    </row>
    <row r="490" ht="15.75" customHeight="1">
      <c r="A490" s="13" t="s">
        <v>207</v>
      </c>
      <c r="B490" s="13" t="s">
        <v>133</v>
      </c>
      <c r="C490" s="14" t="s">
        <v>155</v>
      </c>
      <c r="D490" s="14" t="str">
        <f>VLOOKUP(C490,'State Key'!$A$2:$B$210,2,False)</f>
        <v>Maharashtra</v>
      </c>
      <c r="E490" s="15">
        <v>120.0</v>
      </c>
      <c r="F490" s="16">
        <v>0.0</v>
      </c>
      <c r="G490" s="16">
        <v>0.0</v>
      </c>
      <c r="H490" s="16">
        <v>0.0</v>
      </c>
      <c r="I490" s="16">
        <v>0.0</v>
      </c>
      <c r="J490" s="16">
        <v>0.0</v>
      </c>
      <c r="K490" s="16">
        <v>0.0</v>
      </c>
      <c r="L490" s="16">
        <v>0.0</v>
      </c>
      <c r="M490" s="16">
        <v>0.0</v>
      </c>
      <c r="N490" s="16">
        <v>0.0</v>
      </c>
      <c r="O490" s="13" t="s">
        <v>58</v>
      </c>
      <c r="P490" s="18">
        <f t="shared" si="1"/>
        <v>0</v>
      </c>
    </row>
    <row r="491" ht="15.75" customHeight="1">
      <c r="A491" s="19" t="s">
        <v>207</v>
      </c>
      <c r="B491" s="19" t="s">
        <v>133</v>
      </c>
      <c r="C491" s="20" t="s">
        <v>156</v>
      </c>
      <c r="D491" s="14" t="str">
        <f>VLOOKUP(C491,'State Key'!$A$2:$B$210,2,False)</f>
        <v>Maharashtra</v>
      </c>
      <c r="E491" s="21">
        <v>600.0</v>
      </c>
      <c r="F491" s="22">
        <v>193.444</v>
      </c>
      <c r="G491" s="22">
        <v>0.0</v>
      </c>
      <c r="H491" s="22">
        <v>0.0</v>
      </c>
      <c r="I491" s="22">
        <v>0.0</v>
      </c>
      <c r="J491" s="22">
        <v>0.0</v>
      </c>
      <c r="K491" s="22">
        <v>75.892</v>
      </c>
      <c r="L491" s="22">
        <v>269.336</v>
      </c>
      <c r="M491" s="22">
        <v>247.062</v>
      </c>
      <c r="N491" s="22">
        <v>62.34</v>
      </c>
      <c r="O491" s="23">
        <v>7.6</v>
      </c>
      <c r="P491" s="18">
        <f t="shared" si="1"/>
        <v>269.336</v>
      </c>
    </row>
    <row r="492" ht="15.75" customHeight="1">
      <c r="A492" s="13" t="s">
        <v>207</v>
      </c>
      <c r="B492" s="13" t="s">
        <v>133</v>
      </c>
      <c r="C492" s="14" t="s">
        <v>157</v>
      </c>
      <c r="D492" s="14" t="str">
        <f>VLOOKUP(C492,'State Key'!$A$2:$B$210,2,False)</f>
        <v>Maharashtra</v>
      </c>
      <c r="E492" s="15">
        <v>300.0</v>
      </c>
      <c r="F492" s="16">
        <v>0.0</v>
      </c>
      <c r="G492" s="16">
        <v>0.0</v>
      </c>
      <c r="H492" s="16">
        <v>0.0</v>
      </c>
      <c r="I492" s="16">
        <v>50.0</v>
      </c>
      <c r="J492" s="16">
        <v>0.0</v>
      </c>
      <c r="K492" s="16">
        <v>0.0</v>
      </c>
      <c r="L492" s="16">
        <v>50.0</v>
      </c>
      <c r="M492" s="16">
        <v>67.838</v>
      </c>
      <c r="N492" s="16">
        <v>44.27</v>
      </c>
      <c r="O492" s="24">
        <v>19.6</v>
      </c>
      <c r="P492" s="18">
        <f t="shared" si="1"/>
        <v>50</v>
      </c>
    </row>
    <row r="493" ht="15.75" customHeight="1">
      <c r="A493" s="19" t="s">
        <v>207</v>
      </c>
      <c r="B493" s="19" t="s">
        <v>133</v>
      </c>
      <c r="C493" s="20" t="s">
        <v>158</v>
      </c>
      <c r="D493" s="14" t="str">
        <f>VLOOKUP(C493,'State Key'!$A$2:$B$210,2,False)</f>
        <v>Chhattisgarh</v>
      </c>
      <c r="E493" s="21">
        <v>270.0</v>
      </c>
      <c r="F493" s="22">
        <v>45.3504</v>
      </c>
      <c r="G493" s="22">
        <v>0.0</v>
      </c>
      <c r="H493" s="22">
        <v>0.0</v>
      </c>
      <c r="I493" s="22">
        <v>0.0</v>
      </c>
      <c r="J493" s="22">
        <v>142.8287</v>
      </c>
      <c r="K493" s="22">
        <v>0.0</v>
      </c>
      <c r="L493" s="22">
        <v>188.1791</v>
      </c>
      <c r="M493" s="22">
        <v>167.55</v>
      </c>
      <c r="N493" s="22">
        <v>71.33</v>
      </c>
      <c r="O493" s="23">
        <v>12.8</v>
      </c>
      <c r="P493" s="18">
        <f t="shared" si="1"/>
        <v>188.1791</v>
      </c>
    </row>
    <row r="494" ht="15.75" customHeight="1">
      <c r="A494" s="13" t="s">
        <v>207</v>
      </c>
      <c r="B494" s="13" t="s">
        <v>133</v>
      </c>
      <c r="C494" s="14" t="s">
        <v>159</v>
      </c>
      <c r="D494" s="14" t="str">
        <f>VLOOKUP(C494,'State Key'!$A$2:$B$210,2,False)</f>
        <v>Chhattisgarh</v>
      </c>
      <c r="E494" s="15">
        <v>35.0</v>
      </c>
      <c r="F494" s="16">
        <v>0.0</v>
      </c>
      <c r="G494" s="16">
        <v>0.0</v>
      </c>
      <c r="H494" s="16">
        <v>0.0</v>
      </c>
      <c r="I494" s="16">
        <v>0.0</v>
      </c>
      <c r="J494" s="16">
        <v>0.0</v>
      </c>
      <c r="K494" s="16">
        <v>0.0</v>
      </c>
      <c r="L494" s="16">
        <v>0.0</v>
      </c>
      <c r="M494" s="16">
        <v>0.0</v>
      </c>
      <c r="N494" s="16">
        <v>0.0</v>
      </c>
      <c r="O494" s="13" t="s">
        <v>58</v>
      </c>
      <c r="P494" s="18">
        <f t="shared" si="1"/>
        <v>0</v>
      </c>
    </row>
    <row r="495" ht="15.75" customHeight="1">
      <c r="A495" s="19" t="s">
        <v>207</v>
      </c>
      <c r="B495" s="19" t="s">
        <v>133</v>
      </c>
      <c r="C495" s="20" t="s">
        <v>160</v>
      </c>
      <c r="D495" s="14" t="str">
        <f>VLOOKUP(C495,'State Key'!$A$2:$B$210,2,False)</f>
        <v>Maharashtra</v>
      </c>
      <c r="E495" s="21">
        <v>1340.0</v>
      </c>
      <c r="F495" s="22">
        <v>440.356</v>
      </c>
      <c r="G495" s="22">
        <v>0.0</v>
      </c>
      <c r="H495" s="22">
        <v>0.0</v>
      </c>
      <c r="I495" s="22">
        <v>49.872</v>
      </c>
      <c r="J495" s="22">
        <v>0.0</v>
      </c>
      <c r="K495" s="22">
        <v>0.0</v>
      </c>
      <c r="L495" s="22">
        <v>490.228</v>
      </c>
      <c r="M495" s="22">
        <v>564.954</v>
      </c>
      <c r="N495" s="22">
        <v>406.13</v>
      </c>
      <c r="O495" s="24">
        <v>21.6</v>
      </c>
      <c r="P495" s="18">
        <f t="shared" si="1"/>
        <v>490.228</v>
      </c>
    </row>
    <row r="496" ht="15.75" customHeight="1">
      <c r="A496" s="13" t="s">
        <v>207</v>
      </c>
      <c r="B496" s="13" t="s">
        <v>133</v>
      </c>
      <c r="C496" s="14" t="s">
        <v>161</v>
      </c>
      <c r="D496" s="14" t="str">
        <f>VLOOKUP(C496,'State Key'!$A$2:$B$210,2,False)</f>
        <v>Madhya Pradesh</v>
      </c>
      <c r="E496" s="15">
        <v>1320.0</v>
      </c>
      <c r="F496" s="16">
        <v>119.03</v>
      </c>
      <c r="G496" s="16">
        <v>0.0</v>
      </c>
      <c r="H496" s="16">
        <v>44.42</v>
      </c>
      <c r="I496" s="16">
        <v>65.14</v>
      </c>
      <c r="J496" s="16">
        <v>0.0</v>
      </c>
      <c r="K496" s="16">
        <v>0.0</v>
      </c>
      <c r="L496" s="16">
        <v>228.59</v>
      </c>
      <c r="M496" s="16">
        <v>199.703</v>
      </c>
      <c r="N496" s="16">
        <v>295.395</v>
      </c>
      <c r="O496" s="24">
        <v>44.4</v>
      </c>
      <c r="P496" s="18">
        <f t="shared" si="1"/>
        <v>228.59</v>
      </c>
    </row>
    <row r="497" ht="15.75" customHeight="1">
      <c r="A497" s="19" t="s">
        <v>207</v>
      </c>
      <c r="B497" s="19" t="s">
        <v>133</v>
      </c>
      <c r="C497" s="20" t="s">
        <v>162</v>
      </c>
      <c r="D497" s="14" t="str">
        <f>VLOOKUP(C497,'State Key'!$A$2:$B$210,2,False)</f>
        <v>Maharashtra</v>
      </c>
      <c r="E497" s="21">
        <v>2190.0</v>
      </c>
      <c r="F497" s="22">
        <v>745.959</v>
      </c>
      <c r="G497" s="22">
        <v>58.491</v>
      </c>
      <c r="H497" s="22">
        <v>0.0</v>
      </c>
      <c r="I497" s="22">
        <v>0.0</v>
      </c>
      <c r="J497" s="22">
        <v>0.0</v>
      </c>
      <c r="K497" s="22">
        <v>0.0</v>
      </c>
      <c r="L497" s="22">
        <v>804.45</v>
      </c>
      <c r="M497" s="22">
        <v>867.569</v>
      </c>
      <c r="N497" s="22">
        <v>215.49</v>
      </c>
      <c r="O497" s="23">
        <v>7.5</v>
      </c>
      <c r="P497" s="18">
        <f t="shared" si="1"/>
        <v>804.45</v>
      </c>
    </row>
    <row r="498" ht="15.75" customHeight="1">
      <c r="A498" s="13" t="s">
        <v>207</v>
      </c>
      <c r="B498" s="13" t="s">
        <v>133</v>
      </c>
      <c r="C498" s="14" t="s">
        <v>163</v>
      </c>
      <c r="D498" s="14" t="str">
        <f>VLOOKUP(C498,'State Key'!$A$2:$B$210,2,False)</f>
        <v>Chhattisgarh</v>
      </c>
      <c r="E498" s="15">
        <v>2600.0</v>
      </c>
      <c r="F498" s="16">
        <v>1167.68</v>
      </c>
      <c r="G498" s="16">
        <v>0.0</v>
      </c>
      <c r="H498" s="16">
        <v>0.0</v>
      </c>
      <c r="I498" s="16">
        <v>0.0</v>
      </c>
      <c r="J498" s="16">
        <v>0.0</v>
      </c>
      <c r="K498" s="16">
        <v>0.0</v>
      </c>
      <c r="L498" s="16">
        <v>1167.68</v>
      </c>
      <c r="M498" s="16">
        <v>1094.061</v>
      </c>
      <c r="N498" s="16">
        <v>422.121</v>
      </c>
      <c r="O498" s="23">
        <v>11.6</v>
      </c>
      <c r="P498" s="18">
        <f t="shared" si="1"/>
        <v>1167.68</v>
      </c>
    </row>
    <row r="499" ht="15.75" customHeight="1">
      <c r="A499" s="19" t="s">
        <v>207</v>
      </c>
      <c r="B499" s="19" t="s">
        <v>133</v>
      </c>
      <c r="C499" s="20" t="s">
        <v>164</v>
      </c>
      <c r="D499" s="14" t="str">
        <f>VLOOKUP(C499,'State Key'!$A$2:$B$210,2,False)</f>
        <v>Chhattisgarh</v>
      </c>
      <c r="E499" s="21">
        <v>1340.0</v>
      </c>
      <c r="F499" s="22">
        <v>643.591</v>
      </c>
      <c r="G499" s="22">
        <v>0.0</v>
      </c>
      <c r="H499" s="22">
        <v>0.0</v>
      </c>
      <c r="I499" s="22">
        <v>0.0</v>
      </c>
      <c r="J499" s="22">
        <v>0.0</v>
      </c>
      <c r="K499" s="22">
        <v>0.0</v>
      </c>
      <c r="L499" s="22">
        <v>643.591</v>
      </c>
      <c r="M499" s="22">
        <v>549.381</v>
      </c>
      <c r="N499" s="22">
        <v>209.62</v>
      </c>
      <c r="O499" s="23">
        <v>11.4</v>
      </c>
      <c r="P499" s="18">
        <f t="shared" si="1"/>
        <v>643.591</v>
      </c>
    </row>
    <row r="500" ht="15.75" customHeight="1">
      <c r="A500" s="13" t="s">
        <v>207</v>
      </c>
      <c r="B500" s="13" t="s">
        <v>133</v>
      </c>
      <c r="C500" s="14" t="s">
        <v>165</v>
      </c>
      <c r="D500" s="14" t="str">
        <f>VLOOKUP(C500,'State Key'!$A$2:$B$210,2,False)</f>
        <v>Chhattisgarh</v>
      </c>
      <c r="E500" s="15">
        <v>1600.0</v>
      </c>
      <c r="F500" s="16">
        <v>11.0</v>
      </c>
      <c r="G500" s="16">
        <v>0.0</v>
      </c>
      <c r="H500" s="16">
        <v>722.78</v>
      </c>
      <c r="I500" s="16">
        <v>0.0</v>
      </c>
      <c r="J500" s="16">
        <v>0.0</v>
      </c>
      <c r="K500" s="16">
        <v>0.0</v>
      </c>
      <c r="L500" s="16">
        <v>733.78</v>
      </c>
      <c r="M500" s="16">
        <v>699.773</v>
      </c>
      <c r="N500" s="16">
        <v>333.559</v>
      </c>
      <c r="O500" s="24">
        <v>14.3</v>
      </c>
      <c r="P500" s="18">
        <f t="shared" si="1"/>
        <v>733.78</v>
      </c>
    </row>
    <row r="501" ht="15.75" customHeight="1">
      <c r="A501" s="19" t="s">
        <v>207</v>
      </c>
      <c r="B501" s="19" t="s">
        <v>133</v>
      </c>
      <c r="C501" s="20" t="s">
        <v>166</v>
      </c>
      <c r="D501" s="14" t="str">
        <f>VLOOKUP(C501,'State Key'!$A$2:$B$210,2,False)</f>
        <v>Madhya Pradesh</v>
      </c>
      <c r="E501" s="21">
        <v>1200.0</v>
      </c>
      <c r="F501" s="22">
        <v>399.743</v>
      </c>
      <c r="G501" s="22">
        <v>0.0</v>
      </c>
      <c r="H501" s="22">
        <v>0.0</v>
      </c>
      <c r="I501" s="22">
        <v>0.0</v>
      </c>
      <c r="J501" s="22">
        <v>0.0</v>
      </c>
      <c r="K501" s="22">
        <v>0.0</v>
      </c>
      <c r="L501" s="22">
        <v>399.743</v>
      </c>
      <c r="M501" s="22">
        <v>358.024</v>
      </c>
      <c r="N501" s="22">
        <v>303.46</v>
      </c>
      <c r="O501" s="24">
        <v>25.4</v>
      </c>
      <c r="P501" s="18">
        <f t="shared" si="1"/>
        <v>399.743</v>
      </c>
    </row>
    <row r="502" ht="15.75" customHeight="1">
      <c r="A502" s="13" t="s">
        <v>207</v>
      </c>
      <c r="B502" s="13" t="s">
        <v>133</v>
      </c>
      <c r="C502" s="14" t="s">
        <v>167</v>
      </c>
      <c r="D502" s="14" t="str">
        <f>VLOOKUP(C502,'State Key'!$A$2:$B$210,2,False)</f>
        <v>Chhattisgarh</v>
      </c>
      <c r="E502" s="15">
        <v>1000.0</v>
      </c>
      <c r="F502" s="16">
        <v>199.604</v>
      </c>
      <c r="G502" s="16">
        <v>0.0</v>
      </c>
      <c r="H502" s="16">
        <v>287.945</v>
      </c>
      <c r="I502" s="16">
        <v>0.0</v>
      </c>
      <c r="J502" s="16">
        <v>0.0</v>
      </c>
      <c r="K502" s="16">
        <v>0.0</v>
      </c>
      <c r="L502" s="16">
        <v>487.549</v>
      </c>
      <c r="M502" s="16">
        <v>458.905</v>
      </c>
      <c r="N502" s="16">
        <v>443.12</v>
      </c>
      <c r="O502" s="24">
        <v>29.0</v>
      </c>
      <c r="P502" s="18">
        <f t="shared" si="1"/>
        <v>487.549</v>
      </c>
    </row>
    <row r="503" ht="15.75" customHeight="1">
      <c r="A503" s="19" t="s">
        <v>207</v>
      </c>
      <c r="B503" s="19" t="s">
        <v>133</v>
      </c>
      <c r="C503" s="20" t="s">
        <v>168</v>
      </c>
      <c r="D503" s="14" t="str">
        <f>VLOOKUP(C503,'State Key'!$A$2:$B$210,2,False)</f>
        <v>Maharashtra</v>
      </c>
      <c r="E503" s="21">
        <v>2320.0</v>
      </c>
      <c r="F503" s="22">
        <v>573.44</v>
      </c>
      <c r="G503" s="22">
        <v>8.12</v>
      </c>
      <c r="H503" s="22">
        <v>18.99</v>
      </c>
      <c r="I503" s="22">
        <v>56.567</v>
      </c>
      <c r="J503" s="22">
        <v>0.0</v>
      </c>
      <c r="K503" s="22">
        <v>0.0</v>
      </c>
      <c r="L503" s="22">
        <v>657.117</v>
      </c>
      <c r="M503" s="22">
        <v>767.243</v>
      </c>
      <c r="N503" s="22">
        <v>576.001</v>
      </c>
      <c r="O503" s="24">
        <v>22.5</v>
      </c>
      <c r="P503" s="18">
        <f t="shared" si="1"/>
        <v>657.117</v>
      </c>
    </row>
    <row r="504" ht="15.75" customHeight="1">
      <c r="A504" s="13" t="s">
        <v>207</v>
      </c>
      <c r="B504" s="13" t="s">
        <v>133</v>
      </c>
      <c r="C504" s="14" t="s">
        <v>169</v>
      </c>
      <c r="D504" s="14" t="str">
        <f>VLOOKUP(C504,'State Key'!$A$2:$B$210,2,False)</f>
        <v>Madhya Pradesh</v>
      </c>
      <c r="E504" s="15">
        <v>246.0</v>
      </c>
      <c r="F504" s="16">
        <v>0.0</v>
      </c>
      <c r="G504" s="16">
        <v>0.0</v>
      </c>
      <c r="H504" s="16">
        <v>0.0</v>
      </c>
      <c r="I504" s="16">
        <v>0.0</v>
      </c>
      <c r="J504" s="16">
        <v>0.0</v>
      </c>
      <c r="K504" s="16">
        <v>0.0</v>
      </c>
      <c r="L504" s="16">
        <v>0.0</v>
      </c>
      <c r="M504" s="16">
        <v>0.0</v>
      </c>
      <c r="N504" s="16">
        <v>0.0</v>
      </c>
      <c r="O504" s="13" t="s">
        <v>58</v>
      </c>
      <c r="P504" s="18">
        <f t="shared" si="1"/>
        <v>0</v>
      </c>
    </row>
    <row r="505" ht="15.75" customHeight="1">
      <c r="A505" s="19" t="s">
        <v>207</v>
      </c>
      <c r="B505" s="19" t="s">
        <v>133</v>
      </c>
      <c r="C505" s="20" t="s">
        <v>170</v>
      </c>
      <c r="D505" s="14" t="str">
        <f>VLOOKUP(C505,'State Key'!$A$2:$B$210,2,False)</f>
        <v>Gujarat</v>
      </c>
      <c r="E505" s="21">
        <v>2640.0</v>
      </c>
      <c r="F505" s="22">
        <v>0.0</v>
      </c>
      <c r="G505" s="22">
        <v>0.0</v>
      </c>
      <c r="H505" s="22">
        <v>0.0</v>
      </c>
      <c r="I505" s="22">
        <v>3.721</v>
      </c>
      <c r="J505" s="22">
        <v>0.0</v>
      </c>
      <c r="K505" s="22">
        <v>0.0</v>
      </c>
      <c r="L505" s="22">
        <v>3.721</v>
      </c>
      <c r="M505" s="22">
        <v>0.0</v>
      </c>
      <c r="N505" s="22">
        <v>19.769</v>
      </c>
      <c r="O505" s="19" t="s">
        <v>58</v>
      </c>
      <c r="P505" s="18">
        <f t="shared" si="1"/>
        <v>3.721</v>
      </c>
    </row>
    <row r="506" ht="15.75" customHeight="1">
      <c r="A506" s="13" t="s">
        <v>207</v>
      </c>
      <c r="B506" s="13" t="s">
        <v>133</v>
      </c>
      <c r="C506" s="14" t="s">
        <v>171</v>
      </c>
      <c r="D506" s="14" t="str">
        <f>VLOOKUP(C506,'State Key'!$A$2:$B$210,2,False)</f>
        <v>Gujarat</v>
      </c>
      <c r="E506" s="15">
        <v>1980.0</v>
      </c>
      <c r="F506" s="16">
        <v>0.0</v>
      </c>
      <c r="G506" s="16">
        <v>0.0</v>
      </c>
      <c r="H506" s="16">
        <v>0.0</v>
      </c>
      <c r="I506" s="16">
        <v>619.697</v>
      </c>
      <c r="J506" s="16">
        <v>0.0</v>
      </c>
      <c r="K506" s="16">
        <v>0.0</v>
      </c>
      <c r="L506" s="16">
        <v>619.697</v>
      </c>
      <c r="M506" s="16">
        <v>571.717</v>
      </c>
      <c r="N506" s="16">
        <v>105.75</v>
      </c>
      <c r="O506" s="17">
        <v>5.5</v>
      </c>
      <c r="P506" s="18">
        <f t="shared" si="1"/>
        <v>619.697</v>
      </c>
    </row>
    <row r="507" ht="15.75" customHeight="1">
      <c r="A507" s="19" t="s">
        <v>207</v>
      </c>
      <c r="B507" s="19" t="s">
        <v>133</v>
      </c>
      <c r="C507" s="20" t="s">
        <v>172</v>
      </c>
      <c r="D507" s="14" t="str">
        <f>VLOOKUP(C507,'State Key'!$A$2:$B$210,2,False)</f>
        <v>Gujarat</v>
      </c>
      <c r="E507" s="21">
        <v>4000.0</v>
      </c>
      <c r="F507" s="22">
        <v>0.0</v>
      </c>
      <c r="G507" s="22">
        <v>0.0</v>
      </c>
      <c r="H507" s="22">
        <v>0.0</v>
      </c>
      <c r="I507" s="22">
        <v>635.438</v>
      </c>
      <c r="J507" s="22">
        <v>0.0</v>
      </c>
      <c r="K507" s="22">
        <v>0.0</v>
      </c>
      <c r="L507" s="22">
        <v>635.438</v>
      </c>
      <c r="M507" s="22">
        <v>537.357</v>
      </c>
      <c r="N507" s="22">
        <v>448.17</v>
      </c>
      <c r="O507" s="24">
        <v>25.0</v>
      </c>
      <c r="P507" s="18">
        <f t="shared" si="1"/>
        <v>635.438</v>
      </c>
    </row>
    <row r="508" ht="15.75" customHeight="1">
      <c r="A508" s="13" t="s">
        <v>207</v>
      </c>
      <c r="B508" s="13" t="s">
        <v>133</v>
      </c>
      <c r="C508" s="14" t="s">
        <v>173</v>
      </c>
      <c r="D508" s="14" t="str">
        <f>VLOOKUP(C508,'State Key'!$A$2:$B$210,2,False)</f>
        <v>Maharashtra</v>
      </c>
      <c r="E508" s="15">
        <v>1350.0</v>
      </c>
      <c r="F508" s="16">
        <v>0.0</v>
      </c>
      <c r="G508" s="16">
        <v>0.0</v>
      </c>
      <c r="H508" s="16">
        <v>0.0</v>
      </c>
      <c r="I508" s="16">
        <v>0.0</v>
      </c>
      <c r="J508" s="16">
        <v>0.0</v>
      </c>
      <c r="K508" s="16">
        <v>0.0</v>
      </c>
      <c r="L508" s="16">
        <v>0.0</v>
      </c>
      <c r="M508" s="16">
        <v>0.0</v>
      </c>
      <c r="N508" s="16">
        <v>0.0</v>
      </c>
      <c r="O508" s="13" t="s">
        <v>58</v>
      </c>
      <c r="P508" s="18">
        <f t="shared" si="1"/>
        <v>0</v>
      </c>
    </row>
    <row r="509" ht="15.75" customHeight="1">
      <c r="A509" s="19" t="s">
        <v>207</v>
      </c>
      <c r="B509" s="19" t="s">
        <v>133</v>
      </c>
      <c r="C509" s="20" t="s">
        <v>174</v>
      </c>
      <c r="D509" s="14" t="str">
        <f>VLOOKUP(C509,'State Key'!$A$2:$B$210,2,False)</f>
        <v>Maharashtra</v>
      </c>
      <c r="E509" s="21">
        <v>630.0</v>
      </c>
      <c r="F509" s="22">
        <v>240.2785</v>
      </c>
      <c r="G509" s="22">
        <v>0.0</v>
      </c>
      <c r="H509" s="22">
        <v>0.0</v>
      </c>
      <c r="I509" s="22">
        <v>11.71245</v>
      </c>
      <c r="J509" s="22">
        <v>0.0</v>
      </c>
      <c r="K509" s="22">
        <v>0.0</v>
      </c>
      <c r="L509" s="22">
        <v>251.99095</v>
      </c>
      <c r="M509" s="22">
        <v>204.25</v>
      </c>
      <c r="N509" s="22">
        <v>124.88</v>
      </c>
      <c r="O509" s="24">
        <v>18.3</v>
      </c>
      <c r="P509" s="18">
        <f t="shared" si="1"/>
        <v>251.99095</v>
      </c>
    </row>
    <row r="510" ht="15.75" customHeight="1">
      <c r="A510" s="13" t="s">
        <v>207</v>
      </c>
      <c r="B510" s="13" t="s">
        <v>133</v>
      </c>
      <c r="C510" s="14" t="s">
        <v>175</v>
      </c>
      <c r="D510" s="14" t="str">
        <f>VLOOKUP(C510,'State Key'!$A$2:$B$210,2,False)</f>
        <v>Chhattisgarh</v>
      </c>
      <c r="E510" s="15">
        <v>600.0</v>
      </c>
      <c r="F510" s="16">
        <v>212.02</v>
      </c>
      <c r="G510" s="16">
        <v>0.0</v>
      </c>
      <c r="H510" s="16">
        <v>0.0</v>
      </c>
      <c r="I510" s="16">
        <v>0.0</v>
      </c>
      <c r="J510" s="16">
        <v>0.0</v>
      </c>
      <c r="K510" s="16">
        <v>0.0</v>
      </c>
      <c r="L510" s="16">
        <v>212.02</v>
      </c>
      <c r="M510" s="16">
        <v>219.96</v>
      </c>
      <c r="N510" s="16">
        <v>153.98</v>
      </c>
      <c r="O510" s="24">
        <v>21.0</v>
      </c>
      <c r="P510" s="18">
        <f t="shared" si="1"/>
        <v>212.02</v>
      </c>
    </row>
    <row r="511" ht="15.75" customHeight="1">
      <c r="A511" s="19" t="s">
        <v>207</v>
      </c>
      <c r="B511" s="19" t="s">
        <v>133</v>
      </c>
      <c r="C511" s="20" t="s">
        <v>176</v>
      </c>
      <c r="D511" s="14" t="str">
        <f>VLOOKUP(C511,'State Key'!$A$2:$B$210,2,False)</f>
        <v>Madhya Pradesh</v>
      </c>
      <c r="E511" s="21">
        <v>1320.0</v>
      </c>
      <c r="F511" s="22">
        <v>0.0</v>
      </c>
      <c r="G511" s="22">
        <v>0.0</v>
      </c>
      <c r="H511" s="22">
        <v>311.5065</v>
      </c>
      <c r="I511" s="22">
        <v>0.0</v>
      </c>
      <c r="J511" s="22">
        <v>0.0</v>
      </c>
      <c r="K511" s="22">
        <v>245.3178</v>
      </c>
      <c r="L511" s="22">
        <v>556.8243</v>
      </c>
      <c r="M511" s="22">
        <v>552.2101</v>
      </c>
      <c r="N511" s="22">
        <v>250.53</v>
      </c>
      <c r="O511" s="23">
        <v>13.6</v>
      </c>
      <c r="P511" s="18">
        <f t="shared" si="1"/>
        <v>556.8243</v>
      </c>
    </row>
    <row r="512" ht="15.75" customHeight="1">
      <c r="A512" s="13" t="s">
        <v>207</v>
      </c>
      <c r="B512" s="13" t="s">
        <v>133</v>
      </c>
      <c r="C512" s="14" t="s">
        <v>177</v>
      </c>
      <c r="D512" s="14" t="str">
        <f>VLOOKUP(C512,'State Key'!$A$2:$B$210,2,False)</f>
        <v>Madhya Pradesh</v>
      </c>
      <c r="E512" s="15">
        <v>90.0</v>
      </c>
      <c r="F512" s="16">
        <v>0.0</v>
      </c>
      <c r="G512" s="16">
        <v>0.0</v>
      </c>
      <c r="H512" s="16">
        <v>0.0</v>
      </c>
      <c r="I512" s="16">
        <v>0.0</v>
      </c>
      <c r="J512" s="16">
        <v>35.0</v>
      </c>
      <c r="K512" s="16">
        <v>0.0</v>
      </c>
      <c r="L512" s="16">
        <v>35.0</v>
      </c>
      <c r="M512" s="16">
        <v>35.0</v>
      </c>
      <c r="N512" s="16">
        <v>12.0</v>
      </c>
      <c r="O512" s="23">
        <v>10.3</v>
      </c>
      <c r="P512" s="18">
        <f t="shared" si="1"/>
        <v>35</v>
      </c>
    </row>
    <row r="513" ht="15.75" customHeight="1">
      <c r="A513" s="19" t="s">
        <v>207</v>
      </c>
      <c r="B513" s="19" t="s">
        <v>133</v>
      </c>
      <c r="C513" s="20" t="s">
        <v>178</v>
      </c>
      <c r="D513" s="14" t="str">
        <f>VLOOKUP(C513,'State Key'!$A$2:$B$210,2,False)</f>
        <v>Chhattisgarh</v>
      </c>
      <c r="E513" s="21">
        <v>1000.0</v>
      </c>
      <c r="F513" s="22">
        <v>0.0</v>
      </c>
      <c r="G513" s="22">
        <v>0.0</v>
      </c>
      <c r="H513" s="22">
        <v>0.0</v>
      </c>
      <c r="I513" s="22">
        <v>0.0</v>
      </c>
      <c r="J513" s="22">
        <v>0.0</v>
      </c>
      <c r="K513" s="22">
        <v>469.52</v>
      </c>
      <c r="L513" s="22">
        <v>469.52</v>
      </c>
      <c r="M513" s="22">
        <v>484.484</v>
      </c>
      <c r="N513" s="22">
        <v>88.62</v>
      </c>
      <c r="O513" s="17">
        <v>5.5</v>
      </c>
      <c r="P513" s="18">
        <f t="shared" si="1"/>
        <v>469.52</v>
      </c>
    </row>
    <row r="514" ht="15.75" customHeight="1">
      <c r="A514" s="13" t="s">
        <v>207</v>
      </c>
      <c r="B514" s="13" t="s">
        <v>133</v>
      </c>
      <c r="C514" s="14" t="s">
        <v>179</v>
      </c>
      <c r="D514" s="14" t="str">
        <f>VLOOKUP(C514,'State Key'!$A$2:$B$210,2,False)</f>
        <v>Maharashtra</v>
      </c>
      <c r="E514" s="15">
        <v>500.0</v>
      </c>
      <c r="F514" s="16">
        <v>231.616</v>
      </c>
      <c r="G514" s="16">
        <v>7.988</v>
      </c>
      <c r="H514" s="16">
        <v>0.0</v>
      </c>
      <c r="I514" s="16">
        <v>0.0</v>
      </c>
      <c r="J514" s="16">
        <v>0.0</v>
      </c>
      <c r="K514" s="16">
        <v>0.0</v>
      </c>
      <c r="L514" s="16">
        <v>239.604</v>
      </c>
      <c r="M514" s="16">
        <v>212.424</v>
      </c>
      <c r="N514" s="16">
        <v>98.95</v>
      </c>
      <c r="O514" s="24">
        <v>14.0</v>
      </c>
      <c r="P514" s="18">
        <f t="shared" si="1"/>
        <v>239.604</v>
      </c>
    </row>
    <row r="515" ht="15.75" customHeight="1">
      <c r="A515" s="19" t="s">
        <v>207</v>
      </c>
      <c r="B515" s="19" t="s">
        <v>133</v>
      </c>
      <c r="C515" s="20" t="s">
        <v>180</v>
      </c>
      <c r="D515" s="14" t="str">
        <f>VLOOKUP(C515,'State Key'!$A$2:$B$210,2,False)</f>
        <v>Maharashtra</v>
      </c>
      <c r="E515" s="21">
        <v>750.0</v>
      </c>
      <c r="F515" s="22">
        <v>0.0</v>
      </c>
      <c r="G515" s="22">
        <v>290.464</v>
      </c>
      <c r="H515" s="22">
        <v>0.0</v>
      </c>
      <c r="I515" s="22">
        <v>0.0</v>
      </c>
      <c r="J515" s="22">
        <v>0.0</v>
      </c>
      <c r="K515" s="22">
        <v>0.0</v>
      </c>
      <c r="L515" s="22">
        <v>290.464</v>
      </c>
      <c r="M515" s="22">
        <v>231.555</v>
      </c>
      <c r="N515" s="22">
        <v>126.59</v>
      </c>
      <c r="O515" s="24">
        <v>16.4</v>
      </c>
      <c r="P515" s="18">
        <f t="shared" si="1"/>
        <v>290.464</v>
      </c>
    </row>
    <row r="516" ht="15.75" customHeight="1">
      <c r="A516" s="13" t="s">
        <v>207</v>
      </c>
      <c r="B516" s="13" t="s">
        <v>133</v>
      </c>
      <c r="C516" s="14" t="s">
        <v>181</v>
      </c>
      <c r="D516" s="14" t="str">
        <f>VLOOKUP(C516,'State Key'!$A$2:$B$210,2,False)</f>
        <v>Chhattisgarh</v>
      </c>
      <c r="E516" s="15">
        <v>600.0</v>
      </c>
      <c r="F516" s="16">
        <v>319.14</v>
      </c>
      <c r="G516" s="16">
        <v>0.0</v>
      </c>
      <c r="H516" s="16">
        <v>0.0</v>
      </c>
      <c r="I516" s="16">
        <v>0.0</v>
      </c>
      <c r="J516" s="16">
        <v>0.0</v>
      </c>
      <c r="K516" s="16">
        <v>18.898</v>
      </c>
      <c r="L516" s="16">
        <v>338.038</v>
      </c>
      <c r="M516" s="16">
        <v>261.64</v>
      </c>
      <c r="N516" s="16">
        <v>282.33</v>
      </c>
      <c r="O516" s="24">
        <v>32.4</v>
      </c>
      <c r="P516" s="18">
        <f t="shared" si="1"/>
        <v>338.038</v>
      </c>
    </row>
    <row r="517" ht="15.75" customHeight="1">
      <c r="A517" s="19" t="s">
        <v>207</v>
      </c>
      <c r="B517" s="19" t="s">
        <v>133</v>
      </c>
      <c r="C517" s="20" t="s">
        <v>182</v>
      </c>
      <c r="D517" s="14" t="str">
        <f>VLOOKUP(C517,'State Key'!$A$2:$B$210,2,False)</f>
        <v>Chhattisgarh</v>
      </c>
      <c r="E517" s="21">
        <v>1370.0</v>
      </c>
      <c r="F517" s="22">
        <v>437.865</v>
      </c>
      <c r="G517" s="22">
        <v>0.0</v>
      </c>
      <c r="H517" s="22">
        <v>0.0</v>
      </c>
      <c r="I517" s="22">
        <v>0.0</v>
      </c>
      <c r="J517" s="22">
        <v>0.0</v>
      </c>
      <c r="K517" s="22">
        <v>0.0</v>
      </c>
      <c r="L517" s="22">
        <v>437.865</v>
      </c>
      <c r="M517" s="22">
        <v>521.452</v>
      </c>
      <c r="N517" s="22">
        <v>142.37</v>
      </c>
      <c r="O517" s="23">
        <v>8.2</v>
      </c>
      <c r="P517" s="18">
        <f t="shared" si="1"/>
        <v>437.865</v>
      </c>
    </row>
    <row r="518" ht="15.75" customHeight="1">
      <c r="A518" s="13" t="s">
        <v>207</v>
      </c>
      <c r="B518" s="13" t="s">
        <v>133</v>
      </c>
      <c r="C518" s="14" t="s">
        <v>183</v>
      </c>
      <c r="D518" s="14" t="str">
        <f>VLOOKUP(C518,'State Key'!$A$2:$B$210,2,False)</f>
        <v>Chhattisgarh</v>
      </c>
      <c r="E518" s="15">
        <v>100.0</v>
      </c>
      <c r="F518" s="16">
        <v>0.0</v>
      </c>
      <c r="G518" s="16">
        <v>0.0</v>
      </c>
      <c r="H518" s="16">
        <v>0.0</v>
      </c>
      <c r="I518" s="16">
        <v>0.0</v>
      </c>
      <c r="J518" s="16">
        <v>77.955</v>
      </c>
      <c r="K518" s="16">
        <v>0.0</v>
      </c>
      <c r="L518" s="16">
        <v>77.955</v>
      </c>
      <c r="M518" s="16">
        <v>75.9</v>
      </c>
      <c r="N518" s="16">
        <v>20.77</v>
      </c>
      <c r="O518" s="23">
        <v>8.2</v>
      </c>
      <c r="P518" s="18">
        <f t="shared" si="1"/>
        <v>77.955</v>
      </c>
    </row>
    <row r="519" ht="15.75" customHeight="1">
      <c r="A519" s="19" t="s">
        <v>207</v>
      </c>
      <c r="B519" s="19" t="s">
        <v>133</v>
      </c>
      <c r="C519" s="20" t="s">
        <v>184</v>
      </c>
      <c r="D519" s="14" t="str">
        <f>VLOOKUP(C519,'State Key'!$A$2:$B$210,2,False)</f>
        <v>Gujarat</v>
      </c>
      <c r="E519" s="21">
        <v>362.0</v>
      </c>
      <c r="F519" s="22">
        <v>101.437</v>
      </c>
      <c r="G519" s="22">
        <v>0.0</v>
      </c>
      <c r="H519" s="22">
        <v>0.0</v>
      </c>
      <c r="I519" s="22">
        <v>39.884</v>
      </c>
      <c r="J519" s="22">
        <v>0.0</v>
      </c>
      <c r="K519" s="22">
        <v>0.0</v>
      </c>
      <c r="L519" s="22">
        <v>141.321</v>
      </c>
      <c r="M519" s="22">
        <v>152.874</v>
      </c>
      <c r="N519" s="22">
        <v>93.37</v>
      </c>
      <c r="O519" s="24">
        <v>18.3</v>
      </c>
      <c r="P519" s="18">
        <f t="shared" si="1"/>
        <v>141.321</v>
      </c>
    </row>
    <row r="520" ht="15.75" customHeight="1">
      <c r="A520" s="13" t="s">
        <v>207</v>
      </c>
      <c r="B520" s="13" t="s">
        <v>133</v>
      </c>
      <c r="C520" s="14" t="s">
        <v>185</v>
      </c>
      <c r="D520" s="14" t="str">
        <f>VLOOKUP(C520,'State Key'!$A$2:$B$210,2,False)</f>
        <v>Gujarat</v>
      </c>
      <c r="E520" s="15">
        <v>1200.0</v>
      </c>
      <c r="F520" s="16">
        <v>0.0</v>
      </c>
      <c r="G520" s="16">
        <v>0.0</v>
      </c>
      <c r="H520" s="16">
        <v>0.0</v>
      </c>
      <c r="I520" s="16">
        <v>469.733</v>
      </c>
      <c r="J520" s="16">
        <v>0.0</v>
      </c>
      <c r="K520" s="16">
        <v>0.0</v>
      </c>
      <c r="L520" s="16">
        <v>469.733</v>
      </c>
      <c r="M520" s="16">
        <v>117.627</v>
      </c>
      <c r="N520" s="16">
        <v>422.77</v>
      </c>
      <c r="O520" s="24">
        <v>107.8</v>
      </c>
      <c r="P520" s="18">
        <f t="shared" si="1"/>
        <v>469.733</v>
      </c>
    </row>
    <row r="521" ht="15.75" customHeight="1">
      <c r="A521" s="19" t="s">
        <v>207</v>
      </c>
      <c r="B521" s="19" t="s">
        <v>133</v>
      </c>
      <c r="C521" s="20" t="s">
        <v>186</v>
      </c>
      <c r="D521" s="14" t="str">
        <f>VLOOKUP(C521,'State Key'!$A$2:$B$210,2,False)</f>
        <v>Chhattisgarh</v>
      </c>
      <c r="E521" s="21">
        <v>135.0</v>
      </c>
      <c r="F521" s="22">
        <v>0.0</v>
      </c>
      <c r="G521" s="22">
        <v>0.0</v>
      </c>
      <c r="H521" s="22">
        <v>0.0</v>
      </c>
      <c r="I521" s="22">
        <v>0.0</v>
      </c>
      <c r="J521" s="22">
        <v>0.0</v>
      </c>
      <c r="K521" s="22">
        <v>0.0</v>
      </c>
      <c r="L521" s="22">
        <v>0.0</v>
      </c>
      <c r="M521" s="22">
        <v>0.0</v>
      </c>
      <c r="N521" s="22">
        <v>0.0</v>
      </c>
      <c r="O521" s="19" t="s">
        <v>58</v>
      </c>
      <c r="P521" s="18">
        <f t="shared" si="1"/>
        <v>0</v>
      </c>
    </row>
    <row r="522" ht="15.75" customHeight="1">
      <c r="A522" s="13" t="s">
        <v>207</v>
      </c>
      <c r="B522" s="13" t="s">
        <v>133</v>
      </c>
      <c r="C522" s="14" t="s">
        <v>187</v>
      </c>
      <c r="D522" s="14" t="str">
        <f>VLOOKUP(C522,'State Key'!$A$2:$B$210,2,False)</f>
        <v>Madhya Pradesh</v>
      </c>
      <c r="E522" s="15">
        <v>1340.0</v>
      </c>
      <c r="F522" s="16">
        <v>469.755</v>
      </c>
      <c r="G522" s="16">
        <v>0.0</v>
      </c>
      <c r="H522" s="16">
        <v>0.0</v>
      </c>
      <c r="I522" s="16">
        <v>0.0</v>
      </c>
      <c r="J522" s="16">
        <v>0.0</v>
      </c>
      <c r="K522" s="16">
        <v>0.0</v>
      </c>
      <c r="L522" s="16">
        <v>469.755</v>
      </c>
      <c r="M522" s="16">
        <v>536.749</v>
      </c>
      <c r="N522" s="16">
        <v>112.29</v>
      </c>
      <c r="O522" s="17">
        <v>6.3</v>
      </c>
      <c r="P522" s="18">
        <f t="shared" si="1"/>
        <v>469.755</v>
      </c>
    </row>
    <row r="523" ht="15.75" customHeight="1">
      <c r="A523" s="19" t="s">
        <v>207</v>
      </c>
      <c r="B523" s="19" t="s">
        <v>133</v>
      </c>
      <c r="C523" s="20" t="s">
        <v>188</v>
      </c>
      <c r="D523" s="14" t="str">
        <f>VLOOKUP(C523,'State Key'!$A$2:$B$210,2,False)</f>
        <v>Madhya Pradesh</v>
      </c>
      <c r="E523" s="21">
        <v>3960.0</v>
      </c>
      <c r="F523" s="22">
        <v>0.0</v>
      </c>
      <c r="G523" s="22">
        <v>0.0</v>
      </c>
      <c r="H523" s="22">
        <v>1547.354</v>
      </c>
      <c r="I523" s="22">
        <v>0.0</v>
      </c>
      <c r="J523" s="22">
        <v>0.0</v>
      </c>
      <c r="K523" s="22">
        <v>0.0</v>
      </c>
      <c r="L523" s="22">
        <v>1547.354</v>
      </c>
      <c r="M523" s="22">
        <v>1579.561</v>
      </c>
      <c r="N523" s="22">
        <v>167.0</v>
      </c>
      <c r="O523" s="17">
        <v>3.2</v>
      </c>
      <c r="P523" s="18">
        <f t="shared" si="1"/>
        <v>1547.354</v>
      </c>
    </row>
    <row r="524" ht="15.75" customHeight="1">
      <c r="A524" s="13" t="s">
        <v>207</v>
      </c>
      <c r="B524" s="13" t="s">
        <v>133</v>
      </c>
      <c r="C524" s="14" t="s">
        <v>189</v>
      </c>
      <c r="D524" s="14" t="str">
        <f>VLOOKUP(C524,'State Key'!$A$2:$B$210,2,False)</f>
        <v>Madhya Pradesh</v>
      </c>
      <c r="E524" s="15">
        <v>1330.0</v>
      </c>
      <c r="F524" s="16">
        <v>205.831</v>
      </c>
      <c r="G524" s="16">
        <v>0.0</v>
      </c>
      <c r="H524" s="16">
        <v>0.0</v>
      </c>
      <c r="I524" s="16">
        <v>0.0</v>
      </c>
      <c r="J524" s="16">
        <v>0.0</v>
      </c>
      <c r="K524" s="16">
        <v>0.0</v>
      </c>
      <c r="L524" s="16">
        <v>205.831</v>
      </c>
      <c r="M524" s="16">
        <v>201.555</v>
      </c>
      <c r="N524" s="16">
        <v>110.8</v>
      </c>
      <c r="O524" s="24">
        <v>16.5</v>
      </c>
      <c r="P524" s="18">
        <f t="shared" si="1"/>
        <v>205.831</v>
      </c>
    </row>
    <row r="525" ht="15.75" customHeight="1">
      <c r="A525" s="19" t="s">
        <v>207</v>
      </c>
      <c r="B525" s="19" t="s">
        <v>133</v>
      </c>
      <c r="C525" s="20" t="s">
        <v>190</v>
      </c>
      <c r="D525" s="14" t="str">
        <f>VLOOKUP(C525,'State Key'!$A$2:$B$210,2,False)</f>
        <v>Madhya Pradesh</v>
      </c>
      <c r="E525" s="21">
        <v>600.0</v>
      </c>
      <c r="F525" s="22">
        <v>175.911</v>
      </c>
      <c r="G525" s="22">
        <v>0.0</v>
      </c>
      <c r="H525" s="22">
        <v>0.0</v>
      </c>
      <c r="I525" s="22">
        <v>0.0</v>
      </c>
      <c r="J525" s="22">
        <v>0.0</v>
      </c>
      <c r="K525" s="22">
        <v>27.285</v>
      </c>
      <c r="L525" s="22">
        <v>203.196</v>
      </c>
      <c r="M525" s="22">
        <v>213.44</v>
      </c>
      <c r="N525" s="22">
        <v>89.84</v>
      </c>
      <c r="O525" s="23">
        <v>12.6</v>
      </c>
      <c r="P525" s="18">
        <f t="shared" si="1"/>
        <v>203.196</v>
      </c>
    </row>
    <row r="526" ht="15.75" customHeight="1">
      <c r="A526" s="13" t="s">
        <v>207</v>
      </c>
      <c r="B526" s="13" t="s">
        <v>133</v>
      </c>
      <c r="C526" s="14" t="s">
        <v>191</v>
      </c>
      <c r="D526" s="14" t="str">
        <f>VLOOKUP(C526,'State Key'!$A$2:$B$210,2,False)</f>
        <v>Maharashtra</v>
      </c>
      <c r="E526" s="15">
        <v>150.0</v>
      </c>
      <c r="F526" s="16">
        <v>0.0</v>
      </c>
      <c r="G526" s="16">
        <v>0.0</v>
      </c>
      <c r="H526" s="16">
        <v>0.0</v>
      </c>
      <c r="I526" s="16">
        <v>0.0</v>
      </c>
      <c r="J526" s="16">
        <v>0.0</v>
      </c>
      <c r="K526" s="16">
        <v>0.0</v>
      </c>
      <c r="L526" s="16">
        <v>0.0</v>
      </c>
      <c r="M526" s="16">
        <v>0.0</v>
      </c>
      <c r="N526" s="16">
        <v>0.0</v>
      </c>
      <c r="O526" s="13" t="s">
        <v>58</v>
      </c>
      <c r="P526" s="18">
        <f t="shared" si="1"/>
        <v>0</v>
      </c>
    </row>
    <row r="527" ht="15.75" customHeight="1">
      <c r="A527" s="19" t="s">
        <v>207</v>
      </c>
      <c r="B527" s="19" t="s">
        <v>133</v>
      </c>
      <c r="C527" s="20" t="s">
        <v>192</v>
      </c>
      <c r="D527" s="14" t="str">
        <f>VLOOKUP(C527,'State Key'!$A$2:$B$210,2,False)</f>
        <v>Madhya Pradesh</v>
      </c>
      <c r="E527" s="21">
        <v>2520.0</v>
      </c>
      <c r="F527" s="22">
        <v>774.953</v>
      </c>
      <c r="G527" s="22">
        <v>0.0</v>
      </c>
      <c r="H527" s="22">
        <v>0.0</v>
      </c>
      <c r="I527" s="22">
        <v>0.0</v>
      </c>
      <c r="J527" s="22">
        <v>0.0</v>
      </c>
      <c r="K527" s="22">
        <v>0.0</v>
      </c>
      <c r="L527" s="22">
        <v>774.953</v>
      </c>
      <c r="M527" s="22">
        <v>710.215</v>
      </c>
      <c r="N527" s="22">
        <v>250.479</v>
      </c>
      <c r="O527" s="23">
        <v>10.6</v>
      </c>
      <c r="P527" s="18">
        <f t="shared" si="1"/>
        <v>774.953</v>
      </c>
    </row>
    <row r="528" ht="15.75" customHeight="1">
      <c r="A528" s="13" t="s">
        <v>207</v>
      </c>
      <c r="B528" s="13" t="s">
        <v>133</v>
      </c>
      <c r="C528" s="14" t="s">
        <v>193</v>
      </c>
      <c r="D528" s="14" t="str">
        <f>VLOOKUP(C528,'State Key'!$A$2:$B$210,2,False)</f>
        <v>Gujarat</v>
      </c>
      <c r="E528" s="15">
        <v>500.0</v>
      </c>
      <c r="F528" s="16">
        <v>0.0</v>
      </c>
      <c r="G528" s="16">
        <v>0.0</v>
      </c>
      <c r="H528" s="16">
        <v>0.0</v>
      </c>
      <c r="I528" s="16">
        <v>0.0</v>
      </c>
      <c r="J528" s="16">
        <v>0.0</v>
      </c>
      <c r="K528" s="16">
        <v>0.0</v>
      </c>
      <c r="L528" s="16">
        <v>0.0</v>
      </c>
      <c r="M528" s="16">
        <v>0.0</v>
      </c>
      <c r="N528" s="16">
        <v>79.94</v>
      </c>
      <c r="O528" s="13" t="s">
        <v>58</v>
      </c>
      <c r="P528" s="18">
        <f t="shared" si="1"/>
        <v>0</v>
      </c>
    </row>
    <row r="529" ht="15.75" customHeight="1">
      <c r="A529" s="19" t="s">
        <v>207</v>
      </c>
      <c r="B529" s="19" t="s">
        <v>133</v>
      </c>
      <c r="C529" s="20" t="s">
        <v>194</v>
      </c>
      <c r="D529" s="14" t="str">
        <f>VLOOKUP(C529,'State Key'!$A$2:$B$210,2,False)</f>
        <v>Chhattisgarh</v>
      </c>
      <c r="E529" s="21">
        <v>2980.0</v>
      </c>
      <c r="F529" s="22">
        <v>1123.78</v>
      </c>
      <c r="G529" s="22">
        <v>0.0</v>
      </c>
      <c r="H529" s="22">
        <v>0.0</v>
      </c>
      <c r="I529" s="22">
        <v>0.0</v>
      </c>
      <c r="J529" s="22">
        <v>0.0</v>
      </c>
      <c r="K529" s="22">
        <v>0.0</v>
      </c>
      <c r="L529" s="22">
        <v>1123.78</v>
      </c>
      <c r="M529" s="22">
        <v>916.759</v>
      </c>
      <c r="N529" s="22">
        <v>733.92</v>
      </c>
      <c r="O529" s="24">
        <v>24.0</v>
      </c>
      <c r="P529" s="18">
        <f t="shared" si="1"/>
        <v>1123.78</v>
      </c>
    </row>
    <row r="530" ht="15.75" customHeight="1">
      <c r="A530" s="13" t="s">
        <v>207</v>
      </c>
      <c r="B530" s="13" t="s">
        <v>133</v>
      </c>
      <c r="C530" s="14" t="s">
        <v>195</v>
      </c>
      <c r="D530" s="14" t="str">
        <f>VLOOKUP(C530,'State Key'!$A$2:$B$210,2,False)</f>
        <v>Maharashtra</v>
      </c>
      <c r="E530" s="15">
        <v>1320.0</v>
      </c>
      <c r="F530" s="16">
        <v>152.57</v>
      </c>
      <c r="G530" s="16">
        <v>0.0</v>
      </c>
      <c r="H530" s="16">
        <v>112.11</v>
      </c>
      <c r="I530" s="16">
        <v>0.0</v>
      </c>
      <c r="J530" s="16">
        <v>0.0</v>
      </c>
      <c r="K530" s="16">
        <v>0.0</v>
      </c>
      <c r="L530" s="16">
        <v>264.68</v>
      </c>
      <c r="M530" s="16">
        <v>352.195</v>
      </c>
      <c r="N530" s="16">
        <v>182.773</v>
      </c>
      <c r="O530" s="24">
        <v>15.6</v>
      </c>
      <c r="P530" s="18">
        <f t="shared" si="1"/>
        <v>264.68</v>
      </c>
    </row>
    <row r="531" ht="15.75" customHeight="1">
      <c r="A531" s="19" t="s">
        <v>207</v>
      </c>
      <c r="B531" s="19" t="s">
        <v>133</v>
      </c>
      <c r="C531" s="20" t="s">
        <v>196</v>
      </c>
      <c r="D531" s="14" t="str">
        <f>VLOOKUP(C531,'State Key'!$A$2:$B$210,2,False)</f>
        <v>Chhattisgarh</v>
      </c>
      <c r="E531" s="21">
        <v>63.0</v>
      </c>
      <c r="F531" s="22">
        <v>0.0</v>
      </c>
      <c r="G531" s="22">
        <v>0.0</v>
      </c>
      <c r="H531" s="22">
        <v>0.0</v>
      </c>
      <c r="I531" s="22">
        <v>0.0</v>
      </c>
      <c r="J531" s="22">
        <v>0.0</v>
      </c>
      <c r="K531" s="22">
        <v>0.0</v>
      </c>
      <c r="L531" s="22">
        <v>0.0</v>
      </c>
      <c r="M531" s="22">
        <v>0.0</v>
      </c>
      <c r="N531" s="22">
        <v>0.0</v>
      </c>
      <c r="O531" s="19" t="s">
        <v>58</v>
      </c>
      <c r="P531" s="18">
        <f t="shared" si="1"/>
        <v>0</v>
      </c>
    </row>
    <row r="532" ht="15.75" customHeight="1">
      <c r="A532" s="13" t="s">
        <v>207</v>
      </c>
      <c r="B532" s="13" t="s">
        <v>133</v>
      </c>
      <c r="C532" s="14" t="s">
        <v>197</v>
      </c>
      <c r="D532" s="14" t="str">
        <f>VLOOKUP(C532,'State Key'!$A$2:$B$210,2,False)</f>
        <v>Chhattisgarh</v>
      </c>
      <c r="E532" s="15">
        <v>25.0</v>
      </c>
      <c r="F532" s="16">
        <v>0.0</v>
      </c>
      <c r="G532" s="16">
        <v>0.0</v>
      </c>
      <c r="H532" s="16">
        <v>0.0</v>
      </c>
      <c r="I532" s="16">
        <v>0.0</v>
      </c>
      <c r="J532" s="16">
        <v>0.0</v>
      </c>
      <c r="K532" s="16">
        <v>0.0</v>
      </c>
      <c r="L532" s="16">
        <v>0.0</v>
      </c>
      <c r="M532" s="16">
        <v>0.0</v>
      </c>
      <c r="N532" s="16">
        <v>0.0</v>
      </c>
      <c r="O532" s="13" t="s">
        <v>58</v>
      </c>
      <c r="P532" s="18">
        <f t="shared" si="1"/>
        <v>0</v>
      </c>
    </row>
    <row r="533" ht="15.75" customHeight="1">
      <c r="A533" s="19" t="s">
        <v>207</v>
      </c>
      <c r="B533" s="19" t="s">
        <v>133</v>
      </c>
      <c r="C533" s="20" t="s">
        <v>198</v>
      </c>
      <c r="D533" s="14" t="str">
        <f>VLOOKUP(C533,'State Key'!$A$2:$B$210,2,False)</f>
        <v>Chhattisgarh</v>
      </c>
      <c r="E533" s="21">
        <v>2400.0</v>
      </c>
      <c r="F533" s="22">
        <v>289.367</v>
      </c>
      <c r="G533" s="22">
        <v>0.0</v>
      </c>
      <c r="H533" s="22">
        <v>0.0</v>
      </c>
      <c r="I533" s="22">
        <v>31.999</v>
      </c>
      <c r="J533" s="22">
        <v>0.0</v>
      </c>
      <c r="K533" s="22">
        <v>667.671</v>
      </c>
      <c r="L533" s="22">
        <v>989.037</v>
      </c>
      <c r="M533" s="22">
        <v>1131.651</v>
      </c>
      <c r="N533" s="22">
        <v>265.23</v>
      </c>
      <c r="O533" s="23">
        <v>7.0</v>
      </c>
      <c r="P533" s="18">
        <f t="shared" si="1"/>
        <v>989.037</v>
      </c>
    </row>
    <row r="534" ht="15.75" customHeight="1">
      <c r="A534" s="13" t="s">
        <v>207</v>
      </c>
      <c r="B534" s="13" t="s">
        <v>133</v>
      </c>
      <c r="C534" s="14" t="s">
        <v>199</v>
      </c>
      <c r="D534" s="14" t="str">
        <f>VLOOKUP(C534,'State Key'!$A$2:$B$210,2,False)</f>
        <v>Maharashtra</v>
      </c>
      <c r="E534" s="15">
        <v>3300.0</v>
      </c>
      <c r="F534" s="16">
        <v>1253.476</v>
      </c>
      <c r="G534" s="16">
        <v>0.0</v>
      </c>
      <c r="H534" s="16">
        <v>0.0</v>
      </c>
      <c r="I534" s="16">
        <v>0.0</v>
      </c>
      <c r="J534" s="16">
        <v>0.0</v>
      </c>
      <c r="K534" s="16">
        <v>0.0</v>
      </c>
      <c r="L534" s="16">
        <v>1253.476</v>
      </c>
      <c r="M534" s="16">
        <v>1265.033</v>
      </c>
      <c r="N534" s="16">
        <v>722.96</v>
      </c>
      <c r="O534" s="24">
        <v>17.1</v>
      </c>
      <c r="P534" s="18">
        <f t="shared" si="1"/>
        <v>1253.476</v>
      </c>
    </row>
    <row r="535" ht="15.75" customHeight="1">
      <c r="A535" s="19" t="s">
        <v>207</v>
      </c>
      <c r="B535" s="19" t="s">
        <v>133</v>
      </c>
      <c r="C535" s="20" t="s">
        <v>200</v>
      </c>
      <c r="D535" s="14" t="str">
        <f>VLOOKUP(C535,'State Key'!$A$2:$B$210,2,False)</f>
        <v>Maharashtra</v>
      </c>
      <c r="E535" s="21">
        <v>750.0</v>
      </c>
      <c r="F535" s="22">
        <v>0.0</v>
      </c>
      <c r="G535" s="22">
        <v>0.0</v>
      </c>
      <c r="H535" s="22">
        <v>0.0</v>
      </c>
      <c r="I535" s="22">
        <v>226.456</v>
      </c>
      <c r="J535" s="22">
        <v>0.0</v>
      </c>
      <c r="K535" s="22">
        <v>0.0</v>
      </c>
      <c r="L535" s="22">
        <v>226.456</v>
      </c>
      <c r="M535" s="22">
        <v>220.999</v>
      </c>
      <c r="N535" s="22">
        <v>213.76</v>
      </c>
      <c r="O535" s="24">
        <v>29.0</v>
      </c>
      <c r="P535" s="18">
        <f t="shared" si="1"/>
        <v>226.456</v>
      </c>
    </row>
    <row r="536" ht="15.75" customHeight="1">
      <c r="A536" s="13" t="s">
        <v>207</v>
      </c>
      <c r="B536" s="13" t="s">
        <v>133</v>
      </c>
      <c r="C536" s="14" t="s">
        <v>201</v>
      </c>
      <c r="D536" s="14" t="str">
        <f>VLOOKUP(C536,'State Key'!$A$2:$B$210,2,False)</f>
        <v>Chhattisgarh</v>
      </c>
      <c r="E536" s="15">
        <v>1440.0</v>
      </c>
      <c r="F536" s="16">
        <v>161.4</v>
      </c>
      <c r="G536" s="16">
        <v>0.0</v>
      </c>
      <c r="H536" s="16">
        <v>0.0</v>
      </c>
      <c r="I536" s="16">
        <v>0.0</v>
      </c>
      <c r="J536" s="16">
        <v>0.0</v>
      </c>
      <c r="K536" s="16">
        <v>316.521</v>
      </c>
      <c r="L536" s="16">
        <v>477.921</v>
      </c>
      <c r="M536" s="16">
        <v>609.422</v>
      </c>
      <c r="N536" s="16">
        <v>107.55</v>
      </c>
      <c r="O536" s="17">
        <v>5.3</v>
      </c>
      <c r="P536" s="18">
        <f t="shared" si="1"/>
        <v>477.921</v>
      </c>
    </row>
    <row r="537" ht="15.75" customHeight="1">
      <c r="A537" s="19" t="s">
        <v>207</v>
      </c>
      <c r="B537" s="19" t="s">
        <v>133</v>
      </c>
      <c r="C537" s="20" t="s">
        <v>202</v>
      </c>
      <c r="D537" s="14" t="str">
        <f>VLOOKUP(C537,'State Key'!$A$2:$B$210,2,False)</f>
        <v>Gujarat</v>
      </c>
      <c r="E537" s="21">
        <v>1110.0</v>
      </c>
      <c r="F537" s="22">
        <v>347.271</v>
      </c>
      <c r="G537" s="22">
        <v>0.0</v>
      </c>
      <c r="H537" s="22">
        <v>0.0</v>
      </c>
      <c r="I537" s="22">
        <v>0.0</v>
      </c>
      <c r="J537" s="22">
        <v>0.0</v>
      </c>
      <c r="K537" s="22">
        <v>0.0</v>
      </c>
      <c r="L537" s="22">
        <v>347.271</v>
      </c>
      <c r="M537" s="22">
        <v>351.885</v>
      </c>
      <c r="N537" s="22">
        <v>191.41</v>
      </c>
      <c r="O537" s="24">
        <v>16.3</v>
      </c>
      <c r="P537" s="18">
        <f t="shared" si="1"/>
        <v>347.271</v>
      </c>
    </row>
    <row r="538" ht="15.75" customHeight="1">
      <c r="A538" s="13" t="s">
        <v>207</v>
      </c>
      <c r="B538" s="13" t="s">
        <v>133</v>
      </c>
      <c r="C538" s="14" t="s">
        <v>203</v>
      </c>
      <c r="D538" s="14" t="str">
        <f>VLOOKUP(C538,'State Key'!$A$2:$B$210,2,False)</f>
        <v>Madhya Pradesh</v>
      </c>
      <c r="E538" s="15">
        <v>4760.0</v>
      </c>
      <c r="F538" s="16">
        <v>1805.05</v>
      </c>
      <c r="G538" s="16">
        <v>0.0</v>
      </c>
      <c r="H538" s="16">
        <v>3.9804</v>
      </c>
      <c r="I538" s="16">
        <v>0.0</v>
      </c>
      <c r="J538" s="16">
        <v>0.0</v>
      </c>
      <c r="K538" s="16">
        <v>0.0</v>
      </c>
      <c r="L538" s="16">
        <v>1809.0304</v>
      </c>
      <c r="M538" s="16">
        <v>1786.178</v>
      </c>
      <c r="N538" s="16">
        <v>1360.57</v>
      </c>
      <c r="O538" s="24">
        <v>22.9</v>
      </c>
      <c r="P538" s="18">
        <f t="shared" si="1"/>
        <v>1809.0304</v>
      </c>
    </row>
    <row r="539" ht="15.75" customHeight="1">
      <c r="A539" s="19" t="s">
        <v>207</v>
      </c>
      <c r="B539" s="19" t="s">
        <v>133</v>
      </c>
      <c r="C539" s="20" t="s">
        <v>204</v>
      </c>
      <c r="D539" s="14" t="str">
        <f>VLOOKUP(C539,'State Key'!$A$2:$B$210,2,False)</f>
        <v>Gujarat</v>
      </c>
      <c r="E539" s="21">
        <v>2270.0</v>
      </c>
      <c r="F539" s="22">
        <v>763.992</v>
      </c>
      <c r="G539" s="22">
        <v>0.0</v>
      </c>
      <c r="H539" s="22">
        <v>0.0</v>
      </c>
      <c r="I539" s="22">
        <v>0.0</v>
      </c>
      <c r="J539" s="22">
        <v>0.0</v>
      </c>
      <c r="K539" s="22">
        <v>0.0</v>
      </c>
      <c r="L539" s="22">
        <v>763.992</v>
      </c>
      <c r="M539" s="22">
        <v>663.708</v>
      </c>
      <c r="N539" s="22">
        <v>518.93</v>
      </c>
      <c r="O539" s="24">
        <v>23.5</v>
      </c>
      <c r="P539" s="18">
        <f t="shared" si="1"/>
        <v>763.992</v>
      </c>
    </row>
    <row r="540" ht="15.75" customHeight="1">
      <c r="A540" s="13" t="s">
        <v>207</v>
      </c>
      <c r="B540" s="13" t="s">
        <v>133</v>
      </c>
      <c r="C540" s="14" t="s">
        <v>205</v>
      </c>
      <c r="D540" s="14" t="str">
        <f>VLOOKUP(C540,'State Key'!$A$2:$B$210,2,False)</f>
        <v>Maharashtra</v>
      </c>
      <c r="E540" s="15">
        <v>540.0</v>
      </c>
      <c r="F540" s="16">
        <v>246.806</v>
      </c>
      <c r="G540" s="16">
        <v>0.0</v>
      </c>
      <c r="H540" s="16">
        <v>0.0</v>
      </c>
      <c r="I540" s="16">
        <v>0.0</v>
      </c>
      <c r="J540" s="16">
        <v>0.0</v>
      </c>
      <c r="K540" s="16">
        <v>0.0</v>
      </c>
      <c r="L540" s="16">
        <v>246.806</v>
      </c>
      <c r="M540" s="16">
        <v>219.878</v>
      </c>
      <c r="N540" s="16">
        <v>132.98</v>
      </c>
      <c r="O540" s="24">
        <v>18.1</v>
      </c>
      <c r="P540" s="18">
        <f t="shared" si="1"/>
        <v>246.806</v>
      </c>
    </row>
    <row r="541" ht="15.75" customHeight="1">
      <c r="A541" s="19" t="s">
        <v>208</v>
      </c>
      <c r="B541" s="19" t="s">
        <v>22</v>
      </c>
      <c r="C541" s="20" t="s">
        <v>23</v>
      </c>
      <c r="D541" s="14" t="str">
        <f>VLOOKUP(C541,'State Key'!$A$2:$B$210,2,False)</f>
        <v>West Bengal</v>
      </c>
      <c r="E541" s="21">
        <v>1050.0</v>
      </c>
      <c r="F541" s="22">
        <v>14.336</v>
      </c>
      <c r="G541" s="22">
        <v>0.0</v>
      </c>
      <c r="H541" s="22">
        <v>394.082</v>
      </c>
      <c r="I541" s="22">
        <v>0.0</v>
      </c>
      <c r="J541" s="22">
        <v>0.0</v>
      </c>
      <c r="K541" s="22">
        <v>0.0</v>
      </c>
      <c r="L541" s="22">
        <v>408.418</v>
      </c>
      <c r="M541" s="22">
        <v>391.508</v>
      </c>
      <c r="N541" s="22">
        <v>57.29</v>
      </c>
      <c r="O541" s="17">
        <v>4.4</v>
      </c>
      <c r="P541" s="18">
        <f t="shared" si="1"/>
        <v>408.418</v>
      </c>
    </row>
    <row r="542" ht="15.75" customHeight="1">
      <c r="A542" s="13" t="s">
        <v>208</v>
      </c>
      <c r="B542" s="13" t="s">
        <v>22</v>
      </c>
      <c r="C542" s="14" t="s">
        <v>24</v>
      </c>
      <c r="D542" s="14" t="str">
        <f>VLOOKUP(C542,'State Key'!$A$2:$B$210,2,False)</f>
        <v>West Bengal</v>
      </c>
      <c r="E542" s="15">
        <v>270.0</v>
      </c>
      <c r="F542" s="16">
        <v>0.0</v>
      </c>
      <c r="G542" s="16">
        <v>0.0</v>
      </c>
      <c r="H542" s="16">
        <v>86.667</v>
      </c>
      <c r="I542" s="16">
        <v>0.0</v>
      </c>
      <c r="J542" s="16">
        <v>0.0</v>
      </c>
      <c r="K542" s="16">
        <v>0.0</v>
      </c>
      <c r="L542" s="16">
        <v>86.667</v>
      </c>
      <c r="M542" s="16">
        <v>92.089</v>
      </c>
      <c r="N542" s="16">
        <v>14.63</v>
      </c>
      <c r="O542" s="17">
        <v>4.8</v>
      </c>
      <c r="P542" s="18">
        <f t="shared" si="1"/>
        <v>86.667</v>
      </c>
    </row>
    <row r="543" ht="15.75" customHeight="1">
      <c r="A543" s="19" t="s">
        <v>208</v>
      </c>
      <c r="B543" s="19" t="s">
        <v>22</v>
      </c>
      <c r="C543" s="20" t="s">
        <v>25</v>
      </c>
      <c r="D543" s="14" t="str">
        <f>VLOOKUP(C543,'State Key'!$A$2:$B$210,2,False)</f>
        <v>Bihar</v>
      </c>
      <c r="E543" s="21">
        <v>710.0</v>
      </c>
      <c r="F543" s="22">
        <v>3.9</v>
      </c>
      <c r="G543" s="22">
        <v>0.0</v>
      </c>
      <c r="H543" s="22">
        <v>228.03</v>
      </c>
      <c r="I543" s="22">
        <v>0.0</v>
      </c>
      <c r="J543" s="22">
        <v>0.0</v>
      </c>
      <c r="K543" s="22">
        <v>0.0</v>
      </c>
      <c r="L543" s="22">
        <v>231.93</v>
      </c>
      <c r="M543" s="22">
        <v>217.04</v>
      </c>
      <c r="N543" s="22">
        <v>64.26</v>
      </c>
      <c r="O543" s="23">
        <v>8.9</v>
      </c>
      <c r="P543" s="18">
        <f t="shared" si="1"/>
        <v>231.93</v>
      </c>
    </row>
    <row r="544" ht="15.75" customHeight="1">
      <c r="A544" s="13" t="s">
        <v>208</v>
      </c>
      <c r="B544" s="13" t="s">
        <v>22</v>
      </c>
      <c r="C544" s="14" t="s">
        <v>26</v>
      </c>
      <c r="D544" s="14" t="str">
        <f>VLOOKUP(C544,'State Key'!$A$2:$B$210,2,False)</f>
        <v>Bihar</v>
      </c>
      <c r="E544" s="15">
        <v>2640.0</v>
      </c>
      <c r="F544" s="16">
        <v>488.507</v>
      </c>
      <c r="G544" s="16">
        <v>0.0</v>
      </c>
      <c r="H544" s="16">
        <v>327.57</v>
      </c>
      <c r="I544" s="16">
        <v>34.62</v>
      </c>
      <c r="J544" s="16">
        <v>0.0</v>
      </c>
      <c r="K544" s="16">
        <v>0.0</v>
      </c>
      <c r="L544" s="16">
        <v>850.697</v>
      </c>
      <c r="M544" s="16">
        <v>877.716</v>
      </c>
      <c r="N544" s="16">
        <v>191.8</v>
      </c>
      <c r="O544" s="17">
        <v>6.6</v>
      </c>
      <c r="P544" s="18">
        <f t="shared" si="1"/>
        <v>850.697</v>
      </c>
    </row>
    <row r="545" ht="15.75" customHeight="1">
      <c r="A545" s="19" t="s">
        <v>208</v>
      </c>
      <c r="B545" s="19" t="s">
        <v>22</v>
      </c>
      <c r="C545" s="20" t="s">
        <v>27</v>
      </c>
      <c r="D545" s="14" t="str">
        <f>VLOOKUP(C545,'State Key'!$A$2:$B$210,2,False)</f>
        <v>Jharkhand</v>
      </c>
      <c r="E545" s="21">
        <v>500.0</v>
      </c>
      <c r="F545" s="22">
        <v>100.518</v>
      </c>
      <c r="G545" s="22">
        <v>0.0</v>
      </c>
      <c r="H545" s="22">
        <v>0.0</v>
      </c>
      <c r="I545" s="22">
        <v>0.0</v>
      </c>
      <c r="J545" s="22">
        <v>0.0</v>
      </c>
      <c r="K545" s="22">
        <v>0.0</v>
      </c>
      <c r="L545" s="22">
        <v>100.518</v>
      </c>
      <c r="M545" s="22">
        <v>73.873</v>
      </c>
      <c r="N545" s="22">
        <v>215.09</v>
      </c>
      <c r="O545" s="24">
        <v>87.3</v>
      </c>
      <c r="P545" s="18">
        <f t="shared" si="1"/>
        <v>100.518</v>
      </c>
    </row>
    <row r="546" ht="15.75" customHeight="1">
      <c r="A546" s="13" t="s">
        <v>208</v>
      </c>
      <c r="B546" s="13" t="s">
        <v>22</v>
      </c>
      <c r="C546" s="14" t="s">
        <v>28</v>
      </c>
      <c r="D546" s="14" t="str">
        <f>VLOOKUP(C546,'State Key'!$A$2:$B$210,2,False)</f>
        <v>West Bengal</v>
      </c>
      <c r="E546" s="15">
        <v>750.0</v>
      </c>
      <c r="F546" s="16">
        <v>49.744</v>
      </c>
      <c r="G546" s="16">
        <v>0.0</v>
      </c>
      <c r="H546" s="16">
        <v>106.632</v>
      </c>
      <c r="I546" s="16">
        <v>0.0</v>
      </c>
      <c r="J546" s="16">
        <v>0.0</v>
      </c>
      <c r="K546" s="16">
        <v>105.459</v>
      </c>
      <c r="L546" s="16">
        <v>261.835</v>
      </c>
      <c r="M546" s="16">
        <v>315.857</v>
      </c>
      <c r="N546" s="16">
        <v>218.38</v>
      </c>
      <c r="O546" s="24">
        <v>20.7</v>
      </c>
      <c r="P546" s="18">
        <f t="shared" si="1"/>
        <v>261.835</v>
      </c>
    </row>
    <row r="547" ht="15.75" customHeight="1">
      <c r="A547" s="19" t="s">
        <v>208</v>
      </c>
      <c r="B547" s="19" t="s">
        <v>22</v>
      </c>
      <c r="C547" s="20" t="s">
        <v>29</v>
      </c>
      <c r="D547" s="14" t="str">
        <f>VLOOKUP(C547,'State Key'!$A$2:$B$210,2,False)</f>
        <v>Jharkhand</v>
      </c>
      <c r="E547" s="21">
        <v>500.0</v>
      </c>
      <c r="F547" s="22">
        <v>181.14</v>
      </c>
      <c r="G547" s="22">
        <v>0.0</v>
      </c>
      <c r="H547" s="22">
        <v>38.116</v>
      </c>
      <c r="I547" s="22">
        <v>8.067</v>
      </c>
      <c r="J547" s="22">
        <v>0.0</v>
      </c>
      <c r="K547" s="22">
        <v>0.0</v>
      </c>
      <c r="L547" s="22">
        <v>227.323</v>
      </c>
      <c r="M547" s="22">
        <v>232.014</v>
      </c>
      <c r="N547" s="22">
        <v>71.81</v>
      </c>
      <c r="O547" s="23">
        <v>9.3</v>
      </c>
      <c r="P547" s="18">
        <f t="shared" si="1"/>
        <v>227.323</v>
      </c>
    </row>
    <row r="548" ht="15.75" customHeight="1">
      <c r="A548" s="13" t="s">
        <v>208</v>
      </c>
      <c r="B548" s="13" t="s">
        <v>22</v>
      </c>
      <c r="C548" s="14" t="s">
        <v>30</v>
      </c>
      <c r="D548" s="14" t="str">
        <f>VLOOKUP(C548,'State Key'!$A$2:$B$210,2,False)</f>
        <v>West Bengal</v>
      </c>
      <c r="E548" s="15">
        <v>550.0</v>
      </c>
      <c r="F548" s="16">
        <v>72.435</v>
      </c>
      <c r="G548" s="16">
        <v>0.0</v>
      </c>
      <c r="H548" s="16">
        <v>31.638</v>
      </c>
      <c r="I548" s="16">
        <v>0.0</v>
      </c>
      <c r="J548" s="16">
        <v>0.0</v>
      </c>
      <c r="K548" s="16">
        <v>0.0</v>
      </c>
      <c r="L548" s="16">
        <v>104.073</v>
      </c>
      <c r="M548" s="16">
        <v>100.73</v>
      </c>
      <c r="N548" s="16">
        <v>24.95</v>
      </c>
      <c r="O548" s="23">
        <v>7.4</v>
      </c>
      <c r="P548" s="18">
        <f t="shared" si="1"/>
        <v>104.073</v>
      </c>
    </row>
    <row r="549" ht="15.75" customHeight="1">
      <c r="A549" s="19" t="s">
        <v>208</v>
      </c>
      <c r="B549" s="19" t="s">
        <v>22</v>
      </c>
      <c r="C549" s="20" t="s">
        <v>31</v>
      </c>
      <c r="D549" s="14" t="str">
        <f>VLOOKUP(C549,'State Key'!$A$2:$B$210,2,False)</f>
        <v>Odisha</v>
      </c>
      <c r="E549" s="21">
        <v>1600.0</v>
      </c>
      <c r="F549" s="22">
        <v>0.0</v>
      </c>
      <c r="G549" s="22">
        <v>0.0</v>
      </c>
      <c r="H549" s="22">
        <v>462.58</v>
      </c>
      <c r="I549" s="22">
        <v>0.0</v>
      </c>
      <c r="J549" s="22">
        <v>0.0</v>
      </c>
      <c r="K549" s="22">
        <v>0.0</v>
      </c>
      <c r="L549" s="22">
        <v>462.58</v>
      </c>
      <c r="M549" s="22">
        <v>394.794</v>
      </c>
      <c r="N549" s="22">
        <v>673.914</v>
      </c>
      <c r="O549" s="24">
        <v>51.2</v>
      </c>
      <c r="P549" s="18">
        <f t="shared" si="1"/>
        <v>462.58</v>
      </c>
    </row>
    <row r="550" ht="15.75" customHeight="1">
      <c r="A550" s="13" t="s">
        <v>208</v>
      </c>
      <c r="B550" s="13" t="s">
        <v>22</v>
      </c>
      <c r="C550" s="14" t="s">
        <v>32</v>
      </c>
      <c r="D550" s="14" t="str">
        <f>VLOOKUP(C550,'State Key'!$A$2:$B$210,2,False)</f>
        <v>Odisha</v>
      </c>
      <c r="E550" s="15">
        <v>1200.0</v>
      </c>
      <c r="F550" s="16">
        <v>546.844</v>
      </c>
      <c r="G550" s="16">
        <v>0.0</v>
      </c>
      <c r="H550" s="16">
        <v>0.0</v>
      </c>
      <c r="I550" s="16">
        <v>0.0</v>
      </c>
      <c r="J550" s="16">
        <v>0.0</v>
      </c>
      <c r="K550" s="16">
        <v>95.196</v>
      </c>
      <c r="L550" s="16">
        <v>642.04</v>
      </c>
      <c r="M550" s="16">
        <v>431.498</v>
      </c>
      <c r="N550" s="16">
        <v>679.61</v>
      </c>
      <c r="O550" s="24">
        <v>47.3</v>
      </c>
      <c r="P550" s="18">
        <f t="shared" si="1"/>
        <v>642.04</v>
      </c>
    </row>
    <row r="551" ht="15.75" customHeight="1">
      <c r="A551" s="19" t="s">
        <v>208</v>
      </c>
      <c r="B551" s="19" t="s">
        <v>22</v>
      </c>
      <c r="C551" s="20" t="s">
        <v>33</v>
      </c>
      <c r="D551" s="14" t="str">
        <f>VLOOKUP(C551,'State Key'!$A$2:$B$210,2,False)</f>
        <v>West Bengal</v>
      </c>
      <c r="E551" s="21">
        <v>12.0</v>
      </c>
      <c r="F551" s="22">
        <v>0.0</v>
      </c>
      <c r="G551" s="22">
        <v>0.0</v>
      </c>
      <c r="H551" s="22">
        <v>0.0</v>
      </c>
      <c r="I551" s="22">
        <v>0.0</v>
      </c>
      <c r="J551" s="22">
        <v>0.0</v>
      </c>
      <c r="K551" s="22">
        <v>0.0</v>
      </c>
      <c r="L551" s="22">
        <v>0.0</v>
      </c>
      <c r="M551" s="22">
        <v>0.0</v>
      </c>
      <c r="N551" s="22">
        <v>0.0</v>
      </c>
      <c r="O551" s="19" t="s">
        <v>58</v>
      </c>
      <c r="P551" s="18">
        <f t="shared" si="1"/>
        <v>0</v>
      </c>
    </row>
    <row r="552" ht="15.75" customHeight="1">
      <c r="A552" s="13" t="s">
        <v>208</v>
      </c>
      <c r="B552" s="13" t="s">
        <v>22</v>
      </c>
      <c r="C552" s="14" t="s">
        <v>34</v>
      </c>
      <c r="D552" s="14" t="str">
        <f>VLOOKUP(C552,'State Key'!$A$2:$B$210,2,False)</f>
        <v>West Bengal</v>
      </c>
      <c r="E552" s="15">
        <v>1000.0</v>
      </c>
      <c r="F552" s="16">
        <v>372.454</v>
      </c>
      <c r="G552" s="16">
        <v>4.031</v>
      </c>
      <c r="H552" s="16">
        <v>0.0</v>
      </c>
      <c r="I552" s="16">
        <v>14.994</v>
      </c>
      <c r="J552" s="16">
        <v>0.0</v>
      </c>
      <c r="K552" s="16">
        <v>0.0</v>
      </c>
      <c r="L552" s="16">
        <v>391.479</v>
      </c>
      <c r="M552" s="16">
        <v>392.016</v>
      </c>
      <c r="N552" s="16">
        <v>159.665</v>
      </c>
      <c r="O552" s="23">
        <v>12.2</v>
      </c>
      <c r="P552" s="18">
        <f t="shared" si="1"/>
        <v>391.479</v>
      </c>
    </row>
    <row r="553" ht="15.75" customHeight="1">
      <c r="A553" s="19" t="s">
        <v>208</v>
      </c>
      <c r="B553" s="19" t="s">
        <v>22</v>
      </c>
      <c r="C553" s="20" t="s">
        <v>35</v>
      </c>
      <c r="D553" s="14" t="str">
        <f>VLOOKUP(C553,'State Key'!$A$2:$B$210,2,False)</f>
        <v>West Bengal</v>
      </c>
      <c r="E553" s="21">
        <v>2100.0</v>
      </c>
      <c r="F553" s="22">
        <v>645.31</v>
      </c>
      <c r="G553" s="22">
        <v>0.0</v>
      </c>
      <c r="H553" s="22">
        <v>73.94</v>
      </c>
      <c r="I553" s="22">
        <v>43.02</v>
      </c>
      <c r="J553" s="22">
        <v>0.0</v>
      </c>
      <c r="K553" s="22">
        <v>0.0</v>
      </c>
      <c r="L553" s="22">
        <v>762.27</v>
      </c>
      <c r="M553" s="22">
        <v>702.298</v>
      </c>
      <c r="N553" s="22">
        <v>357.911</v>
      </c>
      <c r="O553" s="24">
        <v>15.3</v>
      </c>
      <c r="P553" s="18">
        <f t="shared" si="1"/>
        <v>762.27</v>
      </c>
    </row>
    <row r="554" ht="15.75" customHeight="1">
      <c r="A554" s="13" t="s">
        <v>208</v>
      </c>
      <c r="B554" s="13" t="s">
        <v>22</v>
      </c>
      <c r="C554" s="14" t="s">
        <v>36</v>
      </c>
      <c r="D554" s="14" t="str">
        <f>VLOOKUP(C554,'State Key'!$A$2:$B$210,2,False)</f>
        <v>West Bengal</v>
      </c>
      <c r="E554" s="15">
        <v>600.0</v>
      </c>
      <c r="F554" s="16">
        <v>195.188</v>
      </c>
      <c r="G554" s="16">
        <v>0.0</v>
      </c>
      <c r="H554" s="16">
        <v>0.0</v>
      </c>
      <c r="I554" s="16">
        <v>0.0</v>
      </c>
      <c r="J554" s="16">
        <v>0.0</v>
      </c>
      <c r="K554" s="16">
        <v>45.219</v>
      </c>
      <c r="L554" s="16">
        <v>240.407</v>
      </c>
      <c r="M554" s="16">
        <v>298.53</v>
      </c>
      <c r="N554" s="16">
        <v>70.71</v>
      </c>
      <c r="O554" s="23">
        <v>7.1</v>
      </c>
      <c r="P554" s="18">
        <f t="shared" si="1"/>
        <v>240.407</v>
      </c>
    </row>
    <row r="555" ht="15.75" customHeight="1">
      <c r="A555" s="19" t="s">
        <v>208</v>
      </c>
      <c r="B555" s="19" t="s">
        <v>22</v>
      </c>
      <c r="C555" s="20" t="s">
        <v>37</v>
      </c>
      <c r="D555" s="14" t="str">
        <f>VLOOKUP(C555,'State Key'!$A$2:$B$210,2,False)</f>
        <v>West Bengal</v>
      </c>
      <c r="E555" s="21">
        <v>300.0</v>
      </c>
      <c r="F555" s="22">
        <v>110.26</v>
      </c>
      <c r="G555" s="22">
        <v>0.0</v>
      </c>
      <c r="H555" s="22">
        <v>0.0</v>
      </c>
      <c r="I555" s="22">
        <v>0.0</v>
      </c>
      <c r="J555" s="22">
        <v>0.0</v>
      </c>
      <c r="K555" s="22">
        <v>0.0</v>
      </c>
      <c r="L555" s="22">
        <v>110.26</v>
      </c>
      <c r="M555" s="22">
        <v>141.026</v>
      </c>
      <c r="N555" s="22">
        <v>17.99</v>
      </c>
      <c r="O555" s="17">
        <v>3.8</v>
      </c>
      <c r="P555" s="18">
        <f t="shared" si="1"/>
        <v>110.26</v>
      </c>
    </row>
    <row r="556" ht="15.75" customHeight="1">
      <c r="A556" s="13" t="s">
        <v>208</v>
      </c>
      <c r="B556" s="13" t="s">
        <v>22</v>
      </c>
      <c r="C556" s="14" t="s">
        <v>38</v>
      </c>
      <c r="D556" s="14" t="str">
        <f>VLOOKUP(C556,'State Key'!$A$2:$B$210,2,False)</f>
        <v>Odisha</v>
      </c>
      <c r="E556" s="15">
        <v>1740.0</v>
      </c>
      <c r="F556" s="16">
        <v>174.574</v>
      </c>
      <c r="G556" s="16">
        <v>0.0</v>
      </c>
      <c r="H556" s="16">
        <v>542.76</v>
      </c>
      <c r="I556" s="16">
        <v>0.0</v>
      </c>
      <c r="J556" s="16">
        <v>0.0</v>
      </c>
      <c r="K556" s="16">
        <v>0.0</v>
      </c>
      <c r="L556" s="16">
        <v>717.334</v>
      </c>
      <c r="M556" s="16">
        <v>818.357</v>
      </c>
      <c r="N556" s="16">
        <v>288.1</v>
      </c>
      <c r="O556" s="23">
        <v>10.6</v>
      </c>
      <c r="P556" s="18">
        <f t="shared" si="1"/>
        <v>717.334</v>
      </c>
    </row>
    <row r="557" ht="15.75" customHeight="1">
      <c r="A557" s="19" t="s">
        <v>208</v>
      </c>
      <c r="B557" s="19" t="s">
        <v>22</v>
      </c>
      <c r="C557" s="20" t="s">
        <v>39</v>
      </c>
      <c r="D557" s="14" t="str">
        <f>VLOOKUP(C557,'State Key'!$A$2:$B$210,2,False)</f>
        <v>Jharkhand</v>
      </c>
      <c r="E557" s="21">
        <v>240.0</v>
      </c>
      <c r="F557" s="22">
        <v>95.44599</v>
      </c>
      <c r="G557" s="22">
        <v>0.0</v>
      </c>
      <c r="H557" s="22">
        <v>0.0</v>
      </c>
      <c r="I557" s="22">
        <v>0.0</v>
      </c>
      <c r="J557" s="22">
        <v>0.0</v>
      </c>
      <c r="K557" s="22">
        <v>0.0</v>
      </c>
      <c r="L557" s="22">
        <v>95.44599</v>
      </c>
      <c r="M557" s="22">
        <v>111.217</v>
      </c>
      <c r="N557" s="22">
        <v>46.6</v>
      </c>
      <c r="O557" s="23">
        <v>12.6</v>
      </c>
      <c r="P557" s="18">
        <f t="shared" si="1"/>
        <v>95.44599</v>
      </c>
    </row>
    <row r="558" ht="15.75" customHeight="1">
      <c r="A558" s="13" t="s">
        <v>208</v>
      </c>
      <c r="B558" s="13" t="s">
        <v>22</v>
      </c>
      <c r="C558" s="14" t="s">
        <v>40</v>
      </c>
      <c r="D558" s="14" t="str">
        <f>VLOOKUP(C558,'State Key'!$A$2:$B$210,2,False)</f>
        <v>Bihar</v>
      </c>
      <c r="E558" s="15">
        <v>2340.0</v>
      </c>
      <c r="F558" s="16">
        <v>939.62</v>
      </c>
      <c r="G558" s="16">
        <v>0.0</v>
      </c>
      <c r="H558" s="16">
        <v>64.04</v>
      </c>
      <c r="I558" s="16">
        <v>7.837</v>
      </c>
      <c r="J558" s="16">
        <v>0.0</v>
      </c>
      <c r="K558" s="16">
        <v>0.0</v>
      </c>
      <c r="L558" s="16">
        <v>1011.497</v>
      </c>
      <c r="M558" s="16">
        <v>931.665</v>
      </c>
      <c r="N558" s="16">
        <v>366.564</v>
      </c>
      <c r="O558" s="23">
        <v>11.8</v>
      </c>
      <c r="P558" s="18">
        <f t="shared" si="1"/>
        <v>1011.497</v>
      </c>
    </row>
    <row r="559" ht="15.75" customHeight="1">
      <c r="A559" s="19" t="s">
        <v>208</v>
      </c>
      <c r="B559" s="19" t="s">
        <v>22</v>
      </c>
      <c r="C559" s="20" t="s">
        <v>41</v>
      </c>
      <c r="D559" s="14" t="str">
        <f>VLOOKUP(C559,'State Key'!$A$2:$B$210,2,False)</f>
        <v>Odisha</v>
      </c>
      <c r="E559" s="21">
        <v>1050.0</v>
      </c>
      <c r="F559" s="22">
        <v>408.269</v>
      </c>
      <c r="G559" s="22">
        <v>0.0</v>
      </c>
      <c r="H559" s="22">
        <v>0.0</v>
      </c>
      <c r="I559" s="22">
        <v>39.035</v>
      </c>
      <c r="J559" s="22">
        <v>0.0</v>
      </c>
      <c r="K559" s="22">
        <v>82.158</v>
      </c>
      <c r="L559" s="22">
        <v>529.462</v>
      </c>
      <c r="M559" s="22">
        <v>481.203</v>
      </c>
      <c r="N559" s="22">
        <v>203.305</v>
      </c>
      <c r="O559" s="23">
        <v>12.7</v>
      </c>
      <c r="P559" s="18">
        <f t="shared" si="1"/>
        <v>529.462</v>
      </c>
    </row>
    <row r="560" ht="15.75" customHeight="1">
      <c r="A560" s="13" t="s">
        <v>208</v>
      </c>
      <c r="B560" s="13" t="s">
        <v>22</v>
      </c>
      <c r="C560" s="14" t="s">
        <v>42</v>
      </c>
      <c r="D560" s="14" t="str">
        <f>VLOOKUP(C560,'State Key'!$A$2:$B$210,2,False)</f>
        <v>Jharkhand</v>
      </c>
      <c r="E560" s="15">
        <v>1000.0</v>
      </c>
      <c r="F560" s="16">
        <v>325.107</v>
      </c>
      <c r="G560" s="16">
        <v>0.0</v>
      </c>
      <c r="H560" s="16">
        <v>3.992</v>
      </c>
      <c r="I560" s="16">
        <v>27.525</v>
      </c>
      <c r="J560" s="16">
        <v>0.0</v>
      </c>
      <c r="K560" s="16">
        <v>0.0</v>
      </c>
      <c r="L560" s="16">
        <v>356.624</v>
      </c>
      <c r="M560" s="16">
        <v>393.0</v>
      </c>
      <c r="N560" s="16">
        <v>241.34</v>
      </c>
      <c r="O560" s="24">
        <v>18.4</v>
      </c>
      <c r="P560" s="18">
        <f t="shared" si="1"/>
        <v>356.624</v>
      </c>
    </row>
    <row r="561" ht="15.75" customHeight="1">
      <c r="A561" s="19" t="s">
        <v>208</v>
      </c>
      <c r="B561" s="19" t="s">
        <v>22</v>
      </c>
      <c r="C561" s="20" t="s">
        <v>43</v>
      </c>
      <c r="D561" s="14" t="str">
        <f>VLOOKUP(C561,'State Key'!$A$2:$B$210,2,False)</f>
        <v>West Bengal</v>
      </c>
      <c r="E561" s="21">
        <v>840.0</v>
      </c>
      <c r="F561" s="22">
        <v>53.601</v>
      </c>
      <c r="G561" s="22">
        <v>0.0</v>
      </c>
      <c r="H561" s="22">
        <v>259.195</v>
      </c>
      <c r="I561" s="22">
        <v>0.0</v>
      </c>
      <c r="J561" s="22">
        <v>0.0</v>
      </c>
      <c r="K561" s="22">
        <v>0.0</v>
      </c>
      <c r="L561" s="22">
        <v>312.796</v>
      </c>
      <c r="M561" s="22">
        <v>297.4828</v>
      </c>
      <c r="N561" s="22">
        <v>28.69</v>
      </c>
      <c r="O561" s="17">
        <v>2.9</v>
      </c>
      <c r="P561" s="18">
        <f t="shared" si="1"/>
        <v>312.796</v>
      </c>
    </row>
    <row r="562" ht="15.75" customHeight="1">
      <c r="A562" s="13" t="s">
        <v>208</v>
      </c>
      <c r="B562" s="13" t="s">
        <v>22</v>
      </c>
      <c r="C562" s="14" t="s">
        <v>44</v>
      </c>
      <c r="D562" s="14" t="str">
        <f>VLOOKUP(C562,'State Key'!$A$2:$B$210,2,False)</f>
        <v>Jharkhand</v>
      </c>
      <c r="E562" s="15">
        <v>540.0</v>
      </c>
      <c r="F562" s="16">
        <v>156.47</v>
      </c>
      <c r="G562" s="16">
        <v>0.0</v>
      </c>
      <c r="H562" s="16">
        <v>0.0</v>
      </c>
      <c r="I562" s="16">
        <v>0.0</v>
      </c>
      <c r="J562" s="16">
        <v>33.219</v>
      </c>
      <c r="K562" s="16">
        <v>0.0</v>
      </c>
      <c r="L562" s="16">
        <v>189.689</v>
      </c>
      <c r="M562" s="16">
        <v>260.175</v>
      </c>
      <c r="N562" s="16">
        <v>6.83</v>
      </c>
      <c r="O562" s="17">
        <v>0.8</v>
      </c>
      <c r="P562" s="18">
        <f t="shared" si="1"/>
        <v>189.689</v>
      </c>
    </row>
    <row r="563" ht="15.75" customHeight="1">
      <c r="A563" s="19" t="s">
        <v>208</v>
      </c>
      <c r="B563" s="19" t="s">
        <v>22</v>
      </c>
      <c r="C563" s="20" t="s">
        <v>45</v>
      </c>
      <c r="D563" s="14" t="str">
        <f>VLOOKUP(C563,'State Key'!$A$2:$B$210,2,False)</f>
        <v>Jharkhand</v>
      </c>
      <c r="E563" s="21">
        <v>1050.0</v>
      </c>
      <c r="F563" s="22">
        <v>244.45</v>
      </c>
      <c r="G563" s="22">
        <v>0.0</v>
      </c>
      <c r="H563" s="22">
        <v>0.0</v>
      </c>
      <c r="I563" s="22">
        <v>0.0</v>
      </c>
      <c r="J563" s="22">
        <v>0.0</v>
      </c>
      <c r="K563" s="22">
        <v>0.0</v>
      </c>
      <c r="L563" s="22">
        <v>244.45</v>
      </c>
      <c r="M563" s="22">
        <v>404.585</v>
      </c>
      <c r="N563" s="22">
        <v>348.8</v>
      </c>
      <c r="O563" s="24">
        <v>25.9</v>
      </c>
      <c r="P563" s="18">
        <f t="shared" si="1"/>
        <v>244.45</v>
      </c>
    </row>
    <row r="564" ht="15.75" customHeight="1">
      <c r="A564" s="13" t="s">
        <v>208</v>
      </c>
      <c r="B564" s="13" t="s">
        <v>22</v>
      </c>
      <c r="C564" s="14" t="s">
        <v>46</v>
      </c>
      <c r="D564" s="14" t="str">
        <f>VLOOKUP(C564,'State Key'!$A$2:$B$210,2,False)</f>
        <v>West Bengal</v>
      </c>
      <c r="E564" s="15">
        <v>2340.0</v>
      </c>
      <c r="F564" s="16">
        <v>855.894</v>
      </c>
      <c r="G564" s="16">
        <v>0.0</v>
      </c>
      <c r="H564" s="16">
        <v>3.756</v>
      </c>
      <c r="I564" s="16">
        <v>0.0</v>
      </c>
      <c r="J564" s="16">
        <v>0.0</v>
      </c>
      <c r="K564" s="16">
        <v>0.0</v>
      </c>
      <c r="L564" s="16">
        <v>859.65</v>
      </c>
      <c r="M564" s="16">
        <v>846.742</v>
      </c>
      <c r="N564" s="16">
        <v>145.647</v>
      </c>
      <c r="O564" s="17">
        <v>5.2</v>
      </c>
      <c r="P564" s="18">
        <f t="shared" si="1"/>
        <v>859.65</v>
      </c>
    </row>
    <row r="565" ht="15.75" customHeight="1">
      <c r="A565" s="19" t="s">
        <v>208</v>
      </c>
      <c r="B565" s="19" t="s">
        <v>22</v>
      </c>
      <c r="C565" s="20" t="s">
        <v>47</v>
      </c>
      <c r="D565" s="14" t="str">
        <f>VLOOKUP(C565,'State Key'!$A$2:$B$210,2,False)</f>
        <v>Bihar</v>
      </c>
      <c r="E565" s="21">
        <v>390.0</v>
      </c>
      <c r="F565" s="22">
        <v>7.578</v>
      </c>
      <c r="G565" s="22">
        <v>0.0</v>
      </c>
      <c r="H565" s="22">
        <v>204.063</v>
      </c>
      <c r="I565" s="22">
        <v>0.0</v>
      </c>
      <c r="J565" s="22">
        <v>0.0</v>
      </c>
      <c r="K565" s="22">
        <v>0.0</v>
      </c>
      <c r="L565" s="22">
        <v>211.641</v>
      </c>
      <c r="M565" s="22">
        <v>181.569</v>
      </c>
      <c r="N565" s="22">
        <v>59.55</v>
      </c>
      <c r="O565" s="23">
        <v>9.8</v>
      </c>
      <c r="P565" s="18">
        <f t="shared" si="1"/>
        <v>211.641</v>
      </c>
    </row>
    <row r="566" ht="15.75" customHeight="1">
      <c r="A566" s="13" t="s">
        <v>208</v>
      </c>
      <c r="B566" s="13" t="s">
        <v>22</v>
      </c>
      <c r="C566" s="14" t="s">
        <v>48</v>
      </c>
      <c r="D566" s="14" t="str">
        <f>VLOOKUP(C566,'State Key'!$A$2:$B$210,2,False)</f>
        <v>Bihar</v>
      </c>
      <c r="E566" s="15">
        <v>1980.0</v>
      </c>
      <c r="F566" s="16">
        <v>609.14</v>
      </c>
      <c r="G566" s="16">
        <v>0.0</v>
      </c>
      <c r="H566" s="16">
        <v>174.35</v>
      </c>
      <c r="I566" s="16">
        <v>0.0</v>
      </c>
      <c r="J566" s="16">
        <v>0.0</v>
      </c>
      <c r="K566" s="16">
        <v>0.0</v>
      </c>
      <c r="L566" s="16">
        <v>783.49</v>
      </c>
      <c r="M566" s="16">
        <v>867.013</v>
      </c>
      <c r="N566" s="16">
        <v>159.07</v>
      </c>
      <c r="O566" s="17">
        <v>5.5</v>
      </c>
      <c r="P566" s="18">
        <f t="shared" si="1"/>
        <v>783.49</v>
      </c>
    </row>
    <row r="567" ht="15.75" customHeight="1">
      <c r="A567" s="19" t="s">
        <v>208</v>
      </c>
      <c r="B567" s="19" t="s">
        <v>22</v>
      </c>
      <c r="C567" s="20" t="s">
        <v>49</v>
      </c>
      <c r="D567" s="14" t="str">
        <f>VLOOKUP(C567,'State Key'!$A$2:$B$210,2,False)</f>
        <v>Bihar</v>
      </c>
      <c r="E567" s="21">
        <v>1000.0</v>
      </c>
      <c r="F567" s="22">
        <v>408.01647</v>
      </c>
      <c r="G567" s="22">
        <v>0.0</v>
      </c>
      <c r="H567" s="22">
        <v>0.0</v>
      </c>
      <c r="I567" s="22">
        <v>0.0</v>
      </c>
      <c r="J567" s="22">
        <v>0.0</v>
      </c>
      <c r="K567" s="22">
        <v>0.0</v>
      </c>
      <c r="L567" s="22">
        <v>408.01647</v>
      </c>
      <c r="M567" s="22">
        <v>415.135</v>
      </c>
      <c r="N567" s="22">
        <v>55.108</v>
      </c>
      <c r="O567" s="17">
        <v>4.0</v>
      </c>
      <c r="P567" s="18">
        <f t="shared" si="1"/>
        <v>408.01647</v>
      </c>
    </row>
    <row r="568" ht="15.75" customHeight="1">
      <c r="A568" s="13" t="s">
        <v>208</v>
      </c>
      <c r="B568" s="13" t="s">
        <v>22</v>
      </c>
      <c r="C568" s="14" t="s">
        <v>50</v>
      </c>
      <c r="D568" s="14" t="str">
        <f>VLOOKUP(C568,'State Key'!$A$2:$B$210,2,False)</f>
        <v>Jharkhand</v>
      </c>
      <c r="E568" s="15">
        <v>660.0</v>
      </c>
      <c r="F568" s="16">
        <v>189.82</v>
      </c>
      <c r="G568" s="16">
        <v>0.0</v>
      </c>
      <c r="H568" s="16">
        <v>103.03</v>
      </c>
      <c r="I568" s="16">
        <v>0.0</v>
      </c>
      <c r="J568" s="16">
        <v>0.0</v>
      </c>
      <c r="K568" s="16">
        <v>0.0</v>
      </c>
      <c r="L568" s="16">
        <v>292.85</v>
      </c>
      <c r="M568" s="16">
        <v>269.799</v>
      </c>
      <c r="N568" s="16">
        <v>268.47</v>
      </c>
      <c r="O568" s="24">
        <v>29.9</v>
      </c>
      <c r="P568" s="18">
        <f t="shared" si="1"/>
        <v>292.85</v>
      </c>
    </row>
    <row r="569" ht="15.75" customHeight="1">
      <c r="A569" s="19" t="s">
        <v>208</v>
      </c>
      <c r="B569" s="19" t="s">
        <v>22</v>
      </c>
      <c r="C569" s="20" t="s">
        <v>51</v>
      </c>
      <c r="D569" s="14" t="str">
        <f>VLOOKUP(C569,'State Key'!$A$2:$B$210,2,False)</f>
        <v>West Bengal</v>
      </c>
      <c r="E569" s="21">
        <v>1200.0</v>
      </c>
      <c r="F569" s="22">
        <v>398.49</v>
      </c>
      <c r="G569" s="22">
        <v>0.0</v>
      </c>
      <c r="H569" s="22">
        <v>0.0</v>
      </c>
      <c r="I569" s="22">
        <v>3.951</v>
      </c>
      <c r="J569" s="22">
        <v>0.0</v>
      </c>
      <c r="K569" s="22">
        <v>0.0</v>
      </c>
      <c r="L569" s="22">
        <v>402.441</v>
      </c>
      <c r="M569" s="22">
        <v>397.177</v>
      </c>
      <c r="N569" s="22">
        <v>402.532</v>
      </c>
      <c r="O569" s="24">
        <v>30.4</v>
      </c>
      <c r="P569" s="18">
        <f t="shared" si="1"/>
        <v>402.441</v>
      </c>
    </row>
    <row r="570" ht="15.75" customHeight="1">
      <c r="A570" s="13" t="s">
        <v>208</v>
      </c>
      <c r="B570" s="13" t="s">
        <v>22</v>
      </c>
      <c r="C570" s="14" t="s">
        <v>52</v>
      </c>
      <c r="D570" s="14" t="str">
        <f>VLOOKUP(C570,'State Key'!$A$2:$B$210,2,False)</f>
        <v>West Bengal</v>
      </c>
      <c r="E570" s="15">
        <v>1600.0</v>
      </c>
      <c r="F570" s="16">
        <v>158.594</v>
      </c>
      <c r="G570" s="16">
        <v>0.0</v>
      </c>
      <c r="H570" s="16">
        <v>377.642</v>
      </c>
      <c r="I570" s="16">
        <v>0.0</v>
      </c>
      <c r="J570" s="16">
        <v>0.0</v>
      </c>
      <c r="K570" s="16">
        <v>35.706</v>
      </c>
      <c r="L570" s="16">
        <v>571.942</v>
      </c>
      <c r="M570" s="16">
        <v>551.778</v>
      </c>
      <c r="N570" s="16">
        <v>56.07</v>
      </c>
      <c r="O570" s="17">
        <v>3.0</v>
      </c>
      <c r="P570" s="18">
        <f t="shared" si="1"/>
        <v>571.942</v>
      </c>
    </row>
    <row r="571" ht="15.75" customHeight="1">
      <c r="A571" s="19" t="s">
        <v>208</v>
      </c>
      <c r="B571" s="19" t="s">
        <v>22</v>
      </c>
      <c r="C571" s="20" t="s">
        <v>53</v>
      </c>
      <c r="D571" s="14" t="str">
        <f>VLOOKUP(C571,'State Key'!$A$2:$B$210,2,False)</f>
        <v>West Bengal</v>
      </c>
      <c r="E571" s="21">
        <v>500.0</v>
      </c>
      <c r="F571" s="22">
        <v>104.493</v>
      </c>
      <c r="G571" s="22">
        <v>0.0</v>
      </c>
      <c r="H571" s="22">
        <v>123.037</v>
      </c>
      <c r="I571" s="22">
        <v>0.0</v>
      </c>
      <c r="J571" s="22">
        <v>0.0</v>
      </c>
      <c r="K571" s="22">
        <v>0.0</v>
      </c>
      <c r="L571" s="22">
        <v>227.53</v>
      </c>
      <c r="M571" s="22">
        <v>218.273</v>
      </c>
      <c r="N571" s="22">
        <v>44.95</v>
      </c>
      <c r="O571" s="17">
        <v>6.2</v>
      </c>
      <c r="P571" s="18">
        <f t="shared" si="1"/>
        <v>227.53</v>
      </c>
    </row>
    <row r="572" ht="15.75" customHeight="1">
      <c r="A572" s="13" t="s">
        <v>208</v>
      </c>
      <c r="B572" s="13" t="s">
        <v>22</v>
      </c>
      <c r="C572" s="14" t="s">
        <v>54</v>
      </c>
      <c r="D572" s="14" t="str">
        <f>VLOOKUP(C572,'State Key'!$A$2:$B$210,2,False)</f>
        <v>West Bengal</v>
      </c>
      <c r="E572" s="15">
        <v>135.0</v>
      </c>
      <c r="F572" s="16">
        <v>31.233</v>
      </c>
      <c r="G572" s="16">
        <v>0.0</v>
      </c>
      <c r="H572" s="16">
        <v>0.0</v>
      </c>
      <c r="I572" s="16">
        <v>0.0</v>
      </c>
      <c r="J572" s="16">
        <v>0.0</v>
      </c>
      <c r="K572" s="16">
        <v>8.125</v>
      </c>
      <c r="L572" s="16">
        <v>39.358</v>
      </c>
      <c r="M572" s="16">
        <v>43.833</v>
      </c>
      <c r="N572" s="16">
        <v>28.69</v>
      </c>
      <c r="O572" s="24">
        <v>19.6</v>
      </c>
      <c r="P572" s="18">
        <f t="shared" si="1"/>
        <v>39.358</v>
      </c>
    </row>
    <row r="573" ht="15.75" customHeight="1">
      <c r="A573" s="19" t="s">
        <v>208</v>
      </c>
      <c r="B573" s="19" t="s">
        <v>22</v>
      </c>
      <c r="C573" s="20" t="s">
        <v>55</v>
      </c>
      <c r="D573" s="14" t="str">
        <f>VLOOKUP(C573,'State Key'!$A$2:$B$210,2,False)</f>
        <v>Odisha</v>
      </c>
      <c r="E573" s="21">
        <v>3000.0</v>
      </c>
      <c r="F573" s="22">
        <v>1292.74</v>
      </c>
      <c r="G573" s="22">
        <v>0.0</v>
      </c>
      <c r="H573" s="22">
        <v>0.0</v>
      </c>
      <c r="I573" s="22">
        <v>67.57</v>
      </c>
      <c r="J573" s="22">
        <v>0.0</v>
      </c>
      <c r="K573" s="22">
        <v>0.0</v>
      </c>
      <c r="L573" s="22">
        <v>1360.31</v>
      </c>
      <c r="M573" s="22">
        <v>1240.646</v>
      </c>
      <c r="N573" s="22">
        <v>399.03</v>
      </c>
      <c r="O573" s="23">
        <v>9.6</v>
      </c>
      <c r="P573" s="18">
        <f t="shared" si="1"/>
        <v>1360.31</v>
      </c>
    </row>
    <row r="574" ht="15.75" customHeight="1">
      <c r="A574" s="13" t="s">
        <v>208</v>
      </c>
      <c r="B574" s="13" t="s">
        <v>22</v>
      </c>
      <c r="C574" s="14" t="s">
        <v>56</v>
      </c>
      <c r="D574" s="14" t="str">
        <f>VLOOKUP(C574,'State Key'!$A$2:$B$210,2,False)</f>
        <v>Jharkhand</v>
      </c>
      <c r="E574" s="15">
        <v>420.0</v>
      </c>
      <c r="F574" s="16">
        <v>126.22</v>
      </c>
      <c r="G574" s="16">
        <v>0.0</v>
      </c>
      <c r="H574" s="16">
        <v>0.0</v>
      </c>
      <c r="I574" s="16">
        <v>0.0</v>
      </c>
      <c r="J574" s="16">
        <v>0.0</v>
      </c>
      <c r="K574" s="16">
        <v>0.0</v>
      </c>
      <c r="L574" s="16">
        <v>126.22</v>
      </c>
      <c r="M574" s="16">
        <v>101.52</v>
      </c>
      <c r="N574" s="16">
        <v>108.92</v>
      </c>
      <c r="O574" s="24">
        <v>32.2</v>
      </c>
      <c r="P574" s="18">
        <f t="shared" si="1"/>
        <v>126.22</v>
      </c>
    </row>
    <row r="575" ht="15.75" customHeight="1">
      <c r="A575" s="19" t="s">
        <v>208</v>
      </c>
      <c r="B575" s="19" t="s">
        <v>22</v>
      </c>
      <c r="C575" s="20" t="s">
        <v>57</v>
      </c>
      <c r="D575" s="14" t="str">
        <f>VLOOKUP(C575,'State Key'!$A$2:$B$210,2,False)</f>
        <v>West Bengal</v>
      </c>
      <c r="E575" s="21">
        <v>240.0</v>
      </c>
      <c r="F575" s="22">
        <v>0.0</v>
      </c>
      <c r="G575" s="22">
        <v>0.0</v>
      </c>
      <c r="H575" s="22">
        <v>0.0</v>
      </c>
      <c r="I575" s="22">
        <v>0.0</v>
      </c>
      <c r="J575" s="22">
        <v>0.0</v>
      </c>
      <c r="K575" s="22">
        <v>0.0</v>
      </c>
      <c r="L575" s="22">
        <v>0.0</v>
      </c>
      <c r="M575" s="22">
        <v>0.0</v>
      </c>
      <c r="N575" s="22">
        <v>0.0</v>
      </c>
      <c r="O575" s="19" t="s">
        <v>58</v>
      </c>
      <c r="P575" s="18">
        <f t="shared" si="1"/>
        <v>0</v>
      </c>
    </row>
    <row r="576" ht="15.75" customHeight="1">
      <c r="A576" s="13" t="s">
        <v>208</v>
      </c>
      <c r="B576" s="13" t="s">
        <v>22</v>
      </c>
      <c r="C576" s="14" t="s">
        <v>59</v>
      </c>
      <c r="D576" s="14" t="str">
        <f>VLOOKUP(C576,'State Key'!$A$2:$B$210,2,False)</f>
        <v>Odisha</v>
      </c>
      <c r="E576" s="15">
        <v>350.0</v>
      </c>
      <c r="F576" s="16">
        <v>0.0</v>
      </c>
      <c r="G576" s="16">
        <v>0.0</v>
      </c>
      <c r="H576" s="16">
        <v>0.0</v>
      </c>
      <c r="I576" s="16">
        <v>0.0</v>
      </c>
      <c r="J576" s="16">
        <v>0.0</v>
      </c>
      <c r="K576" s="16">
        <v>0.0</v>
      </c>
      <c r="L576" s="16">
        <v>0.0</v>
      </c>
      <c r="M576" s="16">
        <v>0.0</v>
      </c>
      <c r="N576" s="16">
        <v>0.0</v>
      </c>
      <c r="O576" s="13" t="s">
        <v>58</v>
      </c>
      <c r="P576" s="18">
        <f t="shared" si="1"/>
        <v>0</v>
      </c>
    </row>
    <row r="577" ht="15.75" customHeight="1">
      <c r="A577" s="19" t="s">
        <v>208</v>
      </c>
      <c r="B577" s="19" t="s">
        <v>22</v>
      </c>
      <c r="C577" s="20" t="s">
        <v>60</v>
      </c>
      <c r="D577" s="14" t="str">
        <f>VLOOKUP(C577,'State Key'!$A$2:$B$210,2,False)</f>
        <v>Odisha</v>
      </c>
      <c r="E577" s="21">
        <v>600.0</v>
      </c>
      <c r="F577" s="22">
        <v>222.42</v>
      </c>
      <c r="G577" s="22">
        <v>0.0</v>
      </c>
      <c r="H577" s="22">
        <v>0.0</v>
      </c>
      <c r="I577" s="22">
        <v>0.0</v>
      </c>
      <c r="J577" s="22">
        <v>0.0</v>
      </c>
      <c r="K577" s="22">
        <v>0.0</v>
      </c>
      <c r="L577" s="22">
        <v>222.42</v>
      </c>
      <c r="M577" s="22">
        <v>159.57</v>
      </c>
      <c r="N577" s="22">
        <v>190.43</v>
      </c>
      <c r="O577" s="24">
        <v>35.8</v>
      </c>
      <c r="P577" s="18">
        <f t="shared" si="1"/>
        <v>222.42</v>
      </c>
    </row>
    <row r="578" ht="15.75" customHeight="1">
      <c r="A578" s="13" t="s">
        <v>208</v>
      </c>
      <c r="B578" s="13" t="s">
        <v>61</v>
      </c>
      <c r="C578" s="14" t="s">
        <v>209</v>
      </c>
      <c r="D578" s="14" t="str">
        <f>VLOOKUP(C578,'State Key'!$A$2:$B$210,2,False)</f>
        <v>Rajasthan</v>
      </c>
      <c r="E578" s="15">
        <v>1320.0</v>
      </c>
      <c r="F578" s="16">
        <v>371.035</v>
      </c>
      <c r="G578" s="16">
        <v>0.0</v>
      </c>
      <c r="H578" s="16">
        <v>0.0</v>
      </c>
      <c r="I578" s="16">
        <v>90.956</v>
      </c>
      <c r="J578" s="16">
        <v>0.0</v>
      </c>
      <c r="K578" s="16">
        <v>0.0</v>
      </c>
      <c r="L578" s="16">
        <v>461.991</v>
      </c>
      <c r="M578" s="16">
        <v>305.829</v>
      </c>
      <c r="N578" s="16">
        <v>323.97</v>
      </c>
      <c r="O578" s="24">
        <v>31.8</v>
      </c>
      <c r="P578" s="18">
        <f t="shared" si="1"/>
        <v>461.991</v>
      </c>
    </row>
    <row r="579" ht="15.75" customHeight="1">
      <c r="A579" s="19" t="s">
        <v>208</v>
      </c>
      <c r="B579" s="19" t="s">
        <v>61</v>
      </c>
      <c r="C579" s="20" t="s">
        <v>62</v>
      </c>
      <c r="D579" s="14" t="str">
        <f>VLOOKUP(C579,'State Key'!$A$2:$B$210,2,False)</f>
        <v>Uttar Pradesh</v>
      </c>
      <c r="E579" s="21">
        <v>1200.0</v>
      </c>
      <c r="F579" s="22">
        <v>487.971</v>
      </c>
      <c r="G579" s="22">
        <v>0.0</v>
      </c>
      <c r="H579" s="22">
        <v>0.0</v>
      </c>
      <c r="I579" s="22">
        <v>0.0</v>
      </c>
      <c r="J579" s="22">
        <v>0.0</v>
      </c>
      <c r="K579" s="22">
        <v>0.0</v>
      </c>
      <c r="L579" s="22">
        <v>487.971</v>
      </c>
      <c r="M579" s="22">
        <v>465.962</v>
      </c>
      <c r="N579" s="22">
        <v>87.61</v>
      </c>
      <c r="O579" s="17">
        <v>5.6</v>
      </c>
      <c r="P579" s="18">
        <f t="shared" si="1"/>
        <v>487.971</v>
      </c>
    </row>
    <row r="580" ht="15.75" customHeight="1">
      <c r="A580" s="13" t="s">
        <v>208</v>
      </c>
      <c r="B580" s="13" t="s">
        <v>61</v>
      </c>
      <c r="C580" s="14" t="s">
        <v>63</v>
      </c>
      <c r="D580" s="14" t="str">
        <f>VLOOKUP(C580,'State Key'!$A$2:$B$210,2,False)</f>
        <v>Uttar Pradesh</v>
      </c>
      <c r="E580" s="15">
        <v>2630.0</v>
      </c>
      <c r="F580" s="16">
        <v>993.082</v>
      </c>
      <c r="G580" s="16">
        <v>0.0</v>
      </c>
      <c r="H580" s="16">
        <v>0.0</v>
      </c>
      <c r="I580" s="16">
        <v>0.0</v>
      </c>
      <c r="J580" s="16">
        <v>0.0</v>
      </c>
      <c r="K580" s="16">
        <v>0.0</v>
      </c>
      <c r="L580" s="16">
        <v>993.082</v>
      </c>
      <c r="M580" s="16">
        <v>1122.27</v>
      </c>
      <c r="N580" s="16">
        <v>572.15</v>
      </c>
      <c r="O580" s="24">
        <v>15.3</v>
      </c>
      <c r="P580" s="18">
        <f t="shared" si="1"/>
        <v>993.082</v>
      </c>
    </row>
    <row r="581" ht="15.75" customHeight="1">
      <c r="A581" s="19" t="s">
        <v>208</v>
      </c>
      <c r="B581" s="19" t="s">
        <v>61</v>
      </c>
      <c r="C581" s="20" t="s">
        <v>64</v>
      </c>
      <c r="D581" s="14" t="str">
        <f>VLOOKUP(C581,'State Key'!$A$2:$B$210,2,False)</f>
        <v>Uttar Pradesh</v>
      </c>
      <c r="E581" s="21">
        <v>90.0</v>
      </c>
      <c r="F581" s="22">
        <v>22.77</v>
      </c>
      <c r="G581" s="22">
        <v>0.0</v>
      </c>
      <c r="H581" s="22">
        <v>0.0</v>
      </c>
      <c r="I581" s="22">
        <v>0.0</v>
      </c>
      <c r="J581" s="22">
        <v>0.0</v>
      </c>
      <c r="K581" s="22">
        <v>0.0</v>
      </c>
      <c r="L581" s="22">
        <v>22.77</v>
      </c>
      <c r="M581" s="22">
        <v>28.88</v>
      </c>
      <c r="N581" s="22">
        <v>35.19</v>
      </c>
      <c r="O581" s="24">
        <v>36.6</v>
      </c>
      <c r="P581" s="18">
        <f t="shared" si="1"/>
        <v>22.77</v>
      </c>
    </row>
    <row r="582" ht="15.75" customHeight="1">
      <c r="A582" s="13" t="s">
        <v>208</v>
      </c>
      <c r="B582" s="13" t="s">
        <v>61</v>
      </c>
      <c r="C582" s="14" t="s">
        <v>65</v>
      </c>
      <c r="D582" s="14" t="str">
        <f>VLOOKUP(C582,'State Key'!$A$2:$B$210,2,False)</f>
        <v>Rajasthan</v>
      </c>
      <c r="E582" s="15">
        <v>500.0</v>
      </c>
      <c r="F582" s="16">
        <v>197.14</v>
      </c>
      <c r="G582" s="16">
        <v>0.0</v>
      </c>
      <c r="H582" s="16">
        <v>0.0</v>
      </c>
      <c r="I582" s="16">
        <v>0.0</v>
      </c>
      <c r="J582" s="16">
        <v>0.0</v>
      </c>
      <c r="K582" s="16">
        <v>0.0</v>
      </c>
      <c r="L582" s="16">
        <v>197.14</v>
      </c>
      <c r="M582" s="16">
        <v>223.84</v>
      </c>
      <c r="N582" s="16">
        <v>32.0</v>
      </c>
      <c r="O582" s="17">
        <v>4.3</v>
      </c>
      <c r="P582" s="18">
        <f t="shared" si="1"/>
        <v>197.14</v>
      </c>
    </row>
    <row r="583" ht="15.75" customHeight="1">
      <c r="A583" s="19" t="s">
        <v>208</v>
      </c>
      <c r="B583" s="19" t="s">
        <v>61</v>
      </c>
      <c r="C583" s="20" t="s">
        <v>66</v>
      </c>
      <c r="D583" s="14" t="str">
        <f>VLOOKUP(C583,'State Key'!$A$2:$B$210,2,False)</f>
        <v>Rajasthan</v>
      </c>
      <c r="E583" s="21">
        <v>500.0</v>
      </c>
      <c r="F583" s="22">
        <v>0.13</v>
      </c>
      <c r="G583" s="22">
        <v>0.0</v>
      </c>
      <c r="H583" s="22">
        <v>143.58</v>
      </c>
      <c r="I583" s="22">
        <v>0.0</v>
      </c>
      <c r="J583" s="22">
        <v>0.0</v>
      </c>
      <c r="K583" s="22">
        <v>0.0</v>
      </c>
      <c r="L583" s="22">
        <v>143.71</v>
      </c>
      <c r="M583" s="22">
        <v>78.46</v>
      </c>
      <c r="N583" s="22">
        <v>101.89</v>
      </c>
      <c r="O583" s="24">
        <v>39.0</v>
      </c>
      <c r="P583" s="18">
        <f t="shared" si="1"/>
        <v>143.71</v>
      </c>
    </row>
    <row r="584" ht="15.75" customHeight="1">
      <c r="A584" s="13" t="s">
        <v>208</v>
      </c>
      <c r="B584" s="13" t="s">
        <v>61</v>
      </c>
      <c r="C584" s="14" t="s">
        <v>67</v>
      </c>
      <c r="D584" s="14" t="str">
        <f>VLOOKUP(C584,'State Key'!$A$2:$B$210,2,False)</f>
        <v>Rajasthan</v>
      </c>
      <c r="E584" s="15">
        <v>1320.0</v>
      </c>
      <c r="F584" s="16">
        <v>49.99799</v>
      </c>
      <c r="G584" s="16">
        <v>0.0</v>
      </c>
      <c r="H584" s="16">
        <v>194.51401</v>
      </c>
      <c r="I584" s="16">
        <v>0.0</v>
      </c>
      <c r="J584" s="16">
        <v>0.0</v>
      </c>
      <c r="K584" s="16">
        <v>0.0</v>
      </c>
      <c r="L584" s="16">
        <v>244.512</v>
      </c>
      <c r="M584" s="16">
        <v>154.526</v>
      </c>
      <c r="N584" s="16">
        <v>205.239</v>
      </c>
      <c r="O584" s="24">
        <v>39.8</v>
      </c>
      <c r="P584" s="18">
        <f t="shared" si="1"/>
        <v>244.512</v>
      </c>
    </row>
    <row r="585" ht="15.75" customHeight="1">
      <c r="A585" s="19" t="s">
        <v>208</v>
      </c>
      <c r="B585" s="19" t="s">
        <v>61</v>
      </c>
      <c r="C585" s="20" t="s">
        <v>68</v>
      </c>
      <c r="D585" s="14" t="str">
        <f>VLOOKUP(C585,'State Key'!$A$2:$B$210,2,False)</f>
        <v>Uttar Pradesh</v>
      </c>
      <c r="E585" s="21">
        <v>1820.0</v>
      </c>
      <c r="F585" s="22">
        <v>538.81</v>
      </c>
      <c r="G585" s="22">
        <v>0.0</v>
      </c>
      <c r="H585" s="22">
        <v>46.11</v>
      </c>
      <c r="I585" s="22">
        <v>4.134</v>
      </c>
      <c r="J585" s="22">
        <v>0.0</v>
      </c>
      <c r="K585" s="22">
        <v>0.0</v>
      </c>
      <c r="L585" s="22">
        <v>589.054</v>
      </c>
      <c r="M585" s="22">
        <v>561.472</v>
      </c>
      <c r="N585" s="22">
        <v>379.73</v>
      </c>
      <c r="O585" s="24">
        <v>20.3</v>
      </c>
      <c r="P585" s="18">
        <f t="shared" si="1"/>
        <v>589.054</v>
      </c>
    </row>
    <row r="586" ht="15.75" customHeight="1">
      <c r="A586" s="13" t="s">
        <v>208</v>
      </c>
      <c r="B586" s="13" t="s">
        <v>61</v>
      </c>
      <c r="C586" s="14" t="s">
        <v>69</v>
      </c>
      <c r="D586" s="14" t="str">
        <f>VLOOKUP(C586,'State Key'!$A$2:$B$210,2,False)</f>
        <v>Punjab</v>
      </c>
      <c r="E586" s="15">
        <v>920.0</v>
      </c>
      <c r="F586" s="16">
        <v>116.355</v>
      </c>
      <c r="G586" s="16">
        <v>0.0</v>
      </c>
      <c r="H586" s="16">
        <v>191.19</v>
      </c>
      <c r="I586" s="16">
        <v>0.0</v>
      </c>
      <c r="J586" s="16">
        <v>0.0</v>
      </c>
      <c r="K586" s="16">
        <v>0.0</v>
      </c>
      <c r="L586" s="16">
        <v>307.545</v>
      </c>
      <c r="M586" s="16">
        <v>251.484</v>
      </c>
      <c r="N586" s="16">
        <v>380.81</v>
      </c>
      <c r="O586" s="24">
        <v>45.4</v>
      </c>
      <c r="P586" s="18">
        <f t="shared" si="1"/>
        <v>307.545</v>
      </c>
    </row>
    <row r="587" ht="15.75" customHeight="1">
      <c r="A587" s="19" t="s">
        <v>208</v>
      </c>
      <c r="B587" s="19" t="s">
        <v>61</v>
      </c>
      <c r="C587" s="20" t="s">
        <v>70</v>
      </c>
      <c r="D587" s="14" t="str">
        <f>VLOOKUP(C587,'State Key'!$A$2:$B$210,2,False)</f>
        <v>Punjab</v>
      </c>
      <c r="E587" s="21">
        <v>540.0</v>
      </c>
      <c r="F587" s="22">
        <v>159.0</v>
      </c>
      <c r="G587" s="22">
        <v>0.0</v>
      </c>
      <c r="H587" s="22">
        <v>0.0</v>
      </c>
      <c r="I587" s="22">
        <v>0.0</v>
      </c>
      <c r="J587" s="22">
        <v>0.0</v>
      </c>
      <c r="K587" s="22">
        <v>0.0</v>
      </c>
      <c r="L587" s="22">
        <v>159.0</v>
      </c>
      <c r="M587" s="22">
        <v>158.0</v>
      </c>
      <c r="N587" s="22">
        <v>43.68</v>
      </c>
      <c r="O587" s="23">
        <v>8.3</v>
      </c>
      <c r="P587" s="18">
        <f t="shared" si="1"/>
        <v>159</v>
      </c>
    </row>
    <row r="588" ht="15.75" customHeight="1">
      <c r="A588" s="13" t="s">
        <v>208</v>
      </c>
      <c r="B588" s="13" t="s">
        <v>61</v>
      </c>
      <c r="C588" s="14" t="s">
        <v>71</v>
      </c>
      <c r="D588" s="14" t="str">
        <f>VLOOKUP(C588,'State Key'!$A$2:$B$210,2,False)</f>
        <v>Uttar Pradesh</v>
      </c>
      <c r="E588" s="15">
        <v>1265.0</v>
      </c>
      <c r="F588" s="16">
        <v>506.322</v>
      </c>
      <c r="G588" s="16">
        <v>0.0</v>
      </c>
      <c r="H588" s="16">
        <v>0.0</v>
      </c>
      <c r="I588" s="16">
        <v>0.0</v>
      </c>
      <c r="J588" s="16">
        <v>0.0</v>
      </c>
      <c r="K588" s="16">
        <v>0.0</v>
      </c>
      <c r="L588" s="16">
        <v>506.322</v>
      </c>
      <c r="M588" s="16">
        <v>456.334</v>
      </c>
      <c r="N588" s="16">
        <v>220.82</v>
      </c>
      <c r="O588" s="24">
        <v>14.5</v>
      </c>
      <c r="P588" s="18">
        <f t="shared" si="1"/>
        <v>506.322</v>
      </c>
    </row>
    <row r="589" ht="15.75" customHeight="1">
      <c r="A589" s="19" t="s">
        <v>208</v>
      </c>
      <c r="B589" s="19" t="s">
        <v>61</v>
      </c>
      <c r="C589" s="20" t="s">
        <v>72</v>
      </c>
      <c r="D589" s="14" t="str">
        <f>VLOOKUP(C589,'State Key'!$A$2:$B$210,2,False)</f>
        <v>Haryana</v>
      </c>
      <c r="E589" s="21">
        <v>1500.0</v>
      </c>
      <c r="F589" s="22">
        <v>335.489</v>
      </c>
      <c r="G589" s="22">
        <v>0.0</v>
      </c>
      <c r="H589" s="22">
        <v>0.0</v>
      </c>
      <c r="I589" s="22">
        <v>51.73</v>
      </c>
      <c r="J589" s="22">
        <v>0.0</v>
      </c>
      <c r="K589" s="22">
        <v>0.0</v>
      </c>
      <c r="L589" s="22">
        <v>387.219</v>
      </c>
      <c r="M589" s="22">
        <v>451.607</v>
      </c>
      <c r="N589" s="22">
        <v>587.715</v>
      </c>
      <c r="O589" s="24">
        <v>39.0</v>
      </c>
      <c r="P589" s="18">
        <f t="shared" si="1"/>
        <v>387.219</v>
      </c>
    </row>
    <row r="590" ht="15.75" customHeight="1">
      <c r="A590" s="13" t="s">
        <v>208</v>
      </c>
      <c r="B590" s="13" t="s">
        <v>61</v>
      </c>
      <c r="C590" s="14" t="s">
        <v>73</v>
      </c>
      <c r="D590" s="14" t="str">
        <f>VLOOKUP(C590,'State Key'!$A$2:$B$210,2,False)</f>
        <v>Rajasthan</v>
      </c>
      <c r="E590" s="15">
        <v>1200.0</v>
      </c>
      <c r="F590" s="16">
        <v>23.022</v>
      </c>
      <c r="G590" s="16">
        <v>0.0</v>
      </c>
      <c r="H590" s="16">
        <v>401.051</v>
      </c>
      <c r="I590" s="16">
        <v>0.0</v>
      </c>
      <c r="J590" s="16">
        <v>0.0</v>
      </c>
      <c r="K590" s="16">
        <v>0.0</v>
      </c>
      <c r="L590" s="16">
        <v>424.073</v>
      </c>
      <c r="M590" s="16">
        <v>272.92</v>
      </c>
      <c r="N590" s="16">
        <v>245.3</v>
      </c>
      <c r="O590" s="24">
        <v>27.0</v>
      </c>
      <c r="P590" s="18">
        <f t="shared" si="1"/>
        <v>424.073</v>
      </c>
    </row>
    <row r="591" ht="15.75" customHeight="1">
      <c r="A591" s="19" t="s">
        <v>208</v>
      </c>
      <c r="B591" s="19" t="s">
        <v>61</v>
      </c>
      <c r="C591" s="20" t="s">
        <v>75</v>
      </c>
      <c r="D591" s="14" t="str">
        <f>VLOOKUP(C591,'State Key'!$A$2:$B$210,2,False)</f>
        <v>Uttar Pradesh</v>
      </c>
      <c r="E591" s="21">
        <v>90.0</v>
      </c>
      <c r="F591" s="22">
        <v>19.71</v>
      </c>
      <c r="G591" s="22">
        <v>0.0</v>
      </c>
      <c r="H591" s="22">
        <v>0.0</v>
      </c>
      <c r="I591" s="22">
        <v>0.0</v>
      </c>
      <c r="J591" s="22">
        <v>0.0</v>
      </c>
      <c r="K591" s="22">
        <v>0.0</v>
      </c>
      <c r="L591" s="22">
        <v>19.71</v>
      </c>
      <c r="M591" s="22">
        <v>33.33</v>
      </c>
      <c r="N591" s="22">
        <v>52.41</v>
      </c>
      <c r="O591" s="24">
        <v>47.2</v>
      </c>
      <c r="P591" s="18">
        <f t="shared" si="1"/>
        <v>19.71</v>
      </c>
    </row>
    <row r="592" ht="15.75" customHeight="1">
      <c r="A592" s="13" t="s">
        <v>208</v>
      </c>
      <c r="B592" s="13" t="s">
        <v>61</v>
      </c>
      <c r="C592" s="14" t="s">
        <v>76</v>
      </c>
      <c r="D592" s="14" t="str">
        <f>VLOOKUP(C592,'State Key'!$A$2:$B$210,2,False)</f>
        <v>Rajasthan</v>
      </c>
      <c r="E592" s="15">
        <v>1240.0</v>
      </c>
      <c r="F592" s="16">
        <v>517.92137</v>
      </c>
      <c r="G592" s="16">
        <v>0.0</v>
      </c>
      <c r="H592" s="16">
        <v>12.08024</v>
      </c>
      <c r="I592" s="16">
        <v>0.0</v>
      </c>
      <c r="J592" s="16">
        <v>0.0</v>
      </c>
      <c r="K592" s="16">
        <v>0.0</v>
      </c>
      <c r="L592" s="16">
        <v>530.00161</v>
      </c>
      <c r="M592" s="16">
        <v>527.409</v>
      </c>
      <c r="N592" s="16">
        <v>99.58</v>
      </c>
      <c r="O592" s="17">
        <v>5.7</v>
      </c>
      <c r="P592" s="18">
        <f t="shared" si="1"/>
        <v>530.00161</v>
      </c>
    </row>
    <row r="593" ht="15.75" customHeight="1">
      <c r="A593" s="19" t="s">
        <v>208</v>
      </c>
      <c r="B593" s="19" t="s">
        <v>61</v>
      </c>
      <c r="C593" s="20" t="s">
        <v>77</v>
      </c>
      <c r="D593" s="14" t="str">
        <f>VLOOKUP(C593,'State Key'!$A$2:$B$210,2,False)</f>
        <v>Uttar Pradesh</v>
      </c>
      <c r="E593" s="21">
        <v>90.0</v>
      </c>
      <c r="F593" s="22">
        <v>11.87</v>
      </c>
      <c r="G593" s="22">
        <v>0.0</v>
      </c>
      <c r="H593" s="22">
        <v>0.0</v>
      </c>
      <c r="I593" s="22">
        <v>0.0</v>
      </c>
      <c r="J593" s="22">
        <v>0.0</v>
      </c>
      <c r="K593" s="22">
        <v>0.0</v>
      </c>
      <c r="L593" s="22">
        <v>11.87</v>
      </c>
      <c r="M593" s="22">
        <v>30.46</v>
      </c>
      <c r="N593" s="22">
        <v>35.71</v>
      </c>
      <c r="O593" s="24">
        <v>35.2</v>
      </c>
      <c r="P593" s="18">
        <f t="shared" si="1"/>
        <v>11.87</v>
      </c>
    </row>
    <row r="594" ht="15.75" customHeight="1">
      <c r="A594" s="13" t="s">
        <v>208</v>
      </c>
      <c r="B594" s="13" t="s">
        <v>61</v>
      </c>
      <c r="C594" s="14" t="s">
        <v>78</v>
      </c>
      <c r="D594" s="14" t="str">
        <f>VLOOKUP(C594,'State Key'!$A$2:$B$210,2,False)</f>
        <v>Uttar Pradesh</v>
      </c>
      <c r="E594" s="15">
        <v>1980.0</v>
      </c>
      <c r="F594" s="16">
        <v>644.446</v>
      </c>
      <c r="G594" s="16">
        <v>0.0</v>
      </c>
      <c r="H594" s="16">
        <v>0.0</v>
      </c>
      <c r="I594" s="16">
        <v>0.0</v>
      </c>
      <c r="J594" s="16">
        <v>0.0</v>
      </c>
      <c r="K594" s="16">
        <v>0.0</v>
      </c>
      <c r="L594" s="16">
        <v>644.446</v>
      </c>
      <c r="M594" s="16">
        <v>581.579</v>
      </c>
      <c r="N594" s="16">
        <v>527.7</v>
      </c>
      <c r="O594" s="24">
        <v>27.2</v>
      </c>
      <c r="P594" s="18">
        <f t="shared" si="1"/>
        <v>644.446</v>
      </c>
    </row>
    <row r="595" ht="15.75" customHeight="1">
      <c r="A595" s="19" t="s">
        <v>208</v>
      </c>
      <c r="B595" s="19" t="s">
        <v>61</v>
      </c>
      <c r="C595" s="20" t="s">
        <v>79</v>
      </c>
      <c r="D595" s="14" t="str">
        <f>VLOOKUP(C595,'State Key'!$A$2:$B$210,2,False)</f>
        <v>Haryana</v>
      </c>
      <c r="E595" s="21">
        <v>1320.0</v>
      </c>
      <c r="F595" s="22">
        <v>514.655</v>
      </c>
      <c r="G595" s="22">
        <v>0.0</v>
      </c>
      <c r="H595" s="22">
        <v>0.0</v>
      </c>
      <c r="I595" s="22">
        <v>0.0</v>
      </c>
      <c r="J595" s="22">
        <v>0.0</v>
      </c>
      <c r="K595" s="22">
        <v>0.0</v>
      </c>
      <c r="L595" s="22">
        <v>514.655</v>
      </c>
      <c r="M595" s="22">
        <v>452.32</v>
      </c>
      <c r="N595" s="22">
        <v>347.36</v>
      </c>
      <c r="O595" s="24">
        <v>23.0</v>
      </c>
      <c r="P595" s="18">
        <f t="shared" si="1"/>
        <v>514.655</v>
      </c>
    </row>
    <row r="596" ht="15.75" customHeight="1">
      <c r="A596" s="13" t="s">
        <v>208</v>
      </c>
      <c r="B596" s="13" t="s">
        <v>61</v>
      </c>
      <c r="C596" s="14" t="s">
        <v>80</v>
      </c>
      <c r="D596" s="14" t="str">
        <f>VLOOKUP(C596,'State Key'!$A$2:$B$210,2,False)</f>
        <v>Uttar Pradesh</v>
      </c>
      <c r="E596" s="15">
        <v>90.0</v>
      </c>
      <c r="F596" s="16">
        <v>20.05</v>
      </c>
      <c r="G596" s="16">
        <v>0.0</v>
      </c>
      <c r="H596" s="16">
        <v>0.0</v>
      </c>
      <c r="I596" s="16">
        <v>0.0</v>
      </c>
      <c r="J596" s="16">
        <v>0.0</v>
      </c>
      <c r="K596" s="16">
        <v>0.0</v>
      </c>
      <c r="L596" s="16">
        <v>20.05</v>
      </c>
      <c r="M596" s="16">
        <v>30.87</v>
      </c>
      <c r="N596" s="16">
        <v>40.46</v>
      </c>
      <c r="O596" s="24">
        <v>39.3</v>
      </c>
      <c r="P596" s="18">
        <f t="shared" si="1"/>
        <v>20.05</v>
      </c>
    </row>
    <row r="597" ht="15.75" customHeight="1">
      <c r="A597" s="19" t="s">
        <v>208</v>
      </c>
      <c r="B597" s="19" t="s">
        <v>61</v>
      </c>
      <c r="C597" s="20" t="s">
        <v>81</v>
      </c>
      <c r="D597" s="14" t="str">
        <f>VLOOKUP(C597,'State Key'!$A$2:$B$210,2,False)</f>
        <v>Uttar Pradesh</v>
      </c>
      <c r="E597" s="21">
        <v>1320.0</v>
      </c>
      <c r="F597" s="22">
        <v>431.27</v>
      </c>
      <c r="G597" s="22">
        <v>0.0</v>
      </c>
      <c r="H597" s="22">
        <v>0.0</v>
      </c>
      <c r="I597" s="22">
        <v>0.0</v>
      </c>
      <c r="J597" s="22">
        <v>0.0</v>
      </c>
      <c r="K597" s="22">
        <v>0.0</v>
      </c>
      <c r="L597" s="22">
        <v>431.27</v>
      </c>
      <c r="M597" s="22">
        <v>484.306</v>
      </c>
      <c r="N597" s="22">
        <v>320.814</v>
      </c>
      <c r="O597" s="24">
        <v>19.9</v>
      </c>
      <c r="P597" s="18">
        <f t="shared" si="1"/>
        <v>431.27</v>
      </c>
    </row>
    <row r="598" ht="15.75" customHeight="1">
      <c r="A598" s="13" t="s">
        <v>208</v>
      </c>
      <c r="B598" s="13" t="s">
        <v>61</v>
      </c>
      <c r="C598" s="14" t="s">
        <v>82</v>
      </c>
      <c r="D598" s="14" t="str">
        <f>VLOOKUP(C598,'State Key'!$A$2:$B$210,2,False)</f>
        <v>Uttar Pradesh</v>
      </c>
      <c r="E598" s="15">
        <v>1000.0</v>
      </c>
      <c r="F598" s="16">
        <v>364.22</v>
      </c>
      <c r="G598" s="16">
        <v>0.0</v>
      </c>
      <c r="H598" s="16">
        <v>0.0</v>
      </c>
      <c r="I598" s="16">
        <v>0.0</v>
      </c>
      <c r="J598" s="16">
        <v>0.0</v>
      </c>
      <c r="K598" s="16">
        <v>0.0</v>
      </c>
      <c r="L598" s="16">
        <v>364.22</v>
      </c>
      <c r="M598" s="16">
        <v>328.237</v>
      </c>
      <c r="N598" s="16">
        <v>79.44</v>
      </c>
      <c r="O598" s="23">
        <v>7.3</v>
      </c>
      <c r="P598" s="18">
        <f t="shared" si="1"/>
        <v>364.22</v>
      </c>
    </row>
    <row r="599" ht="15.75" customHeight="1">
      <c r="A599" s="19" t="s">
        <v>208</v>
      </c>
      <c r="B599" s="19" t="s">
        <v>61</v>
      </c>
      <c r="C599" s="20" t="s">
        <v>83</v>
      </c>
      <c r="D599" s="14" t="str">
        <f>VLOOKUP(C599,'State Key'!$A$2:$B$210,2,False)</f>
        <v>Haryana</v>
      </c>
      <c r="E599" s="21">
        <v>710.0</v>
      </c>
      <c r="F599" s="22">
        <v>210.286</v>
      </c>
      <c r="G599" s="22">
        <v>0.0</v>
      </c>
      <c r="H599" s="22">
        <v>0.0</v>
      </c>
      <c r="I599" s="22">
        <v>0.0</v>
      </c>
      <c r="J599" s="22">
        <v>0.0</v>
      </c>
      <c r="K599" s="22">
        <v>0.0</v>
      </c>
      <c r="L599" s="22">
        <v>210.286</v>
      </c>
      <c r="M599" s="22">
        <v>291.584</v>
      </c>
      <c r="N599" s="22">
        <v>119.72</v>
      </c>
      <c r="O599" s="23">
        <v>12.3</v>
      </c>
      <c r="P599" s="18">
        <f t="shared" si="1"/>
        <v>210.286</v>
      </c>
    </row>
    <row r="600" ht="15.75" customHeight="1">
      <c r="A600" s="13" t="s">
        <v>208</v>
      </c>
      <c r="B600" s="13" t="s">
        <v>61</v>
      </c>
      <c r="C600" s="14" t="s">
        <v>84</v>
      </c>
      <c r="D600" s="14" t="str">
        <f>VLOOKUP(C600,'State Key'!$A$2:$B$210,2,False)</f>
        <v>Uttar Pradesh</v>
      </c>
      <c r="E600" s="15">
        <v>1140.0</v>
      </c>
      <c r="F600" s="16">
        <v>366.825</v>
      </c>
      <c r="G600" s="16">
        <v>0.0</v>
      </c>
      <c r="H600" s="16">
        <v>0.0</v>
      </c>
      <c r="I600" s="16">
        <v>0.0</v>
      </c>
      <c r="J600" s="16">
        <v>0.0</v>
      </c>
      <c r="K600" s="16">
        <v>0.0</v>
      </c>
      <c r="L600" s="16">
        <v>366.825</v>
      </c>
      <c r="M600" s="16">
        <v>372.82</v>
      </c>
      <c r="N600" s="16">
        <v>209.256</v>
      </c>
      <c r="O600" s="24">
        <v>16.8</v>
      </c>
      <c r="P600" s="18">
        <f t="shared" si="1"/>
        <v>366.825</v>
      </c>
    </row>
    <row r="601" ht="15.75" customHeight="1">
      <c r="A601" s="19" t="s">
        <v>208</v>
      </c>
      <c r="B601" s="19" t="s">
        <v>61</v>
      </c>
      <c r="C601" s="20" t="s">
        <v>85</v>
      </c>
      <c r="D601" s="14" t="str">
        <f>VLOOKUP(C601,'State Key'!$A$2:$B$210,2,False)</f>
        <v>Uttar Pradesh</v>
      </c>
      <c r="E601" s="21">
        <v>1980.0</v>
      </c>
      <c r="F601" s="22">
        <v>643.032</v>
      </c>
      <c r="G601" s="22">
        <v>0.0</v>
      </c>
      <c r="H601" s="22">
        <v>0.0</v>
      </c>
      <c r="I601" s="22">
        <v>0.0</v>
      </c>
      <c r="J601" s="22">
        <v>0.0</v>
      </c>
      <c r="K601" s="22">
        <v>0.0</v>
      </c>
      <c r="L601" s="22">
        <v>643.032</v>
      </c>
      <c r="M601" s="22">
        <v>700.9953</v>
      </c>
      <c r="N601" s="22">
        <v>426.47</v>
      </c>
      <c r="O601" s="24">
        <v>18.3</v>
      </c>
      <c r="P601" s="18">
        <f t="shared" si="1"/>
        <v>643.032</v>
      </c>
    </row>
    <row r="602" ht="15.75" customHeight="1">
      <c r="A602" s="13" t="s">
        <v>208</v>
      </c>
      <c r="B602" s="13" t="s">
        <v>61</v>
      </c>
      <c r="C602" s="14" t="s">
        <v>86</v>
      </c>
      <c r="D602" s="14" t="str">
        <f>VLOOKUP(C602,'State Key'!$A$2:$B$210,2,False)</f>
        <v>Haryana</v>
      </c>
      <c r="E602" s="15">
        <v>1200.0</v>
      </c>
      <c r="F602" s="16">
        <v>358.306</v>
      </c>
      <c r="G602" s="16">
        <v>0.0</v>
      </c>
      <c r="H602" s="16">
        <v>0.0</v>
      </c>
      <c r="I602" s="16">
        <v>0.0</v>
      </c>
      <c r="J602" s="16">
        <v>0.0</v>
      </c>
      <c r="K602" s="16">
        <v>0.0</v>
      </c>
      <c r="L602" s="16">
        <v>358.306</v>
      </c>
      <c r="M602" s="16">
        <v>195.745</v>
      </c>
      <c r="N602" s="16">
        <v>297.834</v>
      </c>
      <c r="O602" s="24">
        <v>45.6</v>
      </c>
      <c r="P602" s="18">
        <f t="shared" si="1"/>
        <v>358.306</v>
      </c>
    </row>
    <row r="603" ht="15.75" customHeight="1">
      <c r="A603" s="19" t="s">
        <v>208</v>
      </c>
      <c r="B603" s="19" t="s">
        <v>61</v>
      </c>
      <c r="C603" s="20" t="s">
        <v>87</v>
      </c>
      <c r="D603" s="14" t="str">
        <f>VLOOKUP(C603,'State Key'!$A$2:$B$210,2,False)</f>
        <v>Punjab</v>
      </c>
      <c r="E603" s="21">
        <v>1400.0</v>
      </c>
      <c r="F603" s="22">
        <v>423.3706</v>
      </c>
      <c r="G603" s="22">
        <v>0.0</v>
      </c>
      <c r="H603" s="22">
        <v>0.0</v>
      </c>
      <c r="I603" s="22">
        <v>3.6612</v>
      </c>
      <c r="J603" s="22">
        <v>0.0</v>
      </c>
      <c r="K603" s="22">
        <v>0.0</v>
      </c>
      <c r="L603" s="22">
        <v>427.0318</v>
      </c>
      <c r="M603" s="22">
        <v>484.8628</v>
      </c>
      <c r="N603" s="22">
        <v>493.66</v>
      </c>
      <c r="O603" s="24">
        <v>30.5</v>
      </c>
      <c r="P603" s="18">
        <f t="shared" si="1"/>
        <v>427.0318</v>
      </c>
    </row>
    <row r="604" ht="15.75" customHeight="1">
      <c r="A604" s="13" t="s">
        <v>208</v>
      </c>
      <c r="B604" s="13" t="s">
        <v>61</v>
      </c>
      <c r="C604" s="14" t="s">
        <v>88</v>
      </c>
      <c r="D604" s="14" t="str">
        <f>VLOOKUP(C604,'State Key'!$A$2:$B$210,2,False)</f>
        <v>Uttar Pradesh</v>
      </c>
      <c r="E604" s="15">
        <v>3000.0</v>
      </c>
      <c r="F604" s="16">
        <v>1315.87</v>
      </c>
      <c r="G604" s="16">
        <v>0.0</v>
      </c>
      <c r="H604" s="16">
        <v>0.0</v>
      </c>
      <c r="I604" s="16">
        <v>0.0</v>
      </c>
      <c r="J604" s="16">
        <v>0.0</v>
      </c>
      <c r="K604" s="16">
        <v>0.0</v>
      </c>
      <c r="L604" s="16">
        <v>1315.87</v>
      </c>
      <c r="M604" s="16">
        <v>1298.386</v>
      </c>
      <c r="N604" s="16">
        <v>971.72</v>
      </c>
      <c r="O604" s="24">
        <v>22.5</v>
      </c>
      <c r="P604" s="18">
        <f t="shared" si="1"/>
        <v>1315.87</v>
      </c>
    </row>
    <row r="605" ht="15.75" customHeight="1">
      <c r="A605" s="19" t="s">
        <v>208</v>
      </c>
      <c r="B605" s="19" t="s">
        <v>61</v>
      </c>
      <c r="C605" s="20" t="s">
        <v>89</v>
      </c>
      <c r="D605" s="14" t="str">
        <f>VLOOKUP(C605,'State Key'!$A$2:$B$210,2,False)</f>
        <v>Punjab</v>
      </c>
      <c r="E605" s="21">
        <v>840.0</v>
      </c>
      <c r="F605" s="22">
        <v>48.87846</v>
      </c>
      <c r="G605" s="22">
        <v>0.0</v>
      </c>
      <c r="H605" s="22">
        <v>7.7745</v>
      </c>
      <c r="I605" s="22">
        <v>0.0</v>
      </c>
      <c r="J605" s="22">
        <v>0.0</v>
      </c>
      <c r="K605" s="22">
        <v>0.0</v>
      </c>
      <c r="L605" s="22">
        <v>56.65296</v>
      </c>
      <c r="M605" s="22">
        <v>213.7539</v>
      </c>
      <c r="N605" s="22">
        <v>447.58</v>
      </c>
      <c r="O605" s="24">
        <v>62.8</v>
      </c>
      <c r="P605" s="18">
        <f t="shared" si="1"/>
        <v>56.65296</v>
      </c>
    </row>
    <row r="606" ht="15.75" customHeight="1">
      <c r="A606" s="13" t="s">
        <v>208</v>
      </c>
      <c r="B606" s="13" t="s">
        <v>61</v>
      </c>
      <c r="C606" s="14" t="s">
        <v>90</v>
      </c>
      <c r="D606" s="14" t="str">
        <f>VLOOKUP(C606,'State Key'!$A$2:$B$210,2,False)</f>
        <v>Uttar Pradesh</v>
      </c>
      <c r="E606" s="15">
        <v>1200.0</v>
      </c>
      <c r="F606" s="16">
        <v>392.37</v>
      </c>
      <c r="G606" s="16">
        <v>0.0</v>
      </c>
      <c r="H606" s="16">
        <v>0.0</v>
      </c>
      <c r="I606" s="16">
        <v>0.0</v>
      </c>
      <c r="J606" s="16">
        <v>0.0</v>
      </c>
      <c r="K606" s="16">
        <v>0.0</v>
      </c>
      <c r="L606" s="16">
        <v>392.37</v>
      </c>
      <c r="M606" s="16">
        <v>407.9</v>
      </c>
      <c r="N606" s="16">
        <v>270.24</v>
      </c>
      <c r="O606" s="24">
        <v>19.9</v>
      </c>
      <c r="P606" s="18">
        <f t="shared" si="1"/>
        <v>392.37</v>
      </c>
    </row>
    <row r="607" ht="15.75" customHeight="1">
      <c r="A607" s="19" t="s">
        <v>208</v>
      </c>
      <c r="B607" s="19" t="s">
        <v>61</v>
      </c>
      <c r="C607" s="20" t="s">
        <v>91</v>
      </c>
      <c r="D607" s="14" t="str">
        <f>VLOOKUP(C607,'State Key'!$A$2:$B$210,2,False)</f>
        <v>Uttar Pradesh</v>
      </c>
      <c r="E607" s="21">
        <v>2000.0</v>
      </c>
      <c r="F607" s="22">
        <v>866.0</v>
      </c>
      <c r="G607" s="22">
        <v>0.0</v>
      </c>
      <c r="H607" s="22">
        <v>0.0</v>
      </c>
      <c r="I607" s="22">
        <v>0.0</v>
      </c>
      <c r="J607" s="22">
        <v>0.0</v>
      </c>
      <c r="K607" s="22">
        <v>0.0</v>
      </c>
      <c r="L607" s="22">
        <v>866.0</v>
      </c>
      <c r="M607" s="22">
        <v>893.439</v>
      </c>
      <c r="N607" s="22">
        <v>358.015</v>
      </c>
      <c r="O607" s="23">
        <v>12.0</v>
      </c>
      <c r="P607" s="18">
        <f t="shared" si="1"/>
        <v>866</v>
      </c>
    </row>
    <row r="608" ht="15.75" customHeight="1">
      <c r="A608" s="13" t="s">
        <v>208</v>
      </c>
      <c r="B608" s="13" t="s">
        <v>61</v>
      </c>
      <c r="C608" s="14" t="s">
        <v>92</v>
      </c>
      <c r="D608" s="14" t="str">
        <f>VLOOKUP(C608,'State Key'!$A$2:$B$210,2,False)</f>
        <v>Rajasthan</v>
      </c>
      <c r="E608" s="15">
        <v>1320.0</v>
      </c>
      <c r="F608" s="16">
        <v>330.29219</v>
      </c>
      <c r="G608" s="16">
        <v>0.0</v>
      </c>
      <c r="H608" s="16">
        <v>140.64841</v>
      </c>
      <c r="I608" s="16">
        <v>0.0</v>
      </c>
      <c r="J608" s="16">
        <v>0.0</v>
      </c>
      <c r="K608" s="16">
        <v>0.0</v>
      </c>
      <c r="L608" s="16">
        <v>470.9406</v>
      </c>
      <c r="M608" s="16">
        <v>401.634</v>
      </c>
      <c r="N608" s="16">
        <v>181.55</v>
      </c>
      <c r="O608" s="23">
        <v>13.6</v>
      </c>
      <c r="P608" s="18">
        <f t="shared" si="1"/>
        <v>470.9406</v>
      </c>
    </row>
    <row r="609" ht="15.75" customHeight="1">
      <c r="A609" s="19" t="s">
        <v>208</v>
      </c>
      <c r="B609" s="19" t="s">
        <v>61</v>
      </c>
      <c r="C609" s="20" t="s">
        <v>93</v>
      </c>
      <c r="D609" s="14" t="str">
        <f>VLOOKUP(C609,'State Key'!$A$2:$B$210,2,False)</f>
        <v>Rajasthan</v>
      </c>
      <c r="E609" s="21">
        <v>1500.0</v>
      </c>
      <c r="F609" s="22">
        <v>457.23</v>
      </c>
      <c r="G609" s="22">
        <v>0.0</v>
      </c>
      <c r="H609" s="22">
        <v>7.83</v>
      </c>
      <c r="I609" s="22">
        <v>0.0</v>
      </c>
      <c r="J609" s="22">
        <v>0.0</v>
      </c>
      <c r="K609" s="22">
        <v>0.0</v>
      </c>
      <c r="L609" s="22">
        <v>465.06</v>
      </c>
      <c r="M609" s="22">
        <v>588.63</v>
      </c>
      <c r="N609" s="22">
        <v>121.97</v>
      </c>
      <c r="O609" s="17">
        <v>6.2</v>
      </c>
      <c r="P609" s="18">
        <f t="shared" si="1"/>
        <v>465.06</v>
      </c>
    </row>
    <row r="610" ht="15.75" customHeight="1">
      <c r="A610" s="13" t="s">
        <v>208</v>
      </c>
      <c r="B610" s="13" t="s">
        <v>61</v>
      </c>
      <c r="C610" s="14" t="s">
        <v>94</v>
      </c>
      <c r="D610" s="14" t="str">
        <f>VLOOKUP(C610,'State Key'!$A$2:$B$210,2,False)</f>
        <v>Punjab</v>
      </c>
      <c r="E610" s="15">
        <v>1980.0</v>
      </c>
      <c r="F610" s="16">
        <v>590.221</v>
      </c>
      <c r="G610" s="16">
        <v>0.0</v>
      </c>
      <c r="H610" s="16">
        <v>0.0</v>
      </c>
      <c r="I610" s="16">
        <v>4.003</v>
      </c>
      <c r="J610" s="16">
        <v>0.0</v>
      </c>
      <c r="K610" s="16">
        <v>0.0</v>
      </c>
      <c r="L610" s="16">
        <v>594.224</v>
      </c>
      <c r="M610" s="16">
        <v>618.46</v>
      </c>
      <c r="N610" s="16">
        <v>220.07</v>
      </c>
      <c r="O610" s="23">
        <v>10.7</v>
      </c>
      <c r="P610" s="18">
        <f t="shared" si="1"/>
        <v>594.224</v>
      </c>
    </row>
    <row r="611" ht="15.75" customHeight="1">
      <c r="A611" s="19" t="s">
        <v>208</v>
      </c>
      <c r="B611" s="19" t="s">
        <v>61</v>
      </c>
      <c r="C611" s="20" t="s">
        <v>95</v>
      </c>
      <c r="D611" s="14" t="str">
        <f>VLOOKUP(C611,'State Key'!$A$2:$B$210,2,False)</f>
        <v>Uttar Pradesh</v>
      </c>
      <c r="E611" s="21">
        <v>1760.0</v>
      </c>
      <c r="F611" s="22">
        <v>382.55</v>
      </c>
      <c r="G611" s="22">
        <v>0.0</v>
      </c>
      <c r="H611" s="22">
        <v>31.01</v>
      </c>
      <c r="I611" s="22">
        <v>31.652</v>
      </c>
      <c r="J611" s="22">
        <v>0.0</v>
      </c>
      <c r="K611" s="22">
        <v>0.0</v>
      </c>
      <c r="L611" s="22">
        <v>445.212</v>
      </c>
      <c r="M611" s="22">
        <v>570.123</v>
      </c>
      <c r="N611" s="22">
        <v>410.289</v>
      </c>
      <c r="O611" s="24">
        <v>21.6</v>
      </c>
      <c r="P611" s="18">
        <f t="shared" si="1"/>
        <v>445.212</v>
      </c>
    </row>
    <row r="612" ht="15.75" customHeight="1">
      <c r="A612" s="13" t="s">
        <v>208</v>
      </c>
      <c r="B612" s="13" t="s">
        <v>61</v>
      </c>
      <c r="C612" s="14" t="s">
        <v>96</v>
      </c>
      <c r="D612" s="14" t="str">
        <f>VLOOKUP(C612,'State Key'!$A$2:$B$210,2,False)</f>
        <v>Uttar Pradesh</v>
      </c>
      <c r="E612" s="15">
        <v>1550.0</v>
      </c>
      <c r="F612" s="16">
        <v>382.19</v>
      </c>
      <c r="G612" s="16">
        <v>0.0</v>
      </c>
      <c r="H612" s="16">
        <v>27.12</v>
      </c>
      <c r="I612" s="16">
        <v>0.0</v>
      </c>
      <c r="J612" s="16">
        <v>0.0</v>
      </c>
      <c r="K612" s="16">
        <v>0.0</v>
      </c>
      <c r="L612" s="16">
        <v>409.31</v>
      </c>
      <c r="M612" s="16">
        <v>504.119</v>
      </c>
      <c r="N612" s="16">
        <v>315.395</v>
      </c>
      <c r="O612" s="24">
        <v>18.8</v>
      </c>
      <c r="P612" s="18">
        <f t="shared" si="1"/>
        <v>409.31</v>
      </c>
    </row>
    <row r="613" ht="15.75" customHeight="1">
      <c r="A613" s="19" t="s">
        <v>208</v>
      </c>
      <c r="B613" s="19" t="s">
        <v>61</v>
      </c>
      <c r="C613" s="20" t="s">
        <v>97</v>
      </c>
      <c r="D613" s="14" t="str">
        <f>VLOOKUP(C613,'State Key'!$A$2:$B$210,2,False)</f>
        <v>Uttar Pradesh</v>
      </c>
      <c r="E613" s="21">
        <v>90.0</v>
      </c>
      <c r="F613" s="22">
        <v>4.03</v>
      </c>
      <c r="G613" s="22">
        <v>0.0</v>
      </c>
      <c r="H613" s="22">
        <v>0.0</v>
      </c>
      <c r="I613" s="22">
        <v>0.0</v>
      </c>
      <c r="J613" s="22">
        <v>0.0</v>
      </c>
      <c r="K613" s="22">
        <v>0.0</v>
      </c>
      <c r="L613" s="22">
        <v>4.03</v>
      </c>
      <c r="M613" s="22">
        <v>28.38</v>
      </c>
      <c r="N613" s="22">
        <v>52.03</v>
      </c>
      <c r="O613" s="24">
        <v>55.0</v>
      </c>
      <c r="P613" s="18">
        <f t="shared" si="1"/>
        <v>4.03</v>
      </c>
    </row>
    <row r="614" ht="15.75" customHeight="1">
      <c r="A614" s="13" t="s">
        <v>208</v>
      </c>
      <c r="B614" s="13" t="s">
        <v>61</v>
      </c>
      <c r="C614" s="14" t="s">
        <v>98</v>
      </c>
      <c r="D614" s="14" t="str">
        <f>VLOOKUP(C614,'State Key'!$A$2:$B$210,2,False)</f>
        <v>Haryana</v>
      </c>
      <c r="E614" s="15">
        <v>600.0</v>
      </c>
      <c r="F614" s="16">
        <v>263.837</v>
      </c>
      <c r="G614" s="16">
        <v>0.0</v>
      </c>
      <c r="H614" s="16">
        <v>0.0</v>
      </c>
      <c r="I614" s="16">
        <v>0.0</v>
      </c>
      <c r="J614" s="16">
        <v>0.0</v>
      </c>
      <c r="K614" s="16">
        <v>0.0</v>
      </c>
      <c r="L614" s="16">
        <v>263.837</v>
      </c>
      <c r="M614" s="16">
        <v>220.097</v>
      </c>
      <c r="N614" s="16">
        <v>160.61</v>
      </c>
      <c r="O614" s="24">
        <v>21.9</v>
      </c>
      <c r="P614" s="18">
        <f t="shared" si="1"/>
        <v>263.837</v>
      </c>
    </row>
    <row r="615" ht="15.75" customHeight="1">
      <c r="A615" s="19" t="s">
        <v>208</v>
      </c>
      <c r="B615" s="19" t="s">
        <v>99</v>
      </c>
      <c r="C615" s="20" t="s">
        <v>210</v>
      </c>
      <c r="D615" s="14" t="str">
        <f>VLOOKUP(C615,'State Key'!$A$2:$B$210,2,False)</f>
        <v>Karnataka</v>
      </c>
      <c r="E615" s="21">
        <v>1200.0</v>
      </c>
      <c r="F615" s="22">
        <v>0.0</v>
      </c>
      <c r="G615" s="22">
        <v>0.0</v>
      </c>
      <c r="H615" s="22">
        <v>0.0</v>
      </c>
      <c r="I615" s="22">
        <v>149.92</v>
      </c>
      <c r="J615" s="22">
        <v>0.0</v>
      </c>
      <c r="K615" s="22">
        <v>0.0</v>
      </c>
      <c r="L615" s="22">
        <v>149.92</v>
      </c>
      <c r="M615" s="22">
        <v>49.835</v>
      </c>
      <c r="N615" s="22">
        <v>134.75</v>
      </c>
      <c r="O615" s="24">
        <v>81.1</v>
      </c>
      <c r="P615" s="18">
        <f t="shared" si="1"/>
        <v>149.92</v>
      </c>
    </row>
    <row r="616" ht="15.75" customHeight="1">
      <c r="A616" s="13" t="s">
        <v>208</v>
      </c>
      <c r="B616" s="13" t="s">
        <v>99</v>
      </c>
      <c r="C616" s="14" t="s">
        <v>100</v>
      </c>
      <c r="D616" s="14" t="str">
        <f>VLOOKUP(C616,'State Key'!$A$2:$B$210,2,False)</f>
        <v>Karnataka</v>
      </c>
      <c r="E616" s="15">
        <v>1700.0</v>
      </c>
      <c r="F616" s="16">
        <v>94.34638</v>
      </c>
      <c r="G616" s="16">
        <v>143.15665</v>
      </c>
      <c r="H616" s="16">
        <v>181.3227</v>
      </c>
      <c r="I616" s="16">
        <v>0.0</v>
      </c>
      <c r="J616" s="16">
        <v>0.0</v>
      </c>
      <c r="K616" s="16">
        <v>0.0</v>
      </c>
      <c r="L616" s="16">
        <v>418.82573</v>
      </c>
      <c r="M616" s="16">
        <v>466.596</v>
      </c>
      <c r="N616" s="16">
        <v>58.3327</v>
      </c>
      <c r="O616" s="17">
        <v>3.8</v>
      </c>
      <c r="P616" s="18">
        <f t="shared" si="1"/>
        <v>418.82573</v>
      </c>
    </row>
    <row r="617" ht="15.75" customHeight="1">
      <c r="A617" s="19" t="s">
        <v>208</v>
      </c>
      <c r="B617" s="19" t="s">
        <v>99</v>
      </c>
      <c r="C617" s="20" t="s">
        <v>101</v>
      </c>
      <c r="D617" s="14" t="str">
        <f>VLOOKUP(C617,'State Key'!$A$2:$B$210,2,False)</f>
        <v>Telangana</v>
      </c>
      <c r="E617" s="21">
        <v>1080.0</v>
      </c>
      <c r="F617" s="22">
        <v>0.0</v>
      </c>
      <c r="G617" s="22">
        <v>412.363</v>
      </c>
      <c r="H617" s="22">
        <v>0.0</v>
      </c>
      <c r="I617" s="22">
        <v>0.0</v>
      </c>
      <c r="J617" s="22">
        <v>0.0</v>
      </c>
      <c r="K617" s="22">
        <v>0.0</v>
      </c>
      <c r="L617" s="22">
        <v>412.363</v>
      </c>
      <c r="M617" s="22">
        <v>360.323</v>
      </c>
      <c r="N617" s="22">
        <v>209.373</v>
      </c>
      <c r="O617" s="24">
        <v>17.4</v>
      </c>
      <c r="P617" s="18">
        <f t="shared" si="1"/>
        <v>412.363</v>
      </c>
    </row>
    <row r="618" ht="15.75" customHeight="1">
      <c r="A618" s="13" t="s">
        <v>208</v>
      </c>
      <c r="B618" s="13" t="s">
        <v>99</v>
      </c>
      <c r="C618" s="14" t="s">
        <v>102</v>
      </c>
      <c r="D618" s="14" t="str">
        <f>VLOOKUP(C618,'State Key'!$A$2:$B$210,2,False)</f>
        <v>Andhra Pradesh</v>
      </c>
      <c r="E618" s="15">
        <v>2400.0</v>
      </c>
      <c r="F618" s="16">
        <v>455.085</v>
      </c>
      <c r="G618" s="16">
        <v>0.0</v>
      </c>
      <c r="H618" s="16">
        <v>0.0</v>
      </c>
      <c r="I618" s="16">
        <v>70.441</v>
      </c>
      <c r="J618" s="16">
        <v>0.0</v>
      </c>
      <c r="K618" s="16">
        <v>0.0</v>
      </c>
      <c r="L618" s="16">
        <v>525.526</v>
      </c>
      <c r="M618" s="16">
        <v>526.667</v>
      </c>
      <c r="N618" s="16">
        <v>29.575</v>
      </c>
      <c r="O618" s="17">
        <v>1.7</v>
      </c>
      <c r="P618" s="18">
        <f t="shared" si="1"/>
        <v>525.526</v>
      </c>
    </row>
    <row r="619" ht="15.75" customHeight="1">
      <c r="A619" s="19" t="s">
        <v>208</v>
      </c>
      <c r="B619" s="19" t="s">
        <v>99</v>
      </c>
      <c r="C619" s="20" t="s">
        <v>103</v>
      </c>
      <c r="D619" s="14" t="str">
        <f>VLOOKUP(C619,'State Key'!$A$2:$B$210,2,False)</f>
        <v>Andhra Pradesh</v>
      </c>
      <c r="E619" s="21">
        <v>1760.0</v>
      </c>
      <c r="F619" s="22">
        <v>441.604</v>
      </c>
      <c r="G619" s="22">
        <v>276.115</v>
      </c>
      <c r="H619" s="22">
        <v>0.0</v>
      </c>
      <c r="I619" s="22">
        <v>0.0</v>
      </c>
      <c r="J619" s="22">
        <v>0.0</v>
      </c>
      <c r="K619" s="22">
        <v>0.0</v>
      </c>
      <c r="L619" s="22">
        <v>717.719</v>
      </c>
      <c r="M619" s="22">
        <v>755.456</v>
      </c>
      <c r="N619" s="22">
        <v>37.981</v>
      </c>
      <c r="O619" s="17">
        <v>1.5</v>
      </c>
      <c r="P619" s="18">
        <f t="shared" si="1"/>
        <v>717.719</v>
      </c>
    </row>
    <row r="620" ht="15.75" customHeight="1">
      <c r="A620" s="13" t="s">
        <v>208</v>
      </c>
      <c r="B620" s="13" t="s">
        <v>99</v>
      </c>
      <c r="C620" s="14" t="s">
        <v>104</v>
      </c>
      <c r="D620" s="14" t="str">
        <f>VLOOKUP(C620,'State Key'!$A$2:$B$210,2,False)</f>
        <v>Tamil Nadu</v>
      </c>
      <c r="E620" s="15">
        <v>1200.0</v>
      </c>
      <c r="F620" s="16">
        <v>0.0</v>
      </c>
      <c r="G620" s="16">
        <v>0.0</v>
      </c>
      <c r="H620" s="16">
        <v>0.0</v>
      </c>
      <c r="I620" s="16">
        <v>307.85</v>
      </c>
      <c r="J620" s="16">
        <v>0.0</v>
      </c>
      <c r="K620" s="16">
        <v>0.0</v>
      </c>
      <c r="L620" s="16">
        <v>307.85</v>
      </c>
      <c r="M620" s="16">
        <v>182.7599</v>
      </c>
      <c r="N620" s="16">
        <v>137.22</v>
      </c>
      <c r="O620" s="24">
        <v>22.5</v>
      </c>
      <c r="P620" s="18">
        <f t="shared" si="1"/>
        <v>307.85</v>
      </c>
    </row>
    <row r="621" ht="15.75" customHeight="1">
      <c r="A621" s="19" t="s">
        <v>208</v>
      </c>
      <c r="B621" s="19" t="s">
        <v>99</v>
      </c>
      <c r="C621" s="20" t="s">
        <v>105</v>
      </c>
      <c r="D621" s="14" t="str">
        <f>VLOOKUP(C621,'State Key'!$A$2:$B$210,2,False)</f>
        <v>Telangana</v>
      </c>
      <c r="E621" s="21">
        <v>1100.0</v>
      </c>
      <c r="F621" s="22">
        <v>0.0</v>
      </c>
      <c r="G621" s="22">
        <v>299.313</v>
      </c>
      <c r="H621" s="22">
        <v>0.0</v>
      </c>
      <c r="I621" s="22">
        <v>0.0</v>
      </c>
      <c r="J621" s="22">
        <v>0.0</v>
      </c>
      <c r="K621" s="22">
        <v>0.0</v>
      </c>
      <c r="L621" s="22">
        <v>299.313</v>
      </c>
      <c r="M621" s="22">
        <v>371.525</v>
      </c>
      <c r="N621" s="22">
        <v>247.409</v>
      </c>
      <c r="O621" s="24">
        <v>20.0</v>
      </c>
      <c r="P621" s="18">
        <f t="shared" si="1"/>
        <v>299.313</v>
      </c>
    </row>
    <row r="622" ht="15.75" customHeight="1">
      <c r="A622" s="13" t="s">
        <v>208</v>
      </c>
      <c r="B622" s="13" t="s">
        <v>99</v>
      </c>
      <c r="C622" s="14" t="s">
        <v>106</v>
      </c>
      <c r="D622" s="14" t="str">
        <f>VLOOKUP(C622,'State Key'!$A$2:$B$210,2,False)</f>
        <v>Telangana</v>
      </c>
      <c r="E622" s="15">
        <v>1000.0</v>
      </c>
      <c r="F622" s="16">
        <v>0.0</v>
      </c>
      <c r="G622" s="16">
        <v>460.455</v>
      </c>
      <c r="H622" s="16">
        <v>0.0</v>
      </c>
      <c r="I622" s="16">
        <v>0.0</v>
      </c>
      <c r="J622" s="16">
        <v>0.0</v>
      </c>
      <c r="K622" s="16">
        <v>0.0</v>
      </c>
      <c r="L622" s="16">
        <v>460.455</v>
      </c>
      <c r="M622" s="16">
        <v>431.705</v>
      </c>
      <c r="N622" s="16">
        <v>183.824</v>
      </c>
      <c r="O622" s="23">
        <v>12.8</v>
      </c>
      <c r="P622" s="18">
        <f t="shared" si="1"/>
        <v>460.455</v>
      </c>
    </row>
    <row r="623" ht="15.75" customHeight="1">
      <c r="A623" s="19" t="s">
        <v>208</v>
      </c>
      <c r="B623" s="19" t="s">
        <v>99</v>
      </c>
      <c r="C623" s="20" t="s">
        <v>107</v>
      </c>
      <c r="D623" s="14" t="str">
        <f>VLOOKUP(C623,'State Key'!$A$2:$B$210,2,False)</f>
        <v>Telangana</v>
      </c>
      <c r="E623" s="21">
        <v>800.0</v>
      </c>
      <c r="F623" s="22">
        <v>0.0</v>
      </c>
      <c r="G623" s="22">
        <v>231.585</v>
      </c>
      <c r="H623" s="22">
        <v>0.0</v>
      </c>
      <c r="I623" s="22">
        <v>0.0</v>
      </c>
      <c r="J623" s="22">
        <v>0.0</v>
      </c>
      <c r="K623" s="22">
        <v>0.0</v>
      </c>
      <c r="L623" s="22">
        <v>231.585</v>
      </c>
      <c r="M623" s="22">
        <v>283.224</v>
      </c>
      <c r="N623" s="22">
        <v>77.241</v>
      </c>
      <c r="O623" s="23">
        <v>8.2</v>
      </c>
      <c r="P623" s="18">
        <f t="shared" si="1"/>
        <v>231.585</v>
      </c>
    </row>
    <row r="624" ht="15.75" customHeight="1">
      <c r="A624" s="13" t="s">
        <v>208</v>
      </c>
      <c r="B624" s="13" t="s">
        <v>99</v>
      </c>
      <c r="C624" s="14" t="s">
        <v>108</v>
      </c>
      <c r="D624" s="14" t="str">
        <f>VLOOKUP(C624,'State Key'!$A$2:$B$210,2,False)</f>
        <v>Karnataka</v>
      </c>
      <c r="E624" s="15">
        <v>2400.0</v>
      </c>
      <c r="F624" s="16">
        <v>202.21</v>
      </c>
      <c r="G624" s="16">
        <v>180.39</v>
      </c>
      <c r="H624" s="16">
        <v>139.97</v>
      </c>
      <c r="I624" s="16">
        <v>0.178</v>
      </c>
      <c r="J624" s="16">
        <v>0.0</v>
      </c>
      <c r="K624" s="16">
        <v>0.0</v>
      </c>
      <c r="L624" s="16">
        <v>522.748</v>
      </c>
      <c r="M624" s="16">
        <v>518.886</v>
      </c>
      <c r="N624" s="16">
        <v>129.656</v>
      </c>
      <c r="O624" s="23">
        <v>7.5</v>
      </c>
      <c r="P624" s="18">
        <f t="shared" si="1"/>
        <v>522.748</v>
      </c>
    </row>
    <row r="625" ht="15.75" customHeight="1">
      <c r="A625" s="19" t="s">
        <v>208</v>
      </c>
      <c r="B625" s="19" t="s">
        <v>99</v>
      </c>
      <c r="C625" s="20" t="s">
        <v>109</v>
      </c>
      <c r="D625" s="14" t="str">
        <f>VLOOKUP(C625,'State Key'!$A$2:$B$210,2,False)</f>
        <v>Tamil Nadu</v>
      </c>
      <c r="E625" s="21">
        <v>840.0</v>
      </c>
      <c r="F625" s="22">
        <v>242.173</v>
      </c>
      <c r="G625" s="22">
        <v>103.627</v>
      </c>
      <c r="H625" s="22">
        <v>0.0</v>
      </c>
      <c r="I625" s="22">
        <v>0.0</v>
      </c>
      <c r="J625" s="22">
        <v>0.0</v>
      </c>
      <c r="K625" s="22">
        <v>0.0</v>
      </c>
      <c r="L625" s="22">
        <v>345.8</v>
      </c>
      <c r="M625" s="22">
        <v>400.785</v>
      </c>
      <c r="N625" s="22">
        <v>24.27</v>
      </c>
      <c r="O625" s="17">
        <v>1.8</v>
      </c>
      <c r="P625" s="18">
        <f t="shared" si="1"/>
        <v>345.8</v>
      </c>
    </row>
    <row r="626" ht="15.75" customHeight="1">
      <c r="A626" s="13" t="s">
        <v>208</v>
      </c>
      <c r="B626" s="13" t="s">
        <v>99</v>
      </c>
      <c r="C626" s="14" t="s">
        <v>110</v>
      </c>
      <c r="D626" s="14" t="str">
        <f>VLOOKUP(C626,'State Key'!$A$2:$B$210,2,False)</f>
        <v>Tamil Nadu</v>
      </c>
      <c r="E626" s="15">
        <v>600.0</v>
      </c>
      <c r="F626" s="16">
        <v>27.86</v>
      </c>
      <c r="G626" s="16">
        <v>20.12</v>
      </c>
      <c r="H626" s="16">
        <v>0.0</v>
      </c>
      <c r="I626" s="16">
        <v>1.07</v>
      </c>
      <c r="J626" s="16">
        <v>0.0</v>
      </c>
      <c r="K626" s="16">
        <v>0.0</v>
      </c>
      <c r="L626" s="16">
        <v>49.05</v>
      </c>
      <c r="M626" s="16">
        <v>31.51</v>
      </c>
      <c r="N626" s="16">
        <v>168.13</v>
      </c>
      <c r="O626" s="24">
        <v>160.1</v>
      </c>
      <c r="P626" s="18">
        <f t="shared" si="1"/>
        <v>49.05</v>
      </c>
    </row>
    <row r="627" ht="15.75" customHeight="1">
      <c r="A627" s="19" t="s">
        <v>208</v>
      </c>
      <c r="B627" s="19" t="s">
        <v>99</v>
      </c>
      <c r="C627" s="20" t="s">
        <v>111</v>
      </c>
      <c r="D627" s="14" t="str">
        <f>VLOOKUP(C627,'State Key'!$A$2:$B$210,2,False)</f>
        <v>Tamil Nadu</v>
      </c>
      <c r="E627" s="21">
        <v>1200.0</v>
      </c>
      <c r="F627" s="22">
        <v>0.0</v>
      </c>
      <c r="G627" s="22">
        <v>0.0</v>
      </c>
      <c r="H627" s="22">
        <v>0.0</v>
      </c>
      <c r="I627" s="22">
        <v>137.861</v>
      </c>
      <c r="J627" s="22">
        <v>0.0</v>
      </c>
      <c r="K627" s="22">
        <v>0.0</v>
      </c>
      <c r="L627" s="22">
        <v>137.861</v>
      </c>
      <c r="M627" s="22">
        <v>125.308</v>
      </c>
      <c r="N627" s="22">
        <v>25.072</v>
      </c>
      <c r="O627" s="17">
        <v>6.0</v>
      </c>
      <c r="P627" s="18">
        <f t="shared" si="1"/>
        <v>137.861</v>
      </c>
    </row>
    <row r="628" ht="15.75" customHeight="1">
      <c r="A628" s="13" t="s">
        <v>208</v>
      </c>
      <c r="B628" s="13" t="s">
        <v>99</v>
      </c>
      <c r="C628" s="14" t="s">
        <v>112</v>
      </c>
      <c r="D628" s="14" t="str">
        <f>VLOOKUP(C628,'State Key'!$A$2:$B$210,2,False)</f>
        <v>Tamil Nadu</v>
      </c>
      <c r="E628" s="15">
        <v>1830.0</v>
      </c>
      <c r="F628" s="16">
        <v>682.227</v>
      </c>
      <c r="G628" s="16">
        <v>0.0</v>
      </c>
      <c r="H628" s="16">
        <v>0.0</v>
      </c>
      <c r="I628" s="16">
        <v>98.16</v>
      </c>
      <c r="J628" s="16">
        <v>0.0</v>
      </c>
      <c r="K628" s="16">
        <v>0.0</v>
      </c>
      <c r="L628" s="16">
        <v>780.387</v>
      </c>
      <c r="M628" s="16">
        <v>676.317</v>
      </c>
      <c r="N628" s="16">
        <v>335.081</v>
      </c>
      <c r="O628" s="24">
        <v>14.9</v>
      </c>
      <c r="P628" s="18">
        <f t="shared" si="1"/>
        <v>780.387</v>
      </c>
    </row>
    <row r="629" ht="15.75" customHeight="1">
      <c r="A629" s="19" t="s">
        <v>208</v>
      </c>
      <c r="B629" s="19" t="s">
        <v>99</v>
      </c>
      <c r="C629" s="20" t="s">
        <v>113</v>
      </c>
      <c r="D629" s="14" t="str">
        <f>VLOOKUP(C629,'State Key'!$A$2:$B$210,2,False)</f>
        <v>Tamil Nadu</v>
      </c>
      <c r="E629" s="21">
        <v>1000.0</v>
      </c>
      <c r="F629" s="22">
        <v>149.273</v>
      </c>
      <c r="G629" s="22">
        <v>0.0</v>
      </c>
      <c r="H629" s="22">
        <v>145.297</v>
      </c>
      <c r="I629" s="22">
        <v>0.0</v>
      </c>
      <c r="J629" s="22">
        <v>0.0</v>
      </c>
      <c r="K629" s="22">
        <v>0.0</v>
      </c>
      <c r="L629" s="22">
        <v>294.57</v>
      </c>
      <c r="M629" s="22">
        <v>263.35</v>
      </c>
      <c r="N629" s="22">
        <v>323.01</v>
      </c>
      <c r="O629" s="24">
        <v>36.8</v>
      </c>
      <c r="P629" s="18">
        <f t="shared" si="1"/>
        <v>294.57</v>
      </c>
    </row>
    <row r="630" ht="15.75" customHeight="1">
      <c r="A630" s="13" t="s">
        <v>208</v>
      </c>
      <c r="B630" s="13" t="s">
        <v>99</v>
      </c>
      <c r="C630" s="14" t="s">
        <v>114</v>
      </c>
      <c r="D630" s="14" t="str">
        <f>VLOOKUP(C630,'State Key'!$A$2:$B$210,2,False)</f>
        <v>Andhra Pradesh</v>
      </c>
      <c r="E630" s="15">
        <v>1320.0</v>
      </c>
      <c r="F630" s="16">
        <v>328.015</v>
      </c>
      <c r="G630" s="16">
        <v>0.0</v>
      </c>
      <c r="H630" s="16">
        <v>0.0</v>
      </c>
      <c r="I630" s="16">
        <v>96.065</v>
      </c>
      <c r="J630" s="16">
        <v>0.0</v>
      </c>
      <c r="K630" s="16">
        <v>0.0</v>
      </c>
      <c r="L630" s="16">
        <v>424.08</v>
      </c>
      <c r="M630" s="16">
        <v>508.32</v>
      </c>
      <c r="N630" s="16">
        <v>214.81</v>
      </c>
      <c r="O630" s="23">
        <v>12.7</v>
      </c>
      <c r="P630" s="18">
        <f t="shared" si="1"/>
        <v>424.08</v>
      </c>
    </row>
    <row r="631" ht="15.75" customHeight="1">
      <c r="A631" s="19" t="s">
        <v>208</v>
      </c>
      <c r="B631" s="19" t="s">
        <v>99</v>
      </c>
      <c r="C631" s="20" t="s">
        <v>115</v>
      </c>
      <c r="D631" s="14" t="str">
        <f>VLOOKUP(C631,'State Key'!$A$2:$B$210,2,False)</f>
        <v>Karnataka</v>
      </c>
      <c r="E631" s="21">
        <v>1720.0</v>
      </c>
      <c r="F631" s="22">
        <v>283.59</v>
      </c>
      <c r="G631" s="22">
        <v>209.527</v>
      </c>
      <c r="H631" s="22">
        <v>0.0</v>
      </c>
      <c r="I631" s="22">
        <v>0.0</v>
      </c>
      <c r="J631" s="22">
        <v>0.0</v>
      </c>
      <c r="K631" s="22">
        <v>0.0</v>
      </c>
      <c r="L631" s="22">
        <v>493.117</v>
      </c>
      <c r="M631" s="22">
        <v>444.29</v>
      </c>
      <c r="N631" s="22">
        <v>118.5</v>
      </c>
      <c r="O631" s="23">
        <v>8.0</v>
      </c>
      <c r="P631" s="18">
        <f t="shared" si="1"/>
        <v>493.117</v>
      </c>
    </row>
    <row r="632" ht="15.75" customHeight="1">
      <c r="A632" s="13" t="s">
        <v>208</v>
      </c>
      <c r="B632" s="13" t="s">
        <v>99</v>
      </c>
      <c r="C632" s="14" t="s">
        <v>116</v>
      </c>
      <c r="D632" s="14" t="str">
        <f>VLOOKUP(C632,'State Key'!$A$2:$B$210,2,False)</f>
        <v>Telangana</v>
      </c>
      <c r="E632" s="15">
        <v>2600.0</v>
      </c>
      <c r="F632" s="16">
        <v>0.0</v>
      </c>
      <c r="G632" s="16">
        <v>718.88</v>
      </c>
      <c r="H632" s="16">
        <v>0.0</v>
      </c>
      <c r="I632" s="16">
        <v>0.0</v>
      </c>
      <c r="J632" s="16">
        <v>0.0</v>
      </c>
      <c r="K632" s="16">
        <v>0.0</v>
      </c>
      <c r="L632" s="16">
        <v>718.88</v>
      </c>
      <c r="M632" s="16">
        <v>1008.151</v>
      </c>
      <c r="N632" s="16">
        <v>187.94</v>
      </c>
      <c r="O632" s="17">
        <v>5.6</v>
      </c>
      <c r="P632" s="18">
        <f t="shared" si="1"/>
        <v>718.88</v>
      </c>
    </row>
    <row r="633" ht="15.75" customHeight="1">
      <c r="A633" s="19" t="s">
        <v>208</v>
      </c>
      <c r="B633" s="19" t="s">
        <v>99</v>
      </c>
      <c r="C633" s="20" t="s">
        <v>117</v>
      </c>
      <c r="D633" s="14" t="str">
        <f>VLOOKUP(C633,'State Key'!$A$2:$B$210,2,False)</f>
        <v>Telangana</v>
      </c>
      <c r="E633" s="21">
        <v>62.5</v>
      </c>
      <c r="F633" s="22">
        <v>0.0</v>
      </c>
      <c r="G633" s="22">
        <v>22.724</v>
      </c>
      <c r="H633" s="22">
        <v>0.0</v>
      </c>
      <c r="I633" s="22">
        <v>0.0</v>
      </c>
      <c r="J633" s="22">
        <v>0.0</v>
      </c>
      <c r="K633" s="22">
        <v>0.0</v>
      </c>
      <c r="L633" s="22">
        <v>22.724</v>
      </c>
      <c r="M633" s="22">
        <v>23.869</v>
      </c>
      <c r="N633" s="22">
        <v>4.374</v>
      </c>
      <c r="O633" s="17">
        <v>5.5</v>
      </c>
      <c r="P633" s="18">
        <f t="shared" si="1"/>
        <v>22.724</v>
      </c>
    </row>
    <row r="634" ht="15.75" customHeight="1">
      <c r="A634" s="13" t="s">
        <v>208</v>
      </c>
      <c r="B634" s="13" t="s">
        <v>99</v>
      </c>
      <c r="C634" s="14" t="s">
        <v>118</v>
      </c>
      <c r="D634" s="14" t="str">
        <f>VLOOKUP(C634,'State Key'!$A$2:$B$210,2,False)</f>
        <v>Andhra Pradesh</v>
      </c>
      <c r="E634" s="15">
        <v>1650.0</v>
      </c>
      <c r="F634" s="16">
        <v>461.526</v>
      </c>
      <c r="G634" s="16">
        <v>111.463</v>
      </c>
      <c r="H634" s="16">
        <v>0.0</v>
      </c>
      <c r="I634" s="16">
        <v>0.0</v>
      </c>
      <c r="J634" s="16">
        <v>0.0</v>
      </c>
      <c r="K634" s="16">
        <v>0.0</v>
      </c>
      <c r="L634" s="16">
        <v>572.989</v>
      </c>
      <c r="M634" s="16">
        <v>609.649</v>
      </c>
      <c r="N634" s="16">
        <v>17.392</v>
      </c>
      <c r="O634" s="17">
        <v>0.9</v>
      </c>
      <c r="P634" s="18">
        <f t="shared" si="1"/>
        <v>572.989</v>
      </c>
    </row>
    <row r="635" ht="15.75" customHeight="1">
      <c r="A635" s="19" t="s">
        <v>208</v>
      </c>
      <c r="B635" s="19" t="s">
        <v>99</v>
      </c>
      <c r="C635" s="20" t="s">
        <v>119</v>
      </c>
      <c r="D635" s="14" t="str">
        <f>VLOOKUP(C635,'State Key'!$A$2:$B$210,2,False)</f>
        <v>Andhra Pradesh</v>
      </c>
      <c r="E635" s="21">
        <v>1320.0</v>
      </c>
      <c r="F635" s="22">
        <v>194.026</v>
      </c>
      <c r="G635" s="22">
        <v>0.0</v>
      </c>
      <c r="H635" s="22">
        <v>0.0</v>
      </c>
      <c r="I635" s="22">
        <v>284.303</v>
      </c>
      <c r="J635" s="22">
        <v>0.0</v>
      </c>
      <c r="K635" s="22">
        <v>0.0</v>
      </c>
      <c r="L635" s="22">
        <v>478.329</v>
      </c>
      <c r="M635" s="22">
        <v>472.418</v>
      </c>
      <c r="N635" s="22">
        <v>363.63</v>
      </c>
      <c r="O635" s="24">
        <v>23.1</v>
      </c>
      <c r="P635" s="18">
        <f t="shared" si="1"/>
        <v>478.329</v>
      </c>
    </row>
    <row r="636" ht="15.75" customHeight="1">
      <c r="A636" s="13" t="s">
        <v>208</v>
      </c>
      <c r="B636" s="13" t="s">
        <v>99</v>
      </c>
      <c r="C636" s="14" t="s">
        <v>120</v>
      </c>
      <c r="D636" s="14" t="str">
        <f>VLOOKUP(C636,'State Key'!$A$2:$B$210,2,False)</f>
        <v>Andhra Pradesh</v>
      </c>
      <c r="E636" s="15">
        <v>2000.0</v>
      </c>
      <c r="F636" s="16">
        <v>318.1</v>
      </c>
      <c r="G636" s="16">
        <v>126.66</v>
      </c>
      <c r="H636" s="16">
        <v>22.92</v>
      </c>
      <c r="I636" s="16">
        <v>0.0</v>
      </c>
      <c r="J636" s="16">
        <v>0.0</v>
      </c>
      <c r="K636" s="16">
        <v>0.0</v>
      </c>
      <c r="L636" s="16">
        <v>467.68</v>
      </c>
      <c r="M636" s="16">
        <v>559.428</v>
      </c>
      <c r="N636" s="16">
        <v>414.885</v>
      </c>
      <c r="O636" s="24">
        <v>22.2</v>
      </c>
      <c r="P636" s="18">
        <f t="shared" si="1"/>
        <v>467.68</v>
      </c>
    </row>
    <row r="637" ht="15.75" customHeight="1">
      <c r="A637" s="19" t="s">
        <v>208</v>
      </c>
      <c r="B637" s="19" t="s">
        <v>99</v>
      </c>
      <c r="C637" s="20" t="s">
        <v>121</v>
      </c>
      <c r="D637" s="14" t="str">
        <f>VLOOKUP(C637,'State Key'!$A$2:$B$210,2,False)</f>
        <v>Andhra Pradesh</v>
      </c>
      <c r="E637" s="21">
        <v>600.0</v>
      </c>
      <c r="F637" s="22">
        <v>0.0</v>
      </c>
      <c r="G637" s="22">
        <v>0.0</v>
      </c>
      <c r="H637" s="22">
        <v>0.0</v>
      </c>
      <c r="I637" s="22">
        <v>150.0</v>
      </c>
      <c r="J637" s="22">
        <v>0.0</v>
      </c>
      <c r="K637" s="22">
        <v>0.0</v>
      </c>
      <c r="L637" s="22">
        <v>150.0</v>
      </c>
      <c r="M637" s="22">
        <v>150.0</v>
      </c>
      <c r="N637" s="22">
        <v>0.0</v>
      </c>
      <c r="O637" s="17">
        <v>0.0</v>
      </c>
      <c r="P637" s="18">
        <f t="shared" si="1"/>
        <v>150</v>
      </c>
    </row>
    <row r="638" ht="15.75" customHeight="1">
      <c r="A638" s="13" t="s">
        <v>208</v>
      </c>
      <c r="B638" s="13" t="s">
        <v>99</v>
      </c>
      <c r="C638" s="14" t="s">
        <v>122</v>
      </c>
      <c r="D638" s="14" t="str">
        <f>VLOOKUP(C638,'State Key'!$A$2:$B$210,2,False)</f>
        <v>Telangana</v>
      </c>
      <c r="E638" s="15">
        <v>1200.0</v>
      </c>
      <c r="F638" s="16">
        <v>0.0</v>
      </c>
      <c r="G638" s="16">
        <v>341.802</v>
      </c>
      <c r="H638" s="16">
        <v>0.0</v>
      </c>
      <c r="I638" s="16">
        <v>0.0</v>
      </c>
      <c r="J638" s="16">
        <v>0.0</v>
      </c>
      <c r="K638" s="16">
        <v>0.0</v>
      </c>
      <c r="L638" s="16">
        <v>341.802</v>
      </c>
      <c r="M638" s="16">
        <v>475.748</v>
      </c>
      <c r="N638" s="16">
        <v>57.93</v>
      </c>
      <c r="O638" s="17">
        <v>3.7</v>
      </c>
      <c r="P638" s="18">
        <f t="shared" si="1"/>
        <v>341.802</v>
      </c>
    </row>
    <row r="639" ht="15.75" customHeight="1">
      <c r="A639" s="19" t="s">
        <v>208</v>
      </c>
      <c r="B639" s="19" t="s">
        <v>99</v>
      </c>
      <c r="C639" s="20" t="s">
        <v>123</v>
      </c>
      <c r="D639" s="14" t="str">
        <f>VLOOKUP(C639,'State Key'!$A$2:$B$210,2,False)</f>
        <v>Andhra Pradesh</v>
      </c>
      <c r="E639" s="21">
        <v>300.0</v>
      </c>
      <c r="F639" s="22">
        <v>0.0</v>
      </c>
      <c r="G639" s="22">
        <v>0.0</v>
      </c>
      <c r="H639" s="22">
        <v>0.0</v>
      </c>
      <c r="I639" s="22">
        <v>0.0</v>
      </c>
      <c r="J639" s="22">
        <v>0.0</v>
      </c>
      <c r="K639" s="22">
        <v>0.0</v>
      </c>
      <c r="L639" s="22">
        <v>0.0</v>
      </c>
      <c r="M639" s="22">
        <v>0.0</v>
      </c>
      <c r="N639" s="22">
        <v>0.0</v>
      </c>
      <c r="O639" s="19" t="s">
        <v>58</v>
      </c>
      <c r="P639" s="18">
        <f t="shared" si="1"/>
        <v>0</v>
      </c>
    </row>
    <row r="640" ht="15.75" customHeight="1">
      <c r="A640" s="13" t="s">
        <v>208</v>
      </c>
      <c r="B640" s="13" t="s">
        <v>99</v>
      </c>
      <c r="C640" s="14" t="s">
        <v>124</v>
      </c>
      <c r="D640" s="14" t="str">
        <f>VLOOKUP(C640,'State Key'!$A$2:$B$210,2,False)</f>
        <v>Karnataka</v>
      </c>
      <c r="E640" s="15">
        <v>260.0</v>
      </c>
      <c r="F640" s="16">
        <v>0.0</v>
      </c>
      <c r="G640" s="16">
        <v>0.0</v>
      </c>
      <c r="H640" s="16">
        <v>0.0</v>
      </c>
      <c r="I640" s="16">
        <v>43.26</v>
      </c>
      <c r="J640" s="16">
        <v>0.0</v>
      </c>
      <c r="K640" s="16">
        <v>0.0</v>
      </c>
      <c r="L640" s="16">
        <v>43.26</v>
      </c>
      <c r="M640" s="16">
        <v>43.26</v>
      </c>
      <c r="N640" s="16">
        <v>0.0</v>
      </c>
      <c r="O640" s="17">
        <v>0.0</v>
      </c>
      <c r="P640" s="18">
        <f t="shared" si="1"/>
        <v>43.26</v>
      </c>
    </row>
    <row r="641" ht="15.75" customHeight="1">
      <c r="A641" s="19" t="s">
        <v>208</v>
      </c>
      <c r="B641" s="19" t="s">
        <v>99</v>
      </c>
      <c r="C641" s="20" t="s">
        <v>125</v>
      </c>
      <c r="D641" s="14" t="str">
        <f>VLOOKUP(C641,'State Key'!$A$2:$B$210,2,False)</f>
        <v>Karnataka</v>
      </c>
      <c r="E641" s="21">
        <v>600.0</v>
      </c>
      <c r="F641" s="22">
        <v>0.0</v>
      </c>
      <c r="G641" s="22">
        <v>0.0</v>
      </c>
      <c r="H641" s="22">
        <v>0.0</v>
      </c>
      <c r="I641" s="22">
        <v>80.68</v>
      </c>
      <c r="J641" s="22">
        <v>0.0</v>
      </c>
      <c r="K641" s="22">
        <v>0.0</v>
      </c>
      <c r="L641" s="22">
        <v>80.68</v>
      </c>
      <c r="M641" s="22">
        <v>47.4</v>
      </c>
      <c r="N641" s="22">
        <v>94.97</v>
      </c>
      <c r="O641" s="24">
        <v>60.1</v>
      </c>
      <c r="P641" s="18">
        <f t="shared" si="1"/>
        <v>80.68</v>
      </c>
    </row>
    <row r="642" ht="15.75" customHeight="1">
      <c r="A642" s="13" t="s">
        <v>208</v>
      </c>
      <c r="B642" s="13" t="s">
        <v>99</v>
      </c>
      <c r="C642" s="14" t="s">
        <v>126</v>
      </c>
      <c r="D642" s="14" t="str">
        <f>VLOOKUP(C642,'State Key'!$A$2:$B$210,2,False)</f>
        <v>Tamil Nadu</v>
      </c>
      <c r="E642" s="15">
        <v>300.0</v>
      </c>
      <c r="F642" s="16">
        <v>0.0</v>
      </c>
      <c r="G642" s="16">
        <v>0.0</v>
      </c>
      <c r="H642" s="16">
        <v>0.0</v>
      </c>
      <c r="I642" s="16">
        <v>0.0</v>
      </c>
      <c r="J642" s="16">
        <v>0.0</v>
      </c>
      <c r="K642" s="16">
        <v>0.0</v>
      </c>
      <c r="L642" s="16">
        <v>0.0</v>
      </c>
      <c r="M642" s="16">
        <v>0.0</v>
      </c>
      <c r="N642" s="16">
        <v>0.0</v>
      </c>
      <c r="O642" s="13" t="s">
        <v>58</v>
      </c>
      <c r="P642" s="18">
        <f t="shared" si="1"/>
        <v>0</v>
      </c>
    </row>
    <row r="643" ht="15.75" customHeight="1">
      <c r="A643" s="19" t="s">
        <v>208</v>
      </c>
      <c r="B643" s="19" t="s">
        <v>99</v>
      </c>
      <c r="C643" s="20" t="s">
        <v>127</v>
      </c>
      <c r="D643" s="14" t="str">
        <f>VLOOKUP(C643,'State Key'!$A$2:$B$210,2,False)</f>
        <v>Tamil Nadu</v>
      </c>
      <c r="E643" s="21">
        <v>525.0</v>
      </c>
      <c r="F643" s="22">
        <v>0.0</v>
      </c>
      <c r="G643" s="22">
        <v>0.0</v>
      </c>
      <c r="H643" s="22">
        <v>0.0</v>
      </c>
      <c r="I643" s="22">
        <v>102.88</v>
      </c>
      <c r="J643" s="22">
        <v>0.0</v>
      </c>
      <c r="K643" s="22">
        <v>0.0</v>
      </c>
      <c r="L643" s="22">
        <v>102.88</v>
      </c>
      <c r="M643" s="22">
        <v>127.255</v>
      </c>
      <c r="N643" s="22">
        <v>2.84</v>
      </c>
      <c r="O643" s="17">
        <v>0.7</v>
      </c>
      <c r="P643" s="18">
        <f t="shared" si="1"/>
        <v>102.88</v>
      </c>
    </row>
    <row r="644" ht="15.75" customHeight="1">
      <c r="A644" s="13" t="s">
        <v>208</v>
      </c>
      <c r="B644" s="13" t="s">
        <v>99</v>
      </c>
      <c r="C644" s="14" t="s">
        <v>128</v>
      </c>
      <c r="D644" s="14" t="str">
        <f>VLOOKUP(C644,'State Key'!$A$2:$B$210,2,False)</f>
        <v>Tamil Nadu</v>
      </c>
      <c r="E644" s="15">
        <v>1050.0</v>
      </c>
      <c r="F644" s="16">
        <v>357.575</v>
      </c>
      <c r="G644" s="16">
        <v>0.0</v>
      </c>
      <c r="H644" s="16">
        <v>0.0</v>
      </c>
      <c r="I644" s="16">
        <v>0.0</v>
      </c>
      <c r="J644" s="16">
        <v>0.0</v>
      </c>
      <c r="K644" s="16">
        <v>0.0</v>
      </c>
      <c r="L644" s="16">
        <v>357.575</v>
      </c>
      <c r="M644" s="16">
        <v>405.848</v>
      </c>
      <c r="N644" s="16">
        <v>80.55</v>
      </c>
      <c r="O644" s="17">
        <v>6.0</v>
      </c>
      <c r="P644" s="18">
        <f t="shared" si="1"/>
        <v>357.575</v>
      </c>
    </row>
    <row r="645" ht="15.75" customHeight="1">
      <c r="A645" s="19" t="s">
        <v>208</v>
      </c>
      <c r="B645" s="19" t="s">
        <v>99</v>
      </c>
      <c r="C645" s="20" t="s">
        <v>130</v>
      </c>
      <c r="D645" s="14" t="str">
        <f>VLOOKUP(C645,'State Key'!$A$2:$B$210,2,False)</f>
        <v>Tamil Nadu</v>
      </c>
      <c r="E645" s="21">
        <v>1500.0</v>
      </c>
      <c r="F645" s="22">
        <v>483.884</v>
      </c>
      <c r="G645" s="22">
        <v>84.9</v>
      </c>
      <c r="H645" s="22">
        <v>0.0</v>
      </c>
      <c r="I645" s="22">
        <v>0.0</v>
      </c>
      <c r="J645" s="22">
        <v>0.0</v>
      </c>
      <c r="K645" s="22">
        <v>0.0</v>
      </c>
      <c r="L645" s="22">
        <v>568.784</v>
      </c>
      <c r="M645" s="22">
        <v>574.1</v>
      </c>
      <c r="N645" s="22">
        <v>420.018</v>
      </c>
      <c r="O645" s="24">
        <v>21.9</v>
      </c>
      <c r="P645" s="18">
        <f t="shared" si="1"/>
        <v>568.784</v>
      </c>
    </row>
    <row r="646" ht="15.75" customHeight="1">
      <c r="A646" s="13" t="s">
        <v>208</v>
      </c>
      <c r="B646" s="13" t="s">
        <v>99</v>
      </c>
      <c r="C646" s="14" t="s">
        <v>131</v>
      </c>
      <c r="D646" s="14" t="str">
        <f>VLOOKUP(C646,'State Key'!$A$2:$B$210,2,False)</f>
        <v>Andhra Pradesh</v>
      </c>
      <c r="E646" s="15">
        <v>1040.0</v>
      </c>
      <c r="F646" s="16">
        <v>340.333</v>
      </c>
      <c r="G646" s="16">
        <v>0.0</v>
      </c>
      <c r="H646" s="16">
        <v>0.0</v>
      </c>
      <c r="I646" s="16">
        <v>0.0</v>
      </c>
      <c r="J646" s="16">
        <v>0.0</v>
      </c>
      <c r="K646" s="16">
        <v>0.0</v>
      </c>
      <c r="L646" s="16">
        <v>340.333</v>
      </c>
      <c r="M646" s="16">
        <v>373.868</v>
      </c>
      <c r="N646" s="16">
        <v>50.0248</v>
      </c>
      <c r="O646" s="17">
        <v>4.0</v>
      </c>
      <c r="P646" s="18">
        <f t="shared" si="1"/>
        <v>340.333</v>
      </c>
    </row>
    <row r="647" ht="15.75" customHeight="1">
      <c r="A647" s="19" t="s">
        <v>208</v>
      </c>
      <c r="B647" s="19" t="s">
        <v>99</v>
      </c>
      <c r="C647" s="20" t="s">
        <v>132</v>
      </c>
      <c r="D647" s="14" t="str">
        <f>VLOOKUP(C647,'State Key'!$A$2:$B$210,2,False)</f>
        <v>Karnataka</v>
      </c>
      <c r="E647" s="21">
        <v>1600.0</v>
      </c>
      <c r="F647" s="22">
        <v>0.0</v>
      </c>
      <c r="G647" s="22">
        <v>274.078</v>
      </c>
      <c r="H647" s="22">
        <v>0.0</v>
      </c>
      <c r="I647" s="22">
        <v>0.0</v>
      </c>
      <c r="J647" s="22">
        <v>0.0</v>
      </c>
      <c r="K647" s="22">
        <v>0.0</v>
      </c>
      <c r="L647" s="22">
        <v>274.078</v>
      </c>
      <c r="M647" s="22">
        <v>362.023</v>
      </c>
      <c r="N647" s="22">
        <v>3.47</v>
      </c>
      <c r="O647" s="17">
        <v>0.3</v>
      </c>
      <c r="P647" s="18">
        <f t="shared" si="1"/>
        <v>274.078</v>
      </c>
    </row>
    <row r="648" ht="15.75" customHeight="1">
      <c r="A648" s="13" t="s">
        <v>208</v>
      </c>
      <c r="B648" s="13" t="s">
        <v>133</v>
      </c>
      <c r="C648" s="14" t="s">
        <v>211</v>
      </c>
      <c r="D648" s="14" t="str">
        <f>VLOOKUP(C648,'State Key'!$A$2:$B$210,2,False)</f>
        <v>Gujarat</v>
      </c>
      <c r="E648" s="15">
        <v>2640.0</v>
      </c>
      <c r="F648" s="16">
        <v>0.0</v>
      </c>
      <c r="G648" s="16">
        <v>0.0</v>
      </c>
      <c r="H648" s="16">
        <v>0.0</v>
      </c>
      <c r="I648" s="16">
        <v>0.0</v>
      </c>
      <c r="J648" s="16">
        <v>0.0</v>
      </c>
      <c r="K648" s="16">
        <v>0.0</v>
      </c>
      <c r="L648" s="16">
        <v>0.0</v>
      </c>
      <c r="M648" s="16">
        <v>0.0</v>
      </c>
      <c r="N648" s="16">
        <v>7.74</v>
      </c>
      <c r="O648" s="13" t="s">
        <v>58</v>
      </c>
      <c r="P648" s="18">
        <f t="shared" si="1"/>
        <v>0</v>
      </c>
    </row>
    <row r="649" ht="15.75" customHeight="1">
      <c r="A649" s="19" t="s">
        <v>208</v>
      </c>
      <c r="B649" s="19" t="s">
        <v>133</v>
      </c>
      <c r="C649" s="20" t="s">
        <v>212</v>
      </c>
      <c r="D649" s="14" t="str">
        <f>VLOOKUP(C649,'State Key'!$A$2:$B$210,2,False)</f>
        <v>Gujarat</v>
      </c>
      <c r="E649" s="21">
        <v>1980.0</v>
      </c>
      <c r="F649" s="22">
        <v>0.0</v>
      </c>
      <c r="G649" s="22">
        <v>0.0</v>
      </c>
      <c r="H649" s="22">
        <v>0.0</v>
      </c>
      <c r="I649" s="22">
        <v>543.84</v>
      </c>
      <c r="J649" s="22">
        <v>0.0</v>
      </c>
      <c r="K649" s="22">
        <v>0.0</v>
      </c>
      <c r="L649" s="22">
        <v>543.84</v>
      </c>
      <c r="M649" s="22">
        <v>610.317</v>
      </c>
      <c r="N649" s="22">
        <v>49.349</v>
      </c>
      <c r="O649" s="17">
        <v>2.4</v>
      </c>
      <c r="P649" s="18">
        <f t="shared" si="1"/>
        <v>543.84</v>
      </c>
    </row>
    <row r="650" ht="15.75" customHeight="1">
      <c r="A650" s="13" t="s">
        <v>208</v>
      </c>
      <c r="B650" s="13" t="s">
        <v>133</v>
      </c>
      <c r="C650" s="14" t="s">
        <v>213</v>
      </c>
      <c r="D650" s="14" t="str">
        <f>VLOOKUP(C650,'State Key'!$A$2:$B$210,2,False)</f>
        <v>Chhattisgarh</v>
      </c>
      <c r="E650" s="15">
        <v>600.0</v>
      </c>
      <c r="F650" s="16">
        <v>268.906</v>
      </c>
      <c r="G650" s="16">
        <v>0.0</v>
      </c>
      <c r="H650" s="16">
        <v>0.0</v>
      </c>
      <c r="I650" s="16">
        <v>0.0</v>
      </c>
      <c r="J650" s="16">
        <v>0.07</v>
      </c>
      <c r="K650" s="16">
        <v>11.336</v>
      </c>
      <c r="L650" s="16">
        <v>280.312</v>
      </c>
      <c r="M650" s="16">
        <v>313.27</v>
      </c>
      <c r="N650" s="16">
        <v>73.53</v>
      </c>
      <c r="O650" s="23">
        <v>7.0</v>
      </c>
      <c r="P650" s="18">
        <f t="shared" si="1"/>
        <v>280.312</v>
      </c>
    </row>
    <row r="651" ht="15.75" customHeight="1">
      <c r="A651" s="19" t="s">
        <v>208</v>
      </c>
      <c r="B651" s="19" t="s">
        <v>133</v>
      </c>
      <c r="C651" s="20" t="s">
        <v>214</v>
      </c>
      <c r="D651" s="14" t="str">
        <f>VLOOKUP(C651,'State Key'!$A$2:$B$210,2,False)</f>
        <v>Chhattisgarh</v>
      </c>
      <c r="E651" s="21">
        <v>1370.0</v>
      </c>
      <c r="F651" s="22">
        <v>399.379</v>
      </c>
      <c r="G651" s="22">
        <v>0.0</v>
      </c>
      <c r="H651" s="22">
        <v>0.0</v>
      </c>
      <c r="I651" s="22">
        <v>0.0</v>
      </c>
      <c r="J651" s="22">
        <v>0.0</v>
      </c>
      <c r="K651" s="22">
        <v>0.0</v>
      </c>
      <c r="L651" s="22">
        <v>399.379</v>
      </c>
      <c r="M651" s="22">
        <v>491.077</v>
      </c>
      <c r="N651" s="22">
        <v>50.67</v>
      </c>
      <c r="O651" s="17">
        <v>3.1</v>
      </c>
      <c r="P651" s="18">
        <f t="shared" si="1"/>
        <v>399.379</v>
      </c>
    </row>
    <row r="652" ht="15.75" customHeight="1">
      <c r="A652" s="13" t="s">
        <v>208</v>
      </c>
      <c r="B652" s="13" t="s">
        <v>133</v>
      </c>
      <c r="C652" s="14" t="s">
        <v>215</v>
      </c>
      <c r="D652" s="14" t="str">
        <f>VLOOKUP(C652,'State Key'!$A$2:$B$210,2,False)</f>
        <v>Maharashtra</v>
      </c>
      <c r="E652" s="15">
        <v>3300.0</v>
      </c>
      <c r="F652" s="16">
        <v>1008.578</v>
      </c>
      <c r="G652" s="16">
        <v>0.0</v>
      </c>
      <c r="H652" s="16">
        <v>0.0</v>
      </c>
      <c r="I652" s="16">
        <v>0.0</v>
      </c>
      <c r="J652" s="16">
        <v>0.0</v>
      </c>
      <c r="K652" s="16">
        <v>0.0</v>
      </c>
      <c r="L652" s="16">
        <v>1008.578</v>
      </c>
      <c r="M652" s="16">
        <v>1075.66</v>
      </c>
      <c r="N652" s="16">
        <v>655.88</v>
      </c>
      <c r="O652" s="24">
        <v>18.3</v>
      </c>
      <c r="P652" s="18">
        <f t="shared" si="1"/>
        <v>1008.578</v>
      </c>
    </row>
    <row r="653" ht="15.75" customHeight="1">
      <c r="A653" s="19" t="s">
        <v>208</v>
      </c>
      <c r="B653" s="19" t="s">
        <v>133</v>
      </c>
      <c r="C653" s="20" t="s">
        <v>134</v>
      </c>
      <c r="D653" s="14" t="str">
        <f>VLOOKUP(C653,'State Key'!$A$2:$B$210,2,False)</f>
        <v>Chhattisgarh</v>
      </c>
      <c r="E653" s="21">
        <v>1800.0</v>
      </c>
      <c r="F653" s="22">
        <v>508.1752</v>
      </c>
      <c r="G653" s="22">
        <v>0.0</v>
      </c>
      <c r="H653" s="22">
        <v>0.0</v>
      </c>
      <c r="I653" s="22">
        <v>0.1258</v>
      </c>
      <c r="J653" s="22">
        <v>0.0</v>
      </c>
      <c r="K653" s="22">
        <v>30.3789</v>
      </c>
      <c r="L653" s="22">
        <v>538.6799</v>
      </c>
      <c r="M653" s="22">
        <v>597.861</v>
      </c>
      <c r="N653" s="22">
        <v>258.34</v>
      </c>
      <c r="O653" s="23">
        <v>13.0</v>
      </c>
      <c r="P653" s="18">
        <f t="shared" si="1"/>
        <v>538.6799</v>
      </c>
    </row>
    <row r="654" ht="15.75" customHeight="1">
      <c r="A654" s="13" t="s">
        <v>208</v>
      </c>
      <c r="B654" s="13" t="s">
        <v>133</v>
      </c>
      <c r="C654" s="14" t="s">
        <v>135</v>
      </c>
      <c r="D654" s="14" t="str">
        <f>VLOOKUP(C654,'State Key'!$A$2:$B$210,2,False)</f>
        <v>Madhya Pradesh</v>
      </c>
      <c r="E654" s="15">
        <v>210.0</v>
      </c>
      <c r="F654" s="16">
        <v>84.32</v>
      </c>
      <c r="G654" s="16">
        <v>0.0</v>
      </c>
      <c r="H654" s="16">
        <v>0.0</v>
      </c>
      <c r="I654" s="16">
        <v>0.0</v>
      </c>
      <c r="J654" s="16">
        <v>0.0</v>
      </c>
      <c r="K654" s="16">
        <v>0.0</v>
      </c>
      <c r="L654" s="16">
        <v>84.32</v>
      </c>
      <c r="M654" s="16">
        <v>92.223</v>
      </c>
      <c r="N654" s="16">
        <v>22.842</v>
      </c>
      <c r="O654" s="23">
        <v>7.4</v>
      </c>
      <c r="P654" s="18">
        <f t="shared" si="1"/>
        <v>84.32</v>
      </c>
    </row>
    <row r="655" ht="15.75" customHeight="1">
      <c r="A655" s="19" t="s">
        <v>208</v>
      </c>
      <c r="B655" s="19" t="s">
        <v>133</v>
      </c>
      <c r="C655" s="20" t="s">
        <v>136</v>
      </c>
      <c r="D655" s="14" t="str">
        <f>VLOOKUP(C655,'State Key'!$A$2:$B$210,2,False)</f>
        <v>Maharashtra</v>
      </c>
      <c r="E655" s="21">
        <v>1350.0</v>
      </c>
      <c r="F655" s="22">
        <v>575.325</v>
      </c>
      <c r="G655" s="22">
        <v>0.0</v>
      </c>
      <c r="H655" s="22">
        <v>0.0</v>
      </c>
      <c r="I655" s="22">
        <v>0.0</v>
      </c>
      <c r="J655" s="22">
        <v>0.0</v>
      </c>
      <c r="K655" s="22">
        <v>0.0</v>
      </c>
      <c r="L655" s="22">
        <v>575.325</v>
      </c>
      <c r="M655" s="22">
        <v>494.847</v>
      </c>
      <c r="N655" s="22">
        <v>172.73</v>
      </c>
      <c r="O655" s="23">
        <v>10.5</v>
      </c>
      <c r="P655" s="18">
        <f t="shared" si="1"/>
        <v>575.325</v>
      </c>
    </row>
    <row r="656" ht="15.75" customHeight="1">
      <c r="A656" s="13" t="s">
        <v>208</v>
      </c>
      <c r="B656" s="13" t="s">
        <v>133</v>
      </c>
      <c r="C656" s="14" t="s">
        <v>137</v>
      </c>
      <c r="D656" s="14" t="str">
        <f>VLOOKUP(C656,'State Key'!$A$2:$B$210,2,False)</f>
        <v>Madhya Pradesh</v>
      </c>
      <c r="E656" s="15">
        <v>1200.0</v>
      </c>
      <c r="F656" s="16">
        <v>307.62</v>
      </c>
      <c r="G656" s="16">
        <v>0.0</v>
      </c>
      <c r="H656" s="16">
        <v>0.0</v>
      </c>
      <c r="I656" s="16">
        <v>0.0</v>
      </c>
      <c r="J656" s="16">
        <v>0.0</v>
      </c>
      <c r="K656" s="16">
        <v>165.44</v>
      </c>
      <c r="L656" s="16">
        <v>473.06</v>
      </c>
      <c r="M656" s="16">
        <v>531.81</v>
      </c>
      <c r="N656" s="16">
        <v>308.27</v>
      </c>
      <c r="O656" s="24">
        <v>17.4</v>
      </c>
      <c r="P656" s="18">
        <f t="shared" si="1"/>
        <v>473.06</v>
      </c>
    </row>
    <row r="657" ht="15.75" customHeight="1">
      <c r="A657" s="19" t="s">
        <v>208</v>
      </c>
      <c r="B657" s="19" t="s">
        <v>133</v>
      </c>
      <c r="C657" s="20" t="s">
        <v>139</v>
      </c>
      <c r="D657" s="14" t="str">
        <f>VLOOKUP(C657,'State Key'!$A$2:$B$210,2,False)</f>
        <v>Chhattisgarh</v>
      </c>
      <c r="E657" s="21">
        <v>600.0</v>
      </c>
      <c r="F657" s="22">
        <v>121.88</v>
      </c>
      <c r="G657" s="22">
        <v>0.0</v>
      </c>
      <c r="H657" s="22">
        <v>0.0</v>
      </c>
      <c r="I657" s="22">
        <v>0.0</v>
      </c>
      <c r="J657" s="22">
        <v>0.0</v>
      </c>
      <c r="K657" s="22">
        <v>31.6</v>
      </c>
      <c r="L657" s="22">
        <v>153.48</v>
      </c>
      <c r="M657" s="22">
        <v>134.52</v>
      </c>
      <c r="N657" s="22">
        <v>100.74</v>
      </c>
      <c r="O657" s="24">
        <v>22.5</v>
      </c>
      <c r="P657" s="18">
        <f t="shared" si="1"/>
        <v>153.48</v>
      </c>
    </row>
    <row r="658" ht="15.75" customHeight="1">
      <c r="A658" s="13" t="s">
        <v>208</v>
      </c>
      <c r="B658" s="13" t="s">
        <v>133</v>
      </c>
      <c r="C658" s="14" t="s">
        <v>140</v>
      </c>
      <c r="D658" s="14" t="str">
        <f>VLOOKUP(C658,'State Key'!$A$2:$B$210,2,False)</f>
        <v>Chhattisgarh</v>
      </c>
      <c r="E658" s="15">
        <v>300.0</v>
      </c>
      <c r="F658" s="16">
        <v>103.759</v>
      </c>
      <c r="G658" s="16">
        <v>0.0</v>
      </c>
      <c r="H658" s="16">
        <v>0.0</v>
      </c>
      <c r="I658" s="16">
        <v>0.0</v>
      </c>
      <c r="J658" s="16">
        <v>0.0</v>
      </c>
      <c r="K658" s="16">
        <v>23.205</v>
      </c>
      <c r="L658" s="16">
        <v>126.964</v>
      </c>
      <c r="M658" s="16">
        <v>138.237</v>
      </c>
      <c r="N658" s="16">
        <v>63.53</v>
      </c>
      <c r="O658" s="23">
        <v>13.8</v>
      </c>
      <c r="P658" s="18">
        <f t="shared" si="1"/>
        <v>126.964</v>
      </c>
    </row>
    <row r="659" ht="15.75" customHeight="1">
      <c r="A659" s="19" t="s">
        <v>208</v>
      </c>
      <c r="B659" s="19" t="s">
        <v>133</v>
      </c>
      <c r="C659" s="20" t="s">
        <v>141</v>
      </c>
      <c r="D659" s="14" t="str">
        <f>VLOOKUP(C659,'State Key'!$A$2:$B$210,2,False)</f>
        <v>Chhattisgarh</v>
      </c>
      <c r="E659" s="21">
        <v>1200.0</v>
      </c>
      <c r="F659" s="22">
        <v>190.149</v>
      </c>
      <c r="G659" s="22">
        <v>0.0</v>
      </c>
      <c r="H659" s="22">
        <v>0.0</v>
      </c>
      <c r="I659" s="22">
        <v>0.0</v>
      </c>
      <c r="J659" s="22">
        <v>0.0</v>
      </c>
      <c r="K659" s="22">
        <v>304.06</v>
      </c>
      <c r="L659" s="22">
        <v>494.209</v>
      </c>
      <c r="M659" s="22">
        <v>538.746</v>
      </c>
      <c r="N659" s="22">
        <v>404.34</v>
      </c>
      <c r="O659" s="24">
        <v>22.5</v>
      </c>
      <c r="P659" s="18">
        <f t="shared" si="1"/>
        <v>494.209</v>
      </c>
    </row>
    <row r="660" ht="15.75" customHeight="1">
      <c r="A660" s="13" t="s">
        <v>208</v>
      </c>
      <c r="B660" s="13" t="s">
        <v>133</v>
      </c>
      <c r="C660" s="14" t="s">
        <v>142</v>
      </c>
      <c r="D660" s="14" t="str">
        <f>VLOOKUP(C660,'State Key'!$A$2:$B$210,2,False)</f>
        <v>Maharashtra</v>
      </c>
      <c r="E660" s="15">
        <v>270.0</v>
      </c>
      <c r="F660" s="16">
        <v>52.357</v>
      </c>
      <c r="G660" s="16">
        <v>0.0</v>
      </c>
      <c r="H660" s="16">
        <v>0.0</v>
      </c>
      <c r="I660" s="16">
        <v>0.0</v>
      </c>
      <c r="J660" s="16">
        <v>19.011</v>
      </c>
      <c r="K660" s="16">
        <v>27.596</v>
      </c>
      <c r="L660" s="16">
        <v>98.964</v>
      </c>
      <c r="M660" s="16">
        <v>122.72</v>
      </c>
      <c r="N660" s="16">
        <v>15.92</v>
      </c>
      <c r="O660" s="17">
        <v>3.9</v>
      </c>
      <c r="P660" s="18">
        <f t="shared" si="1"/>
        <v>98.964</v>
      </c>
    </row>
    <row r="661" ht="15.75" customHeight="1">
      <c r="A661" s="19" t="s">
        <v>208</v>
      </c>
      <c r="B661" s="19" t="s">
        <v>133</v>
      </c>
      <c r="C661" s="20" t="s">
        <v>143</v>
      </c>
      <c r="D661" s="14" t="str">
        <f>VLOOKUP(C661,'State Key'!$A$2:$B$210,2,False)</f>
        <v>Chhattisgarh</v>
      </c>
      <c r="E661" s="21">
        <v>500.0</v>
      </c>
      <c r="F661" s="22">
        <v>327.983</v>
      </c>
      <c r="G661" s="22">
        <v>12.24</v>
      </c>
      <c r="H661" s="22">
        <v>0.0</v>
      </c>
      <c r="I661" s="22">
        <v>0.0</v>
      </c>
      <c r="J661" s="22">
        <v>0.0</v>
      </c>
      <c r="K661" s="22">
        <v>0.0</v>
      </c>
      <c r="L661" s="22">
        <v>340.223</v>
      </c>
      <c r="M661" s="22">
        <v>240.575</v>
      </c>
      <c r="N661" s="22">
        <v>274.161</v>
      </c>
      <c r="O661" s="24">
        <v>34.2</v>
      </c>
      <c r="P661" s="18">
        <f t="shared" si="1"/>
        <v>340.223</v>
      </c>
    </row>
    <row r="662" ht="15.75" customHeight="1">
      <c r="A662" s="13" t="s">
        <v>208</v>
      </c>
      <c r="B662" s="13" t="s">
        <v>133</v>
      </c>
      <c r="C662" s="14" t="s">
        <v>144</v>
      </c>
      <c r="D662" s="14" t="str">
        <f>VLOOKUP(C662,'State Key'!$A$2:$B$210,2,False)</f>
        <v>Maharashtra</v>
      </c>
      <c r="E662" s="15">
        <v>1210.0</v>
      </c>
      <c r="F662" s="16">
        <v>533.347</v>
      </c>
      <c r="G662" s="16">
        <v>0.0</v>
      </c>
      <c r="H662" s="16">
        <v>0.0</v>
      </c>
      <c r="I662" s="16">
        <v>23.122</v>
      </c>
      <c r="J662" s="16">
        <v>0.0</v>
      </c>
      <c r="K662" s="16">
        <v>0.0</v>
      </c>
      <c r="L662" s="16">
        <v>556.469</v>
      </c>
      <c r="M662" s="16">
        <v>570.084</v>
      </c>
      <c r="N662" s="16">
        <v>252.752</v>
      </c>
      <c r="O662" s="23">
        <v>13.3</v>
      </c>
      <c r="P662" s="18">
        <f t="shared" si="1"/>
        <v>556.469</v>
      </c>
    </row>
    <row r="663" ht="15.75" customHeight="1">
      <c r="A663" s="19" t="s">
        <v>208</v>
      </c>
      <c r="B663" s="19" t="s">
        <v>133</v>
      </c>
      <c r="C663" s="20" t="s">
        <v>145</v>
      </c>
      <c r="D663" s="14" t="str">
        <f>VLOOKUP(C663,'State Key'!$A$2:$B$210,2,False)</f>
        <v>Madhya Pradesh</v>
      </c>
      <c r="E663" s="21">
        <v>500.0</v>
      </c>
      <c r="F663" s="22">
        <v>86.6</v>
      </c>
      <c r="G663" s="22">
        <v>0.0</v>
      </c>
      <c r="H663" s="22">
        <v>0.0</v>
      </c>
      <c r="I663" s="22">
        <v>0.0</v>
      </c>
      <c r="J663" s="22">
        <v>0.0</v>
      </c>
      <c r="K663" s="22">
        <v>50.76</v>
      </c>
      <c r="L663" s="22">
        <v>137.36</v>
      </c>
      <c r="M663" s="22">
        <v>203.64</v>
      </c>
      <c r="N663" s="22">
        <v>87.68</v>
      </c>
      <c r="O663" s="23">
        <v>12.9</v>
      </c>
      <c r="P663" s="18">
        <f t="shared" si="1"/>
        <v>137.36</v>
      </c>
    </row>
    <row r="664" ht="15.75" customHeight="1">
      <c r="A664" s="13" t="s">
        <v>208</v>
      </c>
      <c r="B664" s="13" t="s">
        <v>133</v>
      </c>
      <c r="C664" s="14" t="s">
        <v>146</v>
      </c>
      <c r="D664" s="14" t="str">
        <f>VLOOKUP(C664,'State Key'!$A$2:$B$210,2,False)</f>
        <v>Chhattisgarh</v>
      </c>
      <c r="E664" s="15">
        <v>600.0</v>
      </c>
      <c r="F664" s="16">
        <v>64.12</v>
      </c>
      <c r="G664" s="16">
        <v>0.0</v>
      </c>
      <c r="H664" s="16">
        <v>0.0</v>
      </c>
      <c r="I664" s="16">
        <v>0.0</v>
      </c>
      <c r="J664" s="16">
        <v>0.0</v>
      </c>
      <c r="K664" s="16">
        <v>94.047</v>
      </c>
      <c r="L664" s="16">
        <v>158.167</v>
      </c>
      <c r="M664" s="16">
        <v>143.518</v>
      </c>
      <c r="N664" s="16">
        <v>156.6</v>
      </c>
      <c r="O664" s="24">
        <v>32.7</v>
      </c>
      <c r="P664" s="18">
        <f t="shared" si="1"/>
        <v>158.167</v>
      </c>
    </row>
    <row r="665" ht="15.75" customHeight="1">
      <c r="A665" s="19" t="s">
        <v>208</v>
      </c>
      <c r="B665" s="19" t="s">
        <v>133</v>
      </c>
      <c r="C665" s="20" t="s">
        <v>147</v>
      </c>
      <c r="D665" s="14" t="str">
        <f>VLOOKUP(C665,'State Key'!$A$2:$B$210,2,False)</f>
        <v>Maharashtra</v>
      </c>
      <c r="E665" s="21">
        <v>600.0</v>
      </c>
      <c r="F665" s="22">
        <v>0.0</v>
      </c>
      <c r="G665" s="22">
        <v>0.0</v>
      </c>
      <c r="H665" s="22">
        <v>0.0</v>
      </c>
      <c r="I665" s="22">
        <v>0.0</v>
      </c>
      <c r="J665" s="22">
        <v>0.0</v>
      </c>
      <c r="K665" s="22">
        <v>0.0</v>
      </c>
      <c r="L665" s="22">
        <v>0.0</v>
      </c>
      <c r="M665" s="22">
        <v>0.0</v>
      </c>
      <c r="N665" s="22">
        <v>0.0</v>
      </c>
      <c r="O665" s="19" t="s">
        <v>58</v>
      </c>
      <c r="P665" s="18">
        <f t="shared" si="1"/>
        <v>0</v>
      </c>
    </row>
    <row r="666" ht="15.75" customHeight="1">
      <c r="A666" s="13" t="s">
        <v>208</v>
      </c>
      <c r="B666" s="13" t="s">
        <v>133</v>
      </c>
      <c r="C666" s="14" t="s">
        <v>148</v>
      </c>
      <c r="D666" s="14" t="str">
        <f>VLOOKUP(C666,'State Key'!$A$2:$B$210,2,False)</f>
        <v>Chhattisgarh</v>
      </c>
      <c r="E666" s="15">
        <v>30.0</v>
      </c>
      <c r="F666" s="16">
        <v>0.926</v>
      </c>
      <c r="G666" s="16">
        <v>0.0</v>
      </c>
      <c r="H666" s="16">
        <v>0.0</v>
      </c>
      <c r="I666" s="16">
        <v>0.0</v>
      </c>
      <c r="J666" s="16">
        <v>55.864</v>
      </c>
      <c r="K666" s="16">
        <v>0.0</v>
      </c>
      <c r="L666" s="16">
        <v>56.79</v>
      </c>
      <c r="M666" s="16">
        <v>58.33</v>
      </c>
      <c r="N666" s="16">
        <v>31.09</v>
      </c>
      <c r="O666" s="24">
        <v>16.0</v>
      </c>
      <c r="P666" s="18">
        <f t="shared" si="1"/>
        <v>56.79</v>
      </c>
    </row>
    <row r="667" ht="15.75" customHeight="1">
      <c r="A667" s="19" t="s">
        <v>208</v>
      </c>
      <c r="B667" s="19" t="s">
        <v>133</v>
      </c>
      <c r="C667" s="20" t="s">
        <v>149</v>
      </c>
      <c r="D667" s="14" t="str">
        <f>VLOOKUP(C667,'State Key'!$A$2:$B$210,2,False)</f>
        <v>Maharashtra</v>
      </c>
      <c r="E667" s="21">
        <v>2920.0</v>
      </c>
      <c r="F667" s="22">
        <v>740.229</v>
      </c>
      <c r="G667" s="22">
        <v>19.806</v>
      </c>
      <c r="H667" s="22">
        <v>0.0</v>
      </c>
      <c r="I667" s="22">
        <v>57.019</v>
      </c>
      <c r="J667" s="22">
        <v>0.0</v>
      </c>
      <c r="K667" s="22">
        <v>0.0</v>
      </c>
      <c r="L667" s="22">
        <v>817.054</v>
      </c>
      <c r="M667" s="22">
        <v>875.5299</v>
      </c>
      <c r="N667" s="22">
        <v>411.3</v>
      </c>
      <c r="O667" s="24">
        <v>14.1</v>
      </c>
      <c r="P667" s="18">
        <f t="shared" si="1"/>
        <v>817.054</v>
      </c>
    </row>
    <row r="668" ht="15.75" customHeight="1">
      <c r="A668" s="13" t="s">
        <v>208</v>
      </c>
      <c r="B668" s="13" t="s">
        <v>133</v>
      </c>
      <c r="C668" s="14" t="s">
        <v>150</v>
      </c>
      <c r="D668" s="14" t="str">
        <f>VLOOKUP(C668,'State Key'!$A$2:$B$210,2,False)</f>
        <v>Maharashtra</v>
      </c>
      <c r="E668" s="15">
        <v>500.0</v>
      </c>
      <c r="F668" s="16">
        <v>188.454</v>
      </c>
      <c r="G668" s="16">
        <v>0.0</v>
      </c>
      <c r="H668" s="16">
        <v>0.0</v>
      </c>
      <c r="I668" s="16">
        <v>0.0</v>
      </c>
      <c r="J668" s="16">
        <v>0.0</v>
      </c>
      <c r="K668" s="16">
        <v>0.0</v>
      </c>
      <c r="L668" s="16">
        <v>188.454</v>
      </c>
      <c r="M668" s="16">
        <v>187.569</v>
      </c>
      <c r="N668" s="16">
        <v>5.35</v>
      </c>
      <c r="O668" s="17">
        <v>0.9</v>
      </c>
      <c r="P668" s="18">
        <f t="shared" si="1"/>
        <v>188.454</v>
      </c>
    </row>
    <row r="669" ht="15.75" customHeight="1">
      <c r="A669" s="19" t="s">
        <v>208</v>
      </c>
      <c r="B669" s="19" t="s">
        <v>133</v>
      </c>
      <c r="C669" s="20" t="s">
        <v>151</v>
      </c>
      <c r="D669" s="14" t="str">
        <f>VLOOKUP(C669,'State Key'!$A$2:$B$210,2,False)</f>
        <v>Maharashtra</v>
      </c>
      <c r="E669" s="21">
        <v>600.0</v>
      </c>
      <c r="F669" s="22">
        <v>219.399</v>
      </c>
      <c r="G669" s="22">
        <v>0.0</v>
      </c>
      <c r="H669" s="22">
        <v>0.0</v>
      </c>
      <c r="I669" s="22">
        <v>0.0</v>
      </c>
      <c r="J669" s="22">
        <v>0.0</v>
      </c>
      <c r="K669" s="22">
        <v>26.089</v>
      </c>
      <c r="L669" s="22">
        <v>245.488</v>
      </c>
      <c r="M669" s="22">
        <v>276.064</v>
      </c>
      <c r="N669" s="22">
        <v>53.0</v>
      </c>
      <c r="O669" s="17">
        <v>5.8</v>
      </c>
      <c r="P669" s="18">
        <f t="shared" si="1"/>
        <v>245.488</v>
      </c>
    </row>
    <row r="670" ht="15.75" customHeight="1">
      <c r="A670" s="13" t="s">
        <v>208</v>
      </c>
      <c r="B670" s="13" t="s">
        <v>133</v>
      </c>
      <c r="C670" s="14" t="s">
        <v>152</v>
      </c>
      <c r="D670" s="14" t="str">
        <f>VLOOKUP(C670,'State Key'!$A$2:$B$210,2,False)</f>
        <v>Chhattisgarh</v>
      </c>
      <c r="E670" s="15">
        <v>500.0</v>
      </c>
      <c r="F670" s="16">
        <v>366.38144</v>
      </c>
      <c r="G670" s="16">
        <v>0.0</v>
      </c>
      <c r="H670" s="16">
        <v>0.0</v>
      </c>
      <c r="I670" s="16">
        <v>0.0</v>
      </c>
      <c r="J670" s="16">
        <v>0.0</v>
      </c>
      <c r="K670" s="16">
        <v>0.0</v>
      </c>
      <c r="L670" s="16">
        <v>366.38144</v>
      </c>
      <c r="M670" s="16">
        <v>247.857</v>
      </c>
      <c r="N670" s="16">
        <v>328.98</v>
      </c>
      <c r="O670" s="24">
        <v>39.8</v>
      </c>
      <c r="P670" s="18">
        <f t="shared" si="1"/>
        <v>366.38144</v>
      </c>
    </row>
    <row r="671" ht="15.75" customHeight="1">
      <c r="A671" s="19" t="s">
        <v>208</v>
      </c>
      <c r="B671" s="19" t="s">
        <v>133</v>
      </c>
      <c r="C671" s="20" t="s">
        <v>153</v>
      </c>
      <c r="D671" s="14" t="str">
        <f>VLOOKUP(C671,'State Key'!$A$2:$B$210,2,False)</f>
        <v>Madhya Pradesh</v>
      </c>
      <c r="E671" s="21">
        <v>1600.0</v>
      </c>
      <c r="F671" s="22">
        <v>270.38</v>
      </c>
      <c r="G671" s="22">
        <v>0.0</v>
      </c>
      <c r="H671" s="22">
        <v>145.804</v>
      </c>
      <c r="I671" s="22">
        <v>0.0</v>
      </c>
      <c r="J671" s="22">
        <v>0.0</v>
      </c>
      <c r="K671" s="22">
        <v>0.0</v>
      </c>
      <c r="L671" s="22">
        <v>416.184</v>
      </c>
      <c r="M671" s="22">
        <v>506.904</v>
      </c>
      <c r="N671" s="22">
        <v>188.02</v>
      </c>
      <c r="O671" s="23">
        <v>11.1</v>
      </c>
      <c r="P671" s="18">
        <f t="shared" si="1"/>
        <v>416.184</v>
      </c>
    </row>
    <row r="672" ht="15.75" customHeight="1">
      <c r="A672" s="13" t="s">
        <v>208</v>
      </c>
      <c r="B672" s="13" t="s">
        <v>133</v>
      </c>
      <c r="C672" s="14" t="s">
        <v>154</v>
      </c>
      <c r="D672" s="14" t="str">
        <f>VLOOKUP(C672,'State Key'!$A$2:$B$210,2,False)</f>
        <v>Gujarat</v>
      </c>
      <c r="E672" s="15">
        <v>630.0</v>
      </c>
      <c r="F672" s="16">
        <v>222.46</v>
      </c>
      <c r="G672" s="16">
        <v>0.0</v>
      </c>
      <c r="H672" s="16">
        <v>0.0</v>
      </c>
      <c r="I672" s="16">
        <v>0.0</v>
      </c>
      <c r="J672" s="16">
        <v>0.0</v>
      </c>
      <c r="K672" s="16">
        <v>0.0</v>
      </c>
      <c r="L672" s="16">
        <v>222.46</v>
      </c>
      <c r="M672" s="16">
        <v>171.594</v>
      </c>
      <c r="N672" s="16">
        <v>221.22</v>
      </c>
      <c r="O672" s="24">
        <v>38.7</v>
      </c>
      <c r="P672" s="18">
        <f t="shared" si="1"/>
        <v>222.46</v>
      </c>
    </row>
    <row r="673" ht="15.75" customHeight="1">
      <c r="A673" s="19" t="s">
        <v>208</v>
      </c>
      <c r="B673" s="19" t="s">
        <v>133</v>
      </c>
      <c r="C673" s="20" t="s">
        <v>155</v>
      </c>
      <c r="D673" s="14" t="str">
        <f>VLOOKUP(C673,'State Key'!$A$2:$B$210,2,False)</f>
        <v>Maharashtra</v>
      </c>
      <c r="E673" s="21">
        <v>120.0</v>
      </c>
      <c r="F673" s="22">
        <v>0.0</v>
      </c>
      <c r="G673" s="22">
        <v>0.0</v>
      </c>
      <c r="H673" s="22">
        <v>0.0</v>
      </c>
      <c r="I673" s="22">
        <v>0.0</v>
      </c>
      <c r="J673" s="22">
        <v>0.0</v>
      </c>
      <c r="K673" s="22">
        <v>0.0</v>
      </c>
      <c r="L673" s="22">
        <v>0.0</v>
      </c>
      <c r="M673" s="22">
        <v>0.0</v>
      </c>
      <c r="N673" s="22">
        <v>0.0</v>
      </c>
      <c r="O673" s="19" t="s">
        <v>58</v>
      </c>
      <c r="P673" s="18">
        <f t="shared" si="1"/>
        <v>0</v>
      </c>
    </row>
    <row r="674" ht="15.75" customHeight="1">
      <c r="A674" s="13" t="s">
        <v>208</v>
      </c>
      <c r="B674" s="13" t="s">
        <v>133</v>
      </c>
      <c r="C674" s="14" t="s">
        <v>156</v>
      </c>
      <c r="D674" s="14" t="str">
        <f>VLOOKUP(C674,'State Key'!$A$2:$B$210,2,False)</f>
        <v>Maharashtra</v>
      </c>
      <c r="E674" s="15">
        <v>600.0</v>
      </c>
      <c r="F674" s="16">
        <v>156.687</v>
      </c>
      <c r="G674" s="16">
        <v>0.0</v>
      </c>
      <c r="H674" s="16">
        <v>0.0</v>
      </c>
      <c r="I674" s="16">
        <v>0.0</v>
      </c>
      <c r="J674" s="16">
        <v>0.0</v>
      </c>
      <c r="K674" s="16">
        <v>44.217</v>
      </c>
      <c r="L674" s="16">
        <v>200.904</v>
      </c>
      <c r="M674" s="16">
        <v>252.534</v>
      </c>
      <c r="N674" s="16">
        <v>10.71</v>
      </c>
      <c r="O674" s="17">
        <v>1.3</v>
      </c>
      <c r="P674" s="18">
        <f t="shared" si="1"/>
        <v>200.904</v>
      </c>
    </row>
    <row r="675" ht="15.75" customHeight="1">
      <c r="A675" s="19" t="s">
        <v>208</v>
      </c>
      <c r="B675" s="19" t="s">
        <v>133</v>
      </c>
      <c r="C675" s="20" t="s">
        <v>157</v>
      </c>
      <c r="D675" s="14" t="str">
        <f>VLOOKUP(C675,'State Key'!$A$2:$B$210,2,False)</f>
        <v>Maharashtra</v>
      </c>
      <c r="E675" s="21">
        <v>300.0</v>
      </c>
      <c r="F675" s="22">
        <v>0.0</v>
      </c>
      <c r="G675" s="22">
        <v>0.0</v>
      </c>
      <c r="H675" s="22">
        <v>0.0</v>
      </c>
      <c r="I675" s="22">
        <v>60.0</v>
      </c>
      <c r="J675" s="22">
        <v>0.0</v>
      </c>
      <c r="K675" s="22">
        <v>0.0</v>
      </c>
      <c r="L675" s="22">
        <v>60.0</v>
      </c>
      <c r="M675" s="22">
        <v>70.829</v>
      </c>
      <c r="N675" s="22">
        <v>58.12</v>
      </c>
      <c r="O675" s="24">
        <v>24.6</v>
      </c>
      <c r="P675" s="18">
        <f t="shared" si="1"/>
        <v>60</v>
      </c>
    </row>
    <row r="676" ht="15.75" customHeight="1">
      <c r="A676" s="13" t="s">
        <v>208</v>
      </c>
      <c r="B676" s="13" t="s">
        <v>133</v>
      </c>
      <c r="C676" s="14" t="s">
        <v>158</v>
      </c>
      <c r="D676" s="14" t="str">
        <f>VLOOKUP(C676,'State Key'!$A$2:$B$210,2,False)</f>
        <v>Chhattisgarh</v>
      </c>
      <c r="E676" s="15">
        <v>270.0</v>
      </c>
      <c r="F676" s="16">
        <v>36.513</v>
      </c>
      <c r="G676" s="16">
        <v>0.0</v>
      </c>
      <c r="H676" s="16">
        <v>0.0</v>
      </c>
      <c r="I676" s="16">
        <v>0.0</v>
      </c>
      <c r="J676" s="16">
        <v>153.817</v>
      </c>
      <c r="K676" s="16">
        <v>0.0</v>
      </c>
      <c r="L676" s="16">
        <v>190.33</v>
      </c>
      <c r="M676" s="16">
        <v>167.39</v>
      </c>
      <c r="N676" s="16">
        <v>57.64</v>
      </c>
      <c r="O676" s="23">
        <v>10.3</v>
      </c>
      <c r="P676" s="18">
        <f t="shared" si="1"/>
        <v>190.33</v>
      </c>
    </row>
    <row r="677" ht="15.75" customHeight="1">
      <c r="A677" s="19" t="s">
        <v>208</v>
      </c>
      <c r="B677" s="19" t="s">
        <v>133</v>
      </c>
      <c r="C677" s="20" t="s">
        <v>159</v>
      </c>
      <c r="D677" s="14" t="str">
        <f>VLOOKUP(C677,'State Key'!$A$2:$B$210,2,False)</f>
        <v>Chhattisgarh</v>
      </c>
      <c r="E677" s="21">
        <v>35.0</v>
      </c>
      <c r="F677" s="22">
        <v>0.0</v>
      </c>
      <c r="G677" s="22">
        <v>0.0</v>
      </c>
      <c r="H677" s="22">
        <v>0.0</v>
      </c>
      <c r="I677" s="22">
        <v>0.0</v>
      </c>
      <c r="J677" s="22">
        <v>0.0</v>
      </c>
      <c r="K677" s="22">
        <v>0.0</v>
      </c>
      <c r="L677" s="22">
        <v>0.0</v>
      </c>
      <c r="M677" s="22">
        <v>0.0</v>
      </c>
      <c r="N677" s="22">
        <v>0.0</v>
      </c>
      <c r="O677" s="19" t="s">
        <v>58</v>
      </c>
      <c r="P677" s="18">
        <f t="shared" si="1"/>
        <v>0</v>
      </c>
    </row>
    <row r="678" ht="15.75" customHeight="1">
      <c r="A678" s="13" t="s">
        <v>208</v>
      </c>
      <c r="B678" s="13" t="s">
        <v>133</v>
      </c>
      <c r="C678" s="14" t="s">
        <v>160</v>
      </c>
      <c r="D678" s="14" t="str">
        <f>VLOOKUP(C678,'State Key'!$A$2:$B$210,2,False)</f>
        <v>Maharashtra</v>
      </c>
      <c r="E678" s="15">
        <v>1340.0</v>
      </c>
      <c r="F678" s="16">
        <v>390.209</v>
      </c>
      <c r="G678" s="16">
        <v>8.066</v>
      </c>
      <c r="H678" s="16">
        <v>0.0</v>
      </c>
      <c r="I678" s="16">
        <v>4.024</v>
      </c>
      <c r="J678" s="16">
        <v>0.0</v>
      </c>
      <c r="K678" s="16">
        <v>0.0</v>
      </c>
      <c r="L678" s="16">
        <v>402.299</v>
      </c>
      <c r="M678" s="16">
        <v>497.755</v>
      </c>
      <c r="N678" s="16">
        <v>311.27</v>
      </c>
      <c r="O678" s="24">
        <v>18.8</v>
      </c>
      <c r="P678" s="18">
        <f t="shared" si="1"/>
        <v>402.299</v>
      </c>
    </row>
    <row r="679" ht="15.75" customHeight="1">
      <c r="A679" s="19" t="s">
        <v>208</v>
      </c>
      <c r="B679" s="19" t="s">
        <v>133</v>
      </c>
      <c r="C679" s="20" t="s">
        <v>161</v>
      </c>
      <c r="D679" s="14" t="str">
        <f>VLOOKUP(C679,'State Key'!$A$2:$B$210,2,False)</f>
        <v>Madhya Pradesh</v>
      </c>
      <c r="E679" s="21">
        <v>1320.0</v>
      </c>
      <c r="F679" s="22">
        <v>93.5</v>
      </c>
      <c r="G679" s="22">
        <v>0.0</v>
      </c>
      <c r="H679" s="22">
        <v>84.2</v>
      </c>
      <c r="I679" s="22">
        <v>19.56</v>
      </c>
      <c r="J679" s="22">
        <v>0.0</v>
      </c>
      <c r="K679" s="22">
        <v>0.0</v>
      </c>
      <c r="L679" s="22">
        <v>197.26</v>
      </c>
      <c r="M679" s="22">
        <v>209.66</v>
      </c>
      <c r="N679" s="22">
        <v>281.068</v>
      </c>
      <c r="O679" s="24">
        <v>40.2</v>
      </c>
      <c r="P679" s="18">
        <f t="shared" si="1"/>
        <v>197.26</v>
      </c>
    </row>
    <row r="680" ht="15.75" customHeight="1">
      <c r="A680" s="13" t="s">
        <v>208</v>
      </c>
      <c r="B680" s="13" t="s">
        <v>133</v>
      </c>
      <c r="C680" s="14" t="s">
        <v>162</v>
      </c>
      <c r="D680" s="14" t="str">
        <f>VLOOKUP(C680,'State Key'!$A$2:$B$210,2,False)</f>
        <v>Maharashtra</v>
      </c>
      <c r="E680" s="15">
        <v>2190.0</v>
      </c>
      <c r="F680" s="16">
        <v>629.961</v>
      </c>
      <c r="G680" s="16">
        <v>90.115</v>
      </c>
      <c r="H680" s="16">
        <v>0.0</v>
      </c>
      <c r="I680" s="16">
        <v>0.0</v>
      </c>
      <c r="J680" s="16">
        <v>0.0</v>
      </c>
      <c r="K680" s="16">
        <v>0.0</v>
      </c>
      <c r="L680" s="16">
        <v>720.076</v>
      </c>
      <c r="M680" s="16">
        <v>700.836</v>
      </c>
      <c r="N680" s="16">
        <v>234.733</v>
      </c>
      <c r="O680" s="23">
        <v>10.0</v>
      </c>
      <c r="P680" s="18">
        <f t="shared" si="1"/>
        <v>720.076</v>
      </c>
    </row>
    <row r="681" ht="15.75" customHeight="1">
      <c r="A681" s="19" t="s">
        <v>208</v>
      </c>
      <c r="B681" s="19" t="s">
        <v>133</v>
      </c>
      <c r="C681" s="20" t="s">
        <v>163</v>
      </c>
      <c r="D681" s="14" t="str">
        <f>VLOOKUP(C681,'State Key'!$A$2:$B$210,2,False)</f>
        <v>Chhattisgarh</v>
      </c>
      <c r="E681" s="21">
        <v>2600.0</v>
      </c>
      <c r="F681" s="22">
        <v>1059.38</v>
      </c>
      <c r="G681" s="22">
        <v>0.0</v>
      </c>
      <c r="H681" s="22">
        <v>0.0</v>
      </c>
      <c r="I681" s="22">
        <v>0.0</v>
      </c>
      <c r="J681" s="22">
        <v>0.0</v>
      </c>
      <c r="K681" s="22">
        <v>0.0</v>
      </c>
      <c r="L681" s="22">
        <v>1059.38</v>
      </c>
      <c r="M681" s="22">
        <v>1043.989</v>
      </c>
      <c r="N681" s="22">
        <v>452.725</v>
      </c>
      <c r="O681" s="23">
        <v>13.0</v>
      </c>
      <c r="P681" s="18">
        <f t="shared" si="1"/>
        <v>1059.38</v>
      </c>
    </row>
    <row r="682" ht="15.75" customHeight="1">
      <c r="A682" s="13" t="s">
        <v>208</v>
      </c>
      <c r="B682" s="13" t="s">
        <v>133</v>
      </c>
      <c r="C682" s="14" t="s">
        <v>164</v>
      </c>
      <c r="D682" s="14" t="str">
        <f>VLOOKUP(C682,'State Key'!$A$2:$B$210,2,False)</f>
        <v>Chhattisgarh</v>
      </c>
      <c r="E682" s="15">
        <v>1340.0</v>
      </c>
      <c r="F682" s="16">
        <v>619.805</v>
      </c>
      <c r="G682" s="16">
        <v>0.0</v>
      </c>
      <c r="H682" s="16">
        <v>0.0</v>
      </c>
      <c r="I682" s="16">
        <v>0.0</v>
      </c>
      <c r="J682" s="16">
        <v>0.0</v>
      </c>
      <c r="K682" s="16">
        <v>0.0</v>
      </c>
      <c r="L682" s="16">
        <v>619.805</v>
      </c>
      <c r="M682" s="16">
        <v>373.438</v>
      </c>
      <c r="N682" s="16">
        <v>455.99</v>
      </c>
      <c r="O682" s="24">
        <v>36.6</v>
      </c>
      <c r="P682" s="18">
        <f t="shared" si="1"/>
        <v>619.805</v>
      </c>
    </row>
    <row r="683" ht="15.75" customHeight="1">
      <c r="A683" s="19" t="s">
        <v>208</v>
      </c>
      <c r="B683" s="19" t="s">
        <v>133</v>
      </c>
      <c r="C683" s="20" t="s">
        <v>165</v>
      </c>
      <c r="D683" s="14" t="str">
        <f>VLOOKUP(C683,'State Key'!$A$2:$B$210,2,False)</f>
        <v>Chhattisgarh</v>
      </c>
      <c r="E683" s="21">
        <v>1600.0</v>
      </c>
      <c r="F683" s="22">
        <v>32.37</v>
      </c>
      <c r="G683" s="22">
        <v>0.0</v>
      </c>
      <c r="H683" s="22">
        <v>751.86</v>
      </c>
      <c r="I683" s="22">
        <v>0.0</v>
      </c>
      <c r="J683" s="22">
        <v>0.0</v>
      </c>
      <c r="K683" s="22">
        <v>0.0</v>
      </c>
      <c r="L683" s="22">
        <v>784.23</v>
      </c>
      <c r="M683" s="22">
        <v>769.756</v>
      </c>
      <c r="N683" s="22">
        <v>348.022</v>
      </c>
      <c r="O683" s="23">
        <v>13.6</v>
      </c>
      <c r="P683" s="18">
        <f t="shared" si="1"/>
        <v>784.23</v>
      </c>
    </row>
    <row r="684" ht="15.75" customHeight="1">
      <c r="A684" s="13" t="s">
        <v>208</v>
      </c>
      <c r="B684" s="13" t="s">
        <v>133</v>
      </c>
      <c r="C684" s="14" t="s">
        <v>166</v>
      </c>
      <c r="D684" s="14" t="str">
        <f>VLOOKUP(C684,'State Key'!$A$2:$B$210,2,False)</f>
        <v>Madhya Pradesh</v>
      </c>
      <c r="E684" s="15">
        <v>1200.0</v>
      </c>
      <c r="F684" s="16">
        <v>343.376</v>
      </c>
      <c r="G684" s="16">
        <v>0.0</v>
      </c>
      <c r="H684" s="16">
        <v>0.0</v>
      </c>
      <c r="I684" s="16">
        <v>0.0</v>
      </c>
      <c r="J684" s="16">
        <v>0.0</v>
      </c>
      <c r="K684" s="16">
        <v>0.0</v>
      </c>
      <c r="L684" s="16">
        <v>343.376</v>
      </c>
      <c r="M684" s="16">
        <v>361.347</v>
      </c>
      <c r="N684" s="16">
        <v>285.49</v>
      </c>
      <c r="O684" s="24">
        <v>23.7</v>
      </c>
      <c r="P684" s="18">
        <f t="shared" si="1"/>
        <v>343.376</v>
      </c>
    </row>
    <row r="685" ht="15.75" customHeight="1">
      <c r="A685" s="19" t="s">
        <v>208</v>
      </c>
      <c r="B685" s="19" t="s">
        <v>133</v>
      </c>
      <c r="C685" s="20" t="s">
        <v>167</v>
      </c>
      <c r="D685" s="14" t="str">
        <f>VLOOKUP(C685,'State Key'!$A$2:$B$210,2,False)</f>
        <v>Chhattisgarh</v>
      </c>
      <c r="E685" s="21">
        <v>1000.0</v>
      </c>
      <c r="F685" s="22">
        <v>201.398</v>
      </c>
      <c r="G685" s="22">
        <v>0.0</v>
      </c>
      <c r="H685" s="22">
        <v>275.741</v>
      </c>
      <c r="I685" s="22">
        <v>0.0</v>
      </c>
      <c r="J685" s="22">
        <v>0.0</v>
      </c>
      <c r="K685" s="22">
        <v>0.0</v>
      </c>
      <c r="L685" s="22">
        <v>477.139</v>
      </c>
      <c r="M685" s="22">
        <v>508.515</v>
      </c>
      <c r="N685" s="22">
        <v>411.74</v>
      </c>
      <c r="O685" s="24">
        <v>24.3</v>
      </c>
      <c r="P685" s="18">
        <f t="shared" si="1"/>
        <v>477.139</v>
      </c>
    </row>
    <row r="686" ht="15.75" customHeight="1">
      <c r="A686" s="13" t="s">
        <v>208</v>
      </c>
      <c r="B686" s="13" t="s">
        <v>133</v>
      </c>
      <c r="C686" s="14" t="s">
        <v>168</v>
      </c>
      <c r="D686" s="14" t="str">
        <f>VLOOKUP(C686,'State Key'!$A$2:$B$210,2,False)</f>
        <v>Maharashtra</v>
      </c>
      <c r="E686" s="15">
        <v>2320.0</v>
      </c>
      <c r="F686" s="16">
        <v>668.7</v>
      </c>
      <c r="G686" s="16">
        <v>7.99</v>
      </c>
      <c r="H686" s="16">
        <v>0.0</v>
      </c>
      <c r="I686" s="16">
        <v>1.167</v>
      </c>
      <c r="J686" s="16">
        <v>0.0</v>
      </c>
      <c r="K686" s="16">
        <v>0.0</v>
      </c>
      <c r="L686" s="16">
        <v>677.857</v>
      </c>
      <c r="M686" s="16">
        <v>853.674</v>
      </c>
      <c r="N686" s="16">
        <v>395.92</v>
      </c>
      <c r="O686" s="23">
        <v>13.9</v>
      </c>
      <c r="P686" s="18">
        <f t="shared" si="1"/>
        <v>677.857</v>
      </c>
    </row>
    <row r="687" ht="15.75" customHeight="1">
      <c r="A687" s="19" t="s">
        <v>208</v>
      </c>
      <c r="B687" s="19" t="s">
        <v>133</v>
      </c>
      <c r="C687" s="20" t="s">
        <v>169</v>
      </c>
      <c r="D687" s="14" t="str">
        <f>VLOOKUP(C687,'State Key'!$A$2:$B$210,2,False)</f>
        <v>Madhya Pradesh</v>
      </c>
      <c r="E687" s="21">
        <v>246.0</v>
      </c>
      <c r="F687" s="22">
        <v>0.0</v>
      </c>
      <c r="G687" s="22">
        <v>0.0</v>
      </c>
      <c r="H687" s="22">
        <v>0.0</v>
      </c>
      <c r="I687" s="22">
        <v>0.0</v>
      </c>
      <c r="J687" s="22">
        <v>0.0</v>
      </c>
      <c r="K687" s="22">
        <v>0.0</v>
      </c>
      <c r="L687" s="22">
        <v>0.0</v>
      </c>
      <c r="M687" s="22">
        <v>0.0</v>
      </c>
      <c r="N687" s="22">
        <v>0.0</v>
      </c>
      <c r="O687" s="19" t="s">
        <v>58</v>
      </c>
      <c r="P687" s="18">
        <f t="shared" si="1"/>
        <v>0</v>
      </c>
    </row>
    <row r="688" ht="15.75" customHeight="1">
      <c r="A688" s="13" t="s">
        <v>208</v>
      </c>
      <c r="B688" s="13" t="s">
        <v>133</v>
      </c>
      <c r="C688" s="14" t="s">
        <v>172</v>
      </c>
      <c r="D688" s="14" t="str">
        <f>VLOOKUP(C688,'State Key'!$A$2:$B$210,2,False)</f>
        <v>Gujarat</v>
      </c>
      <c r="E688" s="15">
        <v>4000.0</v>
      </c>
      <c r="F688" s="16">
        <v>0.0</v>
      </c>
      <c r="G688" s="16">
        <v>0.0</v>
      </c>
      <c r="H688" s="16">
        <v>0.0</v>
      </c>
      <c r="I688" s="16">
        <v>605.842</v>
      </c>
      <c r="J688" s="16">
        <v>0.0</v>
      </c>
      <c r="K688" s="16">
        <v>0.0</v>
      </c>
      <c r="L688" s="16">
        <v>605.842</v>
      </c>
      <c r="M688" s="16">
        <v>665.45</v>
      </c>
      <c r="N688" s="16">
        <v>388.56</v>
      </c>
      <c r="O688" s="24">
        <v>17.5</v>
      </c>
      <c r="P688" s="18">
        <f t="shared" si="1"/>
        <v>605.842</v>
      </c>
    </row>
    <row r="689" ht="15.75" customHeight="1">
      <c r="A689" s="19" t="s">
        <v>208</v>
      </c>
      <c r="B689" s="19" t="s">
        <v>133</v>
      </c>
      <c r="C689" s="20" t="s">
        <v>173</v>
      </c>
      <c r="D689" s="14" t="str">
        <f>VLOOKUP(C689,'State Key'!$A$2:$B$210,2,False)</f>
        <v>Maharashtra</v>
      </c>
      <c r="E689" s="21">
        <v>1350.0</v>
      </c>
      <c r="F689" s="22">
        <v>0.0</v>
      </c>
      <c r="G689" s="22">
        <v>0.0</v>
      </c>
      <c r="H689" s="22">
        <v>0.0</v>
      </c>
      <c r="I689" s="22">
        <v>0.0</v>
      </c>
      <c r="J689" s="22">
        <v>0.0</v>
      </c>
      <c r="K689" s="22">
        <v>0.0</v>
      </c>
      <c r="L689" s="22">
        <v>0.0</v>
      </c>
      <c r="M689" s="22">
        <v>0.0</v>
      </c>
      <c r="N689" s="22">
        <v>0.0</v>
      </c>
      <c r="O689" s="19" t="s">
        <v>58</v>
      </c>
      <c r="P689" s="18">
        <f t="shared" si="1"/>
        <v>0</v>
      </c>
    </row>
    <row r="690" ht="15.75" customHeight="1">
      <c r="A690" s="13" t="s">
        <v>208</v>
      </c>
      <c r="B690" s="13" t="s">
        <v>133</v>
      </c>
      <c r="C690" s="14" t="s">
        <v>174</v>
      </c>
      <c r="D690" s="14" t="str">
        <f>VLOOKUP(C690,'State Key'!$A$2:$B$210,2,False)</f>
        <v>Maharashtra</v>
      </c>
      <c r="E690" s="15">
        <v>630.0</v>
      </c>
      <c r="F690" s="16">
        <v>221.616</v>
      </c>
      <c r="G690" s="16">
        <v>0.0</v>
      </c>
      <c r="H690" s="16">
        <v>0.0</v>
      </c>
      <c r="I690" s="16">
        <v>0.0</v>
      </c>
      <c r="J690" s="16">
        <v>0.0</v>
      </c>
      <c r="K690" s="16">
        <v>0.0</v>
      </c>
      <c r="L690" s="16">
        <v>221.616</v>
      </c>
      <c r="M690" s="16">
        <v>192.362</v>
      </c>
      <c r="N690" s="16">
        <v>154.13</v>
      </c>
      <c r="O690" s="24">
        <v>24.0</v>
      </c>
      <c r="P690" s="18">
        <f t="shared" si="1"/>
        <v>221.616</v>
      </c>
    </row>
    <row r="691" ht="15.75" customHeight="1">
      <c r="A691" s="19" t="s">
        <v>208</v>
      </c>
      <c r="B691" s="19" t="s">
        <v>133</v>
      </c>
      <c r="C691" s="20" t="s">
        <v>175</v>
      </c>
      <c r="D691" s="14" t="str">
        <f>VLOOKUP(C691,'State Key'!$A$2:$B$210,2,False)</f>
        <v>Chhattisgarh</v>
      </c>
      <c r="E691" s="21">
        <v>600.0</v>
      </c>
      <c r="F691" s="22">
        <v>220.17</v>
      </c>
      <c r="G691" s="22">
        <v>0.0</v>
      </c>
      <c r="H691" s="22">
        <v>0.0</v>
      </c>
      <c r="I691" s="22">
        <v>0.0</v>
      </c>
      <c r="J691" s="22">
        <v>0.0</v>
      </c>
      <c r="K691" s="22">
        <v>0.0</v>
      </c>
      <c r="L691" s="22">
        <v>220.17</v>
      </c>
      <c r="M691" s="22">
        <v>216.307</v>
      </c>
      <c r="N691" s="22">
        <v>157.84</v>
      </c>
      <c r="O691" s="24">
        <v>21.9</v>
      </c>
      <c r="P691" s="18">
        <f t="shared" si="1"/>
        <v>220.17</v>
      </c>
    </row>
    <row r="692" ht="15.75" customHeight="1">
      <c r="A692" s="13" t="s">
        <v>208</v>
      </c>
      <c r="B692" s="13" t="s">
        <v>133</v>
      </c>
      <c r="C692" s="14" t="s">
        <v>176</v>
      </c>
      <c r="D692" s="14" t="str">
        <f>VLOOKUP(C692,'State Key'!$A$2:$B$210,2,False)</f>
        <v>Madhya Pradesh</v>
      </c>
      <c r="E692" s="15">
        <v>1320.0</v>
      </c>
      <c r="F692" s="16">
        <v>0.0</v>
      </c>
      <c r="G692" s="16">
        <v>0.0</v>
      </c>
      <c r="H692" s="16">
        <v>306.9158</v>
      </c>
      <c r="I692" s="16">
        <v>0.0</v>
      </c>
      <c r="J692" s="16">
        <v>0.0</v>
      </c>
      <c r="K692" s="16">
        <v>265.0923</v>
      </c>
      <c r="L692" s="16">
        <v>572.0081</v>
      </c>
      <c r="M692" s="16">
        <v>508.2154</v>
      </c>
      <c r="N692" s="16">
        <v>309.75</v>
      </c>
      <c r="O692" s="24">
        <v>18.3</v>
      </c>
      <c r="P692" s="18">
        <f t="shared" si="1"/>
        <v>572.0081</v>
      </c>
    </row>
    <row r="693" ht="15.75" customHeight="1">
      <c r="A693" s="19" t="s">
        <v>208</v>
      </c>
      <c r="B693" s="19" t="s">
        <v>133</v>
      </c>
      <c r="C693" s="20" t="s">
        <v>177</v>
      </c>
      <c r="D693" s="14" t="str">
        <f>VLOOKUP(C693,'State Key'!$A$2:$B$210,2,False)</f>
        <v>Madhya Pradesh</v>
      </c>
      <c r="E693" s="21">
        <v>90.0</v>
      </c>
      <c r="F693" s="22">
        <v>42.0</v>
      </c>
      <c r="G693" s="22">
        <v>0.0</v>
      </c>
      <c r="H693" s="22">
        <v>0.0</v>
      </c>
      <c r="I693" s="22">
        <v>0.0</v>
      </c>
      <c r="J693" s="22">
        <v>0.0</v>
      </c>
      <c r="K693" s="22">
        <v>0.0</v>
      </c>
      <c r="L693" s="22">
        <v>42.0</v>
      </c>
      <c r="M693" s="22">
        <v>42.0</v>
      </c>
      <c r="N693" s="22">
        <v>12.0</v>
      </c>
      <c r="O693" s="23">
        <v>8.6</v>
      </c>
      <c r="P693" s="18">
        <f t="shared" si="1"/>
        <v>42</v>
      </c>
    </row>
    <row r="694" ht="15.75" customHeight="1">
      <c r="A694" s="13" t="s">
        <v>208</v>
      </c>
      <c r="B694" s="13" t="s">
        <v>133</v>
      </c>
      <c r="C694" s="14" t="s">
        <v>178</v>
      </c>
      <c r="D694" s="14" t="str">
        <f>VLOOKUP(C694,'State Key'!$A$2:$B$210,2,False)</f>
        <v>Chhattisgarh</v>
      </c>
      <c r="E694" s="15">
        <v>1000.0</v>
      </c>
      <c r="F694" s="16">
        <v>0.0</v>
      </c>
      <c r="G694" s="16">
        <v>0.0</v>
      </c>
      <c r="H694" s="16">
        <v>0.0</v>
      </c>
      <c r="I694" s="16">
        <v>0.0</v>
      </c>
      <c r="J694" s="16">
        <v>38.942</v>
      </c>
      <c r="K694" s="16">
        <v>734.541</v>
      </c>
      <c r="L694" s="16">
        <v>773.483</v>
      </c>
      <c r="M694" s="16">
        <v>480.735</v>
      </c>
      <c r="N694" s="16">
        <v>381.37</v>
      </c>
      <c r="O694" s="24">
        <v>23.8</v>
      </c>
      <c r="P694" s="18">
        <f t="shared" si="1"/>
        <v>773.483</v>
      </c>
    </row>
    <row r="695" ht="15.75" customHeight="1">
      <c r="A695" s="19" t="s">
        <v>208</v>
      </c>
      <c r="B695" s="19" t="s">
        <v>133</v>
      </c>
      <c r="C695" s="20" t="s">
        <v>179</v>
      </c>
      <c r="D695" s="14" t="str">
        <f>VLOOKUP(C695,'State Key'!$A$2:$B$210,2,False)</f>
        <v>Maharashtra</v>
      </c>
      <c r="E695" s="21">
        <v>500.0</v>
      </c>
      <c r="F695" s="22">
        <v>185.982</v>
      </c>
      <c r="G695" s="22">
        <v>0.0</v>
      </c>
      <c r="H695" s="22">
        <v>0.0</v>
      </c>
      <c r="I695" s="22">
        <v>0.0</v>
      </c>
      <c r="J695" s="22">
        <v>0.0</v>
      </c>
      <c r="K695" s="22">
        <v>0.0</v>
      </c>
      <c r="L695" s="22">
        <v>185.982</v>
      </c>
      <c r="M695" s="22">
        <v>203.949</v>
      </c>
      <c r="N695" s="22">
        <v>80.98</v>
      </c>
      <c r="O695" s="23">
        <v>11.9</v>
      </c>
      <c r="P695" s="18">
        <f t="shared" si="1"/>
        <v>185.982</v>
      </c>
    </row>
    <row r="696" ht="15.75" customHeight="1">
      <c r="A696" s="13" t="s">
        <v>208</v>
      </c>
      <c r="B696" s="13" t="s">
        <v>133</v>
      </c>
      <c r="C696" s="14" t="s">
        <v>180</v>
      </c>
      <c r="D696" s="14" t="str">
        <f>VLOOKUP(C696,'State Key'!$A$2:$B$210,2,False)</f>
        <v>Maharashtra</v>
      </c>
      <c r="E696" s="15">
        <v>750.0</v>
      </c>
      <c r="F696" s="16">
        <v>11.318</v>
      </c>
      <c r="G696" s="16">
        <v>90.531</v>
      </c>
      <c r="H696" s="16">
        <v>0.0</v>
      </c>
      <c r="I696" s="16">
        <v>0.0</v>
      </c>
      <c r="J696" s="16">
        <v>0.0</v>
      </c>
      <c r="K696" s="16">
        <v>0.0</v>
      </c>
      <c r="L696" s="16">
        <v>101.849</v>
      </c>
      <c r="M696" s="16">
        <v>101.852</v>
      </c>
      <c r="N696" s="16">
        <v>126.59</v>
      </c>
      <c r="O696" s="24">
        <v>37.3</v>
      </c>
      <c r="P696" s="18">
        <f t="shared" si="1"/>
        <v>101.849</v>
      </c>
    </row>
    <row r="697" ht="15.75" customHeight="1">
      <c r="A697" s="19" t="s">
        <v>208</v>
      </c>
      <c r="B697" s="19" t="s">
        <v>133</v>
      </c>
      <c r="C697" s="20" t="s">
        <v>181</v>
      </c>
      <c r="D697" s="14" t="str">
        <f>VLOOKUP(C697,'State Key'!$A$2:$B$210,2,False)</f>
        <v>Chhattisgarh</v>
      </c>
      <c r="E697" s="21">
        <v>600.0</v>
      </c>
      <c r="F697" s="22">
        <v>264.67</v>
      </c>
      <c r="G697" s="22">
        <v>0.0</v>
      </c>
      <c r="H697" s="22">
        <v>0.0</v>
      </c>
      <c r="I697" s="22">
        <v>0.0</v>
      </c>
      <c r="J697" s="22">
        <v>0.0</v>
      </c>
      <c r="K697" s="22">
        <v>23.75</v>
      </c>
      <c r="L697" s="22">
        <v>288.42</v>
      </c>
      <c r="M697" s="22">
        <v>254.86</v>
      </c>
      <c r="N697" s="22">
        <v>315.89</v>
      </c>
      <c r="O697" s="24">
        <v>37.2</v>
      </c>
      <c r="P697" s="18">
        <f t="shared" si="1"/>
        <v>288.42</v>
      </c>
    </row>
    <row r="698" ht="15.75" customHeight="1">
      <c r="A698" s="13" t="s">
        <v>208</v>
      </c>
      <c r="B698" s="13" t="s">
        <v>133</v>
      </c>
      <c r="C698" s="14" t="s">
        <v>183</v>
      </c>
      <c r="D698" s="14" t="str">
        <f>VLOOKUP(C698,'State Key'!$A$2:$B$210,2,False)</f>
        <v>Chhattisgarh</v>
      </c>
      <c r="E698" s="15">
        <v>100.0</v>
      </c>
      <c r="F698" s="16">
        <v>0.0</v>
      </c>
      <c r="G698" s="16">
        <v>0.0</v>
      </c>
      <c r="H698" s="16">
        <v>0.0</v>
      </c>
      <c r="I698" s="16">
        <v>0.0</v>
      </c>
      <c r="J698" s="16">
        <v>108.965</v>
      </c>
      <c r="K698" s="16">
        <v>0.0</v>
      </c>
      <c r="L698" s="16">
        <v>108.965</v>
      </c>
      <c r="M698" s="16">
        <v>74.966</v>
      </c>
      <c r="N698" s="16">
        <v>54.77</v>
      </c>
      <c r="O698" s="24">
        <v>21.9</v>
      </c>
      <c r="P698" s="18">
        <f t="shared" si="1"/>
        <v>108.965</v>
      </c>
    </row>
    <row r="699" ht="15.75" customHeight="1">
      <c r="A699" s="19" t="s">
        <v>208</v>
      </c>
      <c r="B699" s="19" t="s">
        <v>133</v>
      </c>
      <c r="C699" s="20" t="s">
        <v>184</v>
      </c>
      <c r="D699" s="14" t="str">
        <f>VLOOKUP(C699,'State Key'!$A$2:$B$210,2,False)</f>
        <v>Gujarat</v>
      </c>
      <c r="E699" s="21">
        <v>362.0</v>
      </c>
      <c r="F699" s="22">
        <v>118.481</v>
      </c>
      <c r="G699" s="22">
        <v>0.0</v>
      </c>
      <c r="H699" s="22">
        <v>0.0</v>
      </c>
      <c r="I699" s="22">
        <v>51.771</v>
      </c>
      <c r="J699" s="22">
        <v>0.0</v>
      </c>
      <c r="K699" s="22">
        <v>0.0</v>
      </c>
      <c r="L699" s="22">
        <v>170.252</v>
      </c>
      <c r="M699" s="22">
        <v>158.406</v>
      </c>
      <c r="N699" s="22">
        <v>105.22</v>
      </c>
      <c r="O699" s="24">
        <v>19.9</v>
      </c>
      <c r="P699" s="18">
        <f t="shared" si="1"/>
        <v>170.252</v>
      </c>
    </row>
    <row r="700" ht="15.75" customHeight="1">
      <c r="A700" s="13" t="s">
        <v>208</v>
      </c>
      <c r="B700" s="13" t="s">
        <v>133</v>
      </c>
      <c r="C700" s="14" t="s">
        <v>185</v>
      </c>
      <c r="D700" s="14" t="str">
        <f>VLOOKUP(C700,'State Key'!$A$2:$B$210,2,False)</f>
        <v>Gujarat</v>
      </c>
      <c r="E700" s="15">
        <v>1200.0</v>
      </c>
      <c r="F700" s="16">
        <v>0.0</v>
      </c>
      <c r="G700" s="16">
        <v>0.0</v>
      </c>
      <c r="H700" s="16">
        <v>0.0</v>
      </c>
      <c r="I700" s="16">
        <v>98.484</v>
      </c>
      <c r="J700" s="16">
        <v>0.0</v>
      </c>
      <c r="K700" s="16">
        <v>0.0</v>
      </c>
      <c r="L700" s="16">
        <v>98.484</v>
      </c>
      <c r="M700" s="16">
        <v>216.943</v>
      </c>
      <c r="N700" s="16">
        <v>297.25</v>
      </c>
      <c r="O700" s="24">
        <v>41.1</v>
      </c>
      <c r="P700" s="18">
        <f t="shared" si="1"/>
        <v>98.484</v>
      </c>
    </row>
    <row r="701" ht="15.75" customHeight="1">
      <c r="A701" s="19" t="s">
        <v>208</v>
      </c>
      <c r="B701" s="19" t="s">
        <v>133</v>
      </c>
      <c r="C701" s="20" t="s">
        <v>186</v>
      </c>
      <c r="D701" s="14" t="str">
        <f>VLOOKUP(C701,'State Key'!$A$2:$B$210,2,False)</f>
        <v>Chhattisgarh</v>
      </c>
      <c r="E701" s="21">
        <v>135.0</v>
      </c>
      <c r="F701" s="22">
        <v>0.0</v>
      </c>
      <c r="G701" s="22">
        <v>0.0</v>
      </c>
      <c r="H701" s="22">
        <v>0.0</v>
      </c>
      <c r="I701" s="22">
        <v>0.0</v>
      </c>
      <c r="J701" s="22">
        <v>0.0</v>
      </c>
      <c r="K701" s="22">
        <v>0.0</v>
      </c>
      <c r="L701" s="22">
        <v>0.0</v>
      </c>
      <c r="M701" s="22">
        <v>0.0</v>
      </c>
      <c r="N701" s="22">
        <v>0.0</v>
      </c>
      <c r="O701" s="19" t="s">
        <v>58</v>
      </c>
      <c r="P701" s="18">
        <f t="shared" si="1"/>
        <v>0</v>
      </c>
    </row>
    <row r="702" ht="15.75" customHeight="1">
      <c r="A702" s="13" t="s">
        <v>208</v>
      </c>
      <c r="B702" s="13" t="s">
        <v>133</v>
      </c>
      <c r="C702" s="14" t="s">
        <v>187</v>
      </c>
      <c r="D702" s="14" t="str">
        <f>VLOOKUP(C702,'State Key'!$A$2:$B$210,2,False)</f>
        <v>Madhya Pradesh</v>
      </c>
      <c r="E702" s="15">
        <v>1340.0</v>
      </c>
      <c r="F702" s="16">
        <v>494.935</v>
      </c>
      <c r="G702" s="16">
        <v>0.0</v>
      </c>
      <c r="H702" s="16">
        <v>0.0</v>
      </c>
      <c r="I702" s="16">
        <v>0.0</v>
      </c>
      <c r="J702" s="16">
        <v>0.0</v>
      </c>
      <c r="K702" s="16">
        <v>0.0</v>
      </c>
      <c r="L702" s="16">
        <v>494.935</v>
      </c>
      <c r="M702" s="16">
        <v>562.856</v>
      </c>
      <c r="N702" s="16">
        <v>38.64</v>
      </c>
      <c r="O702" s="17">
        <v>2.1</v>
      </c>
      <c r="P702" s="18">
        <f t="shared" si="1"/>
        <v>494.935</v>
      </c>
    </row>
    <row r="703" ht="15.75" customHeight="1">
      <c r="A703" s="19" t="s">
        <v>208</v>
      </c>
      <c r="B703" s="19" t="s">
        <v>133</v>
      </c>
      <c r="C703" s="20" t="s">
        <v>188</v>
      </c>
      <c r="D703" s="14" t="str">
        <f>VLOOKUP(C703,'State Key'!$A$2:$B$210,2,False)</f>
        <v>Madhya Pradesh</v>
      </c>
      <c r="E703" s="21">
        <v>3960.0</v>
      </c>
      <c r="F703" s="22">
        <v>0.0</v>
      </c>
      <c r="G703" s="22">
        <v>0.0</v>
      </c>
      <c r="H703" s="22">
        <v>1823.359</v>
      </c>
      <c r="I703" s="22">
        <v>0.0</v>
      </c>
      <c r="J703" s="22">
        <v>0.0</v>
      </c>
      <c r="K703" s="22">
        <v>0.0</v>
      </c>
      <c r="L703" s="22">
        <v>1823.359</v>
      </c>
      <c r="M703" s="22">
        <v>1563.98</v>
      </c>
      <c r="N703" s="22">
        <v>426.295</v>
      </c>
      <c r="O703" s="23">
        <v>8.2</v>
      </c>
      <c r="P703" s="18">
        <f t="shared" si="1"/>
        <v>1823.359</v>
      </c>
    </row>
    <row r="704" ht="15.75" customHeight="1">
      <c r="A704" s="13" t="s">
        <v>208</v>
      </c>
      <c r="B704" s="13" t="s">
        <v>133</v>
      </c>
      <c r="C704" s="14" t="s">
        <v>189</v>
      </c>
      <c r="D704" s="14" t="str">
        <f>VLOOKUP(C704,'State Key'!$A$2:$B$210,2,False)</f>
        <v>Madhya Pradesh</v>
      </c>
      <c r="E704" s="15">
        <v>1330.0</v>
      </c>
      <c r="F704" s="16">
        <v>211.679</v>
      </c>
      <c r="G704" s="16">
        <v>0.0</v>
      </c>
      <c r="H704" s="16">
        <v>0.0</v>
      </c>
      <c r="I704" s="16">
        <v>0.0</v>
      </c>
      <c r="J704" s="16">
        <v>0.0</v>
      </c>
      <c r="K704" s="16">
        <v>0.0</v>
      </c>
      <c r="L704" s="16">
        <v>211.679</v>
      </c>
      <c r="M704" s="16">
        <v>197.757</v>
      </c>
      <c r="N704" s="16">
        <v>124.72</v>
      </c>
      <c r="O704" s="24">
        <v>18.9</v>
      </c>
      <c r="P704" s="18">
        <f t="shared" si="1"/>
        <v>211.679</v>
      </c>
    </row>
    <row r="705" ht="15.75" customHeight="1">
      <c r="A705" s="19" t="s">
        <v>208</v>
      </c>
      <c r="B705" s="19" t="s">
        <v>133</v>
      </c>
      <c r="C705" s="20" t="s">
        <v>190</v>
      </c>
      <c r="D705" s="14" t="str">
        <f>VLOOKUP(C705,'State Key'!$A$2:$B$210,2,False)</f>
        <v>Madhya Pradesh</v>
      </c>
      <c r="E705" s="21">
        <v>600.0</v>
      </c>
      <c r="F705" s="22">
        <v>176.182</v>
      </c>
      <c r="G705" s="22">
        <v>0.0</v>
      </c>
      <c r="H705" s="22">
        <v>0.0</v>
      </c>
      <c r="I705" s="22">
        <v>0.0</v>
      </c>
      <c r="J705" s="22">
        <v>0.0</v>
      </c>
      <c r="K705" s="22">
        <v>46.772</v>
      </c>
      <c r="L705" s="22">
        <v>222.954</v>
      </c>
      <c r="M705" s="22">
        <v>251.903</v>
      </c>
      <c r="N705" s="22">
        <v>60.89</v>
      </c>
      <c r="O705" s="23">
        <v>7.3</v>
      </c>
      <c r="P705" s="18">
        <f t="shared" si="1"/>
        <v>222.954</v>
      </c>
    </row>
    <row r="706" ht="15.75" customHeight="1">
      <c r="A706" s="13" t="s">
        <v>208</v>
      </c>
      <c r="B706" s="13" t="s">
        <v>133</v>
      </c>
      <c r="C706" s="14" t="s">
        <v>191</v>
      </c>
      <c r="D706" s="14" t="str">
        <f>VLOOKUP(C706,'State Key'!$A$2:$B$210,2,False)</f>
        <v>Maharashtra</v>
      </c>
      <c r="E706" s="15">
        <v>150.0</v>
      </c>
      <c r="F706" s="16">
        <v>0.0</v>
      </c>
      <c r="G706" s="16">
        <v>0.0</v>
      </c>
      <c r="H706" s="16">
        <v>0.0</v>
      </c>
      <c r="I706" s="16">
        <v>0.0</v>
      </c>
      <c r="J706" s="16">
        <v>0.0</v>
      </c>
      <c r="K706" s="16">
        <v>0.0</v>
      </c>
      <c r="L706" s="16">
        <v>0.0</v>
      </c>
      <c r="M706" s="16">
        <v>0.0</v>
      </c>
      <c r="N706" s="16">
        <v>0.0</v>
      </c>
      <c r="O706" s="13" t="s">
        <v>58</v>
      </c>
      <c r="P706" s="18">
        <f t="shared" si="1"/>
        <v>0</v>
      </c>
    </row>
    <row r="707" ht="15.75" customHeight="1">
      <c r="A707" s="19" t="s">
        <v>208</v>
      </c>
      <c r="B707" s="19" t="s">
        <v>133</v>
      </c>
      <c r="C707" s="20" t="s">
        <v>192</v>
      </c>
      <c r="D707" s="14" t="str">
        <f>VLOOKUP(C707,'State Key'!$A$2:$B$210,2,False)</f>
        <v>Madhya Pradesh</v>
      </c>
      <c r="E707" s="21">
        <v>2520.0</v>
      </c>
      <c r="F707" s="22">
        <v>722.607</v>
      </c>
      <c r="G707" s="22">
        <v>0.0</v>
      </c>
      <c r="H707" s="22">
        <v>0.0</v>
      </c>
      <c r="I707" s="22">
        <v>0.0</v>
      </c>
      <c r="J707" s="22">
        <v>0.0</v>
      </c>
      <c r="K707" s="22">
        <v>0.0</v>
      </c>
      <c r="L707" s="22">
        <v>722.607</v>
      </c>
      <c r="M707" s="22">
        <v>709.669</v>
      </c>
      <c r="N707" s="22">
        <v>262.54</v>
      </c>
      <c r="O707" s="23">
        <v>11.1</v>
      </c>
      <c r="P707" s="18">
        <f t="shared" si="1"/>
        <v>722.607</v>
      </c>
    </row>
    <row r="708" ht="15.75" customHeight="1">
      <c r="A708" s="13" t="s">
        <v>208</v>
      </c>
      <c r="B708" s="13" t="s">
        <v>133</v>
      </c>
      <c r="C708" s="14" t="s">
        <v>193</v>
      </c>
      <c r="D708" s="14" t="str">
        <f>VLOOKUP(C708,'State Key'!$A$2:$B$210,2,False)</f>
        <v>Gujarat</v>
      </c>
      <c r="E708" s="15">
        <v>500.0</v>
      </c>
      <c r="F708" s="16">
        <v>0.0</v>
      </c>
      <c r="G708" s="16">
        <v>0.0</v>
      </c>
      <c r="H708" s="16">
        <v>0.0</v>
      </c>
      <c r="I708" s="16">
        <v>0.0</v>
      </c>
      <c r="J708" s="16">
        <v>0.0</v>
      </c>
      <c r="K708" s="16">
        <v>0.0</v>
      </c>
      <c r="L708" s="16">
        <v>0.0</v>
      </c>
      <c r="M708" s="16">
        <v>0.0</v>
      </c>
      <c r="N708" s="16">
        <v>79.94</v>
      </c>
      <c r="O708" s="13" t="s">
        <v>58</v>
      </c>
      <c r="P708" s="18">
        <f t="shared" si="1"/>
        <v>0</v>
      </c>
    </row>
    <row r="709" ht="15.75" customHeight="1">
      <c r="A709" s="19" t="s">
        <v>208</v>
      </c>
      <c r="B709" s="19" t="s">
        <v>133</v>
      </c>
      <c r="C709" s="20" t="s">
        <v>194</v>
      </c>
      <c r="D709" s="14" t="str">
        <f>VLOOKUP(C709,'State Key'!$A$2:$B$210,2,False)</f>
        <v>Chhattisgarh</v>
      </c>
      <c r="E709" s="21">
        <v>2980.0</v>
      </c>
      <c r="F709" s="22">
        <v>1011.78</v>
      </c>
      <c r="G709" s="22">
        <v>0.0</v>
      </c>
      <c r="H709" s="22">
        <v>0.0</v>
      </c>
      <c r="I709" s="22">
        <v>0.0</v>
      </c>
      <c r="J709" s="22">
        <v>0.0</v>
      </c>
      <c r="K709" s="22">
        <v>0.0</v>
      </c>
      <c r="L709" s="22">
        <v>1011.78</v>
      </c>
      <c r="M709" s="22">
        <v>1071.783</v>
      </c>
      <c r="N709" s="22">
        <v>672.359</v>
      </c>
      <c r="O709" s="24">
        <v>18.8</v>
      </c>
      <c r="P709" s="18">
        <f t="shared" si="1"/>
        <v>1011.78</v>
      </c>
    </row>
    <row r="710" ht="15.75" customHeight="1">
      <c r="A710" s="13" t="s">
        <v>208</v>
      </c>
      <c r="B710" s="13" t="s">
        <v>133</v>
      </c>
      <c r="C710" s="14" t="s">
        <v>195</v>
      </c>
      <c r="D710" s="14" t="str">
        <f>VLOOKUP(C710,'State Key'!$A$2:$B$210,2,False)</f>
        <v>Maharashtra</v>
      </c>
      <c r="E710" s="15">
        <v>1320.0</v>
      </c>
      <c r="F710" s="16">
        <v>178.57</v>
      </c>
      <c r="G710" s="16">
        <v>24.07</v>
      </c>
      <c r="H710" s="16">
        <v>120.12</v>
      </c>
      <c r="I710" s="16">
        <v>0.0</v>
      </c>
      <c r="J710" s="16">
        <v>0.0</v>
      </c>
      <c r="K710" s="16">
        <v>0.0</v>
      </c>
      <c r="L710" s="16">
        <v>322.76</v>
      </c>
      <c r="M710" s="16">
        <v>409.897</v>
      </c>
      <c r="N710" s="16">
        <v>96.52</v>
      </c>
      <c r="O710" s="23">
        <v>7.1</v>
      </c>
      <c r="P710" s="18">
        <f t="shared" si="1"/>
        <v>322.76</v>
      </c>
    </row>
    <row r="711" ht="15.75" customHeight="1">
      <c r="A711" s="19" t="s">
        <v>208</v>
      </c>
      <c r="B711" s="19" t="s">
        <v>133</v>
      </c>
      <c r="C711" s="20" t="s">
        <v>196</v>
      </c>
      <c r="D711" s="14" t="str">
        <f>VLOOKUP(C711,'State Key'!$A$2:$B$210,2,False)</f>
        <v>Chhattisgarh</v>
      </c>
      <c r="E711" s="21">
        <v>63.0</v>
      </c>
      <c r="F711" s="22">
        <v>0.0</v>
      </c>
      <c r="G711" s="22">
        <v>0.0</v>
      </c>
      <c r="H711" s="22">
        <v>0.0</v>
      </c>
      <c r="I711" s="22">
        <v>0.0</v>
      </c>
      <c r="J711" s="22">
        <v>0.0</v>
      </c>
      <c r="K711" s="22">
        <v>0.0</v>
      </c>
      <c r="L711" s="22">
        <v>0.0</v>
      </c>
      <c r="M711" s="22">
        <v>0.0</v>
      </c>
      <c r="N711" s="22">
        <v>0.0</v>
      </c>
      <c r="O711" s="19" t="s">
        <v>58</v>
      </c>
      <c r="P711" s="18">
        <f t="shared" si="1"/>
        <v>0</v>
      </c>
    </row>
    <row r="712" ht="15.75" customHeight="1">
      <c r="A712" s="13" t="s">
        <v>208</v>
      </c>
      <c r="B712" s="13" t="s">
        <v>133</v>
      </c>
      <c r="C712" s="14" t="s">
        <v>197</v>
      </c>
      <c r="D712" s="14" t="str">
        <f>VLOOKUP(C712,'State Key'!$A$2:$B$210,2,False)</f>
        <v>Chhattisgarh</v>
      </c>
      <c r="E712" s="15">
        <v>25.0</v>
      </c>
      <c r="F712" s="16">
        <v>0.0</v>
      </c>
      <c r="G712" s="16">
        <v>0.0</v>
      </c>
      <c r="H712" s="16">
        <v>0.0</v>
      </c>
      <c r="I712" s="16">
        <v>0.0</v>
      </c>
      <c r="J712" s="16">
        <v>0.0</v>
      </c>
      <c r="K712" s="16">
        <v>0.0</v>
      </c>
      <c r="L712" s="16">
        <v>0.0</v>
      </c>
      <c r="M712" s="16">
        <v>0.0</v>
      </c>
      <c r="N712" s="16">
        <v>0.0</v>
      </c>
      <c r="O712" s="13" t="s">
        <v>58</v>
      </c>
      <c r="P712" s="18">
        <f t="shared" si="1"/>
        <v>0</v>
      </c>
    </row>
    <row r="713" ht="15.75" customHeight="1">
      <c r="A713" s="19" t="s">
        <v>208</v>
      </c>
      <c r="B713" s="19" t="s">
        <v>133</v>
      </c>
      <c r="C713" s="20" t="s">
        <v>198</v>
      </c>
      <c r="D713" s="14" t="str">
        <f>VLOOKUP(C713,'State Key'!$A$2:$B$210,2,False)</f>
        <v>Chhattisgarh</v>
      </c>
      <c r="E713" s="21">
        <v>2400.0</v>
      </c>
      <c r="F713" s="22">
        <v>164.359</v>
      </c>
      <c r="G713" s="22">
        <v>0.0</v>
      </c>
      <c r="H713" s="22">
        <v>0.0</v>
      </c>
      <c r="I713" s="22">
        <v>66.606</v>
      </c>
      <c r="J713" s="22">
        <v>0.0</v>
      </c>
      <c r="K713" s="22">
        <v>718.459</v>
      </c>
      <c r="L713" s="22">
        <v>949.424</v>
      </c>
      <c r="M713" s="22">
        <v>1034.455</v>
      </c>
      <c r="N713" s="22">
        <v>180.19</v>
      </c>
      <c r="O713" s="17">
        <v>5.2</v>
      </c>
      <c r="P713" s="18">
        <f t="shared" si="1"/>
        <v>949.424</v>
      </c>
    </row>
    <row r="714" ht="15.75" customHeight="1">
      <c r="A714" s="13" t="s">
        <v>208</v>
      </c>
      <c r="B714" s="13" t="s">
        <v>133</v>
      </c>
      <c r="C714" s="14" t="s">
        <v>200</v>
      </c>
      <c r="D714" s="14" t="str">
        <f>VLOOKUP(C714,'State Key'!$A$2:$B$210,2,False)</f>
        <v>Maharashtra</v>
      </c>
      <c r="E714" s="15">
        <v>750.0</v>
      </c>
      <c r="F714" s="16">
        <v>0.0</v>
      </c>
      <c r="G714" s="16">
        <v>0.0</v>
      </c>
      <c r="H714" s="16">
        <v>0.0</v>
      </c>
      <c r="I714" s="16">
        <v>150.897</v>
      </c>
      <c r="J714" s="16">
        <v>0.0</v>
      </c>
      <c r="K714" s="16">
        <v>0.0</v>
      </c>
      <c r="L714" s="16">
        <v>150.897</v>
      </c>
      <c r="M714" s="16">
        <v>143.83</v>
      </c>
      <c r="N714" s="16">
        <v>220.83</v>
      </c>
      <c r="O714" s="24">
        <v>46.1</v>
      </c>
      <c r="P714" s="18">
        <f t="shared" si="1"/>
        <v>150.897</v>
      </c>
    </row>
    <row r="715" ht="15.75" customHeight="1">
      <c r="A715" s="19" t="s">
        <v>208</v>
      </c>
      <c r="B715" s="19" t="s">
        <v>133</v>
      </c>
      <c r="C715" s="20" t="s">
        <v>201</v>
      </c>
      <c r="D715" s="14" t="str">
        <f>VLOOKUP(C715,'State Key'!$A$2:$B$210,2,False)</f>
        <v>Chhattisgarh</v>
      </c>
      <c r="E715" s="21">
        <v>1440.0</v>
      </c>
      <c r="F715" s="22">
        <v>179.181</v>
      </c>
      <c r="G715" s="22">
        <v>0.0</v>
      </c>
      <c r="H715" s="22">
        <v>0.0</v>
      </c>
      <c r="I715" s="22">
        <v>0.0</v>
      </c>
      <c r="J715" s="22">
        <v>0.0</v>
      </c>
      <c r="K715" s="22">
        <v>153.61</v>
      </c>
      <c r="L715" s="22">
        <v>332.791</v>
      </c>
      <c r="M715" s="22">
        <v>395.317</v>
      </c>
      <c r="N715" s="22">
        <v>214.65</v>
      </c>
      <c r="O715" s="24">
        <v>16.3</v>
      </c>
      <c r="P715" s="18">
        <f t="shared" si="1"/>
        <v>332.791</v>
      </c>
    </row>
    <row r="716" ht="15.75" customHeight="1">
      <c r="A716" s="13" t="s">
        <v>208</v>
      </c>
      <c r="B716" s="13" t="s">
        <v>133</v>
      </c>
      <c r="C716" s="14" t="s">
        <v>202</v>
      </c>
      <c r="D716" s="14" t="str">
        <f>VLOOKUP(C716,'State Key'!$A$2:$B$210,2,False)</f>
        <v>Gujarat</v>
      </c>
      <c r="E716" s="15">
        <v>1110.0</v>
      </c>
      <c r="F716" s="16">
        <v>334.904</v>
      </c>
      <c r="G716" s="16">
        <v>0.0</v>
      </c>
      <c r="H716" s="16">
        <v>0.0</v>
      </c>
      <c r="I716" s="16">
        <v>0.0</v>
      </c>
      <c r="J716" s="16">
        <v>0.0</v>
      </c>
      <c r="K716" s="16">
        <v>0.0</v>
      </c>
      <c r="L716" s="16">
        <v>334.904</v>
      </c>
      <c r="M716" s="16">
        <v>285.016</v>
      </c>
      <c r="N716" s="16">
        <v>241.29</v>
      </c>
      <c r="O716" s="24">
        <v>25.4</v>
      </c>
      <c r="P716" s="18">
        <f t="shared" si="1"/>
        <v>334.904</v>
      </c>
    </row>
    <row r="717" ht="15.75" customHeight="1">
      <c r="A717" s="19" t="s">
        <v>208</v>
      </c>
      <c r="B717" s="19" t="s">
        <v>133</v>
      </c>
      <c r="C717" s="20" t="s">
        <v>203</v>
      </c>
      <c r="D717" s="14" t="str">
        <f>VLOOKUP(C717,'State Key'!$A$2:$B$210,2,False)</f>
        <v>Madhya Pradesh</v>
      </c>
      <c r="E717" s="21">
        <v>4760.0</v>
      </c>
      <c r="F717" s="22">
        <v>1764.46</v>
      </c>
      <c r="G717" s="22">
        <v>0.0</v>
      </c>
      <c r="H717" s="22">
        <v>0.0</v>
      </c>
      <c r="I717" s="22">
        <v>0.0</v>
      </c>
      <c r="J717" s="22">
        <v>0.0</v>
      </c>
      <c r="K717" s="22">
        <v>0.0</v>
      </c>
      <c r="L717" s="22">
        <v>1764.46</v>
      </c>
      <c r="M717" s="22">
        <v>1749.834</v>
      </c>
      <c r="N717" s="22">
        <v>1376.67</v>
      </c>
      <c r="O717" s="24">
        <v>23.6</v>
      </c>
      <c r="P717" s="18">
        <f t="shared" si="1"/>
        <v>1764.46</v>
      </c>
    </row>
    <row r="718" ht="15.75" customHeight="1">
      <c r="A718" s="13" t="s">
        <v>208</v>
      </c>
      <c r="B718" s="13" t="s">
        <v>133</v>
      </c>
      <c r="C718" s="14" t="s">
        <v>204</v>
      </c>
      <c r="D718" s="14" t="str">
        <f>VLOOKUP(C718,'State Key'!$A$2:$B$210,2,False)</f>
        <v>Gujarat</v>
      </c>
      <c r="E718" s="15">
        <v>2270.0</v>
      </c>
      <c r="F718" s="16">
        <v>670.259</v>
      </c>
      <c r="G718" s="16">
        <v>0.0</v>
      </c>
      <c r="H718" s="16">
        <v>0.0</v>
      </c>
      <c r="I718" s="16">
        <v>0.0</v>
      </c>
      <c r="J718" s="16">
        <v>0.0</v>
      </c>
      <c r="K718" s="16">
        <v>0.0</v>
      </c>
      <c r="L718" s="16">
        <v>670.259</v>
      </c>
      <c r="M718" s="16">
        <v>760.621</v>
      </c>
      <c r="N718" s="16">
        <v>428.57</v>
      </c>
      <c r="O718" s="24">
        <v>16.9</v>
      </c>
      <c r="P718" s="18">
        <f t="shared" si="1"/>
        <v>670.259</v>
      </c>
    </row>
    <row r="719" ht="15.75" customHeight="1">
      <c r="A719" s="19" t="s">
        <v>208</v>
      </c>
      <c r="B719" s="19" t="s">
        <v>133</v>
      </c>
      <c r="C719" s="20" t="s">
        <v>205</v>
      </c>
      <c r="D719" s="14" t="str">
        <f>VLOOKUP(C719,'State Key'!$A$2:$B$210,2,False)</f>
        <v>Maharashtra</v>
      </c>
      <c r="E719" s="21">
        <v>540.0</v>
      </c>
      <c r="F719" s="22">
        <v>265.81</v>
      </c>
      <c r="G719" s="22">
        <v>0.0</v>
      </c>
      <c r="H719" s="22">
        <v>0.0</v>
      </c>
      <c r="I719" s="22">
        <v>0.0</v>
      </c>
      <c r="J719" s="22">
        <v>0.0</v>
      </c>
      <c r="K719" s="22">
        <v>11.14</v>
      </c>
      <c r="L719" s="22">
        <v>276.95</v>
      </c>
      <c r="M719" s="22">
        <v>161.45</v>
      </c>
      <c r="N719" s="22">
        <v>147.88</v>
      </c>
      <c r="O719" s="24">
        <v>27.5</v>
      </c>
      <c r="P719" s="18">
        <f t="shared" si="1"/>
        <v>276.95</v>
      </c>
    </row>
    <row r="720" ht="15.75" customHeight="1">
      <c r="A720" s="13" t="s">
        <v>216</v>
      </c>
      <c r="B720" s="13" t="s">
        <v>22</v>
      </c>
      <c r="C720" s="14" t="s">
        <v>23</v>
      </c>
      <c r="D720" s="14" t="str">
        <f>VLOOKUP(C720,'State Key'!$A$2:$B$210,2,False)</f>
        <v>West Bengal</v>
      </c>
      <c r="E720" s="15">
        <v>1050.0</v>
      </c>
      <c r="F720" s="16">
        <v>57.886</v>
      </c>
      <c r="G720" s="16">
        <v>0.0</v>
      </c>
      <c r="H720" s="16">
        <v>326.132</v>
      </c>
      <c r="I720" s="16">
        <v>0.0</v>
      </c>
      <c r="J720" s="16">
        <v>0.0</v>
      </c>
      <c r="K720" s="16">
        <v>0.0</v>
      </c>
      <c r="L720" s="16">
        <v>384.018</v>
      </c>
      <c r="M720" s="16">
        <v>414.871</v>
      </c>
      <c r="N720" s="16">
        <v>30.44</v>
      </c>
      <c r="O720" s="17">
        <v>2.2</v>
      </c>
      <c r="P720" s="18">
        <f t="shared" si="1"/>
        <v>384.018</v>
      </c>
    </row>
    <row r="721" ht="15.75" customHeight="1">
      <c r="A721" s="19" t="s">
        <v>216</v>
      </c>
      <c r="B721" s="19" t="s">
        <v>22</v>
      </c>
      <c r="C721" s="20" t="s">
        <v>24</v>
      </c>
      <c r="D721" s="14" t="str">
        <f>VLOOKUP(C721,'State Key'!$A$2:$B$210,2,False)</f>
        <v>West Bengal</v>
      </c>
      <c r="E721" s="21">
        <v>270.0</v>
      </c>
      <c r="F721" s="22">
        <v>0.0</v>
      </c>
      <c r="G721" s="22">
        <v>0.0</v>
      </c>
      <c r="H721" s="22">
        <v>74.532</v>
      </c>
      <c r="I721" s="22">
        <v>0.0</v>
      </c>
      <c r="J721" s="22">
        <v>0.0</v>
      </c>
      <c r="K721" s="22">
        <v>0.0</v>
      </c>
      <c r="L721" s="22">
        <v>74.532</v>
      </c>
      <c r="M721" s="22">
        <v>100.262</v>
      </c>
      <c r="N721" s="22">
        <v>4.57</v>
      </c>
      <c r="O721" s="17">
        <v>1.4</v>
      </c>
      <c r="P721" s="18">
        <f t="shared" si="1"/>
        <v>74.532</v>
      </c>
    </row>
    <row r="722" ht="15.75" customHeight="1">
      <c r="A722" s="13" t="s">
        <v>216</v>
      </c>
      <c r="B722" s="13" t="s">
        <v>22</v>
      </c>
      <c r="C722" s="14" t="s">
        <v>25</v>
      </c>
      <c r="D722" s="14" t="str">
        <f>VLOOKUP(C722,'State Key'!$A$2:$B$210,2,False)</f>
        <v>Bihar</v>
      </c>
      <c r="E722" s="15">
        <v>710.0</v>
      </c>
      <c r="F722" s="16">
        <v>3.93</v>
      </c>
      <c r="G722" s="16">
        <v>0.0</v>
      </c>
      <c r="H722" s="16">
        <v>155.62</v>
      </c>
      <c r="I722" s="16">
        <v>0.0</v>
      </c>
      <c r="J722" s="16">
        <v>0.0</v>
      </c>
      <c r="K722" s="16">
        <v>0.0</v>
      </c>
      <c r="L722" s="16">
        <v>159.55</v>
      </c>
      <c r="M722" s="16">
        <v>129.849</v>
      </c>
      <c r="N722" s="16">
        <v>94.365</v>
      </c>
      <c r="O722" s="24">
        <v>21.8</v>
      </c>
      <c r="P722" s="18">
        <f t="shared" si="1"/>
        <v>159.55</v>
      </c>
    </row>
    <row r="723" ht="15.75" customHeight="1">
      <c r="A723" s="19" t="s">
        <v>216</v>
      </c>
      <c r="B723" s="19" t="s">
        <v>22</v>
      </c>
      <c r="C723" s="20" t="s">
        <v>26</v>
      </c>
      <c r="D723" s="14" t="str">
        <f>VLOOKUP(C723,'State Key'!$A$2:$B$210,2,False)</f>
        <v>Bihar</v>
      </c>
      <c r="E723" s="21">
        <v>2640.0</v>
      </c>
      <c r="F723" s="22">
        <v>617.5</v>
      </c>
      <c r="G723" s="22">
        <v>0.0</v>
      </c>
      <c r="H723" s="22">
        <v>417.24</v>
      </c>
      <c r="I723" s="22">
        <v>64.383</v>
      </c>
      <c r="J723" s="22">
        <v>0.0</v>
      </c>
      <c r="K723" s="22">
        <v>0.0</v>
      </c>
      <c r="L723" s="22">
        <v>1099.123</v>
      </c>
      <c r="M723" s="22">
        <v>1122.15</v>
      </c>
      <c r="N723" s="22">
        <v>154.608</v>
      </c>
      <c r="O723" s="17">
        <v>4.1</v>
      </c>
      <c r="P723" s="18">
        <f t="shared" si="1"/>
        <v>1099.123</v>
      </c>
    </row>
    <row r="724" ht="15.75" customHeight="1">
      <c r="A724" s="13" t="s">
        <v>216</v>
      </c>
      <c r="B724" s="13" t="s">
        <v>22</v>
      </c>
      <c r="C724" s="14" t="s">
        <v>27</v>
      </c>
      <c r="D724" s="14" t="str">
        <f>VLOOKUP(C724,'State Key'!$A$2:$B$210,2,False)</f>
        <v>Jharkhand</v>
      </c>
      <c r="E724" s="15">
        <v>500.0</v>
      </c>
      <c r="F724" s="16">
        <v>168.913</v>
      </c>
      <c r="G724" s="16">
        <v>0.0</v>
      </c>
      <c r="H724" s="16">
        <v>0.0</v>
      </c>
      <c r="I724" s="16">
        <v>0.0</v>
      </c>
      <c r="J724" s="16">
        <v>0.0</v>
      </c>
      <c r="K724" s="16">
        <v>0.0</v>
      </c>
      <c r="L724" s="16">
        <v>168.913</v>
      </c>
      <c r="M724" s="16">
        <v>224.68</v>
      </c>
      <c r="N724" s="16">
        <v>158.99</v>
      </c>
      <c r="O724" s="24">
        <v>21.2</v>
      </c>
      <c r="P724" s="18">
        <f t="shared" si="1"/>
        <v>168.913</v>
      </c>
    </row>
    <row r="725" ht="15.75" customHeight="1">
      <c r="A725" s="19" t="s">
        <v>216</v>
      </c>
      <c r="B725" s="19" t="s">
        <v>22</v>
      </c>
      <c r="C725" s="20" t="s">
        <v>28</v>
      </c>
      <c r="D725" s="14" t="str">
        <f>VLOOKUP(C725,'State Key'!$A$2:$B$210,2,False)</f>
        <v>West Bengal</v>
      </c>
      <c r="E725" s="21">
        <v>750.0</v>
      </c>
      <c r="F725" s="22">
        <v>30.602</v>
      </c>
      <c r="G725" s="22">
        <v>0.0</v>
      </c>
      <c r="H725" s="22">
        <v>115.345</v>
      </c>
      <c r="I725" s="22">
        <v>0.0</v>
      </c>
      <c r="J725" s="22">
        <v>0.0</v>
      </c>
      <c r="K725" s="22">
        <v>120.45</v>
      </c>
      <c r="L725" s="22">
        <v>266.397</v>
      </c>
      <c r="M725" s="22">
        <v>330.774</v>
      </c>
      <c r="N725" s="22">
        <v>154.0</v>
      </c>
      <c r="O725" s="24">
        <v>14.0</v>
      </c>
      <c r="P725" s="18">
        <f t="shared" si="1"/>
        <v>266.397</v>
      </c>
    </row>
    <row r="726" ht="15.75" customHeight="1">
      <c r="A726" s="13" t="s">
        <v>216</v>
      </c>
      <c r="B726" s="13" t="s">
        <v>22</v>
      </c>
      <c r="C726" s="14" t="s">
        <v>29</v>
      </c>
      <c r="D726" s="14" t="str">
        <f>VLOOKUP(C726,'State Key'!$A$2:$B$210,2,False)</f>
        <v>Jharkhand</v>
      </c>
      <c r="E726" s="15">
        <v>500.0</v>
      </c>
      <c r="F726" s="16">
        <v>188.883</v>
      </c>
      <c r="G726" s="16">
        <v>0.0</v>
      </c>
      <c r="H726" s="16">
        <v>4.012</v>
      </c>
      <c r="I726" s="16">
        <v>0.0</v>
      </c>
      <c r="J726" s="16">
        <v>0.0</v>
      </c>
      <c r="K726" s="16">
        <v>0.0</v>
      </c>
      <c r="L726" s="16">
        <v>192.895</v>
      </c>
      <c r="M726" s="16">
        <v>233.598</v>
      </c>
      <c r="N726" s="16">
        <v>31.08</v>
      </c>
      <c r="O726" s="17">
        <v>4.0</v>
      </c>
      <c r="P726" s="18">
        <f t="shared" si="1"/>
        <v>192.895</v>
      </c>
    </row>
    <row r="727" ht="15.75" customHeight="1">
      <c r="A727" s="19" t="s">
        <v>216</v>
      </c>
      <c r="B727" s="19" t="s">
        <v>22</v>
      </c>
      <c r="C727" s="20" t="s">
        <v>30</v>
      </c>
      <c r="D727" s="14" t="str">
        <f>VLOOKUP(C727,'State Key'!$A$2:$B$210,2,False)</f>
        <v>West Bengal</v>
      </c>
      <c r="E727" s="21">
        <v>550.0</v>
      </c>
      <c r="F727" s="22">
        <v>96.638</v>
      </c>
      <c r="G727" s="22">
        <v>0.0</v>
      </c>
      <c r="H727" s="22">
        <v>0.0</v>
      </c>
      <c r="I727" s="22">
        <v>0.0</v>
      </c>
      <c r="J727" s="22">
        <v>0.0</v>
      </c>
      <c r="K727" s="22">
        <v>0.0</v>
      </c>
      <c r="L727" s="22">
        <v>96.638</v>
      </c>
      <c r="M727" s="22">
        <v>117.516</v>
      </c>
      <c r="N727" s="22">
        <v>4.07</v>
      </c>
      <c r="O727" s="17">
        <v>1.0</v>
      </c>
      <c r="P727" s="18">
        <f t="shared" si="1"/>
        <v>96.638</v>
      </c>
    </row>
    <row r="728" ht="15.75" customHeight="1">
      <c r="A728" s="13" t="s">
        <v>216</v>
      </c>
      <c r="B728" s="13" t="s">
        <v>22</v>
      </c>
      <c r="C728" s="14" t="s">
        <v>31</v>
      </c>
      <c r="D728" s="14" t="str">
        <f>VLOOKUP(C728,'State Key'!$A$2:$B$210,2,False)</f>
        <v>Odisha</v>
      </c>
      <c r="E728" s="15">
        <v>1600.0</v>
      </c>
      <c r="F728" s="16">
        <v>0.0</v>
      </c>
      <c r="G728" s="16">
        <v>0.0</v>
      </c>
      <c r="H728" s="16">
        <v>499.74</v>
      </c>
      <c r="I728" s="16">
        <v>0.0</v>
      </c>
      <c r="J728" s="16">
        <v>0.0</v>
      </c>
      <c r="K728" s="16">
        <v>0.0</v>
      </c>
      <c r="L728" s="16">
        <v>499.74</v>
      </c>
      <c r="M728" s="16">
        <v>487.292</v>
      </c>
      <c r="N728" s="16">
        <v>686.36</v>
      </c>
      <c r="O728" s="24">
        <v>42.3</v>
      </c>
      <c r="P728" s="18">
        <f t="shared" si="1"/>
        <v>499.74</v>
      </c>
    </row>
    <row r="729" ht="15.75" customHeight="1">
      <c r="A729" s="19" t="s">
        <v>216</v>
      </c>
      <c r="B729" s="19" t="s">
        <v>22</v>
      </c>
      <c r="C729" s="20" t="s">
        <v>32</v>
      </c>
      <c r="D729" s="14" t="str">
        <f>VLOOKUP(C729,'State Key'!$A$2:$B$210,2,False)</f>
        <v>Odisha</v>
      </c>
      <c r="E729" s="21">
        <v>1200.0</v>
      </c>
      <c r="F729" s="22">
        <v>360.211</v>
      </c>
      <c r="G729" s="22">
        <v>0.0</v>
      </c>
      <c r="H729" s="22">
        <v>0.0</v>
      </c>
      <c r="I729" s="22">
        <v>0.0</v>
      </c>
      <c r="J729" s="22">
        <v>0.0</v>
      </c>
      <c r="K729" s="22">
        <v>156.921</v>
      </c>
      <c r="L729" s="22">
        <v>517.132</v>
      </c>
      <c r="M729" s="22">
        <v>321.59</v>
      </c>
      <c r="N729" s="22">
        <v>875.15</v>
      </c>
      <c r="O729" s="24">
        <v>81.6</v>
      </c>
      <c r="P729" s="18">
        <f t="shared" si="1"/>
        <v>517.132</v>
      </c>
    </row>
    <row r="730" ht="15.75" customHeight="1">
      <c r="A730" s="13" t="s">
        <v>216</v>
      </c>
      <c r="B730" s="13" t="s">
        <v>22</v>
      </c>
      <c r="C730" s="14" t="s">
        <v>33</v>
      </c>
      <c r="D730" s="14" t="str">
        <f>VLOOKUP(C730,'State Key'!$A$2:$B$210,2,False)</f>
        <v>West Bengal</v>
      </c>
      <c r="E730" s="15">
        <v>12.0</v>
      </c>
      <c r="F730" s="16">
        <v>4.035</v>
      </c>
      <c r="G730" s="16">
        <v>0.0</v>
      </c>
      <c r="H730" s="16">
        <v>0.0</v>
      </c>
      <c r="I730" s="16">
        <v>0.0</v>
      </c>
      <c r="J730" s="16">
        <v>0.0</v>
      </c>
      <c r="K730" s="16">
        <v>0.0</v>
      </c>
      <c r="L730" s="16">
        <v>4.035</v>
      </c>
      <c r="M730" s="16">
        <v>3.518</v>
      </c>
      <c r="N730" s="16">
        <v>0.52</v>
      </c>
      <c r="O730" s="17">
        <v>4.4</v>
      </c>
      <c r="P730" s="18">
        <f t="shared" si="1"/>
        <v>4.035</v>
      </c>
    </row>
    <row r="731" ht="15.75" customHeight="1">
      <c r="A731" s="19" t="s">
        <v>216</v>
      </c>
      <c r="B731" s="19" t="s">
        <v>22</v>
      </c>
      <c r="C731" s="20" t="s">
        <v>34</v>
      </c>
      <c r="D731" s="14" t="str">
        <f>VLOOKUP(C731,'State Key'!$A$2:$B$210,2,False)</f>
        <v>West Bengal</v>
      </c>
      <c r="E731" s="21">
        <v>1000.0</v>
      </c>
      <c r="F731" s="22">
        <v>346.965</v>
      </c>
      <c r="G731" s="22">
        <v>8.135</v>
      </c>
      <c r="H731" s="22">
        <v>3.775</v>
      </c>
      <c r="I731" s="22">
        <v>3.368</v>
      </c>
      <c r="J731" s="22">
        <v>0.0</v>
      </c>
      <c r="K731" s="22">
        <v>0.0</v>
      </c>
      <c r="L731" s="22">
        <v>362.243</v>
      </c>
      <c r="M731" s="22">
        <v>445.785</v>
      </c>
      <c r="N731" s="22">
        <v>73.11</v>
      </c>
      <c r="O731" s="17">
        <v>4.9</v>
      </c>
      <c r="P731" s="18">
        <f t="shared" si="1"/>
        <v>362.243</v>
      </c>
    </row>
    <row r="732" ht="15.75" customHeight="1">
      <c r="A732" s="13" t="s">
        <v>216</v>
      </c>
      <c r="B732" s="13" t="s">
        <v>22</v>
      </c>
      <c r="C732" s="14" t="s">
        <v>35</v>
      </c>
      <c r="D732" s="14" t="str">
        <f>VLOOKUP(C732,'State Key'!$A$2:$B$210,2,False)</f>
        <v>West Bengal</v>
      </c>
      <c r="E732" s="15">
        <v>2100.0</v>
      </c>
      <c r="F732" s="16">
        <v>509.84</v>
      </c>
      <c r="G732" s="16">
        <v>0.0</v>
      </c>
      <c r="H732" s="16">
        <v>3.89</v>
      </c>
      <c r="I732" s="16">
        <v>73.6</v>
      </c>
      <c r="J732" s="16">
        <v>0.0</v>
      </c>
      <c r="K732" s="16">
        <v>0.0</v>
      </c>
      <c r="L732" s="16">
        <v>587.33</v>
      </c>
      <c r="M732" s="16">
        <v>674.894</v>
      </c>
      <c r="N732" s="16">
        <v>274.93</v>
      </c>
      <c r="O732" s="23">
        <v>12.2</v>
      </c>
      <c r="P732" s="18">
        <f t="shared" si="1"/>
        <v>587.33</v>
      </c>
    </row>
    <row r="733" ht="15.75" customHeight="1">
      <c r="A733" s="19" t="s">
        <v>216</v>
      </c>
      <c r="B733" s="19" t="s">
        <v>22</v>
      </c>
      <c r="C733" s="20" t="s">
        <v>36</v>
      </c>
      <c r="D733" s="14" t="str">
        <f>VLOOKUP(C733,'State Key'!$A$2:$B$210,2,False)</f>
        <v>West Bengal</v>
      </c>
      <c r="E733" s="21">
        <v>600.0</v>
      </c>
      <c r="F733" s="22">
        <v>332.096</v>
      </c>
      <c r="G733" s="22">
        <v>0.0</v>
      </c>
      <c r="H733" s="22">
        <v>0.0</v>
      </c>
      <c r="I733" s="22">
        <v>0.0</v>
      </c>
      <c r="J733" s="22">
        <v>0.0</v>
      </c>
      <c r="K733" s="22">
        <v>27.077</v>
      </c>
      <c r="L733" s="22">
        <v>359.173</v>
      </c>
      <c r="M733" s="22">
        <v>288.241</v>
      </c>
      <c r="N733" s="22">
        <v>131.64</v>
      </c>
      <c r="O733" s="23">
        <v>13.7</v>
      </c>
      <c r="P733" s="18">
        <f t="shared" si="1"/>
        <v>359.173</v>
      </c>
    </row>
    <row r="734" ht="15.75" customHeight="1">
      <c r="A734" s="13" t="s">
        <v>216</v>
      </c>
      <c r="B734" s="13" t="s">
        <v>22</v>
      </c>
      <c r="C734" s="14" t="s">
        <v>37</v>
      </c>
      <c r="D734" s="14" t="str">
        <f>VLOOKUP(C734,'State Key'!$A$2:$B$210,2,False)</f>
        <v>West Bengal</v>
      </c>
      <c r="E734" s="15">
        <v>300.0</v>
      </c>
      <c r="F734" s="16">
        <v>176.67</v>
      </c>
      <c r="G734" s="16">
        <v>0.0</v>
      </c>
      <c r="H734" s="16">
        <v>0.0</v>
      </c>
      <c r="I734" s="16">
        <v>0.0</v>
      </c>
      <c r="J734" s="16">
        <v>0.0</v>
      </c>
      <c r="K734" s="16">
        <v>0.0</v>
      </c>
      <c r="L734" s="16">
        <v>176.67</v>
      </c>
      <c r="M734" s="16">
        <v>177.073</v>
      </c>
      <c r="N734" s="16">
        <v>17.59</v>
      </c>
      <c r="O734" s="17">
        <v>3.0</v>
      </c>
      <c r="P734" s="18">
        <f t="shared" si="1"/>
        <v>176.67</v>
      </c>
    </row>
    <row r="735" ht="15.75" customHeight="1">
      <c r="A735" s="19" t="s">
        <v>216</v>
      </c>
      <c r="B735" s="19" t="s">
        <v>22</v>
      </c>
      <c r="C735" s="20" t="s">
        <v>38</v>
      </c>
      <c r="D735" s="14" t="str">
        <f>VLOOKUP(C735,'State Key'!$A$2:$B$210,2,False)</f>
        <v>Odisha</v>
      </c>
      <c r="E735" s="21">
        <v>1740.0</v>
      </c>
      <c r="F735" s="22">
        <v>179.566</v>
      </c>
      <c r="G735" s="22">
        <v>0.0</v>
      </c>
      <c r="H735" s="22">
        <v>534.154</v>
      </c>
      <c r="I735" s="22">
        <v>0.0</v>
      </c>
      <c r="J735" s="22">
        <v>0.0</v>
      </c>
      <c r="K735" s="22">
        <v>0.0</v>
      </c>
      <c r="L735" s="22">
        <v>713.72</v>
      </c>
      <c r="M735" s="22">
        <v>714.975</v>
      </c>
      <c r="N735" s="22">
        <v>286.85</v>
      </c>
      <c r="O735" s="23">
        <v>12.0</v>
      </c>
      <c r="P735" s="18">
        <f t="shared" si="1"/>
        <v>713.72</v>
      </c>
    </row>
    <row r="736" ht="15.75" customHeight="1">
      <c r="A736" s="13" t="s">
        <v>216</v>
      </c>
      <c r="B736" s="13" t="s">
        <v>22</v>
      </c>
      <c r="C736" s="14" t="s">
        <v>39</v>
      </c>
      <c r="D736" s="14" t="str">
        <f>VLOOKUP(C736,'State Key'!$A$2:$B$210,2,False)</f>
        <v>Jharkhand</v>
      </c>
      <c r="E736" s="15">
        <v>240.0</v>
      </c>
      <c r="F736" s="16">
        <v>122.0725</v>
      </c>
      <c r="G736" s="16">
        <v>0.0</v>
      </c>
      <c r="H736" s="16">
        <v>0.0</v>
      </c>
      <c r="I736" s="16">
        <v>0.0</v>
      </c>
      <c r="J736" s="16">
        <v>14.8584</v>
      </c>
      <c r="K736" s="16">
        <v>0.0</v>
      </c>
      <c r="L736" s="16">
        <v>136.9309</v>
      </c>
      <c r="M736" s="16">
        <v>109.01</v>
      </c>
      <c r="N736" s="16">
        <v>74.52</v>
      </c>
      <c r="O736" s="24">
        <v>20.5</v>
      </c>
      <c r="P736" s="18">
        <f t="shared" si="1"/>
        <v>136.9309</v>
      </c>
    </row>
    <row r="737" ht="15.75" customHeight="1">
      <c r="A737" s="19" t="s">
        <v>216</v>
      </c>
      <c r="B737" s="19" t="s">
        <v>22</v>
      </c>
      <c r="C737" s="20" t="s">
        <v>40</v>
      </c>
      <c r="D737" s="14" t="str">
        <f>VLOOKUP(C737,'State Key'!$A$2:$B$210,2,False)</f>
        <v>Bihar</v>
      </c>
      <c r="E737" s="21">
        <v>2340.0</v>
      </c>
      <c r="F737" s="22">
        <v>764.0</v>
      </c>
      <c r="G737" s="22">
        <v>0.0</v>
      </c>
      <c r="H737" s="22">
        <v>11.5</v>
      </c>
      <c r="I737" s="22">
        <v>46.3</v>
      </c>
      <c r="J737" s="22">
        <v>0.0</v>
      </c>
      <c r="K737" s="22">
        <v>0.0</v>
      </c>
      <c r="L737" s="22">
        <v>821.8</v>
      </c>
      <c r="M737" s="22">
        <v>1067.159</v>
      </c>
      <c r="N737" s="22">
        <v>130.274</v>
      </c>
      <c r="O737" s="17">
        <v>3.7</v>
      </c>
      <c r="P737" s="18">
        <f t="shared" si="1"/>
        <v>821.8</v>
      </c>
    </row>
    <row r="738" ht="15.75" customHeight="1">
      <c r="A738" s="13" t="s">
        <v>216</v>
      </c>
      <c r="B738" s="13" t="s">
        <v>22</v>
      </c>
      <c r="C738" s="14" t="s">
        <v>41</v>
      </c>
      <c r="D738" s="14" t="str">
        <f>VLOOKUP(C738,'State Key'!$A$2:$B$210,2,False)</f>
        <v>Odisha</v>
      </c>
      <c r="E738" s="15">
        <v>1050.0</v>
      </c>
      <c r="F738" s="16">
        <v>305.16</v>
      </c>
      <c r="G738" s="16">
        <v>0.0</v>
      </c>
      <c r="H738" s="16">
        <v>0.0</v>
      </c>
      <c r="I738" s="16">
        <v>6.665</v>
      </c>
      <c r="J738" s="16">
        <v>0.0</v>
      </c>
      <c r="K738" s="16">
        <v>41.11</v>
      </c>
      <c r="L738" s="16">
        <v>352.935</v>
      </c>
      <c r="M738" s="16">
        <v>431.147</v>
      </c>
      <c r="N738" s="16">
        <v>125.09</v>
      </c>
      <c r="O738" s="23">
        <v>8.7</v>
      </c>
      <c r="P738" s="18">
        <f t="shared" si="1"/>
        <v>352.935</v>
      </c>
    </row>
    <row r="739" ht="15.75" customHeight="1">
      <c r="A739" s="19" t="s">
        <v>216</v>
      </c>
      <c r="B739" s="19" t="s">
        <v>22</v>
      </c>
      <c r="C739" s="20" t="s">
        <v>42</v>
      </c>
      <c r="D739" s="14" t="str">
        <f>VLOOKUP(C739,'State Key'!$A$2:$B$210,2,False)</f>
        <v>Jharkhand</v>
      </c>
      <c r="E739" s="21">
        <v>1000.0</v>
      </c>
      <c r="F739" s="22">
        <v>290.162</v>
      </c>
      <c r="G739" s="22">
        <v>0.0</v>
      </c>
      <c r="H739" s="22">
        <v>4.096</v>
      </c>
      <c r="I739" s="22">
        <v>3.989</v>
      </c>
      <c r="J739" s="22">
        <v>0.0</v>
      </c>
      <c r="K739" s="22">
        <v>0.0</v>
      </c>
      <c r="L739" s="22">
        <v>298.247</v>
      </c>
      <c r="M739" s="22">
        <v>332.828</v>
      </c>
      <c r="N739" s="22">
        <v>204.47</v>
      </c>
      <c r="O739" s="24">
        <v>18.4</v>
      </c>
      <c r="P739" s="18">
        <f t="shared" si="1"/>
        <v>298.247</v>
      </c>
    </row>
    <row r="740" ht="15.75" customHeight="1">
      <c r="A740" s="13" t="s">
        <v>216</v>
      </c>
      <c r="B740" s="13" t="s">
        <v>22</v>
      </c>
      <c r="C740" s="14" t="s">
        <v>43</v>
      </c>
      <c r="D740" s="14" t="str">
        <f>VLOOKUP(C740,'State Key'!$A$2:$B$210,2,False)</f>
        <v>West Bengal</v>
      </c>
      <c r="E740" s="15">
        <v>840.0</v>
      </c>
      <c r="F740" s="16">
        <v>122.949</v>
      </c>
      <c r="G740" s="16">
        <v>0.0</v>
      </c>
      <c r="H740" s="16">
        <v>189.277</v>
      </c>
      <c r="I740" s="16">
        <v>0.0</v>
      </c>
      <c r="J740" s="16">
        <v>0.0</v>
      </c>
      <c r="K740" s="16">
        <v>0.0</v>
      </c>
      <c r="L740" s="16">
        <v>312.226</v>
      </c>
      <c r="M740" s="16">
        <v>333.116</v>
      </c>
      <c r="N740" s="16">
        <v>7.8</v>
      </c>
      <c r="O740" s="17">
        <v>0.7</v>
      </c>
      <c r="P740" s="18">
        <f t="shared" si="1"/>
        <v>312.226</v>
      </c>
    </row>
    <row r="741" ht="15.75" customHeight="1">
      <c r="A741" s="19" t="s">
        <v>216</v>
      </c>
      <c r="B741" s="19" t="s">
        <v>22</v>
      </c>
      <c r="C741" s="20" t="s">
        <v>44</v>
      </c>
      <c r="D741" s="14" t="str">
        <f>VLOOKUP(C741,'State Key'!$A$2:$B$210,2,False)</f>
        <v>Jharkhand</v>
      </c>
      <c r="E741" s="21">
        <v>540.0</v>
      </c>
      <c r="F741" s="22">
        <v>163.921</v>
      </c>
      <c r="G741" s="22">
        <v>0.0</v>
      </c>
      <c r="H741" s="22">
        <v>0.0</v>
      </c>
      <c r="I741" s="22">
        <v>0.0</v>
      </c>
      <c r="J741" s="22">
        <v>121.027</v>
      </c>
      <c r="K741" s="22">
        <v>0.0</v>
      </c>
      <c r="L741" s="22">
        <v>284.948</v>
      </c>
      <c r="M741" s="22">
        <v>276.754</v>
      </c>
      <c r="N741" s="22">
        <v>15.02</v>
      </c>
      <c r="O741" s="17">
        <v>1.6</v>
      </c>
      <c r="P741" s="18">
        <f t="shared" si="1"/>
        <v>284.948</v>
      </c>
    </row>
    <row r="742" ht="15.75" customHeight="1">
      <c r="A742" s="13" t="s">
        <v>216</v>
      </c>
      <c r="B742" s="13" t="s">
        <v>22</v>
      </c>
      <c r="C742" s="14" t="s">
        <v>45</v>
      </c>
      <c r="D742" s="14" t="str">
        <f>VLOOKUP(C742,'State Key'!$A$2:$B$210,2,False)</f>
        <v>Jharkhand</v>
      </c>
      <c r="E742" s="15">
        <v>1050.0</v>
      </c>
      <c r="F742" s="16">
        <v>328.633</v>
      </c>
      <c r="G742" s="16">
        <v>0.0</v>
      </c>
      <c r="H742" s="16">
        <v>0.0</v>
      </c>
      <c r="I742" s="16">
        <v>0.0</v>
      </c>
      <c r="J742" s="16">
        <v>0.0</v>
      </c>
      <c r="K742" s="16">
        <v>0.0</v>
      </c>
      <c r="L742" s="16">
        <v>328.633</v>
      </c>
      <c r="M742" s="16">
        <v>378.415</v>
      </c>
      <c r="N742" s="16">
        <v>296.23</v>
      </c>
      <c r="O742" s="24">
        <v>23.5</v>
      </c>
      <c r="P742" s="18">
        <f t="shared" si="1"/>
        <v>328.633</v>
      </c>
    </row>
    <row r="743" ht="15.75" customHeight="1">
      <c r="A743" s="19" t="s">
        <v>216</v>
      </c>
      <c r="B743" s="19" t="s">
        <v>22</v>
      </c>
      <c r="C743" s="20" t="s">
        <v>46</v>
      </c>
      <c r="D743" s="14" t="str">
        <f>VLOOKUP(C743,'State Key'!$A$2:$B$210,2,False)</f>
        <v>West Bengal</v>
      </c>
      <c r="E743" s="21">
        <v>2340.0</v>
      </c>
      <c r="F743" s="22">
        <v>758.824</v>
      </c>
      <c r="G743" s="22">
        <v>0.0</v>
      </c>
      <c r="H743" s="22">
        <v>45.323</v>
      </c>
      <c r="I743" s="22">
        <v>18.13</v>
      </c>
      <c r="J743" s="22">
        <v>0.0</v>
      </c>
      <c r="K743" s="22">
        <v>0.0</v>
      </c>
      <c r="L743" s="22">
        <v>822.277</v>
      </c>
      <c r="M743" s="22">
        <v>870.859</v>
      </c>
      <c r="N743" s="22">
        <v>97.06</v>
      </c>
      <c r="O743" s="17">
        <v>3.3</v>
      </c>
      <c r="P743" s="18">
        <f t="shared" si="1"/>
        <v>822.277</v>
      </c>
    </row>
    <row r="744" ht="15.75" customHeight="1">
      <c r="A744" s="13" t="s">
        <v>216</v>
      </c>
      <c r="B744" s="13" t="s">
        <v>22</v>
      </c>
      <c r="C744" s="14" t="s">
        <v>47</v>
      </c>
      <c r="D744" s="14" t="str">
        <f>VLOOKUP(C744,'State Key'!$A$2:$B$210,2,False)</f>
        <v>Bihar</v>
      </c>
      <c r="E744" s="15">
        <v>390.0</v>
      </c>
      <c r="F744" s="16">
        <v>11.721</v>
      </c>
      <c r="G744" s="16">
        <v>0.0</v>
      </c>
      <c r="H744" s="16">
        <v>175.953</v>
      </c>
      <c r="I744" s="16">
        <v>0.0</v>
      </c>
      <c r="J744" s="16">
        <v>0.0</v>
      </c>
      <c r="K744" s="16">
        <v>0.0</v>
      </c>
      <c r="L744" s="16">
        <v>187.674</v>
      </c>
      <c r="M744" s="16">
        <v>208.311</v>
      </c>
      <c r="N744" s="16">
        <v>38.91</v>
      </c>
      <c r="O744" s="17">
        <v>5.6</v>
      </c>
      <c r="P744" s="18">
        <f t="shared" si="1"/>
        <v>187.674</v>
      </c>
    </row>
    <row r="745" ht="15.75" customHeight="1">
      <c r="A745" s="19" t="s">
        <v>216</v>
      </c>
      <c r="B745" s="19" t="s">
        <v>22</v>
      </c>
      <c r="C745" s="20" t="s">
        <v>48</v>
      </c>
      <c r="D745" s="14" t="str">
        <f>VLOOKUP(C745,'State Key'!$A$2:$B$210,2,False)</f>
        <v>Bihar</v>
      </c>
      <c r="E745" s="21">
        <v>1980.0</v>
      </c>
      <c r="F745" s="22">
        <v>655.605</v>
      </c>
      <c r="G745" s="22">
        <v>0.0</v>
      </c>
      <c r="H745" s="22">
        <v>217.55</v>
      </c>
      <c r="I745" s="22">
        <v>0.0</v>
      </c>
      <c r="J745" s="22">
        <v>0.0</v>
      </c>
      <c r="K745" s="22">
        <v>0.0</v>
      </c>
      <c r="L745" s="22">
        <v>873.155</v>
      </c>
      <c r="M745" s="22">
        <v>855.887</v>
      </c>
      <c r="N745" s="22">
        <v>173.48</v>
      </c>
      <c r="O745" s="17">
        <v>6.1</v>
      </c>
      <c r="P745" s="18">
        <f t="shared" si="1"/>
        <v>873.155</v>
      </c>
    </row>
    <row r="746" ht="15.75" customHeight="1">
      <c r="A746" s="13" t="s">
        <v>216</v>
      </c>
      <c r="B746" s="13" t="s">
        <v>22</v>
      </c>
      <c r="C746" s="14" t="s">
        <v>49</v>
      </c>
      <c r="D746" s="14" t="str">
        <f>VLOOKUP(C746,'State Key'!$A$2:$B$210,2,False)</f>
        <v>Bihar</v>
      </c>
      <c r="E746" s="15">
        <v>1000.0</v>
      </c>
      <c r="F746" s="16">
        <v>420.77344</v>
      </c>
      <c r="G746" s="16">
        <v>0.0</v>
      </c>
      <c r="H746" s="16">
        <v>0.0</v>
      </c>
      <c r="I746" s="16">
        <v>0.0</v>
      </c>
      <c r="J746" s="16">
        <v>0.0</v>
      </c>
      <c r="K746" s="16">
        <v>0.0</v>
      </c>
      <c r="L746" s="16">
        <v>420.77344</v>
      </c>
      <c r="M746" s="16">
        <v>424.197</v>
      </c>
      <c r="N746" s="16">
        <v>51.68</v>
      </c>
      <c r="O746" s="17">
        <v>3.7</v>
      </c>
      <c r="P746" s="18">
        <f t="shared" si="1"/>
        <v>420.77344</v>
      </c>
    </row>
    <row r="747" ht="15.75" customHeight="1">
      <c r="A747" s="19" t="s">
        <v>216</v>
      </c>
      <c r="B747" s="19" t="s">
        <v>22</v>
      </c>
      <c r="C747" s="20" t="s">
        <v>50</v>
      </c>
      <c r="D747" s="14" t="str">
        <f>VLOOKUP(C747,'State Key'!$A$2:$B$210,2,False)</f>
        <v>Jharkhand</v>
      </c>
      <c r="E747" s="21">
        <v>660.0</v>
      </c>
      <c r="F747" s="22">
        <v>201.0</v>
      </c>
      <c r="G747" s="22">
        <v>0.0</v>
      </c>
      <c r="H747" s="22">
        <v>77.56</v>
      </c>
      <c r="I747" s="22">
        <v>0.0</v>
      </c>
      <c r="J747" s="22">
        <v>0.0</v>
      </c>
      <c r="K747" s="22">
        <v>0.0</v>
      </c>
      <c r="L747" s="22">
        <v>278.56</v>
      </c>
      <c r="M747" s="22">
        <v>281.582</v>
      </c>
      <c r="N747" s="22">
        <v>261.003</v>
      </c>
      <c r="O747" s="24">
        <v>27.8</v>
      </c>
      <c r="P747" s="18">
        <f t="shared" si="1"/>
        <v>278.56</v>
      </c>
    </row>
    <row r="748" ht="15.75" customHeight="1">
      <c r="A748" s="13" t="s">
        <v>216</v>
      </c>
      <c r="B748" s="13" t="s">
        <v>22</v>
      </c>
      <c r="C748" s="14" t="s">
        <v>51</v>
      </c>
      <c r="D748" s="14" t="str">
        <f>VLOOKUP(C748,'State Key'!$A$2:$B$210,2,False)</f>
        <v>West Bengal</v>
      </c>
      <c r="E748" s="15">
        <v>1200.0</v>
      </c>
      <c r="F748" s="16">
        <v>303.92</v>
      </c>
      <c r="G748" s="16">
        <v>0.0</v>
      </c>
      <c r="H748" s="16">
        <v>0.0</v>
      </c>
      <c r="I748" s="16">
        <v>0.0</v>
      </c>
      <c r="J748" s="16">
        <v>0.0</v>
      </c>
      <c r="K748" s="16">
        <v>0.0</v>
      </c>
      <c r="L748" s="16">
        <v>303.92</v>
      </c>
      <c r="M748" s="16">
        <v>380.092</v>
      </c>
      <c r="N748" s="16">
        <v>311.07</v>
      </c>
      <c r="O748" s="24">
        <v>24.6</v>
      </c>
      <c r="P748" s="18">
        <f t="shared" si="1"/>
        <v>303.92</v>
      </c>
    </row>
    <row r="749" ht="15.75" customHeight="1">
      <c r="A749" s="19" t="s">
        <v>216</v>
      </c>
      <c r="B749" s="19" t="s">
        <v>22</v>
      </c>
      <c r="C749" s="20" t="s">
        <v>52</v>
      </c>
      <c r="D749" s="14" t="str">
        <f>VLOOKUP(C749,'State Key'!$A$2:$B$210,2,False)</f>
        <v>West Bengal</v>
      </c>
      <c r="E749" s="21">
        <v>1600.0</v>
      </c>
      <c r="F749" s="22">
        <v>193.725</v>
      </c>
      <c r="G749" s="22">
        <v>0.0</v>
      </c>
      <c r="H749" s="22">
        <v>284.044</v>
      </c>
      <c r="I749" s="22">
        <v>0.0</v>
      </c>
      <c r="J749" s="22">
        <v>0.0</v>
      </c>
      <c r="K749" s="22">
        <v>50.065</v>
      </c>
      <c r="L749" s="22">
        <v>527.834</v>
      </c>
      <c r="M749" s="22">
        <v>552.391</v>
      </c>
      <c r="N749" s="22">
        <v>32.68</v>
      </c>
      <c r="O749" s="17">
        <v>1.8</v>
      </c>
      <c r="P749" s="18">
        <f t="shared" si="1"/>
        <v>527.834</v>
      </c>
    </row>
    <row r="750" ht="15.75" customHeight="1">
      <c r="A750" s="13" t="s">
        <v>216</v>
      </c>
      <c r="B750" s="13" t="s">
        <v>22</v>
      </c>
      <c r="C750" s="14" t="s">
        <v>53</v>
      </c>
      <c r="D750" s="14" t="str">
        <f>VLOOKUP(C750,'State Key'!$A$2:$B$210,2,False)</f>
        <v>West Bengal</v>
      </c>
      <c r="E750" s="15">
        <v>500.0</v>
      </c>
      <c r="F750" s="16">
        <v>140.993</v>
      </c>
      <c r="G750" s="16">
        <v>0.0</v>
      </c>
      <c r="H750" s="16">
        <v>80.215</v>
      </c>
      <c r="I750" s="16">
        <v>0.0</v>
      </c>
      <c r="J750" s="16">
        <v>0.0</v>
      </c>
      <c r="K750" s="16">
        <v>0.0</v>
      </c>
      <c r="L750" s="16">
        <v>221.208</v>
      </c>
      <c r="M750" s="16">
        <v>247.752</v>
      </c>
      <c r="N750" s="16">
        <v>18.55</v>
      </c>
      <c r="O750" s="17">
        <v>2.2</v>
      </c>
      <c r="P750" s="18">
        <f t="shared" si="1"/>
        <v>221.208</v>
      </c>
    </row>
    <row r="751" ht="15.75" customHeight="1">
      <c r="A751" s="19" t="s">
        <v>216</v>
      </c>
      <c r="B751" s="19" t="s">
        <v>22</v>
      </c>
      <c r="C751" s="20" t="s">
        <v>54</v>
      </c>
      <c r="D751" s="14" t="str">
        <f>VLOOKUP(C751,'State Key'!$A$2:$B$210,2,False)</f>
        <v>West Bengal</v>
      </c>
      <c r="E751" s="21">
        <v>135.0</v>
      </c>
      <c r="F751" s="22">
        <v>22.994</v>
      </c>
      <c r="G751" s="22">
        <v>0.0</v>
      </c>
      <c r="H751" s="22">
        <v>0.0</v>
      </c>
      <c r="I751" s="22">
        <v>0.0</v>
      </c>
      <c r="J751" s="22">
        <v>0.0</v>
      </c>
      <c r="K751" s="22">
        <v>24.451</v>
      </c>
      <c r="L751" s="22">
        <v>47.445</v>
      </c>
      <c r="M751" s="22">
        <v>66.057</v>
      </c>
      <c r="N751" s="22">
        <v>10.08</v>
      </c>
      <c r="O751" s="17">
        <v>4.6</v>
      </c>
      <c r="P751" s="18">
        <f t="shared" si="1"/>
        <v>47.445</v>
      </c>
    </row>
    <row r="752" ht="15.75" customHeight="1">
      <c r="A752" s="13" t="s">
        <v>216</v>
      </c>
      <c r="B752" s="13" t="s">
        <v>22</v>
      </c>
      <c r="C752" s="14" t="s">
        <v>55</v>
      </c>
      <c r="D752" s="14" t="str">
        <f>VLOOKUP(C752,'State Key'!$A$2:$B$210,2,False)</f>
        <v>Odisha</v>
      </c>
      <c r="E752" s="15">
        <v>3000.0</v>
      </c>
      <c r="F752" s="16">
        <v>1279.7</v>
      </c>
      <c r="G752" s="16">
        <v>0.0</v>
      </c>
      <c r="H752" s="16">
        <v>0.0</v>
      </c>
      <c r="I752" s="16">
        <v>63.44</v>
      </c>
      <c r="J752" s="16">
        <v>0.0</v>
      </c>
      <c r="K752" s="16">
        <v>0.0</v>
      </c>
      <c r="L752" s="16">
        <v>1343.14</v>
      </c>
      <c r="M752" s="16">
        <v>1131.328</v>
      </c>
      <c r="N752" s="16">
        <v>636.71</v>
      </c>
      <c r="O752" s="24">
        <v>16.9</v>
      </c>
      <c r="P752" s="18">
        <f t="shared" si="1"/>
        <v>1343.14</v>
      </c>
    </row>
    <row r="753" ht="15.75" customHeight="1">
      <c r="A753" s="19" t="s">
        <v>216</v>
      </c>
      <c r="B753" s="19" t="s">
        <v>22</v>
      </c>
      <c r="C753" s="20" t="s">
        <v>56</v>
      </c>
      <c r="D753" s="14" t="str">
        <f>VLOOKUP(C753,'State Key'!$A$2:$B$210,2,False)</f>
        <v>Jharkhand</v>
      </c>
      <c r="E753" s="21">
        <v>420.0</v>
      </c>
      <c r="F753" s="22">
        <v>104.94</v>
      </c>
      <c r="G753" s="22">
        <v>0.0</v>
      </c>
      <c r="H753" s="22">
        <v>0.0</v>
      </c>
      <c r="I753" s="22">
        <v>0.0</v>
      </c>
      <c r="J753" s="22">
        <v>0.0</v>
      </c>
      <c r="K753" s="22">
        <v>0.0</v>
      </c>
      <c r="L753" s="22">
        <v>104.94</v>
      </c>
      <c r="M753" s="22">
        <v>79.39</v>
      </c>
      <c r="N753" s="22">
        <v>134.47</v>
      </c>
      <c r="O753" s="24">
        <v>50.8</v>
      </c>
      <c r="P753" s="18">
        <f t="shared" si="1"/>
        <v>104.94</v>
      </c>
    </row>
    <row r="754" ht="15.75" customHeight="1">
      <c r="A754" s="13" t="s">
        <v>216</v>
      </c>
      <c r="B754" s="13" t="s">
        <v>22</v>
      </c>
      <c r="C754" s="14" t="s">
        <v>57</v>
      </c>
      <c r="D754" s="14" t="str">
        <f>VLOOKUP(C754,'State Key'!$A$2:$B$210,2,False)</f>
        <v>West Bengal</v>
      </c>
      <c r="E754" s="15">
        <v>240.0</v>
      </c>
      <c r="F754" s="16">
        <v>0.0</v>
      </c>
      <c r="G754" s="16">
        <v>0.0</v>
      </c>
      <c r="H754" s="16">
        <v>0.0</v>
      </c>
      <c r="I754" s="16">
        <v>0.0</v>
      </c>
      <c r="J754" s="16">
        <v>0.0</v>
      </c>
      <c r="K754" s="16">
        <v>0.0</v>
      </c>
      <c r="L754" s="16">
        <v>0.0</v>
      </c>
      <c r="M754" s="16">
        <v>0.0</v>
      </c>
      <c r="N754" s="16">
        <v>0.0</v>
      </c>
      <c r="O754" s="13" t="s">
        <v>58</v>
      </c>
      <c r="P754" s="18">
        <f t="shared" si="1"/>
        <v>0</v>
      </c>
    </row>
    <row r="755" ht="15.75" customHeight="1">
      <c r="A755" s="19" t="s">
        <v>216</v>
      </c>
      <c r="B755" s="19" t="s">
        <v>22</v>
      </c>
      <c r="C755" s="20" t="s">
        <v>59</v>
      </c>
      <c r="D755" s="14" t="str">
        <f>VLOOKUP(C755,'State Key'!$A$2:$B$210,2,False)</f>
        <v>Odisha</v>
      </c>
      <c r="E755" s="21">
        <v>350.0</v>
      </c>
      <c r="F755" s="22">
        <v>0.0</v>
      </c>
      <c r="G755" s="22">
        <v>0.0</v>
      </c>
      <c r="H755" s="22">
        <v>0.0</v>
      </c>
      <c r="I755" s="22">
        <v>0.0</v>
      </c>
      <c r="J755" s="22">
        <v>0.0</v>
      </c>
      <c r="K755" s="22">
        <v>0.0</v>
      </c>
      <c r="L755" s="22">
        <v>0.0</v>
      </c>
      <c r="M755" s="22">
        <v>0.0</v>
      </c>
      <c r="N755" s="22">
        <v>0.0</v>
      </c>
      <c r="O755" s="19" t="s">
        <v>58</v>
      </c>
      <c r="P755" s="18">
        <f t="shared" si="1"/>
        <v>0</v>
      </c>
    </row>
    <row r="756" ht="15.75" customHeight="1">
      <c r="A756" s="13" t="s">
        <v>216</v>
      </c>
      <c r="B756" s="13" t="s">
        <v>22</v>
      </c>
      <c r="C756" s="14" t="s">
        <v>60</v>
      </c>
      <c r="D756" s="14" t="str">
        <f>VLOOKUP(C756,'State Key'!$A$2:$B$210,2,False)</f>
        <v>Odisha</v>
      </c>
      <c r="E756" s="15">
        <v>600.0</v>
      </c>
      <c r="F756" s="16">
        <v>115.11</v>
      </c>
      <c r="G756" s="16">
        <v>0.0</v>
      </c>
      <c r="H756" s="16">
        <v>0.0</v>
      </c>
      <c r="I756" s="16">
        <v>0.0</v>
      </c>
      <c r="J756" s="16">
        <v>0.0</v>
      </c>
      <c r="K756" s="16">
        <v>0.0</v>
      </c>
      <c r="L756" s="16">
        <v>115.11</v>
      </c>
      <c r="M756" s="16">
        <v>119.67</v>
      </c>
      <c r="N756" s="16">
        <v>185.87</v>
      </c>
      <c r="O756" s="24">
        <v>46.6</v>
      </c>
      <c r="P756" s="18">
        <f t="shared" si="1"/>
        <v>115.11</v>
      </c>
    </row>
    <row r="757" ht="15.75" customHeight="1">
      <c r="A757" s="19" t="s">
        <v>216</v>
      </c>
      <c r="B757" s="19" t="s">
        <v>61</v>
      </c>
      <c r="C757" s="20" t="s">
        <v>209</v>
      </c>
      <c r="D757" s="14" t="str">
        <f>VLOOKUP(C757,'State Key'!$A$2:$B$210,2,False)</f>
        <v>Rajasthan</v>
      </c>
      <c r="E757" s="21">
        <v>1320.0</v>
      </c>
      <c r="F757" s="22">
        <v>257.375</v>
      </c>
      <c r="G757" s="22">
        <v>0.0</v>
      </c>
      <c r="H757" s="22">
        <v>0.0</v>
      </c>
      <c r="I757" s="22">
        <v>3.981</v>
      </c>
      <c r="J757" s="22">
        <v>0.0</v>
      </c>
      <c r="K757" s="22">
        <v>0.0</v>
      </c>
      <c r="L757" s="22">
        <v>261.356</v>
      </c>
      <c r="M757" s="22">
        <v>541.946</v>
      </c>
      <c r="N757" s="22">
        <v>43.38</v>
      </c>
      <c r="O757" s="17">
        <v>2.4</v>
      </c>
      <c r="P757" s="18">
        <f t="shared" si="1"/>
        <v>261.356</v>
      </c>
    </row>
    <row r="758" ht="15.75" customHeight="1">
      <c r="A758" s="13" t="s">
        <v>216</v>
      </c>
      <c r="B758" s="13" t="s">
        <v>61</v>
      </c>
      <c r="C758" s="14" t="s">
        <v>62</v>
      </c>
      <c r="D758" s="14" t="str">
        <f>VLOOKUP(C758,'State Key'!$A$2:$B$210,2,False)</f>
        <v>Uttar Pradesh</v>
      </c>
      <c r="E758" s="15">
        <v>1200.0</v>
      </c>
      <c r="F758" s="16">
        <v>449.033</v>
      </c>
      <c r="G758" s="16">
        <v>0.0</v>
      </c>
      <c r="H758" s="16">
        <v>0.0</v>
      </c>
      <c r="I758" s="16">
        <v>0.0</v>
      </c>
      <c r="J758" s="16">
        <v>0.0</v>
      </c>
      <c r="K758" s="16">
        <v>0.0</v>
      </c>
      <c r="L758" s="16">
        <v>449.033</v>
      </c>
      <c r="M758" s="16">
        <v>497.11</v>
      </c>
      <c r="N758" s="16">
        <v>39.533</v>
      </c>
      <c r="O758" s="17">
        <v>2.4</v>
      </c>
      <c r="P758" s="18">
        <f t="shared" si="1"/>
        <v>449.033</v>
      </c>
    </row>
    <row r="759" ht="15.75" customHeight="1">
      <c r="A759" s="19" t="s">
        <v>216</v>
      </c>
      <c r="B759" s="19" t="s">
        <v>61</v>
      </c>
      <c r="C759" s="20" t="s">
        <v>63</v>
      </c>
      <c r="D759" s="14" t="str">
        <f>VLOOKUP(C759,'State Key'!$A$2:$B$210,2,False)</f>
        <v>Uttar Pradesh</v>
      </c>
      <c r="E759" s="21">
        <v>2630.0</v>
      </c>
      <c r="F759" s="22">
        <v>925.477</v>
      </c>
      <c r="G759" s="22">
        <v>0.0</v>
      </c>
      <c r="H759" s="22">
        <v>0.0</v>
      </c>
      <c r="I759" s="22">
        <v>0.0</v>
      </c>
      <c r="J759" s="22">
        <v>0.0</v>
      </c>
      <c r="K759" s="22">
        <v>0.0</v>
      </c>
      <c r="L759" s="22">
        <v>925.477</v>
      </c>
      <c r="M759" s="22">
        <v>1138.93</v>
      </c>
      <c r="N759" s="22">
        <v>358.7</v>
      </c>
      <c r="O759" s="23">
        <v>9.4</v>
      </c>
      <c r="P759" s="18">
        <f t="shared" si="1"/>
        <v>925.477</v>
      </c>
    </row>
    <row r="760" ht="15.75" customHeight="1">
      <c r="A760" s="13" t="s">
        <v>216</v>
      </c>
      <c r="B760" s="13" t="s">
        <v>61</v>
      </c>
      <c r="C760" s="14" t="s">
        <v>64</v>
      </c>
      <c r="D760" s="14" t="str">
        <f>VLOOKUP(C760,'State Key'!$A$2:$B$210,2,False)</f>
        <v>Uttar Pradesh</v>
      </c>
      <c r="E760" s="15">
        <v>90.0</v>
      </c>
      <c r="F760" s="16">
        <v>11.69</v>
      </c>
      <c r="G760" s="16">
        <v>0.0</v>
      </c>
      <c r="H760" s="16">
        <v>0.0</v>
      </c>
      <c r="I760" s="16">
        <v>0.0</v>
      </c>
      <c r="J760" s="16">
        <v>0.0</v>
      </c>
      <c r="K760" s="16">
        <v>0.0</v>
      </c>
      <c r="L760" s="16">
        <v>11.69</v>
      </c>
      <c r="M760" s="16">
        <v>33.65</v>
      </c>
      <c r="N760" s="16">
        <v>13.13</v>
      </c>
      <c r="O760" s="23">
        <v>11.7</v>
      </c>
      <c r="P760" s="18">
        <f t="shared" si="1"/>
        <v>11.69</v>
      </c>
    </row>
    <row r="761" ht="15.75" customHeight="1">
      <c r="A761" s="19" t="s">
        <v>216</v>
      </c>
      <c r="B761" s="19" t="s">
        <v>61</v>
      </c>
      <c r="C761" s="20" t="s">
        <v>65</v>
      </c>
      <c r="D761" s="14" t="str">
        <f>VLOOKUP(C761,'State Key'!$A$2:$B$210,2,False)</f>
        <v>Rajasthan</v>
      </c>
      <c r="E761" s="21">
        <v>500.0</v>
      </c>
      <c r="F761" s="22">
        <v>264.38</v>
      </c>
      <c r="G761" s="22">
        <v>0.0</v>
      </c>
      <c r="H761" s="22">
        <v>0.0</v>
      </c>
      <c r="I761" s="22">
        <v>0.0</v>
      </c>
      <c r="J761" s="22">
        <v>0.0</v>
      </c>
      <c r="K761" s="22">
        <v>0.0</v>
      </c>
      <c r="L761" s="22">
        <v>264.38</v>
      </c>
      <c r="M761" s="22">
        <v>230.04</v>
      </c>
      <c r="N761" s="22">
        <v>66.34</v>
      </c>
      <c r="O761" s="23">
        <v>8.7</v>
      </c>
      <c r="P761" s="18">
        <f t="shared" si="1"/>
        <v>264.38</v>
      </c>
    </row>
    <row r="762" ht="15.75" customHeight="1">
      <c r="A762" s="13" t="s">
        <v>216</v>
      </c>
      <c r="B762" s="13" t="s">
        <v>61</v>
      </c>
      <c r="C762" s="14" t="s">
        <v>66</v>
      </c>
      <c r="D762" s="14" t="str">
        <f>VLOOKUP(C762,'State Key'!$A$2:$B$210,2,False)</f>
        <v>Rajasthan</v>
      </c>
      <c r="E762" s="15">
        <v>500.0</v>
      </c>
      <c r="F762" s="16">
        <v>7.05</v>
      </c>
      <c r="G762" s="16">
        <v>0.0</v>
      </c>
      <c r="H762" s="16">
        <v>34.97</v>
      </c>
      <c r="I762" s="16">
        <v>0.0</v>
      </c>
      <c r="J762" s="16">
        <v>0.0</v>
      </c>
      <c r="K762" s="16">
        <v>0.0</v>
      </c>
      <c r="L762" s="16">
        <v>42.02</v>
      </c>
      <c r="M762" s="16">
        <v>78.21</v>
      </c>
      <c r="N762" s="16">
        <v>65.7</v>
      </c>
      <c r="O762" s="24">
        <v>25.2</v>
      </c>
      <c r="P762" s="18">
        <f t="shared" si="1"/>
        <v>42.02</v>
      </c>
    </row>
    <row r="763" ht="15.75" customHeight="1">
      <c r="A763" s="19" t="s">
        <v>216</v>
      </c>
      <c r="B763" s="19" t="s">
        <v>61</v>
      </c>
      <c r="C763" s="20" t="s">
        <v>67</v>
      </c>
      <c r="D763" s="14" t="str">
        <f>VLOOKUP(C763,'State Key'!$A$2:$B$210,2,False)</f>
        <v>Rajasthan</v>
      </c>
      <c r="E763" s="21">
        <v>1320.0</v>
      </c>
      <c r="F763" s="22">
        <v>53.616</v>
      </c>
      <c r="G763" s="22">
        <v>0.0</v>
      </c>
      <c r="H763" s="22">
        <v>87.425</v>
      </c>
      <c r="I763" s="22">
        <v>23.856</v>
      </c>
      <c r="J763" s="22">
        <v>0.0</v>
      </c>
      <c r="K763" s="22">
        <v>0.0</v>
      </c>
      <c r="L763" s="22">
        <v>164.897</v>
      </c>
      <c r="M763" s="22">
        <v>244.096</v>
      </c>
      <c r="N763" s="22">
        <v>126.04</v>
      </c>
      <c r="O763" s="24">
        <v>15.5</v>
      </c>
      <c r="P763" s="18">
        <f t="shared" si="1"/>
        <v>164.897</v>
      </c>
    </row>
    <row r="764" ht="15.75" customHeight="1">
      <c r="A764" s="13" t="s">
        <v>216</v>
      </c>
      <c r="B764" s="13" t="s">
        <v>61</v>
      </c>
      <c r="C764" s="14" t="s">
        <v>68</v>
      </c>
      <c r="D764" s="14" t="str">
        <f>VLOOKUP(C764,'State Key'!$A$2:$B$210,2,False)</f>
        <v>Uttar Pradesh</v>
      </c>
      <c r="E764" s="15">
        <v>1820.0</v>
      </c>
      <c r="F764" s="16">
        <v>487.2</v>
      </c>
      <c r="G764" s="16">
        <v>0.0</v>
      </c>
      <c r="H764" s="16">
        <v>61.89</v>
      </c>
      <c r="I764" s="16">
        <v>0.0</v>
      </c>
      <c r="J764" s="16">
        <v>0.0</v>
      </c>
      <c r="K764" s="16">
        <v>0.0</v>
      </c>
      <c r="L764" s="16">
        <v>549.09</v>
      </c>
      <c r="M764" s="16">
        <v>627.439</v>
      </c>
      <c r="N764" s="16">
        <v>298.207</v>
      </c>
      <c r="O764" s="24">
        <v>14.3</v>
      </c>
      <c r="P764" s="18">
        <f t="shared" si="1"/>
        <v>549.09</v>
      </c>
    </row>
    <row r="765" ht="15.75" customHeight="1">
      <c r="A765" s="19" t="s">
        <v>216</v>
      </c>
      <c r="B765" s="19" t="s">
        <v>61</v>
      </c>
      <c r="C765" s="20" t="s">
        <v>69</v>
      </c>
      <c r="D765" s="14" t="str">
        <f>VLOOKUP(C765,'State Key'!$A$2:$B$210,2,False)</f>
        <v>Punjab</v>
      </c>
      <c r="E765" s="21">
        <v>920.0</v>
      </c>
      <c r="F765" s="22">
        <v>53.206</v>
      </c>
      <c r="G765" s="22">
        <v>0.0</v>
      </c>
      <c r="H765" s="22">
        <v>119.379</v>
      </c>
      <c r="I765" s="22">
        <v>0.0</v>
      </c>
      <c r="J765" s="22">
        <v>0.0</v>
      </c>
      <c r="K765" s="22">
        <v>0.0</v>
      </c>
      <c r="L765" s="22">
        <v>172.585</v>
      </c>
      <c r="M765" s="22">
        <v>309.177</v>
      </c>
      <c r="N765" s="22">
        <v>218.6</v>
      </c>
      <c r="O765" s="24">
        <v>21.2</v>
      </c>
      <c r="P765" s="18">
        <f t="shared" si="1"/>
        <v>172.585</v>
      </c>
    </row>
    <row r="766" ht="15.75" customHeight="1">
      <c r="A766" s="13" t="s">
        <v>216</v>
      </c>
      <c r="B766" s="13" t="s">
        <v>61</v>
      </c>
      <c r="C766" s="14" t="s">
        <v>70</v>
      </c>
      <c r="D766" s="14" t="str">
        <f>VLOOKUP(C766,'State Key'!$A$2:$B$210,2,False)</f>
        <v>Punjab</v>
      </c>
      <c r="E766" s="15">
        <v>540.0</v>
      </c>
      <c r="F766" s="16">
        <v>129.035</v>
      </c>
      <c r="G766" s="16">
        <v>0.0</v>
      </c>
      <c r="H766" s="16">
        <v>0.0</v>
      </c>
      <c r="I766" s="16">
        <v>0.0</v>
      </c>
      <c r="J766" s="16">
        <v>0.0</v>
      </c>
      <c r="K766" s="16">
        <v>0.0</v>
      </c>
      <c r="L766" s="16">
        <v>129.035</v>
      </c>
      <c r="M766" s="16">
        <v>129.035</v>
      </c>
      <c r="N766" s="16">
        <v>6.16</v>
      </c>
      <c r="O766" s="17">
        <v>1.4</v>
      </c>
      <c r="P766" s="18">
        <f t="shared" si="1"/>
        <v>129.035</v>
      </c>
    </row>
    <row r="767" ht="15.75" customHeight="1">
      <c r="A767" s="19" t="s">
        <v>216</v>
      </c>
      <c r="B767" s="19" t="s">
        <v>61</v>
      </c>
      <c r="C767" s="20" t="s">
        <v>71</v>
      </c>
      <c r="D767" s="14" t="str">
        <f>VLOOKUP(C767,'State Key'!$A$2:$B$210,2,False)</f>
        <v>Uttar Pradesh</v>
      </c>
      <c r="E767" s="21">
        <v>1265.0</v>
      </c>
      <c r="F767" s="22">
        <v>433.233</v>
      </c>
      <c r="G767" s="22">
        <v>0.0</v>
      </c>
      <c r="H767" s="22">
        <v>0.0</v>
      </c>
      <c r="I767" s="22">
        <v>0.0</v>
      </c>
      <c r="J767" s="22">
        <v>0.0</v>
      </c>
      <c r="K767" s="22">
        <v>0.0</v>
      </c>
      <c r="L767" s="22">
        <v>433.233</v>
      </c>
      <c r="M767" s="22">
        <v>492.31</v>
      </c>
      <c r="N767" s="22">
        <v>161.74</v>
      </c>
      <c r="O767" s="23">
        <v>9.9</v>
      </c>
      <c r="P767" s="18">
        <f t="shared" si="1"/>
        <v>433.233</v>
      </c>
    </row>
    <row r="768" ht="15.75" customHeight="1">
      <c r="A768" s="13" t="s">
        <v>216</v>
      </c>
      <c r="B768" s="13" t="s">
        <v>61</v>
      </c>
      <c r="C768" s="14" t="s">
        <v>72</v>
      </c>
      <c r="D768" s="14" t="str">
        <f>VLOOKUP(C768,'State Key'!$A$2:$B$210,2,False)</f>
        <v>Haryana</v>
      </c>
      <c r="E768" s="15">
        <v>1500.0</v>
      </c>
      <c r="F768" s="16">
        <v>279.273</v>
      </c>
      <c r="G768" s="16">
        <v>0.0</v>
      </c>
      <c r="H768" s="16">
        <v>0.0</v>
      </c>
      <c r="I768" s="16">
        <v>0.0</v>
      </c>
      <c r="J768" s="16">
        <v>0.256</v>
      </c>
      <c r="K768" s="16">
        <v>0.0</v>
      </c>
      <c r="L768" s="16">
        <v>279.529</v>
      </c>
      <c r="M768" s="16">
        <v>559.115</v>
      </c>
      <c r="N768" s="16">
        <v>308.12</v>
      </c>
      <c r="O768" s="24">
        <v>16.5</v>
      </c>
      <c r="P768" s="18">
        <f t="shared" si="1"/>
        <v>279.529</v>
      </c>
    </row>
    <row r="769" ht="15.75" customHeight="1">
      <c r="A769" s="19" t="s">
        <v>216</v>
      </c>
      <c r="B769" s="19" t="s">
        <v>61</v>
      </c>
      <c r="C769" s="20" t="s">
        <v>73</v>
      </c>
      <c r="D769" s="14" t="str">
        <f>VLOOKUP(C769,'State Key'!$A$2:$B$210,2,False)</f>
        <v>Rajasthan</v>
      </c>
      <c r="E769" s="21">
        <v>1200.0</v>
      </c>
      <c r="F769" s="22">
        <v>90.93</v>
      </c>
      <c r="G769" s="22">
        <v>0.0</v>
      </c>
      <c r="H769" s="22">
        <v>246.713</v>
      </c>
      <c r="I769" s="22">
        <v>0.0</v>
      </c>
      <c r="J769" s="22">
        <v>0.0</v>
      </c>
      <c r="K769" s="22">
        <v>0.0</v>
      </c>
      <c r="L769" s="22">
        <v>337.643</v>
      </c>
      <c r="M769" s="22">
        <v>453.43</v>
      </c>
      <c r="N769" s="22">
        <v>129.51</v>
      </c>
      <c r="O769" s="23">
        <v>8.6</v>
      </c>
      <c r="P769" s="18">
        <f t="shared" si="1"/>
        <v>337.643</v>
      </c>
    </row>
    <row r="770" ht="15.75" customHeight="1">
      <c r="A770" s="13" t="s">
        <v>216</v>
      </c>
      <c r="B770" s="13" t="s">
        <v>61</v>
      </c>
      <c r="C770" s="14" t="s">
        <v>75</v>
      </c>
      <c r="D770" s="14" t="str">
        <f>VLOOKUP(C770,'State Key'!$A$2:$B$210,2,False)</f>
        <v>Uttar Pradesh</v>
      </c>
      <c r="E770" s="15">
        <v>90.0</v>
      </c>
      <c r="F770" s="16">
        <v>7.82</v>
      </c>
      <c r="G770" s="16">
        <v>0.0</v>
      </c>
      <c r="H770" s="16">
        <v>0.0</v>
      </c>
      <c r="I770" s="16">
        <v>0.0</v>
      </c>
      <c r="J770" s="16">
        <v>0.0</v>
      </c>
      <c r="K770" s="16">
        <v>0.0</v>
      </c>
      <c r="L770" s="16">
        <v>7.82</v>
      </c>
      <c r="M770" s="16">
        <v>42.45</v>
      </c>
      <c r="N770" s="16">
        <v>17.72</v>
      </c>
      <c r="O770" s="23">
        <v>12.5</v>
      </c>
      <c r="P770" s="18">
        <f t="shared" si="1"/>
        <v>7.82</v>
      </c>
    </row>
    <row r="771" ht="15.75" customHeight="1">
      <c r="A771" s="19" t="s">
        <v>216</v>
      </c>
      <c r="B771" s="19" t="s">
        <v>61</v>
      </c>
      <c r="C771" s="20" t="s">
        <v>76</v>
      </c>
      <c r="D771" s="14" t="str">
        <f>VLOOKUP(C771,'State Key'!$A$2:$B$210,2,False)</f>
        <v>Rajasthan</v>
      </c>
      <c r="E771" s="21">
        <v>1240.0</v>
      </c>
      <c r="F771" s="22">
        <v>586.03092</v>
      </c>
      <c r="G771" s="22">
        <v>0.0</v>
      </c>
      <c r="H771" s="22">
        <v>0.0</v>
      </c>
      <c r="I771" s="22">
        <v>0.0</v>
      </c>
      <c r="J771" s="22">
        <v>0.0</v>
      </c>
      <c r="K771" s="22">
        <v>0.0</v>
      </c>
      <c r="L771" s="22">
        <v>586.03092</v>
      </c>
      <c r="M771" s="22">
        <v>546.345</v>
      </c>
      <c r="N771" s="22">
        <v>138.22</v>
      </c>
      <c r="O771" s="23">
        <v>7.6</v>
      </c>
      <c r="P771" s="18">
        <f t="shared" si="1"/>
        <v>586.03092</v>
      </c>
    </row>
    <row r="772" ht="15.75" customHeight="1">
      <c r="A772" s="13" t="s">
        <v>216</v>
      </c>
      <c r="B772" s="13" t="s">
        <v>61</v>
      </c>
      <c r="C772" s="14" t="s">
        <v>77</v>
      </c>
      <c r="D772" s="14" t="str">
        <f>VLOOKUP(C772,'State Key'!$A$2:$B$210,2,False)</f>
        <v>Uttar Pradesh</v>
      </c>
      <c r="E772" s="15">
        <v>90.0</v>
      </c>
      <c r="F772" s="16">
        <v>16.07</v>
      </c>
      <c r="G772" s="16">
        <v>0.0</v>
      </c>
      <c r="H772" s="16">
        <v>0.0</v>
      </c>
      <c r="I772" s="16">
        <v>0.0</v>
      </c>
      <c r="J772" s="16">
        <v>0.0</v>
      </c>
      <c r="K772" s="16">
        <v>0.0</v>
      </c>
      <c r="L772" s="16">
        <v>16.07</v>
      </c>
      <c r="M772" s="16">
        <v>41.57</v>
      </c>
      <c r="N772" s="16">
        <v>10.08</v>
      </c>
      <c r="O772" s="23">
        <v>7.3</v>
      </c>
      <c r="P772" s="18">
        <f t="shared" si="1"/>
        <v>16.07</v>
      </c>
    </row>
    <row r="773" ht="15.75" customHeight="1">
      <c r="A773" s="19" t="s">
        <v>216</v>
      </c>
      <c r="B773" s="19" t="s">
        <v>61</v>
      </c>
      <c r="C773" s="20" t="s">
        <v>78</v>
      </c>
      <c r="D773" s="14" t="str">
        <f>VLOOKUP(C773,'State Key'!$A$2:$B$210,2,False)</f>
        <v>Uttar Pradesh</v>
      </c>
      <c r="E773" s="21">
        <v>1980.0</v>
      </c>
      <c r="F773" s="22">
        <v>543.212</v>
      </c>
      <c r="G773" s="22">
        <v>0.0</v>
      </c>
      <c r="H773" s="22">
        <v>0.0</v>
      </c>
      <c r="I773" s="22">
        <v>0.0</v>
      </c>
      <c r="J773" s="22">
        <v>0.0</v>
      </c>
      <c r="K773" s="22">
        <v>0.0</v>
      </c>
      <c r="L773" s="22">
        <v>543.212</v>
      </c>
      <c r="M773" s="22">
        <v>723.555</v>
      </c>
      <c r="N773" s="22">
        <v>343.041</v>
      </c>
      <c r="O773" s="24">
        <v>14.2</v>
      </c>
      <c r="P773" s="18">
        <f t="shared" si="1"/>
        <v>543.212</v>
      </c>
    </row>
    <row r="774" ht="15.75" customHeight="1">
      <c r="A774" s="13" t="s">
        <v>216</v>
      </c>
      <c r="B774" s="13" t="s">
        <v>61</v>
      </c>
      <c r="C774" s="14" t="s">
        <v>79</v>
      </c>
      <c r="D774" s="14" t="str">
        <f>VLOOKUP(C774,'State Key'!$A$2:$B$210,2,False)</f>
        <v>Haryana</v>
      </c>
      <c r="E774" s="15">
        <v>1320.0</v>
      </c>
      <c r="F774" s="16">
        <v>430.192</v>
      </c>
      <c r="G774" s="16">
        <v>0.0</v>
      </c>
      <c r="H774" s="16">
        <v>0.0</v>
      </c>
      <c r="I774" s="16">
        <v>0.0</v>
      </c>
      <c r="J774" s="16">
        <v>0.0</v>
      </c>
      <c r="K774" s="16">
        <v>0.0</v>
      </c>
      <c r="L774" s="16">
        <v>430.192</v>
      </c>
      <c r="M774" s="16">
        <v>493.023</v>
      </c>
      <c r="N774" s="16">
        <v>290.65</v>
      </c>
      <c r="O774" s="24">
        <v>17.7</v>
      </c>
      <c r="P774" s="18">
        <f t="shared" si="1"/>
        <v>430.192</v>
      </c>
    </row>
    <row r="775" ht="15.75" customHeight="1">
      <c r="A775" s="19" t="s">
        <v>216</v>
      </c>
      <c r="B775" s="19" t="s">
        <v>61</v>
      </c>
      <c r="C775" s="20" t="s">
        <v>80</v>
      </c>
      <c r="D775" s="14" t="str">
        <f>VLOOKUP(C775,'State Key'!$A$2:$B$210,2,False)</f>
        <v>Uttar Pradesh</v>
      </c>
      <c r="E775" s="21">
        <v>90.0</v>
      </c>
      <c r="F775" s="22">
        <v>15.83</v>
      </c>
      <c r="G775" s="22">
        <v>0.0</v>
      </c>
      <c r="H775" s="22">
        <v>0.0</v>
      </c>
      <c r="I775" s="22">
        <v>0.0</v>
      </c>
      <c r="J775" s="22">
        <v>0.0</v>
      </c>
      <c r="K775" s="22">
        <v>0.0</v>
      </c>
      <c r="L775" s="22">
        <v>15.83</v>
      </c>
      <c r="M775" s="22">
        <v>40.44</v>
      </c>
      <c r="N775" s="22">
        <v>15.85</v>
      </c>
      <c r="O775" s="23">
        <v>11.8</v>
      </c>
      <c r="P775" s="18">
        <f t="shared" si="1"/>
        <v>15.83</v>
      </c>
    </row>
    <row r="776" ht="15.75" customHeight="1">
      <c r="A776" s="13" t="s">
        <v>216</v>
      </c>
      <c r="B776" s="13" t="s">
        <v>61</v>
      </c>
      <c r="C776" s="14" t="s">
        <v>81</v>
      </c>
      <c r="D776" s="14" t="str">
        <f>VLOOKUP(C776,'State Key'!$A$2:$B$210,2,False)</f>
        <v>Uttar Pradesh</v>
      </c>
      <c r="E776" s="15">
        <v>1320.0</v>
      </c>
      <c r="F776" s="16">
        <v>355.012</v>
      </c>
      <c r="G776" s="16">
        <v>0.0</v>
      </c>
      <c r="H776" s="16">
        <v>0.0</v>
      </c>
      <c r="I776" s="16">
        <v>0.0</v>
      </c>
      <c r="J776" s="16">
        <v>0.0</v>
      </c>
      <c r="K776" s="16">
        <v>0.0</v>
      </c>
      <c r="L776" s="16">
        <v>355.012</v>
      </c>
      <c r="M776" s="16">
        <v>383.22</v>
      </c>
      <c r="N776" s="16">
        <v>292.61</v>
      </c>
      <c r="O776" s="24">
        <v>22.9</v>
      </c>
      <c r="P776" s="18">
        <f t="shared" si="1"/>
        <v>355.012</v>
      </c>
    </row>
    <row r="777" ht="15.75" customHeight="1">
      <c r="A777" s="19" t="s">
        <v>216</v>
      </c>
      <c r="B777" s="19" t="s">
        <v>61</v>
      </c>
      <c r="C777" s="20" t="s">
        <v>82</v>
      </c>
      <c r="D777" s="14" t="str">
        <f>VLOOKUP(C777,'State Key'!$A$2:$B$210,2,False)</f>
        <v>Uttar Pradesh</v>
      </c>
      <c r="E777" s="21">
        <v>1000.0</v>
      </c>
      <c r="F777" s="22">
        <v>394.508</v>
      </c>
      <c r="G777" s="22">
        <v>0.0</v>
      </c>
      <c r="H777" s="22">
        <v>0.0</v>
      </c>
      <c r="I777" s="22">
        <v>0.0</v>
      </c>
      <c r="J777" s="22">
        <v>0.0</v>
      </c>
      <c r="K777" s="22">
        <v>0.0</v>
      </c>
      <c r="L777" s="22">
        <v>394.508</v>
      </c>
      <c r="M777" s="22">
        <v>374.44</v>
      </c>
      <c r="N777" s="22">
        <v>99.51</v>
      </c>
      <c r="O777" s="23">
        <v>8.0</v>
      </c>
      <c r="P777" s="18">
        <f t="shared" si="1"/>
        <v>394.508</v>
      </c>
    </row>
    <row r="778" ht="15.75" customHeight="1">
      <c r="A778" s="13" t="s">
        <v>216</v>
      </c>
      <c r="B778" s="13" t="s">
        <v>61</v>
      </c>
      <c r="C778" s="14" t="s">
        <v>83</v>
      </c>
      <c r="D778" s="14" t="str">
        <f>VLOOKUP(C778,'State Key'!$A$2:$B$210,2,False)</f>
        <v>Haryana</v>
      </c>
      <c r="E778" s="15">
        <v>710.0</v>
      </c>
      <c r="F778" s="16">
        <v>284.70099</v>
      </c>
      <c r="G778" s="16">
        <v>0.0</v>
      </c>
      <c r="H778" s="16">
        <v>0.0</v>
      </c>
      <c r="I778" s="16">
        <v>0.0</v>
      </c>
      <c r="J778" s="16">
        <v>0.0</v>
      </c>
      <c r="K778" s="16">
        <v>0.0</v>
      </c>
      <c r="L778" s="16">
        <v>284.70099</v>
      </c>
      <c r="M778" s="16">
        <v>302.567</v>
      </c>
      <c r="N778" s="16">
        <v>101.75</v>
      </c>
      <c r="O778" s="23">
        <v>10.1</v>
      </c>
      <c r="P778" s="18">
        <f t="shared" si="1"/>
        <v>284.70099</v>
      </c>
    </row>
    <row r="779" ht="15.75" customHeight="1">
      <c r="A779" s="19" t="s">
        <v>216</v>
      </c>
      <c r="B779" s="19" t="s">
        <v>61</v>
      </c>
      <c r="C779" s="20" t="s">
        <v>84</v>
      </c>
      <c r="D779" s="14" t="str">
        <f>VLOOKUP(C779,'State Key'!$A$2:$B$210,2,False)</f>
        <v>Uttar Pradesh</v>
      </c>
      <c r="E779" s="21">
        <v>1140.0</v>
      </c>
      <c r="F779" s="22">
        <v>401.598</v>
      </c>
      <c r="G779" s="22">
        <v>0.0</v>
      </c>
      <c r="H779" s="22">
        <v>0.0</v>
      </c>
      <c r="I779" s="22">
        <v>0.0</v>
      </c>
      <c r="J779" s="22">
        <v>0.0</v>
      </c>
      <c r="K779" s="22">
        <v>0.0</v>
      </c>
      <c r="L779" s="22">
        <v>401.598</v>
      </c>
      <c r="M779" s="22">
        <v>419.11</v>
      </c>
      <c r="N779" s="22">
        <v>191.744</v>
      </c>
      <c r="O779" s="23">
        <v>13.7</v>
      </c>
      <c r="P779" s="18">
        <f t="shared" si="1"/>
        <v>401.598</v>
      </c>
    </row>
    <row r="780" ht="15.75" customHeight="1">
      <c r="A780" s="13" t="s">
        <v>216</v>
      </c>
      <c r="B780" s="13" t="s">
        <v>61</v>
      </c>
      <c r="C780" s="14" t="s">
        <v>85</v>
      </c>
      <c r="D780" s="14" t="str">
        <f>VLOOKUP(C780,'State Key'!$A$2:$B$210,2,False)</f>
        <v>Uttar Pradesh</v>
      </c>
      <c r="E780" s="15">
        <v>1980.0</v>
      </c>
      <c r="F780" s="16">
        <v>585.82644</v>
      </c>
      <c r="G780" s="16">
        <v>0.0</v>
      </c>
      <c r="H780" s="16">
        <v>0.0</v>
      </c>
      <c r="I780" s="16">
        <v>0.0</v>
      </c>
      <c r="J780" s="16">
        <v>0.0</v>
      </c>
      <c r="K780" s="16">
        <v>0.0</v>
      </c>
      <c r="L780" s="16">
        <v>585.82644</v>
      </c>
      <c r="M780" s="16">
        <v>760.591</v>
      </c>
      <c r="N780" s="16">
        <v>280.71</v>
      </c>
      <c r="O780" s="23">
        <v>11.1</v>
      </c>
      <c r="P780" s="18">
        <f t="shared" si="1"/>
        <v>585.82644</v>
      </c>
    </row>
    <row r="781" ht="15.75" customHeight="1">
      <c r="A781" s="19" t="s">
        <v>216</v>
      </c>
      <c r="B781" s="19" t="s">
        <v>61</v>
      </c>
      <c r="C781" s="20" t="s">
        <v>86</v>
      </c>
      <c r="D781" s="14" t="str">
        <f>VLOOKUP(C781,'State Key'!$A$2:$B$210,2,False)</f>
        <v>Haryana</v>
      </c>
      <c r="E781" s="21">
        <v>1200.0</v>
      </c>
      <c r="F781" s="22">
        <v>347.763</v>
      </c>
      <c r="G781" s="22">
        <v>0.0</v>
      </c>
      <c r="H781" s="22">
        <v>0.0</v>
      </c>
      <c r="I781" s="22">
        <v>0.0</v>
      </c>
      <c r="J781" s="22">
        <v>0.0</v>
      </c>
      <c r="K781" s="22">
        <v>0.0</v>
      </c>
      <c r="L781" s="22">
        <v>347.763</v>
      </c>
      <c r="M781" s="22">
        <v>280.717</v>
      </c>
      <c r="N781" s="22">
        <v>364.88</v>
      </c>
      <c r="O781" s="24">
        <v>39.0</v>
      </c>
      <c r="P781" s="18">
        <f t="shared" si="1"/>
        <v>347.763</v>
      </c>
    </row>
    <row r="782" ht="15.75" customHeight="1">
      <c r="A782" s="13" t="s">
        <v>216</v>
      </c>
      <c r="B782" s="13" t="s">
        <v>61</v>
      </c>
      <c r="C782" s="14" t="s">
        <v>87</v>
      </c>
      <c r="D782" s="14" t="str">
        <f>VLOOKUP(C782,'State Key'!$A$2:$B$210,2,False)</f>
        <v>Punjab</v>
      </c>
      <c r="E782" s="15">
        <v>1400.0</v>
      </c>
      <c r="F782" s="16">
        <v>312.7386</v>
      </c>
      <c r="G782" s="16">
        <v>0.0</v>
      </c>
      <c r="H782" s="16">
        <v>0.0</v>
      </c>
      <c r="I782" s="16">
        <v>0.0</v>
      </c>
      <c r="J782" s="16">
        <v>0.0</v>
      </c>
      <c r="K782" s="16">
        <v>0.0</v>
      </c>
      <c r="L782" s="16">
        <v>312.7386</v>
      </c>
      <c r="M782" s="16">
        <v>597.655</v>
      </c>
      <c r="N782" s="16">
        <v>208.74</v>
      </c>
      <c r="O782" s="23">
        <v>10.5</v>
      </c>
      <c r="P782" s="18">
        <f t="shared" si="1"/>
        <v>312.7386</v>
      </c>
    </row>
    <row r="783" ht="15.75" customHeight="1">
      <c r="A783" s="19" t="s">
        <v>216</v>
      </c>
      <c r="B783" s="19" t="s">
        <v>61</v>
      </c>
      <c r="C783" s="20" t="s">
        <v>88</v>
      </c>
      <c r="D783" s="14" t="str">
        <f>VLOOKUP(C783,'State Key'!$A$2:$B$210,2,False)</f>
        <v>Uttar Pradesh</v>
      </c>
      <c r="E783" s="21">
        <v>3000.0</v>
      </c>
      <c r="F783" s="22">
        <v>1254.9</v>
      </c>
      <c r="G783" s="22">
        <v>0.0</v>
      </c>
      <c r="H783" s="22">
        <v>0.0</v>
      </c>
      <c r="I783" s="22">
        <v>0.0</v>
      </c>
      <c r="J783" s="22">
        <v>0.0</v>
      </c>
      <c r="K783" s="22">
        <v>0.0</v>
      </c>
      <c r="L783" s="22">
        <v>1254.9</v>
      </c>
      <c r="M783" s="22">
        <v>1260.709</v>
      </c>
      <c r="N783" s="22">
        <v>961.12</v>
      </c>
      <c r="O783" s="24">
        <v>22.9</v>
      </c>
      <c r="P783" s="18">
        <f t="shared" si="1"/>
        <v>1254.9</v>
      </c>
    </row>
    <row r="784" ht="15.75" customHeight="1">
      <c r="A784" s="13" t="s">
        <v>216</v>
      </c>
      <c r="B784" s="13" t="s">
        <v>61</v>
      </c>
      <c r="C784" s="14" t="s">
        <v>89</v>
      </c>
      <c r="D784" s="14" t="str">
        <f>VLOOKUP(C784,'State Key'!$A$2:$B$210,2,False)</f>
        <v>Punjab</v>
      </c>
      <c r="E784" s="15">
        <v>840.0</v>
      </c>
      <c r="F784" s="16">
        <v>101.00668</v>
      </c>
      <c r="G784" s="16">
        <v>0.0</v>
      </c>
      <c r="H784" s="16">
        <v>144.41685</v>
      </c>
      <c r="I784" s="16">
        <v>0.0</v>
      </c>
      <c r="J784" s="16">
        <v>0.0</v>
      </c>
      <c r="K784" s="16">
        <v>0.0</v>
      </c>
      <c r="L784" s="16">
        <v>245.42353</v>
      </c>
      <c r="M784" s="16">
        <v>344.437</v>
      </c>
      <c r="N784" s="16">
        <v>295.84</v>
      </c>
      <c r="O784" s="24">
        <v>25.8</v>
      </c>
      <c r="P784" s="18">
        <f t="shared" si="1"/>
        <v>245.42353</v>
      </c>
    </row>
    <row r="785" ht="15.75" customHeight="1">
      <c r="A785" s="19" t="s">
        <v>216</v>
      </c>
      <c r="B785" s="19" t="s">
        <v>61</v>
      </c>
      <c r="C785" s="20" t="s">
        <v>90</v>
      </c>
      <c r="D785" s="14" t="str">
        <f>VLOOKUP(C785,'State Key'!$A$2:$B$210,2,False)</f>
        <v>Uttar Pradesh</v>
      </c>
      <c r="E785" s="21">
        <v>1200.0</v>
      </c>
      <c r="F785" s="22">
        <v>343.308</v>
      </c>
      <c r="G785" s="22">
        <v>0.0</v>
      </c>
      <c r="H785" s="22">
        <v>0.0</v>
      </c>
      <c r="I785" s="22">
        <v>0.0</v>
      </c>
      <c r="J785" s="22">
        <v>0.0</v>
      </c>
      <c r="K785" s="22">
        <v>0.0</v>
      </c>
      <c r="L785" s="22">
        <v>343.308</v>
      </c>
      <c r="M785" s="22">
        <v>446.292</v>
      </c>
      <c r="N785" s="22">
        <v>167.26</v>
      </c>
      <c r="O785" s="23">
        <v>11.2</v>
      </c>
      <c r="P785" s="18">
        <f t="shared" si="1"/>
        <v>343.308</v>
      </c>
    </row>
    <row r="786" ht="15.75" customHeight="1">
      <c r="A786" s="13" t="s">
        <v>216</v>
      </c>
      <c r="B786" s="13" t="s">
        <v>61</v>
      </c>
      <c r="C786" s="14" t="s">
        <v>91</v>
      </c>
      <c r="D786" s="14" t="str">
        <f>VLOOKUP(C786,'State Key'!$A$2:$B$210,2,False)</f>
        <v>Uttar Pradesh</v>
      </c>
      <c r="E786" s="15">
        <v>2000.0</v>
      </c>
      <c r="F786" s="16">
        <v>899.0</v>
      </c>
      <c r="G786" s="16">
        <v>0.0</v>
      </c>
      <c r="H786" s="16">
        <v>0.0</v>
      </c>
      <c r="I786" s="16">
        <v>0.0</v>
      </c>
      <c r="J786" s="16">
        <v>0.0</v>
      </c>
      <c r="K786" s="16">
        <v>0.0</v>
      </c>
      <c r="L786" s="16">
        <v>899.0</v>
      </c>
      <c r="M786" s="16">
        <v>937.805</v>
      </c>
      <c r="N786" s="16">
        <v>287.69</v>
      </c>
      <c r="O786" s="23">
        <v>9.2</v>
      </c>
      <c r="P786" s="18">
        <f t="shared" si="1"/>
        <v>899</v>
      </c>
    </row>
    <row r="787" ht="15.75" customHeight="1">
      <c r="A787" s="19" t="s">
        <v>216</v>
      </c>
      <c r="B787" s="19" t="s">
        <v>61</v>
      </c>
      <c r="C787" s="20" t="s">
        <v>92</v>
      </c>
      <c r="D787" s="14" t="str">
        <f>VLOOKUP(C787,'State Key'!$A$2:$B$210,2,False)</f>
        <v>Rajasthan</v>
      </c>
      <c r="E787" s="21">
        <v>1320.0</v>
      </c>
      <c r="F787" s="22">
        <v>227.44287</v>
      </c>
      <c r="G787" s="22">
        <v>0.0</v>
      </c>
      <c r="H787" s="22">
        <v>39.37544</v>
      </c>
      <c r="I787" s="22">
        <v>0.0</v>
      </c>
      <c r="J787" s="22">
        <v>0.0</v>
      </c>
      <c r="K787" s="22">
        <v>0.0</v>
      </c>
      <c r="L787" s="22">
        <v>266.81831</v>
      </c>
      <c r="M787" s="22">
        <v>372.484</v>
      </c>
      <c r="N787" s="22">
        <v>75.88</v>
      </c>
      <c r="O787" s="17">
        <v>6.1</v>
      </c>
      <c r="P787" s="18">
        <f t="shared" si="1"/>
        <v>266.81831</v>
      </c>
    </row>
    <row r="788" ht="15.75" customHeight="1">
      <c r="A788" s="13" t="s">
        <v>216</v>
      </c>
      <c r="B788" s="13" t="s">
        <v>61</v>
      </c>
      <c r="C788" s="14" t="s">
        <v>93</v>
      </c>
      <c r="D788" s="14" t="str">
        <f>VLOOKUP(C788,'State Key'!$A$2:$B$210,2,False)</f>
        <v>Rajasthan</v>
      </c>
      <c r="E788" s="15">
        <v>1500.0</v>
      </c>
      <c r="F788" s="16">
        <v>605.174</v>
      </c>
      <c r="G788" s="16">
        <v>0.0</v>
      </c>
      <c r="H788" s="16">
        <v>0.0</v>
      </c>
      <c r="I788" s="16">
        <v>0.0</v>
      </c>
      <c r="J788" s="16">
        <v>0.0</v>
      </c>
      <c r="K788" s="16">
        <v>0.0</v>
      </c>
      <c r="L788" s="16">
        <v>605.174</v>
      </c>
      <c r="M788" s="16">
        <v>561.595</v>
      </c>
      <c r="N788" s="16">
        <v>165.55</v>
      </c>
      <c r="O788" s="23">
        <v>8.8</v>
      </c>
      <c r="P788" s="18">
        <f t="shared" si="1"/>
        <v>605.174</v>
      </c>
    </row>
    <row r="789" ht="15.75" customHeight="1">
      <c r="A789" s="19" t="s">
        <v>216</v>
      </c>
      <c r="B789" s="19" t="s">
        <v>61</v>
      </c>
      <c r="C789" s="20" t="s">
        <v>94</v>
      </c>
      <c r="D789" s="14" t="str">
        <f>VLOOKUP(C789,'State Key'!$A$2:$B$210,2,False)</f>
        <v>Punjab</v>
      </c>
      <c r="E789" s="21">
        <v>1980.0</v>
      </c>
      <c r="F789" s="22">
        <v>755.663</v>
      </c>
      <c r="G789" s="22">
        <v>0.0</v>
      </c>
      <c r="H789" s="22">
        <v>0.0</v>
      </c>
      <c r="I789" s="22">
        <v>0.0</v>
      </c>
      <c r="J789" s="22">
        <v>0.0</v>
      </c>
      <c r="K789" s="22">
        <v>0.0</v>
      </c>
      <c r="L789" s="22">
        <v>755.663</v>
      </c>
      <c r="M789" s="22">
        <v>860.464</v>
      </c>
      <c r="N789" s="22">
        <v>115.27</v>
      </c>
      <c r="O789" s="17">
        <v>4.0</v>
      </c>
      <c r="P789" s="18">
        <f t="shared" si="1"/>
        <v>755.663</v>
      </c>
    </row>
    <row r="790" ht="15.75" customHeight="1">
      <c r="A790" s="13" t="s">
        <v>216</v>
      </c>
      <c r="B790" s="13" t="s">
        <v>61</v>
      </c>
      <c r="C790" s="14" t="s">
        <v>95</v>
      </c>
      <c r="D790" s="14" t="str">
        <f>VLOOKUP(C790,'State Key'!$A$2:$B$210,2,False)</f>
        <v>Uttar Pradesh</v>
      </c>
      <c r="E790" s="15">
        <v>1760.0</v>
      </c>
      <c r="F790" s="16">
        <v>455.23129</v>
      </c>
      <c r="G790" s="16">
        <v>0.0</v>
      </c>
      <c r="H790" s="16">
        <v>44.3</v>
      </c>
      <c r="I790" s="16">
        <v>67.905</v>
      </c>
      <c r="J790" s="16">
        <v>0.0</v>
      </c>
      <c r="K790" s="16">
        <v>0.0</v>
      </c>
      <c r="L790" s="16">
        <v>567.43629</v>
      </c>
      <c r="M790" s="16">
        <v>670.943</v>
      </c>
      <c r="N790" s="16">
        <v>308.146</v>
      </c>
      <c r="O790" s="23">
        <v>13.8</v>
      </c>
      <c r="P790" s="18">
        <f t="shared" si="1"/>
        <v>567.43629</v>
      </c>
    </row>
    <row r="791" ht="15.75" customHeight="1">
      <c r="A791" s="19" t="s">
        <v>216</v>
      </c>
      <c r="B791" s="19" t="s">
        <v>61</v>
      </c>
      <c r="C791" s="20" t="s">
        <v>96</v>
      </c>
      <c r="D791" s="14" t="str">
        <f>VLOOKUP(C791,'State Key'!$A$2:$B$210,2,False)</f>
        <v>Uttar Pradesh</v>
      </c>
      <c r="E791" s="21">
        <v>1550.0</v>
      </c>
      <c r="F791" s="22">
        <v>443.35</v>
      </c>
      <c r="G791" s="22">
        <v>0.0</v>
      </c>
      <c r="H791" s="22">
        <v>0.0</v>
      </c>
      <c r="I791" s="22">
        <v>77.337</v>
      </c>
      <c r="J791" s="22">
        <v>0.0</v>
      </c>
      <c r="K791" s="22">
        <v>0.0</v>
      </c>
      <c r="L791" s="22">
        <v>520.687</v>
      </c>
      <c r="M791" s="22">
        <v>560.605</v>
      </c>
      <c r="N791" s="22">
        <v>251.155</v>
      </c>
      <c r="O791" s="23">
        <v>13.4</v>
      </c>
      <c r="P791" s="18">
        <f t="shared" si="1"/>
        <v>520.687</v>
      </c>
    </row>
    <row r="792" ht="15.75" customHeight="1">
      <c r="A792" s="13" t="s">
        <v>216</v>
      </c>
      <c r="B792" s="13" t="s">
        <v>61</v>
      </c>
      <c r="C792" s="14" t="s">
        <v>97</v>
      </c>
      <c r="D792" s="14" t="str">
        <f>VLOOKUP(C792,'State Key'!$A$2:$B$210,2,False)</f>
        <v>Uttar Pradesh</v>
      </c>
      <c r="E792" s="15">
        <v>90.0</v>
      </c>
      <c r="F792" s="16">
        <v>7.89</v>
      </c>
      <c r="G792" s="16">
        <v>0.0</v>
      </c>
      <c r="H792" s="16">
        <v>0.0</v>
      </c>
      <c r="I792" s="16">
        <v>0.0</v>
      </c>
      <c r="J792" s="16">
        <v>0.0</v>
      </c>
      <c r="K792" s="16">
        <v>0.0</v>
      </c>
      <c r="L792" s="16">
        <v>7.89</v>
      </c>
      <c r="M792" s="16">
        <v>42.92</v>
      </c>
      <c r="N792" s="16">
        <v>16.94</v>
      </c>
      <c r="O792" s="23">
        <v>11.8</v>
      </c>
      <c r="P792" s="18">
        <f t="shared" si="1"/>
        <v>7.89</v>
      </c>
    </row>
    <row r="793" ht="15.75" customHeight="1">
      <c r="A793" s="19" t="s">
        <v>216</v>
      </c>
      <c r="B793" s="19" t="s">
        <v>61</v>
      </c>
      <c r="C793" s="20" t="s">
        <v>98</v>
      </c>
      <c r="D793" s="14" t="str">
        <f>VLOOKUP(C793,'State Key'!$A$2:$B$210,2,False)</f>
        <v>Haryana</v>
      </c>
      <c r="E793" s="21">
        <v>600.0</v>
      </c>
      <c r="F793" s="22">
        <v>256.604</v>
      </c>
      <c r="G793" s="22">
        <v>0.0</v>
      </c>
      <c r="H793" s="22">
        <v>0.0</v>
      </c>
      <c r="I793" s="22">
        <v>0.0</v>
      </c>
      <c r="J793" s="22">
        <v>0.0</v>
      </c>
      <c r="K793" s="22">
        <v>0.0</v>
      </c>
      <c r="L793" s="22">
        <v>256.604</v>
      </c>
      <c r="M793" s="22">
        <v>256.717</v>
      </c>
      <c r="N793" s="22">
        <v>160.5</v>
      </c>
      <c r="O793" s="24">
        <v>18.8</v>
      </c>
      <c r="P793" s="18">
        <f t="shared" si="1"/>
        <v>256.604</v>
      </c>
    </row>
    <row r="794" ht="15.75" customHeight="1">
      <c r="A794" s="13" t="s">
        <v>216</v>
      </c>
      <c r="B794" s="13" t="s">
        <v>99</v>
      </c>
      <c r="C794" s="14" t="s">
        <v>210</v>
      </c>
      <c r="D794" s="14" t="str">
        <f>VLOOKUP(C794,'State Key'!$A$2:$B$210,2,False)</f>
        <v>Karnataka</v>
      </c>
      <c r="E794" s="15">
        <v>1200.0</v>
      </c>
      <c r="F794" s="16">
        <v>0.0</v>
      </c>
      <c r="G794" s="16">
        <v>0.0</v>
      </c>
      <c r="H794" s="16">
        <v>0.0</v>
      </c>
      <c r="I794" s="16">
        <v>73.728</v>
      </c>
      <c r="J794" s="16">
        <v>0.0</v>
      </c>
      <c r="K794" s="16">
        <v>0.0</v>
      </c>
      <c r="L794" s="16">
        <v>73.728</v>
      </c>
      <c r="M794" s="16">
        <v>160.759</v>
      </c>
      <c r="N794" s="16">
        <v>47.72</v>
      </c>
      <c r="O794" s="23">
        <v>8.9</v>
      </c>
      <c r="P794" s="18">
        <f t="shared" si="1"/>
        <v>73.728</v>
      </c>
    </row>
    <row r="795" ht="15.75" customHeight="1">
      <c r="A795" s="19" t="s">
        <v>216</v>
      </c>
      <c r="B795" s="19" t="s">
        <v>99</v>
      </c>
      <c r="C795" s="20" t="s">
        <v>100</v>
      </c>
      <c r="D795" s="14" t="str">
        <f>VLOOKUP(C795,'State Key'!$A$2:$B$210,2,False)</f>
        <v>Karnataka</v>
      </c>
      <c r="E795" s="21">
        <v>1700.0</v>
      </c>
      <c r="F795" s="22">
        <v>112.09235</v>
      </c>
      <c r="G795" s="22">
        <v>87.20219</v>
      </c>
      <c r="H795" s="22">
        <v>178.35874</v>
      </c>
      <c r="I795" s="22">
        <v>0.0</v>
      </c>
      <c r="J795" s="22">
        <v>0.0</v>
      </c>
      <c r="K795" s="22">
        <v>0.0</v>
      </c>
      <c r="L795" s="22">
        <v>377.65328</v>
      </c>
      <c r="M795" s="22">
        <v>395.766</v>
      </c>
      <c r="N795" s="22">
        <v>37.1987</v>
      </c>
      <c r="O795" s="17">
        <v>2.8</v>
      </c>
      <c r="P795" s="18">
        <f t="shared" si="1"/>
        <v>377.65328</v>
      </c>
    </row>
    <row r="796" ht="15.75" customHeight="1">
      <c r="A796" s="13" t="s">
        <v>216</v>
      </c>
      <c r="B796" s="13" t="s">
        <v>99</v>
      </c>
      <c r="C796" s="14" t="s">
        <v>101</v>
      </c>
      <c r="D796" s="14" t="str">
        <f>VLOOKUP(C796,'State Key'!$A$2:$B$210,2,False)</f>
        <v>Telangana</v>
      </c>
      <c r="E796" s="15">
        <v>1080.0</v>
      </c>
      <c r="F796" s="16">
        <v>0.0</v>
      </c>
      <c r="G796" s="16">
        <v>446.082</v>
      </c>
      <c r="H796" s="16">
        <v>0.0</v>
      </c>
      <c r="I796" s="16">
        <v>0.0</v>
      </c>
      <c r="J796" s="16">
        <v>0.0</v>
      </c>
      <c r="K796" s="16">
        <v>0.0</v>
      </c>
      <c r="L796" s="16">
        <v>446.082</v>
      </c>
      <c r="M796" s="16">
        <v>397.375</v>
      </c>
      <c r="N796" s="16">
        <v>258.08</v>
      </c>
      <c r="O796" s="24">
        <v>19.5</v>
      </c>
      <c r="P796" s="18">
        <f t="shared" si="1"/>
        <v>446.082</v>
      </c>
    </row>
    <row r="797" ht="15.75" customHeight="1">
      <c r="A797" s="19" t="s">
        <v>216</v>
      </c>
      <c r="B797" s="19" t="s">
        <v>99</v>
      </c>
      <c r="C797" s="20" t="s">
        <v>102</v>
      </c>
      <c r="D797" s="14" t="str">
        <f>VLOOKUP(C797,'State Key'!$A$2:$B$210,2,False)</f>
        <v>Andhra Pradesh</v>
      </c>
      <c r="E797" s="21">
        <v>2400.0</v>
      </c>
      <c r="F797" s="22">
        <v>381.5146</v>
      </c>
      <c r="G797" s="22">
        <v>0.0</v>
      </c>
      <c r="H797" s="22">
        <v>0.0</v>
      </c>
      <c r="I797" s="22">
        <v>89.99053</v>
      </c>
      <c r="J797" s="22">
        <v>0.0</v>
      </c>
      <c r="K797" s="22">
        <v>0.0</v>
      </c>
      <c r="L797" s="22">
        <v>471.50513</v>
      </c>
      <c r="M797" s="22">
        <v>437.8096</v>
      </c>
      <c r="N797" s="22">
        <v>63.27</v>
      </c>
      <c r="O797" s="17">
        <v>4.3</v>
      </c>
      <c r="P797" s="18">
        <f t="shared" si="1"/>
        <v>471.50513</v>
      </c>
    </row>
    <row r="798" ht="15.75" customHeight="1">
      <c r="A798" s="13" t="s">
        <v>216</v>
      </c>
      <c r="B798" s="13" t="s">
        <v>99</v>
      </c>
      <c r="C798" s="14" t="s">
        <v>103</v>
      </c>
      <c r="D798" s="14" t="str">
        <f>VLOOKUP(C798,'State Key'!$A$2:$B$210,2,False)</f>
        <v>Andhra Pradesh</v>
      </c>
      <c r="E798" s="15">
        <v>1760.0</v>
      </c>
      <c r="F798" s="16">
        <v>561.642</v>
      </c>
      <c r="G798" s="16">
        <v>274.521</v>
      </c>
      <c r="H798" s="16">
        <v>0.0</v>
      </c>
      <c r="I798" s="16">
        <v>0.0</v>
      </c>
      <c r="J798" s="16">
        <v>0.0</v>
      </c>
      <c r="K798" s="16">
        <v>0.0</v>
      </c>
      <c r="L798" s="16">
        <v>836.163</v>
      </c>
      <c r="M798" s="16">
        <v>796.064</v>
      </c>
      <c r="N798" s="16">
        <v>71.31</v>
      </c>
      <c r="O798" s="17">
        <v>2.7</v>
      </c>
      <c r="P798" s="18">
        <f t="shared" si="1"/>
        <v>836.163</v>
      </c>
    </row>
    <row r="799" ht="15.75" customHeight="1">
      <c r="A799" s="19" t="s">
        <v>216</v>
      </c>
      <c r="B799" s="19" t="s">
        <v>99</v>
      </c>
      <c r="C799" s="20" t="s">
        <v>104</v>
      </c>
      <c r="D799" s="14" t="str">
        <f>VLOOKUP(C799,'State Key'!$A$2:$B$210,2,False)</f>
        <v>Tamil Nadu</v>
      </c>
      <c r="E799" s="21">
        <v>1200.0</v>
      </c>
      <c r="F799" s="22">
        <v>0.0</v>
      </c>
      <c r="G799" s="22">
        <v>0.0</v>
      </c>
      <c r="H799" s="22">
        <v>0.0</v>
      </c>
      <c r="I799" s="22">
        <v>265.3789</v>
      </c>
      <c r="J799" s="22">
        <v>0.0</v>
      </c>
      <c r="K799" s="22">
        <v>0.0</v>
      </c>
      <c r="L799" s="22">
        <v>265.3789</v>
      </c>
      <c r="M799" s="22">
        <v>244.4095</v>
      </c>
      <c r="N799" s="22">
        <v>158.19</v>
      </c>
      <c r="O799" s="24">
        <v>19.4</v>
      </c>
      <c r="P799" s="18">
        <f t="shared" si="1"/>
        <v>265.3789</v>
      </c>
    </row>
    <row r="800" ht="15.75" customHeight="1">
      <c r="A800" s="13" t="s">
        <v>216</v>
      </c>
      <c r="B800" s="13" t="s">
        <v>99</v>
      </c>
      <c r="C800" s="14" t="s">
        <v>105</v>
      </c>
      <c r="D800" s="14" t="str">
        <f>VLOOKUP(C800,'State Key'!$A$2:$B$210,2,False)</f>
        <v>Telangana</v>
      </c>
      <c r="E800" s="15">
        <v>1100.0</v>
      </c>
      <c r="F800" s="16">
        <v>0.0</v>
      </c>
      <c r="G800" s="16">
        <v>369.583</v>
      </c>
      <c r="H800" s="16">
        <v>0.0</v>
      </c>
      <c r="I800" s="16">
        <v>0.0</v>
      </c>
      <c r="J800" s="16">
        <v>0.0</v>
      </c>
      <c r="K800" s="16">
        <v>0.0</v>
      </c>
      <c r="L800" s="16">
        <v>369.583</v>
      </c>
      <c r="M800" s="16">
        <v>425.503</v>
      </c>
      <c r="N800" s="16">
        <v>182.453</v>
      </c>
      <c r="O800" s="23">
        <v>12.9</v>
      </c>
      <c r="P800" s="18">
        <f t="shared" si="1"/>
        <v>369.583</v>
      </c>
    </row>
    <row r="801" ht="15.75" customHeight="1">
      <c r="A801" s="19" t="s">
        <v>216</v>
      </c>
      <c r="B801" s="19" t="s">
        <v>99</v>
      </c>
      <c r="C801" s="20" t="s">
        <v>106</v>
      </c>
      <c r="D801" s="14" t="str">
        <f>VLOOKUP(C801,'State Key'!$A$2:$B$210,2,False)</f>
        <v>Telangana</v>
      </c>
      <c r="E801" s="21">
        <v>1000.0</v>
      </c>
      <c r="F801" s="22">
        <v>0.0</v>
      </c>
      <c r="G801" s="22">
        <v>484.63</v>
      </c>
      <c r="H801" s="22">
        <v>0.0</v>
      </c>
      <c r="I801" s="22">
        <v>0.0</v>
      </c>
      <c r="J801" s="22">
        <v>0.0</v>
      </c>
      <c r="K801" s="22">
        <v>0.0</v>
      </c>
      <c r="L801" s="22">
        <v>484.63</v>
      </c>
      <c r="M801" s="22">
        <v>424.48</v>
      </c>
      <c r="N801" s="22">
        <v>243.974</v>
      </c>
      <c r="O801" s="24">
        <v>17.2</v>
      </c>
      <c r="P801" s="18">
        <f t="shared" si="1"/>
        <v>484.63</v>
      </c>
    </row>
    <row r="802" ht="15.75" customHeight="1">
      <c r="A802" s="13" t="s">
        <v>216</v>
      </c>
      <c r="B802" s="13" t="s">
        <v>99</v>
      </c>
      <c r="C802" s="14" t="s">
        <v>107</v>
      </c>
      <c r="D802" s="14" t="str">
        <f>VLOOKUP(C802,'State Key'!$A$2:$B$210,2,False)</f>
        <v>Telangana</v>
      </c>
      <c r="E802" s="15">
        <v>800.0</v>
      </c>
      <c r="F802" s="16">
        <v>0.0</v>
      </c>
      <c r="G802" s="16">
        <v>250.041</v>
      </c>
      <c r="H802" s="16">
        <v>0.0</v>
      </c>
      <c r="I802" s="16">
        <v>0.0</v>
      </c>
      <c r="J802" s="16">
        <v>0.0</v>
      </c>
      <c r="K802" s="16">
        <v>0.0</v>
      </c>
      <c r="L802" s="16">
        <v>250.041</v>
      </c>
      <c r="M802" s="16">
        <v>265.61</v>
      </c>
      <c r="N802" s="16">
        <v>61.672</v>
      </c>
      <c r="O802" s="23">
        <v>7.0</v>
      </c>
      <c r="P802" s="18">
        <f t="shared" si="1"/>
        <v>250.041</v>
      </c>
    </row>
    <row r="803" ht="15.75" customHeight="1">
      <c r="A803" s="19" t="s">
        <v>216</v>
      </c>
      <c r="B803" s="19" t="s">
        <v>99</v>
      </c>
      <c r="C803" s="20" t="s">
        <v>108</v>
      </c>
      <c r="D803" s="14" t="str">
        <f>VLOOKUP(C803,'State Key'!$A$2:$B$210,2,False)</f>
        <v>Karnataka</v>
      </c>
      <c r="E803" s="21">
        <v>2400.0</v>
      </c>
      <c r="F803" s="22">
        <v>284.53438</v>
      </c>
      <c r="G803" s="22">
        <v>195.76306</v>
      </c>
      <c r="H803" s="22">
        <v>113.80588</v>
      </c>
      <c r="I803" s="22">
        <v>65.6898</v>
      </c>
      <c r="J803" s="22">
        <v>0.0</v>
      </c>
      <c r="K803" s="22">
        <v>0.0</v>
      </c>
      <c r="L803" s="22">
        <v>659.79312</v>
      </c>
      <c r="M803" s="22">
        <v>732.56</v>
      </c>
      <c r="N803" s="22">
        <v>66.969</v>
      </c>
      <c r="O803" s="17">
        <v>2.7</v>
      </c>
      <c r="P803" s="18">
        <f t="shared" si="1"/>
        <v>659.79312</v>
      </c>
    </row>
    <row r="804" ht="15.75" customHeight="1">
      <c r="A804" s="13" t="s">
        <v>216</v>
      </c>
      <c r="B804" s="13" t="s">
        <v>99</v>
      </c>
      <c r="C804" s="14" t="s">
        <v>109</v>
      </c>
      <c r="D804" s="14" t="str">
        <f>VLOOKUP(C804,'State Key'!$A$2:$B$210,2,False)</f>
        <v>Tamil Nadu</v>
      </c>
      <c r="E804" s="15">
        <v>840.0</v>
      </c>
      <c r="F804" s="16">
        <v>356.5428</v>
      </c>
      <c r="G804" s="16">
        <v>29.4979</v>
      </c>
      <c r="H804" s="16">
        <v>0.0</v>
      </c>
      <c r="I804" s="16">
        <v>37.1118</v>
      </c>
      <c r="J804" s="16">
        <v>0.0</v>
      </c>
      <c r="K804" s="16">
        <v>0.0</v>
      </c>
      <c r="L804" s="16">
        <v>423.1525</v>
      </c>
      <c r="M804" s="16">
        <v>418.7506</v>
      </c>
      <c r="N804" s="16">
        <v>28.663</v>
      </c>
      <c r="O804" s="17">
        <v>2.1</v>
      </c>
      <c r="P804" s="18">
        <f t="shared" si="1"/>
        <v>423.1525</v>
      </c>
    </row>
    <row r="805" ht="15.75" customHeight="1">
      <c r="A805" s="19" t="s">
        <v>216</v>
      </c>
      <c r="B805" s="19" t="s">
        <v>99</v>
      </c>
      <c r="C805" s="20" t="s">
        <v>110</v>
      </c>
      <c r="D805" s="14" t="str">
        <f>VLOOKUP(C805,'State Key'!$A$2:$B$210,2,False)</f>
        <v>Tamil Nadu</v>
      </c>
      <c r="E805" s="21">
        <v>600.0</v>
      </c>
      <c r="F805" s="22">
        <v>117.023</v>
      </c>
      <c r="G805" s="22">
        <v>4.68</v>
      </c>
      <c r="H805" s="22">
        <v>0.0</v>
      </c>
      <c r="I805" s="22">
        <v>46.98</v>
      </c>
      <c r="J805" s="22">
        <v>0.0</v>
      </c>
      <c r="K805" s="22">
        <v>0.0</v>
      </c>
      <c r="L805" s="22">
        <v>168.683</v>
      </c>
      <c r="M805" s="22">
        <v>199.98</v>
      </c>
      <c r="N805" s="22">
        <v>105.246</v>
      </c>
      <c r="O805" s="24">
        <v>15.8</v>
      </c>
      <c r="P805" s="18">
        <f t="shared" si="1"/>
        <v>168.683</v>
      </c>
    </row>
    <row r="806" ht="15.75" customHeight="1">
      <c r="A806" s="13" t="s">
        <v>216</v>
      </c>
      <c r="B806" s="13" t="s">
        <v>99</v>
      </c>
      <c r="C806" s="14" t="s">
        <v>111</v>
      </c>
      <c r="D806" s="14" t="str">
        <f>VLOOKUP(C806,'State Key'!$A$2:$B$210,2,False)</f>
        <v>Tamil Nadu</v>
      </c>
      <c r="E806" s="15">
        <v>1200.0</v>
      </c>
      <c r="F806" s="16">
        <v>0.0</v>
      </c>
      <c r="G806" s="16">
        <v>0.0</v>
      </c>
      <c r="H806" s="16">
        <v>0.0</v>
      </c>
      <c r="I806" s="16">
        <v>248.808</v>
      </c>
      <c r="J806" s="16">
        <v>0.0</v>
      </c>
      <c r="K806" s="16">
        <v>0.0</v>
      </c>
      <c r="L806" s="16">
        <v>248.808</v>
      </c>
      <c r="M806" s="16">
        <v>237.431</v>
      </c>
      <c r="N806" s="16">
        <v>31.774</v>
      </c>
      <c r="O806" s="17">
        <v>4.0</v>
      </c>
      <c r="P806" s="18">
        <f t="shared" si="1"/>
        <v>248.808</v>
      </c>
    </row>
    <row r="807" ht="15.75" customHeight="1">
      <c r="A807" s="19" t="s">
        <v>216</v>
      </c>
      <c r="B807" s="19" t="s">
        <v>99</v>
      </c>
      <c r="C807" s="20" t="s">
        <v>112</v>
      </c>
      <c r="D807" s="14" t="str">
        <f>VLOOKUP(C807,'State Key'!$A$2:$B$210,2,False)</f>
        <v>Tamil Nadu</v>
      </c>
      <c r="E807" s="21">
        <v>1830.0</v>
      </c>
      <c r="F807" s="22">
        <v>507.058</v>
      </c>
      <c r="G807" s="22">
        <v>0.0</v>
      </c>
      <c r="H807" s="22">
        <v>0.0</v>
      </c>
      <c r="I807" s="22">
        <v>44.269</v>
      </c>
      <c r="J807" s="22">
        <v>0.0</v>
      </c>
      <c r="K807" s="22">
        <v>0.0</v>
      </c>
      <c r="L807" s="22">
        <v>551.327</v>
      </c>
      <c r="M807" s="22">
        <v>587.278</v>
      </c>
      <c r="N807" s="22">
        <v>291.317</v>
      </c>
      <c r="O807" s="24">
        <v>14.9</v>
      </c>
      <c r="P807" s="18">
        <f t="shared" si="1"/>
        <v>551.327</v>
      </c>
    </row>
    <row r="808" ht="15.75" customHeight="1">
      <c r="A808" s="13" t="s">
        <v>216</v>
      </c>
      <c r="B808" s="13" t="s">
        <v>99</v>
      </c>
      <c r="C808" s="14" t="s">
        <v>113</v>
      </c>
      <c r="D808" s="14" t="str">
        <f>VLOOKUP(C808,'State Key'!$A$2:$B$210,2,False)</f>
        <v>Tamil Nadu</v>
      </c>
      <c r="E808" s="15">
        <v>1000.0</v>
      </c>
      <c r="F808" s="16">
        <v>0.0</v>
      </c>
      <c r="G808" s="16">
        <v>0.0</v>
      </c>
      <c r="H808" s="16">
        <v>78.905</v>
      </c>
      <c r="I808" s="16">
        <v>73.171</v>
      </c>
      <c r="J808" s="16">
        <v>0.0</v>
      </c>
      <c r="K808" s="16">
        <v>0.0</v>
      </c>
      <c r="L808" s="16">
        <v>152.076</v>
      </c>
      <c r="M808" s="16">
        <v>215.567</v>
      </c>
      <c r="N808" s="16">
        <v>262.02</v>
      </c>
      <c r="O808" s="24">
        <v>36.5</v>
      </c>
      <c r="P808" s="18">
        <f t="shared" si="1"/>
        <v>152.076</v>
      </c>
    </row>
    <row r="809" ht="15.75" customHeight="1">
      <c r="A809" s="19" t="s">
        <v>216</v>
      </c>
      <c r="B809" s="19" t="s">
        <v>99</v>
      </c>
      <c r="C809" s="20" t="s">
        <v>114</v>
      </c>
      <c r="D809" s="14" t="str">
        <f>VLOOKUP(C809,'State Key'!$A$2:$B$210,2,False)</f>
        <v>Andhra Pradesh</v>
      </c>
      <c r="E809" s="21">
        <v>1320.0</v>
      </c>
      <c r="F809" s="22">
        <v>363.065</v>
      </c>
      <c r="G809" s="22">
        <v>0.0</v>
      </c>
      <c r="H809" s="22">
        <v>0.0</v>
      </c>
      <c r="I809" s="22">
        <v>72.215</v>
      </c>
      <c r="J809" s="22">
        <v>0.0</v>
      </c>
      <c r="K809" s="22">
        <v>0.0</v>
      </c>
      <c r="L809" s="22">
        <v>435.28</v>
      </c>
      <c r="M809" s="22">
        <v>517.756</v>
      </c>
      <c r="N809" s="22">
        <v>132.33</v>
      </c>
      <c r="O809" s="23">
        <v>7.7</v>
      </c>
      <c r="P809" s="18">
        <f t="shared" si="1"/>
        <v>435.28</v>
      </c>
    </row>
    <row r="810" ht="15.75" customHeight="1">
      <c r="A810" s="13" t="s">
        <v>216</v>
      </c>
      <c r="B810" s="13" t="s">
        <v>99</v>
      </c>
      <c r="C810" s="14" t="s">
        <v>115</v>
      </c>
      <c r="D810" s="14" t="str">
        <f>VLOOKUP(C810,'State Key'!$A$2:$B$210,2,False)</f>
        <v>Karnataka</v>
      </c>
      <c r="E810" s="15">
        <v>1720.0</v>
      </c>
      <c r="F810" s="16">
        <v>329.647</v>
      </c>
      <c r="G810" s="16">
        <v>123.528</v>
      </c>
      <c r="H810" s="16">
        <v>0.0</v>
      </c>
      <c r="I810" s="16">
        <v>0.0</v>
      </c>
      <c r="J810" s="16">
        <v>0.0</v>
      </c>
      <c r="K810" s="16">
        <v>0.0</v>
      </c>
      <c r="L810" s="16">
        <v>453.175</v>
      </c>
      <c r="M810" s="16">
        <v>371.72</v>
      </c>
      <c r="N810" s="16">
        <v>199.95</v>
      </c>
      <c r="O810" s="24">
        <v>16.1</v>
      </c>
      <c r="P810" s="18">
        <f t="shared" si="1"/>
        <v>453.175</v>
      </c>
    </row>
    <row r="811" ht="15.75" customHeight="1">
      <c r="A811" s="19" t="s">
        <v>216</v>
      </c>
      <c r="B811" s="19" t="s">
        <v>99</v>
      </c>
      <c r="C811" s="20" t="s">
        <v>116</v>
      </c>
      <c r="D811" s="14" t="str">
        <f>VLOOKUP(C811,'State Key'!$A$2:$B$210,2,False)</f>
        <v>Telangana</v>
      </c>
      <c r="E811" s="21">
        <v>2600.0</v>
      </c>
      <c r="F811" s="22">
        <v>7.92</v>
      </c>
      <c r="G811" s="22">
        <v>1026.31</v>
      </c>
      <c r="H811" s="22">
        <v>8.1</v>
      </c>
      <c r="I811" s="22">
        <v>0.0</v>
      </c>
      <c r="J811" s="22">
        <v>0.0</v>
      </c>
      <c r="K811" s="22">
        <v>0.0</v>
      </c>
      <c r="L811" s="22">
        <v>1042.33</v>
      </c>
      <c r="M811" s="22">
        <v>1150.365</v>
      </c>
      <c r="N811" s="22">
        <v>76.32</v>
      </c>
      <c r="O811" s="17">
        <v>2.0</v>
      </c>
      <c r="P811" s="18">
        <f t="shared" si="1"/>
        <v>1042.33</v>
      </c>
    </row>
    <row r="812" ht="15.75" customHeight="1">
      <c r="A812" s="13" t="s">
        <v>216</v>
      </c>
      <c r="B812" s="13" t="s">
        <v>99</v>
      </c>
      <c r="C812" s="14" t="s">
        <v>117</v>
      </c>
      <c r="D812" s="14" t="str">
        <f>VLOOKUP(C812,'State Key'!$A$2:$B$210,2,False)</f>
        <v>Telangana</v>
      </c>
      <c r="E812" s="15">
        <v>62.5</v>
      </c>
      <c r="F812" s="16">
        <v>0.0</v>
      </c>
      <c r="G812" s="16">
        <v>18.99</v>
      </c>
      <c r="H812" s="16">
        <v>0.0</v>
      </c>
      <c r="I812" s="16">
        <v>0.0</v>
      </c>
      <c r="J812" s="16">
        <v>0.0</v>
      </c>
      <c r="K812" s="16">
        <v>0.0</v>
      </c>
      <c r="L812" s="16">
        <v>18.99</v>
      </c>
      <c r="M812" s="16">
        <v>20.63</v>
      </c>
      <c r="N812" s="16">
        <v>2.734</v>
      </c>
      <c r="O812" s="17">
        <v>4.0</v>
      </c>
      <c r="P812" s="18">
        <f t="shared" si="1"/>
        <v>18.99</v>
      </c>
    </row>
    <row r="813" ht="15.75" customHeight="1">
      <c r="A813" s="19" t="s">
        <v>216</v>
      </c>
      <c r="B813" s="19" t="s">
        <v>99</v>
      </c>
      <c r="C813" s="20" t="s">
        <v>118</v>
      </c>
      <c r="D813" s="14" t="str">
        <f>VLOOKUP(C813,'State Key'!$A$2:$B$210,2,False)</f>
        <v>Andhra Pradesh</v>
      </c>
      <c r="E813" s="21">
        <v>1650.0</v>
      </c>
      <c r="F813" s="22">
        <v>620.22368</v>
      </c>
      <c r="G813" s="22">
        <v>68.17208</v>
      </c>
      <c r="H813" s="22">
        <v>0.0</v>
      </c>
      <c r="I813" s="22">
        <v>0.0</v>
      </c>
      <c r="J813" s="22">
        <v>0.0</v>
      </c>
      <c r="K813" s="22">
        <v>0.0</v>
      </c>
      <c r="L813" s="22">
        <v>688.39576</v>
      </c>
      <c r="M813" s="22">
        <v>658.764</v>
      </c>
      <c r="N813" s="22">
        <v>47.025</v>
      </c>
      <c r="O813" s="17">
        <v>2.1</v>
      </c>
      <c r="P813" s="18">
        <f t="shared" si="1"/>
        <v>688.39576</v>
      </c>
    </row>
    <row r="814" ht="15.75" customHeight="1">
      <c r="A814" s="13" t="s">
        <v>216</v>
      </c>
      <c r="B814" s="13" t="s">
        <v>99</v>
      </c>
      <c r="C814" s="14" t="s">
        <v>119</v>
      </c>
      <c r="D814" s="14" t="str">
        <f>VLOOKUP(C814,'State Key'!$A$2:$B$210,2,False)</f>
        <v>Andhra Pradesh</v>
      </c>
      <c r="E814" s="15">
        <v>1320.0</v>
      </c>
      <c r="F814" s="16">
        <v>160.245</v>
      </c>
      <c r="G814" s="16">
        <v>0.0</v>
      </c>
      <c r="H814" s="16">
        <v>0.0</v>
      </c>
      <c r="I814" s="16">
        <v>205.48</v>
      </c>
      <c r="J814" s="16">
        <v>0.0</v>
      </c>
      <c r="K814" s="16">
        <v>0.0</v>
      </c>
      <c r="L814" s="16">
        <v>365.725</v>
      </c>
      <c r="M814" s="16">
        <v>516.726</v>
      </c>
      <c r="N814" s="16">
        <v>212.63</v>
      </c>
      <c r="O814" s="23">
        <v>12.3</v>
      </c>
      <c r="P814" s="18">
        <f t="shared" si="1"/>
        <v>365.725</v>
      </c>
    </row>
    <row r="815" ht="15.75" customHeight="1">
      <c r="A815" s="19" t="s">
        <v>216</v>
      </c>
      <c r="B815" s="19" t="s">
        <v>99</v>
      </c>
      <c r="C815" s="20" t="s">
        <v>120</v>
      </c>
      <c r="D815" s="14" t="str">
        <f>VLOOKUP(C815,'State Key'!$A$2:$B$210,2,False)</f>
        <v>Andhra Pradesh</v>
      </c>
      <c r="E815" s="21">
        <v>2000.0</v>
      </c>
      <c r="F815" s="22">
        <v>442.87</v>
      </c>
      <c r="G815" s="22">
        <v>34.77</v>
      </c>
      <c r="H815" s="22">
        <v>154.09</v>
      </c>
      <c r="I815" s="22">
        <v>0.0</v>
      </c>
      <c r="J815" s="22">
        <v>0.0</v>
      </c>
      <c r="K815" s="22">
        <v>0.0</v>
      </c>
      <c r="L815" s="22">
        <v>631.73</v>
      </c>
      <c r="M815" s="22">
        <v>745.529</v>
      </c>
      <c r="N815" s="22">
        <v>298.5</v>
      </c>
      <c r="O815" s="23">
        <v>12.0</v>
      </c>
      <c r="P815" s="18">
        <f t="shared" si="1"/>
        <v>631.73</v>
      </c>
    </row>
    <row r="816" ht="15.75" customHeight="1">
      <c r="A816" s="13" t="s">
        <v>216</v>
      </c>
      <c r="B816" s="13" t="s">
        <v>99</v>
      </c>
      <c r="C816" s="14" t="s">
        <v>121</v>
      </c>
      <c r="D816" s="14" t="str">
        <f>VLOOKUP(C816,'State Key'!$A$2:$B$210,2,False)</f>
        <v>Andhra Pradesh</v>
      </c>
      <c r="E816" s="15">
        <v>600.0</v>
      </c>
      <c r="F816" s="16">
        <v>0.0</v>
      </c>
      <c r="G816" s="16">
        <v>0.0</v>
      </c>
      <c r="H816" s="16">
        <v>0.0</v>
      </c>
      <c r="I816" s="16">
        <v>82.09924</v>
      </c>
      <c r="J816" s="16">
        <v>0.0</v>
      </c>
      <c r="K816" s="16">
        <v>0.0</v>
      </c>
      <c r="L816" s="16">
        <v>82.09924</v>
      </c>
      <c r="M816" s="16">
        <v>134.17</v>
      </c>
      <c r="N816" s="16">
        <v>78.31</v>
      </c>
      <c r="O816" s="24">
        <v>17.5</v>
      </c>
      <c r="P816" s="18">
        <f t="shared" si="1"/>
        <v>82.09924</v>
      </c>
    </row>
    <row r="817" ht="15.75" customHeight="1">
      <c r="A817" s="19" t="s">
        <v>216</v>
      </c>
      <c r="B817" s="19" t="s">
        <v>99</v>
      </c>
      <c r="C817" s="20" t="s">
        <v>122</v>
      </c>
      <c r="D817" s="14" t="str">
        <f>VLOOKUP(C817,'State Key'!$A$2:$B$210,2,False)</f>
        <v>Telangana</v>
      </c>
      <c r="E817" s="21">
        <v>1200.0</v>
      </c>
      <c r="F817" s="22">
        <v>0.0</v>
      </c>
      <c r="G817" s="22">
        <v>580.363</v>
      </c>
      <c r="H817" s="22">
        <v>0.0</v>
      </c>
      <c r="I817" s="22">
        <v>0.0</v>
      </c>
      <c r="J817" s="22">
        <v>0.0</v>
      </c>
      <c r="K817" s="22">
        <v>0.0</v>
      </c>
      <c r="L817" s="22">
        <v>580.363</v>
      </c>
      <c r="M817" s="22">
        <v>554.025</v>
      </c>
      <c r="N817" s="22">
        <v>84.27</v>
      </c>
      <c r="O817" s="17">
        <v>4.6</v>
      </c>
      <c r="P817" s="18">
        <f t="shared" si="1"/>
        <v>580.363</v>
      </c>
    </row>
    <row r="818" ht="15.75" customHeight="1">
      <c r="A818" s="13" t="s">
        <v>216</v>
      </c>
      <c r="B818" s="13" t="s">
        <v>99</v>
      </c>
      <c r="C818" s="14" t="s">
        <v>123</v>
      </c>
      <c r="D818" s="14" t="str">
        <f>VLOOKUP(C818,'State Key'!$A$2:$B$210,2,False)</f>
        <v>Andhra Pradesh</v>
      </c>
      <c r="E818" s="15">
        <v>300.0</v>
      </c>
      <c r="F818" s="16">
        <v>0.0</v>
      </c>
      <c r="G818" s="16">
        <v>0.0</v>
      </c>
      <c r="H818" s="16">
        <v>0.0</v>
      </c>
      <c r="I818" s="16">
        <v>0.0</v>
      </c>
      <c r="J818" s="16">
        <v>0.0</v>
      </c>
      <c r="K818" s="16">
        <v>0.0</v>
      </c>
      <c r="L818" s="16">
        <v>0.0</v>
      </c>
      <c r="M818" s="16">
        <v>0.0</v>
      </c>
      <c r="N818" s="16">
        <v>0.0</v>
      </c>
      <c r="O818" s="13" t="s">
        <v>58</v>
      </c>
      <c r="P818" s="18">
        <f t="shared" si="1"/>
        <v>0</v>
      </c>
    </row>
    <row r="819" ht="15.75" customHeight="1">
      <c r="A819" s="19" t="s">
        <v>216</v>
      </c>
      <c r="B819" s="19" t="s">
        <v>99</v>
      </c>
      <c r="C819" s="20" t="s">
        <v>124</v>
      </c>
      <c r="D819" s="14" t="str">
        <f>VLOOKUP(C819,'State Key'!$A$2:$B$210,2,False)</f>
        <v>Karnataka</v>
      </c>
      <c r="E819" s="21">
        <v>260.0</v>
      </c>
      <c r="F819" s="22">
        <v>0.0</v>
      </c>
      <c r="G819" s="22">
        <v>0.0</v>
      </c>
      <c r="H819" s="22">
        <v>0.0</v>
      </c>
      <c r="I819" s="22">
        <v>49.48</v>
      </c>
      <c r="J819" s="22">
        <v>0.0</v>
      </c>
      <c r="K819" s="22">
        <v>0.0</v>
      </c>
      <c r="L819" s="22">
        <v>49.48</v>
      </c>
      <c r="M819" s="22">
        <v>49.48</v>
      </c>
      <c r="N819" s="22">
        <v>0.0</v>
      </c>
      <c r="O819" s="17">
        <v>0.0</v>
      </c>
      <c r="P819" s="18">
        <f t="shared" si="1"/>
        <v>49.48</v>
      </c>
    </row>
    <row r="820" ht="15.75" customHeight="1">
      <c r="A820" s="13" t="s">
        <v>216</v>
      </c>
      <c r="B820" s="13" t="s">
        <v>99</v>
      </c>
      <c r="C820" s="14" t="s">
        <v>125</v>
      </c>
      <c r="D820" s="14" t="str">
        <f>VLOOKUP(C820,'State Key'!$A$2:$B$210,2,False)</f>
        <v>Karnataka</v>
      </c>
      <c r="E820" s="15">
        <v>600.0</v>
      </c>
      <c r="F820" s="16">
        <v>0.0</v>
      </c>
      <c r="G820" s="16">
        <v>0.0</v>
      </c>
      <c r="H820" s="16">
        <v>0.0</v>
      </c>
      <c r="I820" s="16">
        <v>34.83</v>
      </c>
      <c r="J820" s="16">
        <v>0.0</v>
      </c>
      <c r="K820" s="16">
        <v>0.0</v>
      </c>
      <c r="L820" s="16">
        <v>34.83</v>
      </c>
      <c r="M820" s="16">
        <v>66.5399</v>
      </c>
      <c r="N820" s="16">
        <v>1.26</v>
      </c>
      <c r="O820" s="17">
        <v>0.6</v>
      </c>
      <c r="P820" s="18">
        <f t="shared" si="1"/>
        <v>34.83</v>
      </c>
    </row>
    <row r="821" ht="15.75" customHeight="1">
      <c r="A821" s="19" t="s">
        <v>216</v>
      </c>
      <c r="B821" s="19" t="s">
        <v>99</v>
      </c>
      <c r="C821" s="20" t="s">
        <v>126</v>
      </c>
      <c r="D821" s="14" t="str">
        <f>VLOOKUP(C821,'State Key'!$A$2:$B$210,2,False)</f>
        <v>Tamil Nadu</v>
      </c>
      <c r="E821" s="21">
        <v>300.0</v>
      </c>
      <c r="F821" s="22">
        <v>0.0</v>
      </c>
      <c r="G821" s="22">
        <v>0.0</v>
      </c>
      <c r="H821" s="22">
        <v>0.0</v>
      </c>
      <c r="I821" s="22">
        <v>0.0</v>
      </c>
      <c r="J821" s="22">
        <v>0.0</v>
      </c>
      <c r="K821" s="22">
        <v>0.0</v>
      </c>
      <c r="L821" s="22">
        <v>0.0</v>
      </c>
      <c r="M821" s="22">
        <v>0.0</v>
      </c>
      <c r="N821" s="22">
        <v>0.0</v>
      </c>
      <c r="O821" s="19" t="s">
        <v>58</v>
      </c>
      <c r="P821" s="18">
        <f t="shared" si="1"/>
        <v>0</v>
      </c>
    </row>
    <row r="822" ht="15.75" customHeight="1">
      <c r="A822" s="13" t="s">
        <v>216</v>
      </c>
      <c r="B822" s="13" t="s">
        <v>99</v>
      </c>
      <c r="C822" s="14" t="s">
        <v>127</v>
      </c>
      <c r="D822" s="14" t="str">
        <f>VLOOKUP(C822,'State Key'!$A$2:$B$210,2,False)</f>
        <v>Tamil Nadu</v>
      </c>
      <c r="E822" s="15">
        <v>525.0</v>
      </c>
      <c r="F822" s="16">
        <v>0.0</v>
      </c>
      <c r="G822" s="16">
        <v>0.0</v>
      </c>
      <c r="H822" s="16">
        <v>0.0</v>
      </c>
      <c r="I822" s="16">
        <v>162.04</v>
      </c>
      <c r="J822" s="16">
        <v>0.0</v>
      </c>
      <c r="K822" s="16">
        <v>0.0</v>
      </c>
      <c r="L822" s="16">
        <v>162.04</v>
      </c>
      <c r="M822" s="16">
        <v>156.8</v>
      </c>
      <c r="N822" s="16">
        <v>8.08</v>
      </c>
      <c r="O822" s="17">
        <v>1.5</v>
      </c>
      <c r="P822" s="18">
        <f t="shared" si="1"/>
        <v>162.04</v>
      </c>
    </row>
    <row r="823" ht="15.75" customHeight="1">
      <c r="A823" s="19" t="s">
        <v>216</v>
      </c>
      <c r="B823" s="19" t="s">
        <v>99</v>
      </c>
      <c r="C823" s="20" t="s">
        <v>128</v>
      </c>
      <c r="D823" s="14" t="str">
        <f>VLOOKUP(C823,'State Key'!$A$2:$B$210,2,False)</f>
        <v>Tamil Nadu</v>
      </c>
      <c r="E823" s="21">
        <v>1050.0</v>
      </c>
      <c r="F823" s="22">
        <v>446.799</v>
      </c>
      <c r="G823" s="22">
        <v>0.0</v>
      </c>
      <c r="H823" s="22">
        <v>0.0</v>
      </c>
      <c r="I823" s="22">
        <v>0.0</v>
      </c>
      <c r="J823" s="22">
        <v>0.0</v>
      </c>
      <c r="K823" s="22">
        <v>0.0</v>
      </c>
      <c r="L823" s="22">
        <v>446.799</v>
      </c>
      <c r="M823" s="22">
        <v>437.5</v>
      </c>
      <c r="N823" s="22">
        <v>86.98</v>
      </c>
      <c r="O823" s="17">
        <v>6.0</v>
      </c>
      <c r="P823" s="18">
        <f t="shared" si="1"/>
        <v>446.799</v>
      </c>
    </row>
    <row r="824" ht="15.75" customHeight="1">
      <c r="A824" s="13" t="s">
        <v>216</v>
      </c>
      <c r="B824" s="13" t="s">
        <v>99</v>
      </c>
      <c r="C824" s="14" t="s">
        <v>130</v>
      </c>
      <c r="D824" s="14" t="str">
        <f>VLOOKUP(C824,'State Key'!$A$2:$B$210,2,False)</f>
        <v>Tamil Nadu</v>
      </c>
      <c r="E824" s="15">
        <v>1500.0</v>
      </c>
      <c r="F824" s="16">
        <v>283.001</v>
      </c>
      <c r="G824" s="16">
        <v>123.981</v>
      </c>
      <c r="H824" s="16">
        <v>0.0</v>
      </c>
      <c r="I824" s="16">
        <v>0.0</v>
      </c>
      <c r="J824" s="16">
        <v>0.0</v>
      </c>
      <c r="K824" s="16">
        <v>0.0</v>
      </c>
      <c r="L824" s="16">
        <v>406.982</v>
      </c>
      <c r="M824" s="16">
        <v>535.557</v>
      </c>
      <c r="N824" s="16">
        <v>291.02</v>
      </c>
      <c r="O824" s="24">
        <v>16.3</v>
      </c>
      <c r="P824" s="18">
        <f t="shared" si="1"/>
        <v>406.982</v>
      </c>
    </row>
    <row r="825" ht="15.75" customHeight="1">
      <c r="A825" s="19" t="s">
        <v>216</v>
      </c>
      <c r="B825" s="19" t="s">
        <v>99</v>
      </c>
      <c r="C825" s="20" t="s">
        <v>131</v>
      </c>
      <c r="D825" s="14" t="str">
        <f>VLOOKUP(C825,'State Key'!$A$2:$B$210,2,False)</f>
        <v>Andhra Pradesh</v>
      </c>
      <c r="E825" s="21">
        <v>1040.0</v>
      </c>
      <c r="F825" s="22">
        <v>358.8161</v>
      </c>
      <c r="G825" s="22">
        <v>0.0</v>
      </c>
      <c r="H825" s="22">
        <v>0.0</v>
      </c>
      <c r="I825" s="22">
        <v>25.18255</v>
      </c>
      <c r="J825" s="22">
        <v>0.0</v>
      </c>
      <c r="K825" s="22">
        <v>0.0</v>
      </c>
      <c r="L825" s="22">
        <v>383.99865</v>
      </c>
      <c r="M825" s="22">
        <v>352.199</v>
      </c>
      <c r="N825" s="22">
        <v>81.8176</v>
      </c>
      <c r="O825" s="23">
        <v>7.0</v>
      </c>
      <c r="P825" s="18">
        <f t="shared" si="1"/>
        <v>383.99865</v>
      </c>
    </row>
    <row r="826" ht="15.75" customHeight="1">
      <c r="A826" s="13" t="s">
        <v>216</v>
      </c>
      <c r="B826" s="13" t="s">
        <v>99</v>
      </c>
      <c r="C826" s="14" t="s">
        <v>132</v>
      </c>
      <c r="D826" s="14" t="str">
        <f>VLOOKUP(C826,'State Key'!$A$2:$B$210,2,False)</f>
        <v>Karnataka</v>
      </c>
      <c r="E826" s="15">
        <v>1600.0</v>
      </c>
      <c r="F826" s="16">
        <v>0.0</v>
      </c>
      <c r="G826" s="16">
        <v>397.198</v>
      </c>
      <c r="H826" s="16">
        <v>0.0</v>
      </c>
      <c r="I826" s="16">
        <v>0.0</v>
      </c>
      <c r="J826" s="16">
        <v>0.0</v>
      </c>
      <c r="K826" s="16">
        <v>0.0</v>
      </c>
      <c r="L826" s="16">
        <v>397.198</v>
      </c>
      <c r="M826" s="16">
        <v>306.825</v>
      </c>
      <c r="N826" s="16">
        <v>93.814</v>
      </c>
      <c r="O826" s="23">
        <v>9.2</v>
      </c>
      <c r="P826" s="18">
        <f t="shared" si="1"/>
        <v>397.198</v>
      </c>
    </row>
    <row r="827" ht="15.75" customHeight="1">
      <c r="A827" s="19" t="s">
        <v>216</v>
      </c>
      <c r="B827" s="19" t="s">
        <v>133</v>
      </c>
      <c r="C827" s="20" t="s">
        <v>211</v>
      </c>
      <c r="D827" s="14" t="str">
        <f>VLOOKUP(C827,'State Key'!$A$2:$B$210,2,False)</f>
        <v>Gujarat</v>
      </c>
      <c r="E827" s="21">
        <v>2640.0</v>
      </c>
      <c r="F827" s="22">
        <v>0.0</v>
      </c>
      <c r="G827" s="22">
        <v>0.0</v>
      </c>
      <c r="H827" s="22">
        <v>0.0</v>
      </c>
      <c r="I827" s="22">
        <v>385.046</v>
      </c>
      <c r="J827" s="22">
        <v>0.0</v>
      </c>
      <c r="K827" s="22">
        <v>0.0</v>
      </c>
      <c r="L827" s="22">
        <v>385.046</v>
      </c>
      <c r="M827" s="22">
        <v>387.156</v>
      </c>
      <c r="N827" s="22">
        <v>4.046</v>
      </c>
      <c r="O827" s="17">
        <v>0.3</v>
      </c>
      <c r="P827" s="18">
        <f t="shared" si="1"/>
        <v>385.046</v>
      </c>
    </row>
    <row r="828" ht="15.75" customHeight="1">
      <c r="A828" s="13" t="s">
        <v>216</v>
      </c>
      <c r="B828" s="13" t="s">
        <v>133</v>
      </c>
      <c r="C828" s="14" t="s">
        <v>212</v>
      </c>
      <c r="D828" s="14" t="str">
        <f>VLOOKUP(C828,'State Key'!$A$2:$B$210,2,False)</f>
        <v>Gujarat</v>
      </c>
      <c r="E828" s="15">
        <v>1980.0</v>
      </c>
      <c r="F828" s="16">
        <v>0.0</v>
      </c>
      <c r="G828" s="16">
        <v>0.0</v>
      </c>
      <c r="H828" s="16">
        <v>0.0</v>
      </c>
      <c r="I828" s="16">
        <v>516.814</v>
      </c>
      <c r="J828" s="16">
        <v>0.0</v>
      </c>
      <c r="K828" s="16">
        <v>0.0</v>
      </c>
      <c r="L828" s="16">
        <v>516.814</v>
      </c>
      <c r="M828" s="16">
        <v>555.533</v>
      </c>
      <c r="N828" s="16">
        <v>9.444</v>
      </c>
      <c r="O828" s="17">
        <v>0.5</v>
      </c>
      <c r="P828" s="18">
        <f t="shared" si="1"/>
        <v>516.814</v>
      </c>
    </row>
    <row r="829" ht="15.75" customHeight="1">
      <c r="A829" s="19" t="s">
        <v>216</v>
      </c>
      <c r="B829" s="19" t="s">
        <v>133</v>
      </c>
      <c r="C829" s="20" t="s">
        <v>213</v>
      </c>
      <c r="D829" s="14" t="str">
        <f>VLOOKUP(C829,'State Key'!$A$2:$B$210,2,False)</f>
        <v>Chhattisgarh</v>
      </c>
      <c r="E829" s="21">
        <v>600.0</v>
      </c>
      <c r="F829" s="22">
        <v>20.6</v>
      </c>
      <c r="G829" s="22">
        <v>0.0</v>
      </c>
      <c r="H829" s="22">
        <v>0.0</v>
      </c>
      <c r="I829" s="22">
        <v>0.0</v>
      </c>
      <c r="J829" s="22">
        <v>14.391</v>
      </c>
      <c r="K829" s="22">
        <v>238.866</v>
      </c>
      <c r="L829" s="22">
        <v>273.857</v>
      </c>
      <c r="M829" s="22">
        <v>133.446</v>
      </c>
      <c r="N829" s="22">
        <v>213.94</v>
      </c>
      <c r="O829" s="24">
        <v>48.1</v>
      </c>
      <c r="P829" s="18">
        <f t="shared" si="1"/>
        <v>273.857</v>
      </c>
    </row>
    <row r="830" ht="15.75" customHeight="1">
      <c r="A830" s="13" t="s">
        <v>216</v>
      </c>
      <c r="B830" s="13" t="s">
        <v>133</v>
      </c>
      <c r="C830" s="14" t="s">
        <v>214</v>
      </c>
      <c r="D830" s="14" t="str">
        <f>VLOOKUP(C830,'State Key'!$A$2:$B$210,2,False)</f>
        <v>Chhattisgarh</v>
      </c>
      <c r="E830" s="15">
        <v>1370.0</v>
      </c>
      <c r="F830" s="16">
        <v>538.953</v>
      </c>
      <c r="G830" s="16">
        <v>0.0</v>
      </c>
      <c r="H830" s="16">
        <v>0.0</v>
      </c>
      <c r="I830" s="16">
        <v>46.421</v>
      </c>
      <c r="J830" s="16">
        <v>4.047</v>
      </c>
      <c r="K830" s="16">
        <v>0.0</v>
      </c>
      <c r="L830" s="16">
        <v>589.421</v>
      </c>
      <c r="M830" s="16">
        <v>426.128</v>
      </c>
      <c r="N830" s="16">
        <v>213.97</v>
      </c>
      <c r="O830" s="24">
        <v>15.1</v>
      </c>
      <c r="P830" s="18">
        <f t="shared" si="1"/>
        <v>589.421</v>
      </c>
    </row>
    <row r="831" ht="15.75" customHeight="1">
      <c r="A831" s="19" t="s">
        <v>216</v>
      </c>
      <c r="B831" s="19" t="s">
        <v>133</v>
      </c>
      <c r="C831" s="20" t="s">
        <v>215</v>
      </c>
      <c r="D831" s="14" t="str">
        <f>VLOOKUP(C831,'State Key'!$A$2:$B$210,2,False)</f>
        <v>Maharashtra</v>
      </c>
      <c r="E831" s="21">
        <v>3300.0</v>
      </c>
      <c r="F831" s="22">
        <v>965.734</v>
      </c>
      <c r="G831" s="22">
        <v>0.0</v>
      </c>
      <c r="H831" s="22">
        <v>0.0</v>
      </c>
      <c r="I831" s="22">
        <v>0.0</v>
      </c>
      <c r="J831" s="22">
        <v>0.0</v>
      </c>
      <c r="K831" s="22">
        <v>0.0</v>
      </c>
      <c r="L831" s="22">
        <v>965.734</v>
      </c>
      <c r="M831" s="22">
        <v>1089.251</v>
      </c>
      <c r="N831" s="22">
        <v>532.36</v>
      </c>
      <c r="O831" s="24">
        <v>14.7</v>
      </c>
      <c r="P831" s="18">
        <f t="shared" si="1"/>
        <v>965.734</v>
      </c>
    </row>
    <row r="832" ht="15.75" customHeight="1">
      <c r="A832" s="13" t="s">
        <v>216</v>
      </c>
      <c r="B832" s="13" t="s">
        <v>133</v>
      </c>
      <c r="C832" s="14" t="s">
        <v>134</v>
      </c>
      <c r="D832" s="14" t="str">
        <f>VLOOKUP(C832,'State Key'!$A$2:$B$210,2,False)</f>
        <v>Chhattisgarh</v>
      </c>
      <c r="E832" s="15">
        <v>1800.0</v>
      </c>
      <c r="F832" s="16">
        <v>550.3548</v>
      </c>
      <c r="G832" s="16">
        <v>0.0</v>
      </c>
      <c r="H832" s="16">
        <v>0.0</v>
      </c>
      <c r="I832" s="16">
        <v>0.0</v>
      </c>
      <c r="J832" s="16">
        <v>110.7457</v>
      </c>
      <c r="K832" s="16">
        <v>0.0</v>
      </c>
      <c r="L832" s="16">
        <v>661.1005</v>
      </c>
      <c r="M832" s="16">
        <v>640.85</v>
      </c>
      <c r="N832" s="16">
        <v>277.02</v>
      </c>
      <c r="O832" s="23">
        <v>13.0</v>
      </c>
      <c r="P832" s="18">
        <f t="shared" si="1"/>
        <v>661.1005</v>
      </c>
    </row>
    <row r="833" ht="15.75" customHeight="1">
      <c r="A833" s="19" t="s">
        <v>216</v>
      </c>
      <c r="B833" s="19" t="s">
        <v>133</v>
      </c>
      <c r="C833" s="20" t="s">
        <v>135</v>
      </c>
      <c r="D833" s="14" t="str">
        <f>VLOOKUP(C833,'State Key'!$A$2:$B$210,2,False)</f>
        <v>Madhya Pradesh</v>
      </c>
      <c r="E833" s="21">
        <v>210.0</v>
      </c>
      <c r="F833" s="22">
        <v>92.384</v>
      </c>
      <c r="G833" s="22">
        <v>0.0</v>
      </c>
      <c r="H833" s="22">
        <v>0.0</v>
      </c>
      <c r="I833" s="22">
        <v>0.0</v>
      </c>
      <c r="J833" s="22">
        <v>0.0</v>
      </c>
      <c r="K833" s="22">
        <v>0.0</v>
      </c>
      <c r="L833" s="22">
        <v>92.384</v>
      </c>
      <c r="M833" s="22">
        <v>94.394</v>
      </c>
      <c r="N833" s="22">
        <v>20.686</v>
      </c>
      <c r="O833" s="17">
        <v>6.6</v>
      </c>
      <c r="P833" s="18">
        <f t="shared" si="1"/>
        <v>92.384</v>
      </c>
    </row>
    <row r="834" ht="15.75" customHeight="1">
      <c r="A834" s="13" t="s">
        <v>216</v>
      </c>
      <c r="B834" s="13" t="s">
        <v>133</v>
      </c>
      <c r="C834" s="14" t="s">
        <v>136</v>
      </c>
      <c r="D834" s="14" t="str">
        <f>VLOOKUP(C834,'State Key'!$A$2:$B$210,2,False)</f>
        <v>Maharashtra</v>
      </c>
      <c r="E834" s="15">
        <v>1350.0</v>
      </c>
      <c r="F834" s="16">
        <v>630.518</v>
      </c>
      <c r="G834" s="16">
        <v>0.0</v>
      </c>
      <c r="H834" s="16">
        <v>0.0</v>
      </c>
      <c r="I834" s="16">
        <v>0.0</v>
      </c>
      <c r="J834" s="16">
        <v>0.0</v>
      </c>
      <c r="K834" s="16">
        <v>0.0</v>
      </c>
      <c r="L834" s="16">
        <v>630.518</v>
      </c>
      <c r="M834" s="16">
        <v>560.381</v>
      </c>
      <c r="N834" s="16">
        <v>242.87</v>
      </c>
      <c r="O834" s="23">
        <v>13.0</v>
      </c>
      <c r="P834" s="18">
        <f t="shared" si="1"/>
        <v>630.518</v>
      </c>
    </row>
    <row r="835" ht="15.75" customHeight="1">
      <c r="A835" s="19" t="s">
        <v>216</v>
      </c>
      <c r="B835" s="19" t="s">
        <v>133</v>
      </c>
      <c r="C835" s="20" t="s">
        <v>137</v>
      </c>
      <c r="D835" s="14" t="str">
        <f>VLOOKUP(C835,'State Key'!$A$2:$B$210,2,False)</f>
        <v>Madhya Pradesh</v>
      </c>
      <c r="E835" s="21">
        <v>1250.0</v>
      </c>
      <c r="F835" s="22">
        <v>391.59</v>
      </c>
      <c r="G835" s="22">
        <v>0.0</v>
      </c>
      <c r="H835" s="22">
        <v>0.0</v>
      </c>
      <c r="I835" s="22">
        <v>0.0</v>
      </c>
      <c r="J835" s="22">
        <v>0.0</v>
      </c>
      <c r="K835" s="22">
        <v>139.1</v>
      </c>
      <c r="L835" s="22">
        <v>530.69</v>
      </c>
      <c r="M835" s="22">
        <v>557.86</v>
      </c>
      <c r="N835" s="22">
        <v>281.1</v>
      </c>
      <c r="O835" s="24">
        <v>15.1</v>
      </c>
      <c r="P835" s="18">
        <f t="shared" si="1"/>
        <v>530.69</v>
      </c>
    </row>
    <row r="836" ht="15.75" customHeight="1">
      <c r="A836" s="13" t="s">
        <v>216</v>
      </c>
      <c r="B836" s="13" t="s">
        <v>133</v>
      </c>
      <c r="C836" s="14" t="s">
        <v>139</v>
      </c>
      <c r="D836" s="14" t="str">
        <f>VLOOKUP(C836,'State Key'!$A$2:$B$210,2,False)</f>
        <v>Chhattisgarh</v>
      </c>
      <c r="E836" s="15">
        <v>600.0</v>
      </c>
      <c r="F836" s="16">
        <v>11.799</v>
      </c>
      <c r="G836" s="16">
        <v>0.0</v>
      </c>
      <c r="H836" s="16">
        <v>0.0</v>
      </c>
      <c r="I836" s="16">
        <v>0.0</v>
      </c>
      <c r="J836" s="16">
        <v>0.0</v>
      </c>
      <c r="K836" s="16">
        <v>124.882</v>
      </c>
      <c r="L836" s="16">
        <v>136.681</v>
      </c>
      <c r="M836" s="16">
        <v>145.391</v>
      </c>
      <c r="N836" s="16">
        <v>92.03</v>
      </c>
      <c r="O836" s="24">
        <v>19.0</v>
      </c>
      <c r="P836" s="18">
        <f t="shared" si="1"/>
        <v>136.681</v>
      </c>
    </row>
    <row r="837" ht="15.75" customHeight="1">
      <c r="A837" s="19" t="s">
        <v>216</v>
      </c>
      <c r="B837" s="19" t="s">
        <v>133</v>
      </c>
      <c r="C837" s="20" t="s">
        <v>140</v>
      </c>
      <c r="D837" s="14" t="str">
        <f>VLOOKUP(C837,'State Key'!$A$2:$B$210,2,False)</f>
        <v>Chhattisgarh</v>
      </c>
      <c r="E837" s="21">
        <v>300.0</v>
      </c>
      <c r="F837" s="22">
        <v>152.632</v>
      </c>
      <c r="G837" s="22">
        <v>0.0</v>
      </c>
      <c r="H837" s="22">
        <v>0.0</v>
      </c>
      <c r="I837" s="22">
        <v>0.0</v>
      </c>
      <c r="J837" s="22">
        <v>0.0</v>
      </c>
      <c r="K837" s="22">
        <v>21.362</v>
      </c>
      <c r="L837" s="22">
        <v>173.994</v>
      </c>
      <c r="M837" s="22">
        <v>155.768</v>
      </c>
      <c r="N837" s="22">
        <v>81.76</v>
      </c>
      <c r="O837" s="24">
        <v>15.7</v>
      </c>
      <c r="P837" s="18">
        <f t="shared" si="1"/>
        <v>173.994</v>
      </c>
    </row>
    <row r="838" ht="15.75" customHeight="1">
      <c r="A838" s="13" t="s">
        <v>216</v>
      </c>
      <c r="B838" s="13" t="s">
        <v>133</v>
      </c>
      <c r="C838" s="14" t="s">
        <v>141</v>
      </c>
      <c r="D838" s="14" t="str">
        <f>VLOOKUP(C838,'State Key'!$A$2:$B$210,2,False)</f>
        <v>Chhattisgarh</v>
      </c>
      <c r="E838" s="15">
        <v>1200.0</v>
      </c>
      <c r="F838" s="16">
        <v>168.812</v>
      </c>
      <c r="G838" s="16">
        <v>0.0</v>
      </c>
      <c r="H838" s="16">
        <v>0.0</v>
      </c>
      <c r="I838" s="16">
        <v>0.0</v>
      </c>
      <c r="J838" s="16">
        <v>0.0</v>
      </c>
      <c r="K838" s="16">
        <v>176.496</v>
      </c>
      <c r="L838" s="16">
        <v>345.308</v>
      </c>
      <c r="M838" s="16">
        <v>546.114</v>
      </c>
      <c r="N838" s="16">
        <v>203.53</v>
      </c>
      <c r="O838" s="23">
        <v>11.2</v>
      </c>
      <c r="P838" s="18">
        <f t="shared" si="1"/>
        <v>345.308</v>
      </c>
    </row>
    <row r="839" ht="15.75" customHeight="1">
      <c r="A839" s="19" t="s">
        <v>216</v>
      </c>
      <c r="B839" s="19" t="s">
        <v>133</v>
      </c>
      <c r="C839" s="20" t="s">
        <v>142</v>
      </c>
      <c r="D839" s="14" t="str">
        <f>VLOOKUP(C839,'State Key'!$A$2:$B$210,2,False)</f>
        <v>Maharashtra</v>
      </c>
      <c r="E839" s="21">
        <v>270.0</v>
      </c>
      <c r="F839" s="22">
        <v>95.15</v>
      </c>
      <c r="G839" s="22">
        <v>0.0</v>
      </c>
      <c r="H839" s="22">
        <v>0.0</v>
      </c>
      <c r="I839" s="22">
        <v>0.0</v>
      </c>
      <c r="J839" s="22">
        <v>20.558</v>
      </c>
      <c r="K839" s="22">
        <v>3.082</v>
      </c>
      <c r="L839" s="22">
        <v>118.79</v>
      </c>
      <c r="M839" s="22">
        <v>125.378</v>
      </c>
      <c r="N839" s="22">
        <v>9.33</v>
      </c>
      <c r="O839" s="17">
        <v>2.2</v>
      </c>
      <c r="P839" s="18">
        <f t="shared" si="1"/>
        <v>118.79</v>
      </c>
    </row>
    <row r="840" ht="15.75" customHeight="1">
      <c r="A840" s="13" t="s">
        <v>216</v>
      </c>
      <c r="B840" s="13" t="s">
        <v>133</v>
      </c>
      <c r="C840" s="14" t="s">
        <v>143</v>
      </c>
      <c r="D840" s="14" t="str">
        <f>VLOOKUP(C840,'State Key'!$A$2:$B$210,2,False)</f>
        <v>Chhattisgarh</v>
      </c>
      <c r="E840" s="15">
        <v>500.0</v>
      </c>
      <c r="F840" s="16">
        <v>128.3</v>
      </c>
      <c r="G840" s="16">
        <v>12.165</v>
      </c>
      <c r="H840" s="16">
        <v>0.0</v>
      </c>
      <c r="I840" s="16">
        <v>0.0</v>
      </c>
      <c r="J840" s="16">
        <v>0.0</v>
      </c>
      <c r="K840" s="16">
        <v>0.0</v>
      </c>
      <c r="L840" s="16">
        <v>140.465</v>
      </c>
      <c r="M840" s="16">
        <v>264.211</v>
      </c>
      <c r="N840" s="16">
        <v>150.05</v>
      </c>
      <c r="O840" s="24">
        <v>17.0</v>
      </c>
      <c r="P840" s="18">
        <f t="shared" si="1"/>
        <v>140.465</v>
      </c>
    </row>
    <row r="841" ht="15.75" customHeight="1">
      <c r="A841" s="19" t="s">
        <v>216</v>
      </c>
      <c r="B841" s="19" t="s">
        <v>133</v>
      </c>
      <c r="C841" s="20" t="s">
        <v>144</v>
      </c>
      <c r="D841" s="14" t="str">
        <f>VLOOKUP(C841,'State Key'!$A$2:$B$210,2,False)</f>
        <v>Maharashtra</v>
      </c>
      <c r="E841" s="21">
        <v>1210.0</v>
      </c>
      <c r="F841" s="22">
        <v>442.29</v>
      </c>
      <c r="G841" s="22">
        <v>0.0</v>
      </c>
      <c r="H841" s="22">
        <v>0.0</v>
      </c>
      <c r="I841" s="22">
        <v>0.0</v>
      </c>
      <c r="J841" s="22">
        <v>0.0</v>
      </c>
      <c r="K841" s="22">
        <v>0.0</v>
      </c>
      <c r="L841" s="22">
        <v>442.29</v>
      </c>
      <c r="M841" s="22">
        <v>556.772</v>
      </c>
      <c r="N841" s="22">
        <v>138.266</v>
      </c>
      <c r="O841" s="23">
        <v>7.5</v>
      </c>
      <c r="P841" s="18">
        <f t="shared" si="1"/>
        <v>442.29</v>
      </c>
    </row>
    <row r="842" ht="15.75" customHeight="1">
      <c r="A842" s="13" t="s">
        <v>216</v>
      </c>
      <c r="B842" s="13" t="s">
        <v>133</v>
      </c>
      <c r="C842" s="14" t="s">
        <v>145</v>
      </c>
      <c r="D842" s="14" t="str">
        <f>VLOOKUP(C842,'State Key'!$A$2:$B$210,2,False)</f>
        <v>Madhya Pradesh</v>
      </c>
      <c r="E842" s="15">
        <v>500.0</v>
      </c>
      <c r="F842" s="16">
        <v>92.54</v>
      </c>
      <c r="G842" s="16">
        <v>0.0</v>
      </c>
      <c r="H842" s="16">
        <v>0.0</v>
      </c>
      <c r="I842" s="16">
        <v>0.0</v>
      </c>
      <c r="J842" s="16">
        <v>0.0</v>
      </c>
      <c r="K842" s="16">
        <v>36.8</v>
      </c>
      <c r="L842" s="16">
        <v>129.34</v>
      </c>
      <c r="M842" s="16">
        <v>127.02</v>
      </c>
      <c r="N842" s="16">
        <v>90.0</v>
      </c>
      <c r="O842" s="24">
        <v>21.3</v>
      </c>
      <c r="P842" s="18">
        <f t="shared" si="1"/>
        <v>129.34</v>
      </c>
    </row>
    <row r="843" ht="15.75" customHeight="1">
      <c r="A843" s="19" t="s">
        <v>216</v>
      </c>
      <c r="B843" s="19" t="s">
        <v>133</v>
      </c>
      <c r="C843" s="20" t="s">
        <v>146</v>
      </c>
      <c r="D843" s="14" t="str">
        <f>VLOOKUP(C843,'State Key'!$A$2:$B$210,2,False)</f>
        <v>Chhattisgarh</v>
      </c>
      <c r="E843" s="21">
        <v>600.0</v>
      </c>
      <c r="F843" s="22">
        <v>59.283</v>
      </c>
      <c r="G843" s="22">
        <v>0.0</v>
      </c>
      <c r="H843" s="22">
        <v>0.0</v>
      </c>
      <c r="I843" s="22">
        <v>0.0</v>
      </c>
      <c r="J843" s="22">
        <v>0.0</v>
      </c>
      <c r="K843" s="22">
        <v>90.9</v>
      </c>
      <c r="L843" s="22">
        <v>150.183</v>
      </c>
      <c r="M843" s="22">
        <v>159.69</v>
      </c>
      <c r="N843" s="22">
        <v>147.09</v>
      </c>
      <c r="O843" s="24">
        <v>27.6</v>
      </c>
      <c r="P843" s="18">
        <f t="shared" si="1"/>
        <v>150.183</v>
      </c>
    </row>
    <row r="844" ht="15.75" customHeight="1">
      <c r="A844" s="13" t="s">
        <v>216</v>
      </c>
      <c r="B844" s="13" t="s">
        <v>133</v>
      </c>
      <c r="C844" s="14" t="s">
        <v>147</v>
      </c>
      <c r="D844" s="14" t="str">
        <f>VLOOKUP(C844,'State Key'!$A$2:$B$210,2,False)</f>
        <v>Maharashtra</v>
      </c>
      <c r="E844" s="15">
        <v>600.0</v>
      </c>
      <c r="F844" s="16">
        <v>0.0</v>
      </c>
      <c r="G844" s="16">
        <v>0.0</v>
      </c>
      <c r="H844" s="16">
        <v>0.0</v>
      </c>
      <c r="I844" s="16">
        <v>0.0</v>
      </c>
      <c r="J844" s="16">
        <v>0.0</v>
      </c>
      <c r="K844" s="16">
        <v>0.0</v>
      </c>
      <c r="L844" s="16">
        <v>0.0</v>
      </c>
      <c r="M844" s="16">
        <v>0.0</v>
      </c>
      <c r="N844" s="16">
        <v>0.0</v>
      </c>
      <c r="O844" s="13" t="s">
        <v>58</v>
      </c>
      <c r="P844" s="18">
        <f t="shared" si="1"/>
        <v>0</v>
      </c>
    </row>
    <row r="845" ht="15.75" customHeight="1">
      <c r="A845" s="19" t="s">
        <v>216</v>
      </c>
      <c r="B845" s="19" t="s">
        <v>133</v>
      </c>
      <c r="C845" s="20" t="s">
        <v>148</v>
      </c>
      <c r="D845" s="14" t="str">
        <f>VLOOKUP(C845,'State Key'!$A$2:$B$210,2,False)</f>
        <v>Chhattisgarh</v>
      </c>
      <c r="E845" s="21">
        <v>30.0</v>
      </c>
      <c r="F845" s="22">
        <v>10.336</v>
      </c>
      <c r="G845" s="22">
        <v>0.0</v>
      </c>
      <c r="H845" s="22">
        <v>0.0</v>
      </c>
      <c r="I845" s="22">
        <v>0.0</v>
      </c>
      <c r="J845" s="22">
        <v>39.451</v>
      </c>
      <c r="K845" s="22">
        <v>0.0</v>
      </c>
      <c r="L845" s="22">
        <v>49.787</v>
      </c>
      <c r="M845" s="22">
        <v>47.894</v>
      </c>
      <c r="N845" s="22">
        <v>32.98</v>
      </c>
      <c r="O845" s="24">
        <v>20.7</v>
      </c>
      <c r="P845" s="18">
        <f t="shared" si="1"/>
        <v>49.787</v>
      </c>
    </row>
    <row r="846" ht="15.75" customHeight="1">
      <c r="A846" s="13" t="s">
        <v>216</v>
      </c>
      <c r="B846" s="13" t="s">
        <v>133</v>
      </c>
      <c r="C846" s="14" t="s">
        <v>149</v>
      </c>
      <c r="D846" s="14" t="str">
        <f>VLOOKUP(C846,'State Key'!$A$2:$B$210,2,False)</f>
        <v>Maharashtra</v>
      </c>
      <c r="E846" s="15">
        <v>2920.0</v>
      </c>
      <c r="F846" s="16">
        <v>775.707</v>
      </c>
      <c r="G846" s="16">
        <v>67.904</v>
      </c>
      <c r="H846" s="16">
        <v>0.0</v>
      </c>
      <c r="I846" s="16">
        <v>0.0</v>
      </c>
      <c r="J846" s="16">
        <v>0.0</v>
      </c>
      <c r="K846" s="16">
        <v>0.0</v>
      </c>
      <c r="L846" s="16">
        <v>843.611</v>
      </c>
      <c r="M846" s="16">
        <v>919.99</v>
      </c>
      <c r="N846" s="16">
        <v>334.92</v>
      </c>
      <c r="O846" s="23">
        <v>10.9</v>
      </c>
      <c r="P846" s="18">
        <f t="shared" si="1"/>
        <v>843.611</v>
      </c>
    </row>
    <row r="847" ht="15.75" customHeight="1">
      <c r="A847" s="19" t="s">
        <v>216</v>
      </c>
      <c r="B847" s="19" t="s">
        <v>133</v>
      </c>
      <c r="C847" s="20" t="s">
        <v>150</v>
      </c>
      <c r="D847" s="14" t="str">
        <f>VLOOKUP(C847,'State Key'!$A$2:$B$210,2,False)</f>
        <v>Maharashtra</v>
      </c>
      <c r="E847" s="21">
        <v>500.0</v>
      </c>
      <c r="F847" s="22">
        <v>210.469</v>
      </c>
      <c r="G847" s="22">
        <v>0.0</v>
      </c>
      <c r="H847" s="22">
        <v>0.0</v>
      </c>
      <c r="I847" s="22">
        <v>0.0</v>
      </c>
      <c r="J847" s="22">
        <v>0.0</v>
      </c>
      <c r="K847" s="22">
        <v>0.0</v>
      </c>
      <c r="L847" s="22">
        <v>210.469</v>
      </c>
      <c r="M847" s="22">
        <v>207.169</v>
      </c>
      <c r="N847" s="22">
        <v>8.65</v>
      </c>
      <c r="O847" s="17">
        <v>1.3</v>
      </c>
      <c r="P847" s="18">
        <f t="shared" si="1"/>
        <v>210.469</v>
      </c>
    </row>
    <row r="848" ht="15.75" customHeight="1">
      <c r="A848" s="13" t="s">
        <v>216</v>
      </c>
      <c r="B848" s="13" t="s">
        <v>133</v>
      </c>
      <c r="C848" s="14" t="s">
        <v>151</v>
      </c>
      <c r="D848" s="14" t="str">
        <f>VLOOKUP(C848,'State Key'!$A$2:$B$210,2,False)</f>
        <v>Maharashtra</v>
      </c>
      <c r="E848" s="15">
        <v>600.0</v>
      </c>
      <c r="F848" s="16">
        <v>244.349</v>
      </c>
      <c r="G848" s="16">
        <v>0.0</v>
      </c>
      <c r="H848" s="16">
        <v>0.0</v>
      </c>
      <c r="I848" s="16">
        <v>0.0</v>
      </c>
      <c r="J848" s="16">
        <v>0.0</v>
      </c>
      <c r="K848" s="16">
        <v>6.875</v>
      </c>
      <c r="L848" s="16">
        <v>251.224</v>
      </c>
      <c r="M848" s="16">
        <v>290.119</v>
      </c>
      <c r="N848" s="16">
        <v>41.45</v>
      </c>
      <c r="O848" s="17">
        <v>4.3</v>
      </c>
      <c r="P848" s="18">
        <f t="shared" si="1"/>
        <v>251.224</v>
      </c>
    </row>
    <row r="849" ht="15.75" customHeight="1">
      <c r="A849" s="19" t="s">
        <v>216</v>
      </c>
      <c r="B849" s="19" t="s">
        <v>133</v>
      </c>
      <c r="C849" s="20" t="s">
        <v>152</v>
      </c>
      <c r="D849" s="14" t="str">
        <f>VLOOKUP(C849,'State Key'!$A$2:$B$210,2,False)</f>
        <v>Chhattisgarh</v>
      </c>
      <c r="E849" s="21">
        <v>500.0</v>
      </c>
      <c r="F849" s="22">
        <v>299.83185</v>
      </c>
      <c r="G849" s="22">
        <v>0.0</v>
      </c>
      <c r="H849" s="22">
        <v>0.0</v>
      </c>
      <c r="I849" s="22">
        <v>0.0</v>
      </c>
      <c r="J849" s="22">
        <v>0.0</v>
      </c>
      <c r="K849" s="22">
        <v>0.0</v>
      </c>
      <c r="L849" s="22">
        <v>299.83185</v>
      </c>
      <c r="M849" s="22">
        <v>264.021</v>
      </c>
      <c r="N849" s="22">
        <v>364.51</v>
      </c>
      <c r="O849" s="24">
        <v>41.4</v>
      </c>
      <c r="P849" s="18">
        <f t="shared" si="1"/>
        <v>299.83185</v>
      </c>
    </row>
    <row r="850" ht="15.75" customHeight="1">
      <c r="A850" s="13" t="s">
        <v>216</v>
      </c>
      <c r="B850" s="13" t="s">
        <v>133</v>
      </c>
      <c r="C850" s="14" t="s">
        <v>153</v>
      </c>
      <c r="D850" s="14" t="str">
        <f>VLOOKUP(C850,'State Key'!$A$2:$B$210,2,False)</f>
        <v>Madhya Pradesh</v>
      </c>
      <c r="E850" s="15">
        <v>1600.0</v>
      </c>
      <c r="F850" s="16">
        <v>391.92</v>
      </c>
      <c r="G850" s="16">
        <v>0.0</v>
      </c>
      <c r="H850" s="16">
        <v>185.93</v>
      </c>
      <c r="I850" s="16">
        <v>0.0</v>
      </c>
      <c r="J850" s="16">
        <v>0.0</v>
      </c>
      <c r="K850" s="16">
        <v>0.0</v>
      </c>
      <c r="L850" s="16">
        <v>577.85</v>
      </c>
      <c r="M850" s="16">
        <v>678.776</v>
      </c>
      <c r="N850" s="16">
        <v>87.257</v>
      </c>
      <c r="O850" s="17">
        <v>3.9</v>
      </c>
      <c r="P850" s="18">
        <f t="shared" si="1"/>
        <v>577.85</v>
      </c>
    </row>
    <row r="851" ht="15.75" customHeight="1">
      <c r="A851" s="19" t="s">
        <v>216</v>
      </c>
      <c r="B851" s="19" t="s">
        <v>133</v>
      </c>
      <c r="C851" s="20" t="s">
        <v>154</v>
      </c>
      <c r="D851" s="14" t="str">
        <f>VLOOKUP(C851,'State Key'!$A$2:$B$210,2,False)</f>
        <v>Gujarat</v>
      </c>
      <c r="E851" s="21">
        <v>630.0</v>
      </c>
      <c r="F851" s="22">
        <v>135.398</v>
      </c>
      <c r="G851" s="22">
        <v>0.0</v>
      </c>
      <c r="H851" s="22">
        <v>0.0</v>
      </c>
      <c r="I851" s="22">
        <v>0.0</v>
      </c>
      <c r="J851" s="22">
        <v>0.0</v>
      </c>
      <c r="K851" s="22">
        <v>0.0</v>
      </c>
      <c r="L851" s="22">
        <v>135.398</v>
      </c>
      <c r="M851" s="22">
        <v>190.9145</v>
      </c>
      <c r="N851" s="22">
        <v>165.77</v>
      </c>
      <c r="O851" s="24">
        <v>26.0</v>
      </c>
      <c r="P851" s="18">
        <f t="shared" si="1"/>
        <v>135.398</v>
      </c>
    </row>
    <row r="852" ht="15.75" customHeight="1">
      <c r="A852" s="13" t="s">
        <v>216</v>
      </c>
      <c r="B852" s="13" t="s">
        <v>133</v>
      </c>
      <c r="C852" s="14" t="s">
        <v>155</v>
      </c>
      <c r="D852" s="14" t="str">
        <f>VLOOKUP(C852,'State Key'!$A$2:$B$210,2,False)</f>
        <v>Maharashtra</v>
      </c>
      <c r="E852" s="15">
        <v>120.0</v>
      </c>
      <c r="F852" s="16">
        <v>0.0</v>
      </c>
      <c r="G852" s="16">
        <v>0.0</v>
      </c>
      <c r="H852" s="16">
        <v>0.0</v>
      </c>
      <c r="I852" s="16">
        <v>0.0</v>
      </c>
      <c r="J852" s="16">
        <v>0.0</v>
      </c>
      <c r="K852" s="16">
        <v>0.0</v>
      </c>
      <c r="L852" s="16">
        <v>0.0</v>
      </c>
      <c r="M852" s="16">
        <v>0.0</v>
      </c>
      <c r="N852" s="16">
        <v>0.0</v>
      </c>
      <c r="O852" s="13" t="s">
        <v>58</v>
      </c>
      <c r="P852" s="18">
        <f t="shared" si="1"/>
        <v>0</v>
      </c>
    </row>
    <row r="853" ht="15.75" customHeight="1">
      <c r="A853" s="19" t="s">
        <v>216</v>
      </c>
      <c r="B853" s="19" t="s">
        <v>133</v>
      </c>
      <c r="C853" s="20" t="s">
        <v>156</v>
      </c>
      <c r="D853" s="14" t="str">
        <f>VLOOKUP(C853,'State Key'!$A$2:$B$210,2,False)</f>
        <v>Maharashtra</v>
      </c>
      <c r="E853" s="21">
        <v>600.0</v>
      </c>
      <c r="F853" s="22">
        <v>181.06</v>
      </c>
      <c r="G853" s="22">
        <v>0.0</v>
      </c>
      <c r="H853" s="22">
        <v>0.0</v>
      </c>
      <c r="I853" s="22">
        <v>0.0</v>
      </c>
      <c r="J853" s="22">
        <v>0.0</v>
      </c>
      <c r="K853" s="22">
        <v>48.069</v>
      </c>
      <c r="L853" s="22">
        <v>229.129</v>
      </c>
      <c r="M853" s="22">
        <v>186.943</v>
      </c>
      <c r="N853" s="22">
        <v>49.38</v>
      </c>
      <c r="O853" s="23">
        <v>7.9</v>
      </c>
      <c r="P853" s="18">
        <f t="shared" si="1"/>
        <v>229.129</v>
      </c>
    </row>
    <row r="854" ht="15.75" customHeight="1">
      <c r="A854" s="13" t="s">
        <v>216</v>
      </c>
      <c r="B854" s="13" t="s">
        <v>133</v>
      </c>
      <c r="C854" s="14" t="s">
        <v>157</v>
      </c>
      <c r="D854" s="14" t="str">
        <f>VLOOKUP(C854,'State Key'!$A$2:$B$210,2,False)</f>
        <v>Maharashtra</v>
      </c>
      <c r="E854" s="15">
        <v>300.0</v>
      </c>
      <c r="F854" s="16">
        <v>0.0</v>
      </c>
      <c r="G854" s="16">
        <v>0.0</v>
      </c>
      <c r="H854" s="16">
        <v>0.0</v>
      </c>
      <c r="I854" s="16">
        <v>0.0</v>
      </c>
      <c r="J854" s="16">
        <v>0.0</v>
      </c>
      <c r="K854" s="16">
        <v>0.0</v>
      </c>
      <c r="L854" s="16">
        <v>0.0</v>
      </c>
      <c r="M854" s="16">
        <v>3.353</v>
      </c>
      <c r="N854" s="16">
        <v>53.77</v>
      </c>
      <c r="O854" s="24">
        <v>481.1</v>
      </c>
      <c r="P854" s="18">
        <f t="shared" si="1"/>
        <v>0</v>
      </c>
    </row>
    <row r="855" ht="15.75" customHeight="1">
      <c r="A855" s="19" t="s">
        <v>216</v>
      </c>
      <c r="B855" s="19" t="s">
        <v>133</v>
      </c>
      <c r="C855" s="20" t="s">
        <v>158</v>
      </c>
      <c r="D855" s="14" t="str">
        <f>VLOOKUP(C855,'State Key'!$A$2:$B$210,2,False)</f>
        <v>Chhattisgarh</v>
      </c>
      <c r="E855" s="21">
        <v>270.0</v>
      </c>
      <c r="F855" s="22">
        <v>40.4465</v>
      </c>
      <c r="G855" s="22">
        <v>0.0</v>
      </c>
      <c r="H855" s="22">
        <v>0.0</v>
      </c>
      <c r="I855" s="22">
        <v>0.0</v>
      </c>
      <c r="J855" s="22">
        <v>100.2728</v>
      </c>
      <c r="K855" s="22">
        <v>0.0</v>
      </c>
      <c r="L855" s="22">
        <v>140.7193</v>
      </c>
      <c r="M855" s="22">
        <v>122.05</v>
      </c>
      <c r="N855" s="22">
        <v>54.57</v>
      </c>
      <c r="O855" s="23">
        <v>13.4</v>
      </c>
      <c r="P855" s="18">
        <f t="shared" si="1"/>
        <v>140.7193</v>
      </c>
    </row>
    <row r="856" ht="15.75" customHeight="1">
      <c r="A856" s="13" t="s">
        <v>216</v>
      </c>
      <c r="B856" s="13" t="s">
        <v>133</v>
      </c>
      <c r="C856" s="14" t="s">
        <v>159</v>
      </c>
      <c r="D856" s="14" t="str">
        <f>VLOOKUP(C856,'State Key'!$A$2:$B$210,2,False)</f>
        <v>Chhattisgarh</v>
      </c>
      <c r="E856" s="15">
        <v>35.0</v>
      </c>
      <c r="F856" s="16">
        <v>0.0</v>
      </c>
      <c r="G856" s="16">
        <v>0.0</v>
      </c>
      <c r="H856" s="16">
        <v>0.0</v>
      </c>
      <c r="I856" s="16">
        <v>0.0</v>
      </c>
      <c r="J856" s="16">
        <v>0.0</v>
      </c>
      <c r="K856" s="16">
        <v>0.0</v>
      </c>
      <c r="L856" s="16">
        <v>0.0</v>
      </c>
      <c r="M856" s="16">
        <v>0.0</v>
      </c>
      <c r="N856" s="16">
        <v>0.0</v>
      </c>
      <c r="O856" s="13" t="s">
        <v>58</v>
      </c>
      <c r="P856" s="18">
        <f t="shared" si="1"/>
        <v>0</v>
      </c>
    </row>
    <row r="857" ht="15.75" customHeight="1">
      <c r="A857" s="19" t="s">
        <v>216</v>
      </c>
      <c r="B857" s="19" t="s">
        <v>133</v>
      </c>
      <c r="C857" s="20" t="s">
        <v>160</v>
      </c>
      <c r="D857" s="14" t="str">
        <f>VLOOKUP(C857,'State Key'!$A$2:$B$210,2,False)</f>
        <v>Maharashtra</v>
      </c>
      <c r="E857" s="21">
        <v>1340.0</v>
      </c>
      <c r="F857" s="22">
        <v>438.522</v>
      </c>
      <c r="G857" s="22">
        <v>0.0</v>
      </c>
      <c r="H857" s="22">
        <v>0.0</v>
      </c>
      <c r="I857" s="22">
        <v>0.0</v>
      </c>
      <c r="J857" s="22">
        <v>0.0</v>
      </c>
      <c r="K857" s="22">
        <v>0.0</v>
      </c>
      <c r="L857" s="22">
        <v>438.522</v>
      </c>
      <c r="M857" s="22">
        <v>616.08</v>
      </c>
      <c r="N857" s="22">
        <v>133.71</v>
      </c>
      <c r="O857" s="17">
        <v>6.5</v>
      </c>
      <c r="P857" s="18">
        <f t="shared" si="1"/>
        <v>438.522</v>
      </c>
    </row>
    <row r="858" ht="15.75" customHeight="1">
      <c r="A858" s="13" t="s">
        <v>216</v>
      </c>
      <c r="B858" s="13" t="s">
        <v>133</v>
      </c>
      <c r="C858" s="14" t="s">
        <v>161</v>
      </c>
      <c r="D858" s="14" t="str">
        <f>VLOOKUP(C858,'State Key'!$A$2:$B$210,2,False)</f>
        <v>Madhya Pradesh</v>
      </c>
      <c r="E858" s="15">
        <v>1320.0</v>
      </c>
      <c r="F858" s="16">
        <v>149.13</v>
      </c>
      <c r="G858" s="16">
        <v>0.0</v>
      </c>
      <c r="H858" s="16">
        <v>91.96</v>
      </c>
      <c r="I858" s="16">
        <v>0.0</v>
      </c>
      <c r="J858" s="16">
        <v>0.0</v>
      </c>
      <c r="K858" s="16">
        <v>0.0</v>
      </c>
      <c r="L858" s="16">
        <v>241.09</v>
      </c>
      <c r="M858" s="16">
        <v>444.151</v>
      </c>
      <c r="N858" s="16">
        <v>77.453</v>
      </c>
      <c r="O858" s="17">
        <v>5.2</v>
      </c>
      <c r="P858" s="18">
        <f t="shared" si="1"/>
        <v>241.09</v>
      </c>
    </row>
    <row r="859" ht="15.75" customHeight="1">
      <c r="A859" s="19" t="s">
        <v>216</v>
      </c>
      <c r="B859" s="19" t="s">
        <v>133</v>
      </c>
      <c r="C859" s="20" t="s">
        <v>162</v>
      </c>
      <c r="D859" s="14" t="str">
        <f>VLOOKUP(C859,'State Key'!$A$2:$B$210,2,False)</f>
        <v>Maharashtra</v>
      </c>
      <c r="E859" s="21">
        <v>2190.0</v>
      </c>
      <c r="F859" s="22">
        <v>694.331</v>
      </c>
      <c r="G859" s="22">
        <v>3.953</v>
      </c>
      <c r="H859" s="22">
        <v>0.0</v>
      </c>
      <c r="I859" s="22">
        <v>0.0</v>
      </c>
      <c r="J859" s="22">
        <v>0.0</v>
      </c>
      <c r="K859" s="22">
        <v>0.0</v>
      </c>
      <c r="L859" s="22">
        <v>698.284</v>
      </c>
      <c r="M859" s="22">
        <v>598.796</v>
      </c>
      <c r="N859" s="22">
        <v>334.22</v>
      </c>
      <c r="O859" s="24">
        <v>16.7</v>
      </c>
      <c r="P859" s="18">
        <f t="shared" si="1"/>
        <v>698.284</v>
      </c>
    </row>
    <row r="860" ht="15.75" customHeight="1">
      <c r="A860" s="13" t="s">
        <v>216</v>
      </c>
      <c r="B860" s="13" t="s">
        <v>133</v>
      </c>
      <c r="C860" s="14" t="s">
        <v>163</v>
      </c>
      <c r="D860" s="14" t="str">
        <f>VLOOKUP(C860,'State Key'!$A$2:$B$210,2,False)</f>
        <v>Chhattisgarh</v>
      </c>
      <c r="E860" s="15">
        <v>2600.0</v>
      </c>
      <c r="F860" s="16">
        <v>962.27</v>
      </c>
      <c r="G860" s="16">
        <v>0.0</v>
      </c>
      <c r="H860" s="16">
        <v>0.0</v>
      </c>
      <c r="I860" s="16">
        <v>0.0</v>
      </c>
      <c r="J860" s="16">
        <v>0.0</v>
      </c>
      <c r="K860" s="16">
        <v>0.0</v>
      </c>
      <c r="L860" s="16">
        <v>962.27</v>
      </c>
      <c r="M860" s="16">
        <v>991.864</v>
      </c>
      <c r="N860" s="16">
        <v>403.95</v>
      </c>
      <c r="O860" s="23">
        <v>12.2</v>
      </c>
      <c r="P860" s="18">
        <f t="shared" si="1"/>
        <v>962.27</v>
      </c>
    </row>
    <row r="861" ht="15.75" customHeight="1">
      <c r="A861" s="19" t="s">
        <v>216</v>
      </c>
      <c r="B861" s="19" t="s">
        <v>133</v>
      </c>
      <c r="C861" s="20" t="s">
        <v>164</v>
      </c>
      <c r="D861" s="14" t="str">
        <f>VLOOKUP(C861,'State Key'!$A$2:$B$210,2,False)</f>
        <v>Chhattisgarh</v>
      </c>
      <c r="E861" s="21">
        <v>1340.0</v>
      </c>
      <c r="F861" s="22">
        <v>561.135</v>
      </c>
      <c r="G861" s="22">
        <v>0.0</v>
      </c>
      <c r="H861" s="22">
        <v>0.0</v>
      </c>
      <c r="I861" s="22">
        <v>0.0</v>
      </c>
      <c r="J861" s="22">
        <v>0.0</v>
      </c>
      <c r="K861" s="22">
        <v>0.0</v>
      </c>
      <c r="L861" s="22">
        <v>561.135</v>
      </c>
      <c r="M861" s="22">
        <v>650.773</v>
      </c>
      <c r="N861" s="22">
        <v>366.35</v>
      </c>
      <c r="O861" s="24">
        <v>16.9</v>
      </c>
      <c r="P861" s="18">
        <f t="shared" si="1"/>
        <v>561.135</v>
      </c>
    </row>
    <row r="862" ht="15.75" customHeight="1">
      <c r="A862" s="13" t="s">
        <v>216</v>
      </c>
      <c r="B862" s="13" t="s">
        <v>133</v>
      </c>
      <c r="C862" s="14" t="s">
        <v>165</v>
      </c>
      <c r="D862" s="14" t="str">
        <f>VLOOKUP(C862,'State Key'!$A$2:$B$210,2,False)</f>
        <v>Chhattisgarh</v>
      </c>
      <c r="E862" s="15">
        <v>1600.0</v>
      </c>
      <c r="F862" s="16">
        <v>59.18</v>
      </c>
      <c r="G862" s="16">
        <v>0.0</v>
      </c>
      <c r="H862" s="16">
        <v>662.81</v>
      </c>
      <c r="I862" s="16">
        <v>0.067</v>
      </c>
      <c r="J862" s="16">
        <v>0.0</v>
      </c>
      <c r="K862" s="16">
        <v>0.0</v>
      </c>
      <c r="L862" s="16">
        <v>722.057</v>
      </c>
      <c r="M862" s="16">
        <v>661.777</v>
      </c>
      <c r="N862" s="16">
        <v>421.47</v>
      </c>
      <c r="O862" s="24">
        <v>19.1</v>
      </c>
      <c r="P862" s="18">
        <f t="shared" si="1"/>
        <v>722.057</v>
      </c>
    </row>
    <row r="863" ht="15.75" customHeight="1">
      <c r="A863" s="19" t="s">
        <v>216</v>
      </c>
      <c r="B863" s="19" t="s">
        <v>133</v>
      </c>
      <c r="C863" s="20" t="s">
        <v>166</v>
      </c>
      <c r="D863" s="14" t="str">
        <f>VLOOKUP(C863,'State Key'!$A$2:$B$210,2,False)</f>
        <v>Madhya Pradesh</v>
      </c>
      <c r="E863" s="21">
        <v>1200.0</v>
      </c>
      <c r="F863" s="22">
        <v>187.35</v>
      </c>
      <c r="G863" s="22">
        <v>0.0</v>
      </c>
      <c r="H863" s="22">
        <v>0.0</v>
      </c>
      <c r="I863" s="22">
        <v>0.0</v>
      </c>
      <c r="J863" s="22">
        <v>0.0</v>
      </c>
      <c r="K863" s="22">
        <v>0.0</v>
      </c>
      <c r="L863" s="22">
        <v>187.35</v>
      </c>
      <c r="M863" s="22">
        <v>240.257</v>
      </c>
      <c r="N863" s="22">
        <v>232.58</v>
      </c>
      <c r="O863" s="24">
        <v>29.0</v>
      </c>
      <c r="P863" s="18">
        <f t="shared" si="1"/>
        <v>187.35</v>
      </c>
    </row>
    <row r="864" ht="15.75" customHeight="1">
      <c r="A864" s="13" t="s">
        <v>216</v>
      </c>
      <c r="B864" s="13" t="s">
        <v>133</v>
      </c>
      <c r="C864" s="14" t="s">
        <v>167</v>
      </c>
      <c r="D864" s="14" t="str">
        <f>VLOOKUP(C864,'State Key'!$A$2:$B$210,2,False)</f>
        <v>Chhattisgarh</v>
      </c>
      <c r="E864" s="15">
        <v>1000.0</v>
      </c>
      <c r="F864" s="16">
        <v>130.959</v>
      </c>
      <c r="G864" s="16">
        <v>0.0</v>
      </c>
      <c r="H864" s="16">
        <v>305.99</v>
      </c>
      <c r="I864" s="16">
        <v>0.0</v>
      </c>
      <c r="J864" s="16">
        <v>0.0</v>
      </c>
      <c r="K864" s="16">
        <v>0.0</v>
      </c>
      <c r="L864" s="16">
        <v>436.949</v>
      </c>
      <c r="M864" s="16">
        <v>467.801</v>
      </c>
      <c r="N864" s="16">
        <v>380.89</v>
      </c>
      <c r="O864" s="24">
        <v>24.4</v>
      </c>
      <c r="P864" s="18">
        <f t="shared" si="1"/>
        <v>436.949</v>
      </c>
    </row>
    <row r="865" ht="15.75" customHeight="1">
      <c r="A865" s="19" t="s">
        <v>216</v>
      </c>
      <c r="B865" s="19" t="s">
        <v>133</v>
      </c>
      <c r="C865" s="20" t="s">
        <v>168</v>
      </c>
      <c r="D865" s="14" t="str">
        <f>VLOOKUP(C865,'State Key'!$A$2:$B$210,2,False)</f>
        <v>Maharashtra</v>
      </c>
      <c r="E865" s="21">
        <v>2320.0</v>
      </c>
      <c r="F865" s="22">
        <v>776.16</v>
      </c>
      <c r="G865" s="22">
        <v>4.04</v>
      </c>
      <c r="H865" s="22">
        <v>36.03</v>
      </c>
      <c r="I865" s="22">
        <v>0.633</v>
      </c>
      <c r="J865" s="22">
        <v>0.0</v>
      </c>
      <c r="K865" s="22">
        <v>0.0</v>
      </c>
      <c r="L865" s="22">
        <v>816.863</v>
      </c>
      <c r="M865" s="22">
        <v>1012.379</v>
      </c>
      <c r="N865" s="22">
        <v>169.83</v>
      </c>
      <c r="O865" s="17">
        <v>5.0</v>
      </c>
      <c r="P865" s="18">
        <f t="shared" si="1"/>
        <v>816.863</v>
      </c>
    </row>
    <row r="866" ht="15.75" customHeight="1">
      <c r="A866" s="13" t="s">
        <v>216</v>
      </c>
      <c r="B866" s="13" t="s">
        <v>133</v>
      </c>
      <c r="C866" s="14" t="s">
        <v>169</v>
      </c>
      <c r="D866" s="14" t="str">
        <f>VLOOKUP(C866,'State Key'!$A$2:$B$210,2,False)</f>
        <v>Madhya Pradesh</v>
      </c>
      <c r="E866" s="15">
        <v>246.0</v>
      </c>
      <c r="F866" s="16">
        <v>0.0</v>
      </c>
      <c r="G866" s="16">
        <v>0.0</v>
      </c>
      <c r="H866" s="16">
        <v>0.0</v>
      </c>
      <c r="I866" s="16">
        <v>0.0</v>
      </c>
      <c r="J866" s="16">
        <v>0.0</v>
      </c>
      <c r="K866" s="16">
        <v>0.0</v>
      </c>
      <c r="L866" s="16">
        <v>0.0</v>
      </c>
      <c r="M866" s="16">
        <v>0.0</v>
      </c>
      <c r="N866" s="16">
        <v>0.0</v>
      </c>
      <c r="O866" s="13" t="s">
        <v>58</v>
      </c>
      <c r="P866" s="18">
        <f t="shared" si="1"/>
        <v>0</v>
      </c>
    </row>
    <row r="867" ht="15.75" customHeight="1">
      <c r="A867" s="19" t="s">
        <v>216</v>
      </c>
      <c r="B867" s="19" t="s">
        <v>133</v>
      </c>
      <c r="C867" s="20" t="s">
        <v>172</v>
      </c>
      <c r="D867" s="14" t="str">
        <f>VLOOKUP(C867,'State Key'!$A$2:$B$210,2,False)</f>
        <v>Gujarat</v>
      </c>
      <c r="E867" s="21">
        <v>4000.0</v>
      </c>
      <c r="F867" s="22">
        <v>0.0</v>
      </c>
      <c r="G867" s="22">
        <v>0.0</v>
      </c>
      <c r="H867" s="22">
        <v>0.0</v>
      </c>
      <c r="I867" s="22">
        <v>960.525</v>
      </c>
      <c r="J867" s="22">
        <v>0.0</v>
      </c>
      <c r="K867" s="22">
        <v>0.0</v>
      </c>
      <c r="L867" s="22">
        <v>960.525</v>
      </c>
      <c r="M867" s="22">
        <v>940.777</v>
      </c>
      <c r="N867" s="22">
        <v>408.31</v>
      </c>
      <c r="O867" s="23">
        <v>13.0</v>
      </c>
      <c r="P867" s="18">
        <f t="shared" si="1"/>
        <v>960.525</v>
      </c>
    </row>
    <row r="868" ht="15.75" customHeight="1">
      <c r="A868" s="13" t="s">
        <v>216</v>
      </c>
      <c r="B868" s="13" t="s">
        <v>133</v>
      </c>
      <c r="C868" s="14" t="s">
        <v>173</v>
      </c>
      <c r="D868" s="14" t="str">
        <f>VLOOKUP(C868,'State Key'!$A$2:$B$210,2,False)</f>
        <v>Maharashtra</v>
      </c>
      <c r="E868" s="15">
        <v>1350.0</v>
      </c>
      <c r="F868" s="16">
        <v>0.0</v>
      </c>
      <c r="G868" s="16">
        <v>0.0</v>
      </c>
      <c r="H868" s="16">
        <v>0.0</v>
      </c>
      <c r="I868" s="16">
        <v>0.0</v>
      </c>
      <c r="J868" s="16">
        <v>0.0</v>
      </c>
      <c r="K868" s="16">
        <v>0.0</v>
      </c>
      <c r="L868" s="16">
        <v>0.0</v>
      </c>
      <c r="M868" s="16">
        <v>0.0</v>
      </c>
      <c r="N868" s="16">
        <v>0.0</v>
      </c>
      <c r="O868" s="13" t="s">
        <v>58</v>
      </c>
      <c r="P868" s="18">
        <f t="shared" si="1"/>
        <v>0</v>
      </c>
    </row>
    <row r="869" ht="15.75" customHeight="1">
      <c r="A869" s="19" t="s">
        <v>216</v>
      </c>
      <c r="B869" s="19" t="s">
        <v>133</v>
      </c>
      <c r="C869" s="20" t="s">
        <v>174</v>
      </c>
      <c r="D869" s="14" t="str">
        <f>VLOOKUP(C869,'State Key'!$A$2:$B$210,2,False)</f>
        <v>Maharashtra</v>
      </c>
      <c r="E869" s="21">
        <v>630.0</v>
      </c>
      <c r="F869" s="22">
        <v>163.177</v>
      </c>
      <c r="G869" s="22">
        <v>0.0</v>
      </c>
      <c r="H869" s="22">
        <v>0.0</v>
      </c>
      <c r="I869" s="22">
        <v>0.0</v>
      </c>
      <c r="J869" s="22">
        <v>0.0</v>
      </c>
      <c r="K869" s="22">
        <v>0.0</v>
      </c>
      <c r="L869" s="22">
        <v>163.177</v>
      </c>
      <c r="M869" s="22">
        <v>211.952</v>
      </c>
      <c r="N869" s="22">
        <v>105.36</v>
      </c>
      <c r="O869" s="24">
        <v>14.9</v>
      </c>
      <c r="P869" s="18">
        <f t="shared" si="1"/>
        <v>163.177</v>
      </c>
    </row>
    <row r="870" ht="15.75" customHeight="1">
      <c r="A870" s="13" t="s">
        <v>216</v>
      </c>
      <c r="B870" s="13" t="s">
        <v>133</v>
      </c>
      <c r="C870" s="14" t="s">
        <v>175</v>
      </c>
      <c r="D870" s="14" t="str">
        <f>VLOOKUP(C870,'State Key'!$A$2:$B$210,2,False)</f>
        <v>Chhattisgarh</v>
      </c>
      <c r="E870" s="15">
        <v>600.0</v>
      </c>
      <c r="F870" s="16">
        <v>172.414</v>
      </c>
      <c r="G870" s="16">
        <v>0.0</v>
      </c>
      <c r="H870" s="16">
        <v>0.0</v>
      </c>
      <c r="I870" s="16">
        <v>0.0</v>
      </c>
      <c r="J870" s="16">
        <v>0.0</v>
      </c>
      <c r="K870" s="16">
        <v>0.0</v>
      </c>
      <c r="L870" s="16">
        <v>172.414</v>
      </c>
      <c r="M870" s="16">
        <v>239.218</v>
      </c>
      <c r="N870" s="16">
        <v>91.04</v>
      </c>
      <c r="O870" s="23">
        <v>11.4</v>
      </c>
      <c r="P870" s="18">
        <f t="shared" si="1"/>
        <v>172.414</v>
      </c>
    </row>
    <row r="871" ht="15.75" customHeight="1">
      <c r="A871" s="19" t="s">
        <v>216</v>
      </c>
      <c r="B871" s="19" t="s">
        <v>133</v>
      </c>
      <c r="C871" s="20" t="s">
        <v>176</v>
      </c>
      <c r="D871" s="14" t="str">
        <f>VLOOKUP(C871,'State Key'!$A$2:$B$210,2,False)</f>
        <v>Madhya Pradesh</v>
      </c>
      <c r="E871" s="21">
        <v>1320.0</v>
      </c>
      <c r="F871" s="22">
        <v>0.0</v>
      </c>
      <c r="G871" s="22">
        <v>0.0</v>
      </c>
      <c r="H871" s="22">
        <v>243.5148</v>
      </c>
      <c r="I871" s="22">
        <v>0.0</v>
      </c>
      <c r="J871" s="22">
        <v>0.0</v>
      </c>
      <c r="K871" s="22">
        <v>92.8971</v>
      </c>
      <c r="L871" s="22">
        <v>336.4119</v>
      </c>
      <c r="M871" s="22">
        <v>319.436</v>
      </c>
      <c r="N871" s="22">
        <v>324.0383</v>
      </c>
      <c r="O871" s="24">
        <v>30.4</v>
      </c>
      <c r="P871" s="18">
        <f t="shared" si="1"/>
        <v>336.4119</v>
      </c>
    </row>
    <row r="872" ht="15.75" customHeight="1">
      <c r="A872" s="13" t="s">
        <v>216</v>
      </c>
      <c r="B872" s="13" t="s">
        <v>133</v>
      </c>
      <c r="C872" s="14" t="s">
        <v>177</v>
      </c>
      <c r="D872" s="14" t="str">
        <f>VLOOKUP(C872,'State Key'!$A$2:$B$210,2,False)</f>
        <v>Madhya Pradesh</v>
      </c>
      <c r="E872" s="15">
        <v>90.0</v>
      </c>
      <c r="F872" s="16">
        <v>25.65</v>
      </c>
      <c r="G872" s="16">
        <v>0.0</v>
      </c>
      <c r="H872" s="16">
        <v>0.0</v>
      </c>
      <c r="I872" s="16">
        <v>0.0</v>
      </c>
      <c r="J872" s="16">
        <v>21.46</v>
      </c>
      <c r="K872" s="16">
        <v>0.0</v>
      </c>
      <c r="L872" s="16">
        <v>47.11</v>
      </c>
      <c r="M872" s="16">
        <v>37.65</v>
      </c>
      <c r="N872" s="16">
        <v>68.94</v>
      </c>
      <c r="O872" s="24">
        <v>54.9</v>
      </c>
      <c r="P872" s="18">
        <f t="shared" si="1"/>
        <v>47.11</v>
      </c>
    </row>
    <row r="873" ht="15.75" customHeight="1">
      <c r="A873" s="19" t="s">
        <v>216</v>
      </c>
      <c r="B873" s="19" t="s">
        <v>133</v>
      </c>
      <c r="C873" s="20" t="s">
        <v>178</v>
      </c>
      <c r="D873" s="14" t="str">
        <f>VLOOKUP(C873,'State Key'!$A$2:$B$210,2,False)</f>
        <v>Chhattisgarh</v>
      </c>
      <c r="E873" s="21">
        <v>1000.0</v>
      </c>
      <c r="F873" s="22">
        <v>0.0</v>
      </c>
      <c r="G873" s="22">
        <v>0.0</v>
      </c>
      <c r="H873" s="22">
        <v>0.0</v>
      </c>
      <c r="I873" s="22">
        <v>0.0</v>
      </c>
      <c r="J873" s="22">
        <v>76.473</v>
      </c>
      <c r="K873" s="22">
        <v>414.008</v>
      </c>
      <c r="L873" s="22">
        <v>490.481</v>
      </c>
      <c r="M873" s="22">
        <v>521.195</v>
      </c>
      <c r="N873" s="22">
        <v>350.661</v>
      </c>
      <c r="O873" s="24">
        <v>20.2</v>
      </c>
      <c r="P873" s="18">
        <f t="shared" si="1"/>
        <v>490.481</v>
      </c>
    </row>
    <row r="874" ht="15.75" customHeight="1">
      <c r="A874" s="13" t="s">
        <v>216</v>
      </c>
      <c r="B874" s="13" t="s">
        <v>133</v>
      </c>
      <c r="C874" s="14" t="s">
        <v>179</v>
      </c>
      <c r="D874" s="14" t="str">
        <f>VLOOKUP(C874,'State Key'!$A$2:$B$210,2,False)</f>
        <v>Maharashtra</v>
      </c>
      <c r="E874" s="15">
        <v>500.0</v>
      </c>
      <c r="F874" s="16">
        <v>176.647</v>
      </c>
      <c r="G874" s="16">
        <v>0.071</v>
      </c>
      <c r="H874" s="16">
        <v>0.0</v>
      </c>
      <c r="I874" s="16">
        <v>0.0</v>
      </c>
      <c r="J874" s="16">
        <v>0.0</v>
      </c>
      <c r="K874" s="16">
        <v>0.0</v>
      </c>
      <c r="L874" s="16">
        <v>176.718</v>
      </c>
      <c r="M874" s="16">
        <v>222.83</v>
      </c>
      <c r="N874" s="16">
        <v>34.87</v>
      </c>
      <c r="O874" s="17">
        <v>4.7</v>
      </c>
      <c r="P874" s="18">
        <f t="shared" si="1"/>
        <v>176.718</v>
      </c>
    </row>
    <row r="875" ht="15.75" customHeight="1">
      <c r="A875" s="19" t="s">
        <v>216</v>
      </c>
      <c r="B875" s="19" t="s">
        <v>133</v>
      </c>
      <c r="C875" s="20" t="s">
        <v>180</v>
      </c>
      <c r="D875" s="14" t="str">
        <f>VLOOKUP(C875,'State Key'!$A$2:$B$210,2,False)</f>
        <v>Maharashtra</v>
      </c>
      <c r="E875" s="21">
        <v>750.0</v>
      </c>
      <c r="F875" s="22">
        <v>19.884</v>
      </c>
      <c r="G875" s="22">
        <v>129.319</v>
      </c>
      <c r="H875" s="22">
        <v>0.0</v>
      </c>
      <c r="I875" s="22">
        <v>0.0</v>
      </c>
      <c r="J875" s="22">
        <v>0.0</v>
      </c>
      <c r="K875" s="22">
        <v>0.0</v>
      </c>
      <c r="L875" s="22">
        <v>149.203</v>
      </c>
      <c r="M875" s="22">
        <v>239.023</v>
      </c>
      <c r="N875" s="22">
        <v>36.77</v>
      </c>
      <c r="O875" s="17">
        <v>4.6</v>
      </c>
      <c r="P875" s="18">
        <f t="shared" si="1"/>
        <v>149.203</v>
      </c>
    </row>
    <row r="876" ht="15.75" customHeight="1">
      <c r="A876" s="13" t="s">
        <v>216</v>
      </c>
      <c r="B876" s="13" t="s">
        <v>133</v>
      </c>
      <c r="C876" s="14" t="s">
        <v>181</v>
      </c>
      <c r="D876" s="14" t="str">
        <f>VLOOKUP(C876,'State Key'!$A$2:$B$210,2,False)</f>
        <v>Chhattisgarh</v>
      </c>
      <c r="E876" s="15">
        <v>600.0</v>
      </c>
      <c r="F876" s="16">
        <v>93.83</v>
      </c>
      <c r="G876" s="16">
        <v>0.0</v>
      </c>
      <c r="H876" s="16">
        <v>0.0</v>
      </c>
      <c r="I876" s="16">
        <v>0.0</v>
      </c>
      <c r="J876" s="16">
        <v>0.0</v>
      </c>
      <c r="K876" s="16">
        <v>0.0</v>
      </c>
      <c r="L876" s="16">
        <v>93.83</v>
      </c>
      <c r="M876" s="16">
        <v>103.61</v>
      </c>
      <c r="N876" s="16">
        <v>306.11</v>
      </c>
      <c r="O876" s="24">
        <v>88.6</v>
      </c>
      <c r="P876" s="18">
        <f t="shared" si="1"/>
        <v>93.83</v>
      </c>
    </row>
    <row r="877" ht="15.75" customHeight="1">
      <c r="A877" s="19" t="s">
        <v>216</v>
      </c>
      <c r="B877" s="19" t="s">
        <v>133</v>
      </c>
      <c r="C877" s="20" t="s">
        <v>183</v>
      </c>
      <c r="D877" s="14" t="str">
        <f>VLOOKUP(C877,'State Key'!$A$2:$B$210,2,False)</f>
        <v>Chhattisgarh</v>
      </c>
      <c r="E877" s="21">
        <v>100.0</v>
      </c>
      <c r="F877" s="22">
        <v>0.0</v>
      </c>
      <c r="G877" s="22">
        <v>0.0</v>
      </c>
      <c r="H877" s="22">
        <v>0.0</v>
      </c>
      <c r="I877" s="22">
        <v>0.0</v>
      </c>
      <c r="J877" s="22">
        <v>61.518</v>
      </c>
      <c r="K877" s="22">
        <v>0.0</v>
      </c>
      <c r="L877" s="22">
        <v>61.518</v>
      </c>
      <c r="M877" s="22">
        <v>73.905</v>
      </c>
      <c r="N877" s="22">
        <v>42.38</v>
      </c>
      <c r="O877" s="24">
        <v>17.2</v>
      </c>
      <c r="P877" s="18">
        <f t="shared" si="1"/>
        <v>61.518</v>
      </c>
    </row>
    <row r="878" ht="15.75" customHeight="1">
      <c r="A878" s="13" t="s">
        <v>216</v>
      </c>
      <c r="B878" s="13" t="s">
        <v>133</v>
      </c>
      <c r="C878" s="14" t="s">
        <v>184</v>
      </c>
      <c r="D878" s="14" t="str">
        <f>VLOOKUP(C878,'State Key'!$A$2:$B$210,2,False)</f>
        <v>Gujarat</v>
      </c>
      <c r="E878" s="15">
        <v>362.0</v>
      </c>
      <c r="F878" s="16">
        <v>104.06</v>
      </c>
      <c r="G878" s="16">
        <v>0.0</v>
      </c>
      <c r="H878" s="16">
        <v>0.0</v>
      </c>
      <c r="I878" s="16">
        <v>47.24</v>
      </c>
      <c r="J878" s="16">
        <v>0.0</v>
      </c>
      <c r="K878" s="16">
        <v>0.0</v>
      </c>
      <c r="L878" s="16">
        <v>151.3</v>
      </c>
      <c r="M878" s="16">
        <v>154.97</v>
      </c>
      <c r="N878" s="16">
        <v>101.55</v>
      </c>
      <c r="O878" s="24">
        <v>19.7</v>
      </c>
      <c r="P878" s="18">
        <f t="shared" si="1"/>
        <v>151.3</v>
      </c>
    </row>
    <row r="879" ht="15.75" customHeight="1">
      <c r="A879" s="19" t="s">
        <v>216</v>
      </c>
      <c r="B879" s="19" t="s">
        <v>133</v>
      </c>
      <c r="C879" s="20" t="s">
        <v>185</v>
      </c>
      <c r="D879" s="14" t="str">
        <f>VLOOKUP(C879,'State Key'!$A$2:$B$210,2,False)</f>
        <v>Gujarat</v>
      </c>
      <c r="E879" s="21">
        <v>1200.0</v>
      </c>
      <c r="F879" s="22">
        <v>0.0</v>
      </c>
      <c r="G879" s="22">
        <v>0.0</v>
      </c>
      <c r="H879" s="22">
        <v>0.0</v>
      </c>
      <c r="I879" s="22">
        <v>51.202</v>
      </c>
      <c r="J879" s="22">
        <v>0.0</v>
      </c>
      <c r="K879" s="22">
        <v>0.0</v>
      </c>
      <c r="L879" s="22">
        <v>51.202</v>
      </c>
      <c r="M879" s="22">
        <v>132.441</v>
      </c>
      <c r="N879" s="22">
        <v>211.6504</v>
      </c>
      <c r="O879" s="24">
        <v>47.9</v>
      </c>
      <c r="P879" s="18">
        <f t="shared" si="1"/>
        <v>51.202</v>
      </c>
    </row>
    <row r="880" ht="15.75" customHeight="1">
      <c r="A880" s="13" t="s">
        <v>216</v>
      </c>
      <c r="B880" s="13" t="s">
        <v>133</v>
      </c>
      <c r="C880" s="14" t="s">
        <v>186</v>
      </c>
      <c r="D880" s="14" t="str">
        <f>VLOOKUP(C880,'State Key'!$A$2:$B$210,2,False)</f>
        <v>Chhattisgarh</v>
      </c>
      <c r="E880" s="15">
        <v>135.0</v>
      </c>
      <c r="F880" s="16">
        <v>0.0</v>
      </c>
      <c r="G880" s="16">
        <v>0.0</v>
      </c>
      <c r="H880" s="16">
        <v>0.0</v>
      </c>
      <c r="I880" s="16">
        <v>0.0</v>
      </c>
      <c r="J880" s="16">
        <v>0.0</v>
      </c>
      <c r="K880" s="16">
        <v>0.0</v>
      </c>
      <c r="L880" s="16">
        <v>0.0</v>
      </c>
      <c r="M880" s="16">
        <v>0.0</v>
      </c>
      <c r="N880" s="16">
        <v>0.0</v>
      </c>
      <c r="O880" s="13" t="s">
        <v>58</v>
      </c>
      <c r="P880" s="18">
        <f t="shared" si="1"/>
        <v>0</v>
      </c>
    </row>
    <row r="881" ht="15.75" customHeight="1">
      <c r="A881" s="19" t="s">
        <v>216</v>
      </c>
      <c r="B881" s="19" t="s">
        <v>133</v>
      </c>
      <c r="C881" s="20" t="s">
        <v>187</v>
      </c>
      <c r="D881" s="14" t="str">
        <f>VLOOKUP(C881,'State Key'!$A$2:$B$210,2,False)</f>
        <v>Madhya Pradesh</v>
      </c>
      <c r="E881" s="21">
        <v>1340.0</v>
      </c>
      <c r="F881" s="22">
        <v>488.545</v>
      </c>
      <c r="G881" s="22">
        <v>0.0</v>
      </c>
      <c r="H881" s="22">
        <v>0.0</v>
      </c>
      <c r="I881" s="22">
        <v>0.0</v>
      </c>
      <c r="J881" s="22">
        <v>0.0</v>
      </c>
      <c r="K881" s="22">
        <v>0.0</v>
      </c>
      <c r="L881" s="22">
        <v>488.545</v>
      </c>
      <c r="M881" s="22">
        <v>310.704</v>
      </c>
      <c r="N881" s="22">
        <v>207.24</v>
      </c>
      <c r="O881" s="24">
        <v>20.0</v>
      </c>
      <c r="P881" s="18">
        <f t="shared" si="1"/>
        <v>488.545</v>
      </c>
    </row>
    <row r="882" ht="15.75" customHeight="1">
      <c r="A882" s="13" t="s">
        <v>216</v>
      </c>
      <c r="B882" s="13" t="s">
        <v>133</v>
      </c>
      <c r="C882" s="14" t="s">
        <v>188</v>
      </c>
      <c r="D882" s="14" t="str">
        <f>VLOOKUP(C882,'State Key'!$A$2:$B$210,2,False)</f>
        <v>Madhya Pradesh</v>
      </c>
      <c r="E882" s="15">
        <v>3960.0</v>
      </c>
      <c r="F882" s="16">
        <v>0.0</v>
      </c>
      <c r="G882" s="16">
        <v>0.0</v>
      </c>
      <c r="H882" s="16">
        <v>1503.937</v>
      </c>
      <c r="I882" s="16">
        <v>0.0</v>
      </c>
      <c r="J882" s="16">
        <v>0.0</v>
      </c>
      <c r="K882" s="16">
        <v>0.0</v>
      </c>
      <c r="L882" s="16">
        <v>1503.937</v>
      </c>
      <c r="M882" s="16">
        <v>1615.682</v>
      </c>
      <c r="N882" s="16">
        <v>314.55</v>
      </c>
      <c r="O882" s="17">
        <v>5.8</v>
      </c>
      <c r="P882" s="18">
        <f t="shared" si="1"/>
        <v>1503.937</v>
      </c>
    </row>
    <row r="883" ht="15.75" customHeight="1">
      <c r="A883" s="19" t="s">
        <v>216</v>
      </c>
      <c r="B883" s="19" t="s">
        <v>133</v>
      </c>
      <c r="C883" s="20" t="s">
        <v>189</v>
      </c>
      <c r="D883" s="14" t="str">
        <f>VLOOKUP(C883,'State Key'!$A$2:$B$210,2,False)</f>
        <v>Madhya Pradesh</v>
      </c>
      <c r="E883" s="21">
        <v>1330.0</v>
      </c>
      <c r="F883" s="22">
        <v>99.463</v>
      </c>
      <c r="G883" s="22">
        <v>0.0</v>
      </c>
      <c r="H883" s="22">
        <v>0.0</v>
      </c>
      <c r="I883" s="22">
        <v>0.0</v>
      </c>
      <c r="J883" s="22">
        <v>0.0</v>
      </c>
      <c r="K883" s="22">
        <v>0.0</v>
      </c>
      <c r="L883" s="22">
        <v>99.463</v>
      </c>
      <c r="M883" s="22">
        <v>108.123</v>
      </c>
      <c r="N883" s="22">
        <v>102.98</v>
      </c>
      <c r="O883" s="24">
        <v>28.6</v>
      </c>
      <c r="P883" s="18">
        <f t="shared" si="1"/>
        <v>99.463</v>
      </c>
    </row>
    <row r="884" ht="15.75" customHeight="1">
      <c r="A884" s="13" t="s">
        <v>216</v>
      </c>
      <c r="B884" s="13" t="s">
        <v>133</v>
      </c>
      <c r="C884" s="14" t="s">
        <v>190</v>
      </c>
      <c r="D884" s="14" t="str">
        <f>VLOOKUP(C884,'State Key'!$A$2:$B$210,2,False)</f>
        <v>Madhya Pradesh</v>
      </c>
      <c r="E884" s="15">
        <v>600.0</v>
      </c>
      <c r="F884" s="16">
        <v>206.806</v>
      </c>
      <c r="G884" s="16">
        <v>0.0</v>
      </c>
      <c r="H884" s="16">
        <v>0.0</v>
      </c>
      <c r="I884" s="16">
        <v>0.0</v>
      </c>
      <c r="J884" s="16">
        <v>0.0</v>
      </c>
      <c r="K884" s="16">
        <v>91.774</v>
      </c>
      <c r="L884" s="16">
        <v>298.58</v>
      </c>
      <c r="M884" s="16">
        <v>173.247</v>
      </c>
      <c r="N884" s="16">
        <v>186.22</v>
      </c>
      <c r="O884" s="24">
        <v>32.2</v>
      </c>
      <c r="P884" s="18">
        <f t="shared" si="1"/>
        <v>298.58</v>
      </c>
    </row>
    <row r="885" ht="15.75" customHeight="1">
      <c r="A885" s="19" t="s">
        <v>216</v>
      </c>
      <c r="B885" s="19" t="s">
        <v>133</v>
      </c>
      <c r="C885" s="20" t="s">
        <v>191</v>
      </c>
      <c r="D885" s="14" t="str">
        <f>VLOOKUP(C885,'State Key'!$A$2:$B$210,2,False)</f>
        <v>Maharashtra</v>
      </c>
      <c r="E885" s="21">
        <v>150.0</v>
      </c>
      <c r="F885" s="22">
        <v>0.0</v>
      </c>
      <c r="G885" s="22">
        <v>0.0</v>
      </c>
      <c r="H885" s="22">
        <v>0.0</v>
      </c>
      <c r="I885" s="22">
        <v>0.0</v>
      </c>
      <c r="J885" s="22">
        <v>0.0</v>
      </c>
      <c r="K885" s="22">
        <v>0.0</v>
      </c>
      <c r="L885" s="22">
        <v>0.0</v>
      </c>
      <c r="M885" s="22">
        <v>0.0</v>
      </c>
      <c r="N885" s="22">
        <v>0.0</v>
      </c>
      <c r="O885" s="19" t="s">
        <v>58</v>
      </c>
      <c r="P885" s="18">
        <f t="shared" si="1"/>
        <v>0</v>
      </c>
    </row>
    <row r="886" ht="15.75" customHeight="1">
      <c r="A886" s="13" t="s">
        <v>216</v>
      </c>
      <c r="B886" s="13" t="s">
        <v>133</v>
      </c>
      <c r="C886" s="14" t="s">
        <v>192</v>
      </c>
      <c r="D886" s="14" t="str">
        <f>VLOOKUP(C886,'State Key'!$A$2:$B$210,2,False)</f>
        <v>Madhya Pradesh</v>
      </c>
      <c r="E886" s="15">
        <v>2520.0</v>
      </c>
      <c r="F886" s="16">
        <v>810.056</v>
      </c>
      <c r="G886" s="16">
        <v>0.0</v>
      </c>
      <c r="H886" s="16">
        <v>0.0</v>
      </c>
      <c r="I886" s="16">
        <v>0.0</v>
      </c>
      <c r="J886" s="16">
        <v>0.0</v>
      </c>
      <c r="K886" s="16">
        <v>0.0</v>
      </c>
      <c r="L886" s="16">
        <v>810.056</v>
      </c>
      <c r="M886" s="16">
        <v>959.382</v>
      </c>
      <c r="N886" s="16">
        <v>112.68</v>
      </c>
      <c r="O886" s="17">
        <v>3.5</v>
      </c>
      <c r="P886" s="18">
        <f t="shared" si="1"/>
        <v>810.056</v>
      </c>
    </row>
    <row r="887" ht="15.75" customHeight="1">
      <c r="A887" s="19" t="s">
        <v>216</v>
      </c>
      <c r="B887" s="19" t="s">
        <v>133</v>
      </c>
      <c r="C887" s="20" t="s">
        <v>193</v>
      </c>
      <c r="D887" s="14" t="str">
        <f>VLOOKUP(C887,'State Key'!$A$2:$B$210,2,False)</f>
        <v>Gujarat</v>
      </c>
      <c r="E887" s="21">
        <v>500.0</v>
      </c>
      <c r="F887" s="22">
        <v>0.0</v>
      </c>
      <c r="G887" s="22">
        <v>0.0</v>
      </c>
      <c r="H887" s="22">
        <v>0.0</v>
      </c>
      <c r="I887" s="22">
        <v>24.0</v>
      </c>
      <c r="J887" s="22">
        <v>0.0</v>
      </c>
      <c r="K887" s="22">
        <v>0.0</v>
      </c>
      <c r="L887" s="22">
        <v>24.0</v>
      </c>
      <c r="M887" s="22">
        <v>61.666</v>
      </c>
      <c r="N887" s="22">
        <v>42.27</v>
      </c>
      <c r="O887" s="24">
        <v>20.6</v>
      </c>
      <c r="P887" s="18">
        <f t="shared" si="1"/>
        <v>24</v>
      </c>
    </row>
    <row r="888" ht="15.75" customHeight="1">
      <c r="A888" s="13" t="s">
        <v>216</v>
      </c>
      <c r="B888" s="13" t="s">
        <v>133</v>
      </c>
      <c r="C888" s="14" t="s">
        <v>194</v>
      </c>
      <c r="D888" s="14" t="str">
        <f>VLOOKUP(C888,'State Key'!$A$2:$B$210,2,False)</f>
        <v>Chhattisgarh</v>
      </c>
      <c r="E888" s="15">
        <v>2980.0</v>
      </c>
      <c r="F888" s="16">
        <v>1084.83</v>
      </c>
      <c r="G888" s="16">
        <v>0.0</v>
      </c>
      <c r="H888" s="16">
        <v>0.0</v>
      </c>
      <c r="I888" s="16">
        <v>0.0</v>
      </c>
      <c r="J888" s="16">
        <v>0.0</v>
      </c>
      <c r="K888" s="16">
        <v>0.0</v>
      </c>
      <c r="L888" s="16">
        <v>1084.83</v>
      </c>
      <c r="M888" s="16">
        <v>1048.039</v>
      </c>
      <c r="N888" s="16">
        <v>707.2</v>
      </c>
      <c r="O888" s="24">
        <v>20.2</v>
      </c>
      <c r="P888" s="18">
        <f t="shared" si="1"/>
        <v>1084.83</v>
      </c>
    </row>
    <row r="889" ht="15.75" customHeight="1">
      <c r="A889" s="19" t="s">
        <v>216</v>
      </c>
      <c r="B889" s="19" t="s">
        <v>133</v>
      </c>
      <c r="C889" s="20" t="s">
        <v>195</v>
      </c>
      <c r="D889" s="14" t="str">
        <f>VLOOKUP(C889,'State Key'!$A$2:$B$210,2,False)</f>
        <v>Maharashtra</v>
      </c>
      <c r="E889" s="21">
        <v>1320.0</v>
      </c>
      <c r="F889" s="22">
        <v>231.44</v>
      </c>
      <c r="G889" s="22">
        <v>40.59</v>
      </c>
      <c r="H889" s="22">
        <v>187.32</v>
      </c>
      <c r="I889" s="22">
        <v>0.0</v>
      </c>
      <c r="J889" s="22">
        <v>0.0</v>
      </c>
      <c r="K889" s="22">
        <v>0.0</v>
      </c>
      <c r="L889" s="22">
        <v>459.35</v>
      </c>
      <c r="M889" s="22">
        <v>479.81</v>
      </c>
      <c r="N889" s="22">
        <v>76.89</v>
      </c>
      <c r="O889" s="17">
        <v>4.8</v>
      </c>
      <c r="P889" s="18">
        <f t="shared" si="1"/>
        <v>459.35</v>
      </c>
    </row>
    <row r="890" ht="15.75" customHeight="1">
      <c r="A890" s="13" t="s">
        <v>216</v>
      </c>
      <c r="B890" s="13" t="s">
        <v>133</v>
      </c>
      <c r="C890" s="14" t="s">
        <v>196</v>
      </c>
      <c r="D890" s="14" t="str">
        <f>VLOOKUP(C890,'State Key'!$A$2:$B$210,2,False)</f>
        <v>Chhattisgarh</v>
      </c>
      <c r="E890" s="15">
        <v>63.0</v>
      </c>
      <c r="F890" s="16">
        <v>0.0</v>
      </c>
      <c r="G890" s="16">
        <v>0.0</v>
      </c>
      <c r="H890" s="16">
        <v>0.0</v>
      </c>
      <c r="I890" s="16">
        <v>0.0</v>
      </c>
      <c r="J890" s="16">
        <v>0.0</v>
      </c>
      <c r="K890" s="16">
        <v>0.0</v>
      </c>
      <c r="L890" s="16">
        <v>0.0</v>
      </c>
      <c r="M890" s="16">
        <v>0.0</v>
      </c>
      <c r="N890" s="16">
        <v>0.0</v>
      </c>
      <c r="O890" s="13" t="s">
        <v>58</v>
      </c>
      <c r="P890" s="18">
        <f t="shared" si="1"/>
        <v>0</v>
      </c>
    </row>
    <row r="891" ht="15.75" customHeight="1">
      <c r="A891" s="19" t="s">
        <v>216</v>
      </c>
      <c r="B891" s="19" t="s">
        <v>133</v>
      </c>
      <c r="C891" s="20" t="s">
        <v>197</v>
      </c>
      <c r="D891" s="14" t="str">
        <f>VLOOKUP(C891,'State Key'!$A$2:$B$210,2,False)</f>
        <v>Chhattisgarh</v>
      </c>
      <c r="E891" s="21">
        <v>25.0</v>
      </c>
      <c r="F891" s="22">
        <v>0.0</v>
      </c>
      <c r="G891" s="22">
        <v>0.0</v>
      </c>
      <c r="H891" s="22">
        <v>0.0</v>
      </c>
      <c r="I891" s="22">
        <v>0.0</v>
      </c>
      <c r="J891" s="22">
        <v>0.0</v>
      </c>
      <c r="K891" s="22">
        <v>0.0</v>
      </c>
      <c r="L891" s="22">
        <v>0.0</v>
      </c>
      <c r="M891" s="22">
        <v>0.0</v>
      </c>
      <c r="N891" s="22">
        <v>0.0</v>
      </c>
      <c r="O891" s="19" t="s">
        <v>58</v>
      </c>
      <c r="P891" s="18">
        <f t="shared" si="1"/>
        <v>0</v>
      </c>
    </row>
    <row r="892" ht="15.75" customHeight="1">
      <c r="A892" s="13" t="s">
        <v>216</v>
      </c>
      <c r="B892" s="13" t="s">
        <v>133</v>
      </c>
      <c r="C892" s="14" t="s">
        <v>198</v>
      </c>
      <c r="D892" s="14" t="str">
        <f>VLOOKUP(C892,'State Key'!$A$2:$B$210,2,False)</f>
        <v>Chhattisgarh</v>
      </c>
      <c r="E892" s="15">
        <v>2400.0</v>
      </c>
      <c r="F892" s="16">
        <v>275.439</v>
      </c>
      <c r="G892" s="16">
        <v>0.0</v>
      </c>
      <c r="H892" s="16">
        <v>0.0</v>
      </c>
      <c r="I892" s="16">
        <v>60.681</v>
      </c>
      <c r="J892" s="16">
        <v>0.0</v>
      </c>
      <c r="K892" s="16">
        <v>644.923</v>
      </c>
      <c r="L892" s="16">
        <v>981.043</v>
      </c>
      <c r="M892" s="16">
        <v>943.594</v>
      </c>
      <c r="N892" s="16">
        <v>217.64</v>
      </c>
      <c r="O892" s="17">
        <v>6.9</v>
      </c>
      <c r="P892" s="18">
        <f t="shared" si="1"/>
        <v>981.043</v>
      </c>
    </row>
    <row r="893" ht="15.75" customHeight="1">
      <c r="A893" s="19" t="s">
        <v>216</v>
      </c>
      <c r="B893" s="19" t="s">
        <v>133</v>
      </c>
      <c r="C893" s="20" t="s">
        <v>200</v>
      </c>
      <c r="D893" s="14" t="str">
        <f>VLOOKUP(C893,'State Key'!$A$2:$B$210,2,False)</f>
        <v>Maharashtra</v>
      </c>
      <c r="E893" s="21">
        <v>750.0</v>
      </c>
      <c r="F893" s="22">
        <v>0.0</v>
      </c>
      <c r="G893" s="22">
        <v>0.0</v>
      </c>
      <c r="H893" s="22">
        <v>0.0</v>
      </c>
      <c r="I893" s="22">
        <v>211.625</v>
      </c>
      <c r="J893" s="22">
        <v>0.0</v>
      </c>
      <c r="K893" s="22">
        <v>0.0</v>
      </c>
      <c r="L893" s="22">
        <v>211.625</v>
      </c>
      <c r="M893" s="22">
        <v>212.793</v>
      </c>
      <c r="N893" s="22">
        <v>219.662</v>
      </c>
      <c r="O893" s="24">
        <v>31.0</v>
      </c>
      <c r="P893" s="18">
        <f t="shared" si="1"/>
        <v>211.625</v>
      </c>
    </row>
    <row r="894" ht="15.75" customHeight="1">
      <c r="A894" s="13" t="s">
        <v>216</v>
      </c>
      <c r="B894" s="13" t="s">
        <v>133</v>
      </c>
      <c r="C894" s="14" t="s">
        <v>201</v>
      </c>
      <c r="D894" s="14" t="str">
        <f>VLOOKUP(C894,'State Key'!$A$2:$B$210,2,False)</f>
        <v>Chhattisgarh</v>
      </c>
      <c r="E894" s="15">
        <v>1440.0</v>
      </c>
      <c r="F894" s="16">
        <v>186.121</v>
      </c>
      <c r="G894" s="16">
        <v>0.0</v>
      </c>
      <c r="H894" s="16">
        <v>0.0</v>
      </c>
      <c r="I894" s="16">
        <v>0.0</v>
      </c>
      <c r="J894" s="16">
        <v>0.0</v>
      </c>
      <c r="K894" s="16">
        <v>300.097</v>
      </c>
      <c r="L894" s="16">
        <v>486.218</v>
      </c>
      <c r="M894" s="16">
        <v>491.194</v>
      </c>
      <c r="N894" s="16">
        <v>209.67</v>
      </c>
      <c r="O894" s="23">
        <v>12.8</v>
      </c>
      <c r="P894" s="18">
        <f t="shared" si="1"/>
        <v>486.218</v>
      </c>
    </row>
    <row r="895" ht="15.75" customHeight="1">
      <c r="A895" s="19" t="s">
        <v>216</v>
      </c>
      <c r="B895" s="19" t="s">
        <v>133</v>
      </c>
      <c r="C895" s="20" t="s">
        <v>202</v>
      </c>
      <c r="D895" s="14" t="str">
        <f>VLOOKUP(C895,'State Key'!$A$2:$B$210,2,False)</f>
        <v>Gujarat</v>
      </c>
      <c r="E895" s="21">
        <v>1110.0</v>
      </c>
      <c r="F895" s="22">
        <v>299.641</v>
      </c>
      <c r="G895" s="22">
        <v>0.0</v>
      </c>
      <c r="H895" s="22">
        <v>0.0</v>
      </c>
      <c r="I895" s="22">
        <v>0.0</v>
      </c>
      <c r="J895" s="22">
        <v>0.0</v>
      </c>
      <c r="K895" s="22">
        <v>0.0</v>
      </c>
      <c r="L895" s="22">
        <v>299.641</v>
      </c>
      <c r="M895" s="22">
        <v>307.416</v>
      </c>
      <c r="N895" s="22">
        <v>233.52</v>
      </c>
      <c r="O895" s="24">
        <v>22.8</v>
      </c>
      <c r="P895" s="18">
        <f t="shared" si="1"/>
        <v>299.641</v>
      </c>
    </row>
    <row r="896" ht="15.75" customHeight="1">
      <c r="A896" s="13" t="s">
        <v>216</v>
      </c>
      <c r="B896" s="13" t="s">
        <v>133</v>
      </c>
      <c r="C896" s="14" t="s">
        <v>203</v>
      </c>
      <c r="D896" s="14" t="str">
        <f>VLOOKUP(C896,'State Key'!$A$2:$B$210,2,False)</f>
        <v>Madhya Pradesh</v>
      </c>
      <c r="E896" s="15">
        <v>4760.0</v>
      </c>
      <c r="F896" s="16">
        <v>1866.84</v>
      </c>
      <c r="G896" s="16">
        <v>0.0</v>
      </c>
      <c r="H896" s="16">
        <v>0.0</v>
      </c>
      <c r="I896" s="16">
        <v>0.0</v>
      </c>
      <c r="J896" s="16">
        <v>0.0</v>
      </c>
      <c r="K896" s="16">
        <v>0.0</v>
      </c>
      <c r="L896" s="16">
        <v>1866.84</v>
      </c>
      <c r="M896" s="16">
        <v>1949.134</v>
      </c>
      <c r="N896" s="16">
        <v>1300.86</v>
      </c>
      <c r="O896" s="24">
        <v>20.0</v>
      </c>
      <c r="P896" s="18">
        <f t="shared" si="1"/>
        <v>1866.84</v>
      </c>
    </row>
    <row r="897" ht="15.75" customHeight="1">
      <c r="A897" s="19" t="s">
        <v>216</v>
      </c>
      <c r="B897" s="19" t="s">
        <v>133</v>
      </c>
      <c r="C897" s="20" t="s">
        <v>204</v>
      </c>
      <c r="D897" s="14" t="str">
        <f>VLOOKUP(C897,'State Key'!$A$2:$B$210,2,False)</f>
        <v>Gujarat</v>
      </c>
      <c r="E897" s="21">
        <v>2270.0</v>
      </c>
      <c r="F897" s="22">
        <v>660.725</v>
      </c>
      <c r="G897" s="22">
        <v>0.0</v>
      </c>
      <c r="H897" s="22">
        <v>0.0</v>
      </c>
      <c r="I897" s="22">
        <v>0.0</v>
      </c>
      <c r="J897" s="22">
        <v>0.0</v>
      </c>
      <c r="K897" s="22">
        <v>0.0</v>
      </c>
      <c r="L897" s="22">
        <v>660.725</v>
      </c>
      <c r="M897" s="22">
        <v>831.506</v>
      </c>
      <c r="N897" s="22">
        <v>257.79</v>
      </c>
      <c r="O897" s="23">
        <v>9.3</v>
      </c>
      <c r="P897" s="18">
        <f t="shared" si="1"/>
        <v>660.725</v>
      </c>
    </row>
    <row r="898" ht="15.75" customHeight="1">
      <c r="A898" s="13" t="s">
        <v>216</v>
      </c>
      <c r="B898" s="13" t="s">
        <v>133</v>
      </c>
      <c r="C898" s="14" t="s">
        <v>205</v>
      </c>
      <c r="D898" s="14" t="str">
        <f>VLOOKUP(C898,'State Key'!$A$2:$B$210,2,False)</f>
        <v>Maharashtra</v>
      </c>
      <c r="E898" s="15">
        <v>540.0</v>
      </c>
      <c r="F898" s="16">
        <v>183.7953</v>
      </c>
      <c r="G898" s="16">
        <v>0.0</v>
      </c>
      <c r="H898" s="16">
        <v>0.0</v>
      </c>
      <c r="I898" s="16">
        <v>0.0</v>
      </c>
      <c r="J898" s="16">
        <v>0.0</v>
      </c>
      <c r="K898" s="16">
        <v>37.9403</v>
      </c>
      <c r="L898" s="16">
        <v>221.7356</v>
      </c>
      <c r="M898" s="16">
        <v>199.9772</v>
      </c>
      <c r="N898" s="16">
        <v>169.64</v>
      </c>
      <c r="O898" s="24">
        <v>25.4</v>
      </c>
      <c r="P898" s="18">
        <f t="shared" si="1"/>
        <v>221.7356</v>
      </c>
    </row>
    <row r="899" ht="15.75" customHeight="1">
      <c r="A899" s="19" t="s">
        <v>217</v>
      </c>
      <c r="B899" s="19" t="s">
        <v>22</v>
      </c>
      <c r="C899" s="20" t="s">
        <v>23</v>
      </c>
      <c r="D899" s="14" t="str">
        <f>VLOOKUP(C899,'State Key'!$A$2:$B$210,2,False)</f>
        <v>West Bengal</v>
      </c>
      <c r="E899" s="21">
        <v>1050.0</v>
      </c>
      <c r="F899" s="22">
        <v>135.438</v>
      </c>
      <c r="G899" s="22">
        <v>0.0</v>
      </c>
      <c r="H899" s="22">
        <v>253.337</v>
      </c>
      <c r="I899" s="22">
        <v>0.0</v>
      </c>
      <c r="J899" s="22">
        <v>0.0</v>
      </c>
      <c r="K899" s="22">
        <v>3.341</v>
      </c>
      <c r="L899" s="22">
        <v>392.116</v>
      </c>
      <c r="M899" s="22">
        <v>366.997</v>
      </c>
      <c r="N899" s="22">
        <v>55.55</v>
      </c>
      <c r="O899" s="17">
        <v>4.5</v>
      </c>
      <c r="P899" s="18">
        <f t="shared" si="1"/>
        <v>392.116</v>
      </c>
    </row>
    <row r="900" ht="15.75" customHeight="1">
      <c r="A900" s="13" t="s">
        <v>217</v>
      </c>
      <c r="B900" s="13" t="s">
        <v>22</v>
      </c>
      <c r="C900" s="14" t="s">
        <v>24</v>
      </c>
      <c r="D900" s="14" t="str">
        <f>VLOOKUP(C900,'State Key'!$A$2:$B$210,2,False)</f>
        <v>West Bengal</v>
      </c>
      <c r="E900" s="15">
        <v>270.0</v>
      </c>
      <c r="F900" s="16">
        <v>0.0</v>
      </c>
      <c r="G900" s="16">
        <v>0.0</v>
      </c>
      <c r="H900" s="16">
        <v>106.0</v>
      </c>
      <c r="I900" s="16">
        <v>0.0</v>
      </c>
      <c r="J900" s="16">
        <v>0.0</v>
      </c>
      <c r="K900" s="16">
        <v>3.636</v>
      </c>
      <c r="L900" s="16">
        <v>109.636</v>
      </c>
      <c r="M900" s="16">
        <v>95.554</v>
      </c>
      <c r="N900" s="16">
        <v>18.65</v>
      </c>
      <c r="O900" s="17">
        <v>5.9</v>
      </c>
      <c r="P900" s="18">
        <f t="shared" si="1"/>
        <v>109.636</v>
      </c>
    </row>
    <row r="901" ht="15.75" customHeight="1">
      <c r="A901" s="19" t="s">
        <v>217</v>
      </c>
      <c r="B901" s="19" t="s">
        <v>22</v>
      </c>
      <c r="C901" s="20" t="s">
        <v>25</v>
      </c>
      <c r="D901" s="14" t="str">
        <f>VLOOKUP(C901,'State Key'!$A$2:$B$210,2,False)</f>
        <v>Bihar</v>
      </c>
      <c r="E901" s="21">
        <v>710.0</v>
      </c>
      <c r="F901" s="22">
        <v>4.02</v>
      </c>
      <c r="G901" s="22">
        <v>0.0</v>
      </c>
      <c r="H901" s="22">
        <v>56.42</v>
      </c>
      <c r="I901" s="22">
        <v>0.0</v>
      </c>
      <c r="J901" s="22">
        <v>0.0</v>
      </c>
      <c r="K901" s="22">
        <v>0.0</v>
      </c>
      <c r="L901" s="22">
        <v>60.44</v>
      </c>
      <c r="M901" s="22">
        <v>82.17</v>
      </c>
      <c r="N901" s="22">
        <v>72.671</v>
      </c>
      <c r="O901" s="24">
        <v>26.5</v>
      </c>
      <c r="P901" s="18">
        <f t="shared" si="1"/>
        <v>60.44</v>
      </c>
    </row>
    <row r="902" ht="15.75" customHeight="1">
      <c r="A902" s="13" t="s">
        <v>217</v>
      </c>
      <c r="B902" s="13" t="s">
        <v>22</v>
      </c>
      <c r="C902" s="14" t="s">
        <v>26</v>
      </c>
      <c r="D902" s="14" t="str">
        <f>VLOOKUP(C902,'State Key'!$A$2:$B$210,2,False)</f>
        <v>Bihar</v>
      </c>
      <c r="E902" s="15">
        <v>2640.0</v>
      </c>
      <c r="F902" s="16">
        <v>442.46</v>
      </c>
      <c r="G902" s="16">
        <v>0.0</v>
      </c>
      <c r="H902" s="16">
        <v>371.19</v>
      </c>
      <c r="I902" s="16">
        <v>42.316</v>
      </c>
      <c r="J902" s="16">
        <v>0.0</v>
      </c>
      <c r="K902" s="16">
        <v>0.0</v>
      </c>
      <c r="L902" s="16">
        <v>855.966</v>
      </c>
      <c r="M902" s="16">
        <v>841.507</v>
      </c>
      <c r="N902" s="16">
        <v>162.588</v>
      </c>
      <c r="O902" s="17">
        <v>5.8</v>
      </c>
      <c r="P902" s="18">
        <f t="shared" si="1"/>
        <v>855.966</v>
      </c>
    </row>
    <row r="903" ht="15.75" customHeight="1">
      <c r="A903" s="19" t="s">
        <v>217</v>
      </c>
      <c r="B903" s="19" t="s">
        <v>22</v>
      </c>
      <c r="C903" s="20" t="s">
        <v>27</v>
      </c>
      <c r="D903" s="14" t="str">
        <f>VLOOKUP(C903,'State Key'!$A$2:$B$210,2,False)</f>
        <v>Jharkhand</v>
      </c>
      <c r="E903" s="21">
        <v>500.0</v>
      </c>
      <c r="F903" s="22">
        <v>139.977</v>
      </c>
      <c r="G903" s="22">
        <v>0.0</v>
      </c>
      <c r="H903" s="22">
        <v>0.0</v>
      </c>
      <c r="I903" s="22">
        <v>0.0</v>
      </c>
      <c r="J903" s="22">
        <v>0.0</v>
      </c>
      <c r="K903" s="22">
        <v>0.0</v>
      </c>
      <c r="L903" s="22">
        <v>139.977</v>
      </c>
      <c r="M903" s="22">
        <v>190.102</v>
      </c>
      <c r="N903" s="22">
        <v>104.86</v>
      </c>
      <c r="O903" s="24">
        <v>16.5</v>
      </c>
      <c r="P903" s="18">
        <f t="shared" si="1"/>
        <v>139.977</v>
      </c>
    </row>
    <row r="904" ht="15.75" customHeight="1">
      <c r="A904" s="13" t="s">
        <v>217</v>
      </c>
      <c r="B904" s="13" t="s">
        <v>22</v>
      </c>
      <c r="C904" s="14" t="s">
        <v>28</v>
      </c>
      <c r="D904" s="14" t="str">
        <f>VLOOKUP(C904,'State Key'!$A$2:$B$210,2,False)</f>
        <v>West Bengal</v>
      </c>
      <c r="E904" s="15">
        <v>750.0</v>
      </c>
      <c r="F904" s="16">
        <v>35.298</v>
      </c>
      <c r="G904" s="16">
        <v>0.0</v>
      </c>
      <c r="H904" s="16">
        <v>137.358</v>
      </c>
      <c r="I904" s="16">
        <v>0.0</v>
      </c>
      <c r="J904" s="16">
        <v>0.0</v>
      </c>
      <c r="K904" s="16">
        <v>78.204</v>
      </c>
      <c r="L904" s="16">
        <v>250.86</v>
      </c>
      <c r="M904" s="16">
        <v>333.045</v>
      </c>
      <c r="N904" s="16">
        <v>71.81</v>
      </c>
      <c r="O904" s="17">
        <v>6.5</v>
      </c>
      <c r="P904" s="18">
        <f t="shared" si="1"/>
        <v>250.86</v>
      </c>
    </row>
    <row r="905" ht="15.75" customHeight="1">
      <c r="A905" s="19" t="s">
        <v>217</v>
      </c>
      <c r="B905" s="19" t="s">
        <v>22</v>
      </c>
      <c r="C905" s="20" t="s">
        <v>29</v>
      </c>
      <c r="D905" s="14" t="str">
        <f>VLOOKUP(C905,'State Key'!$A$2:$B$210,2,False)</f>
        <v>Jharkhand</v>
      </c>
      <c r="E905" s="21">
        <v>500.0</v>
      </c>
      <c r="F905" s="22">
        <v>204.688</v>
      </c>
      <c r="G905" s="22">
        <v>0.0</v>
      </c>
      <c r="H905" s="22">
        <v>3.463</v>
      </c>
      <c r="I905" s="22">
        <v>3.757</v>
      </c>
      <c r="J905" s="22">
        <v>0.0</v>
      </c>
      <c r="K905" s="22">
        <v>0.0</v>
      </c>
      <c r="L905" s="22">
        <v>211.908</v>
      </c>
      <c r="M905" s="22">
        <v>226.375</v>
      </c>
      <c r="N905" s="22">
        <v>30.966</v>
      </c>
      <c r="O905" s="17">
        <v>4.1</v>
      </c>
      <c r="P905" s="18">
        <f t="shared" si="1"/>
        <v>211.908</v>
      </c>
    </row>
    <row r="906" ht="15.75" customHeight="1">
      <c r="A906" s="13" t="s">
        <v>217</v>
      </c>
      <c r="B906" s="13" t="s">
        <v>22</v>
      </c>
      <c r="C906" s="14" t="s">
        <v>30</v>
      </c>
      <c r="D906" s="14" t="str">
        <f>VLOOKUP(C906,'State Key'!$A$2:$B$210,2,False)</f>
        <v>West Bengal</v>
      </c>
      <c r="E906" s="15">
        <v>550.0</v>
      </c>
      <c r="F906" s="16">
        <v>111.909</v>
      </c>
      <c r="G906" s="16">
        <v>0.0</v>
      </c>
      <c r="H906" s="16">
        <v>0.0</v>
      </c>
      <c r="I906" s="16">
        <v>0.0</v>
      </c>
      <c r="J906" s="16">
        <v>0.0</v>
      </c>
      <c r="K906" s="16">
        <v>0.0</v>
      </c>
      <c r="L906" s="16">
        <v>111.909</v>
      </c>
      <c r="M906" s="16">
        <v>102.886</v>
      </c>
      <c r="N906" s="16">
        <v>13.09</v>
      </c>
      <c r="O906" s="17">
        <v>3.8</v>
      </c>
      <c r="P906" s="18">
        <f t="shared" si="1"/>
        <v>111.909</v>
      </c>
    </row>
    <row r="907" ht="15.75" customHeight="1">
      <c r="A907" s="19" t="s">
        <v>217</v>
      </c>
      <c r="B907" s="19" t="s">
        <v>22</v>
      </c>
      <c r="C907" s="20" t="s">
        <v>31</v>
      </c>
      <c r="D907" s="14" t="str">
        <f>VLOOKUP(C907,'State Key'!$A$2:$B$210,2,False)</f>
        <v>Odisha</v>
      </c>
      <c r="E907" s="21">
        <v>1600.0</v>
      </c>
      <c r="F907" s="22">
        <v>0.0</v>
      </c>
      <c r="G907" s="22">
        <v>0.0</v>
      </c>
      <c r="H907" s="22">
        <v>623.28</v>
      </c>
      <c r="I907" s="22">
        <v>0.0</v>
      </c>
      <c r="J907" s="22">
        <v>0.0</v>
      </c>
      <c r="K907" s="22">
        <v>0.0</v>
      </c>
      <c r="L907" s="22">
        <v>623.28</v>
      </c>
      <c r="M907" s="22">
        <v>749.979</v>
      </c>
      <c r="N907" s="22">
        <v>559.66</v>
      </c>
      <c r="O907" s="24">
        <v>22.4</v>
      </c>
      <c r="P907" s="18">
        <f t="shared" si="1"/>
        <v>623.28</v>
      </c>
    </row>
    <row r="908" ht="15.75" customHeight="1">
      <c r="A908" s="13" t="s">
        <v>217</v>
      </c>
      <c r="B908" s="13" t="s">
        <v>22</v>
      </c>
      <c r="C908" s="14" t="s">
        <v>32</v>
      </c>
      <c r="D908" s="14" t="str">
        <f>VLOOKUP(C908,'State Key'!$A$2:$B$210,2,False)</f>
        <v>Odisha</v>
      </c>
      <c r="E908" s="15">
        <v>1200.0</v>
      </c>
      <c r="F908" s="16">
        <v>227.293</v>
      </c>
      <c r="G908" s="16">
        <v>0.0</v>
      </c>
      <c r="H908" s="16">
        <v>0.0</v>
      </c>
      <c r="I908" s="16">
        <v>0.0</v>
      </c>
      <c r="J908" s="16">
        <v>0.0</v>
      </c>
      <c r="K908" s="16">
        <v>142.982</v>
      </c>
      <c r="L908" s="16">
        <v>370.275</v>
      </c>
      <c r="M908" s="16">
        <v>595.469</v>
      </c>
      <c r="N908" s="16">
        <v>649.96</v>
      </c>
      <c r="O908" s="24">
        <v>32.7</v>
      </c>
      <c r="P908" s="18">
        <f t="shared" si="1"/>
        <v>370.275</v>
      </c>
    </row>
    <row r="909" ht="15.75" customHeight="1">
      <c r="A909" s="19" t="s">
        <v>217</v>
      </c>
      <c r="B909" s="19" t="s">
        <v>22</v>
      </c>
      <c r="C909" s="20" t="s">
        <v>33</v>
      </c>
      <c r="D909" s="14" t="str">
        <f>VLOOKUP(C909,'State Key'!$A$2:$B$210,2,False)</f>
        <v>West Bengal</v>
      </c>
      <c r="E909" s="21">
        <v>12.0</v>
      </c>
      <c r="F909" s="22">
        <v>3.95</v>
      </c>
      <c r="G909" s="22">
        <v>0.0</v>
      </c>
      <c r="H909" s="22">
        <v>0.0</v>
      </c>
      <c r="I909" s="22">
        <v>0.0</v>
      </c>
      <c r="J909" s="22">
        <v>0.0</v>
      </c>
      <c r="K909" s="22">
        <v>0.0</v>
      </c>
      <c r="L909" s="22">
        <v>3.95</v>
      </c>
      <c r="M909" s="22">
        <v>4.43</v>
      </c>
      <c r="N909" s="22">
        <v>0.04</v>
      </c>
      <c r="O909" s="17">
        <v>0.3</v>
      </c>
      <c r="P909" s="18">
        <f t="shared" si="1"/>
        <v>3.95</v>
      </c>
    </row>
    <row r="910" ht="15.75" customHeight="1">
      <c r="A910" s="13" t="s">
        <v>217</v>
      </c>
      <c r="B910" s="13" t="s">
        <v>22</v>
      </c>
      <c r="C910" s="14" t="s">
        <v>34</v>
      </c>
      <c r="D910" s="14" t="str">
        <f>VLOOKUP(C910,'State Key'!$A$2:$B$210,2,False)</f>
        <v>West Bengal</v>
      </c>
      <c r="E910" s="15">
        <v>1000.0</v>
      </c>
      <c r="F910" s="16">
        <v>335.952</v>
      </c>
      <c r="G910" s="16">
        <v>0.0</v>
      </c>
      <c r="H910" s="16">
        <v>0.0</v>
      </c>
      <c r="I910" s="16">
        <v>3.547</v>
      </c>
      <c r="J910" s="16">
        <v>0.0</v>
      </c>
      <c r="K910" s="16">
        <v>0.0</v>
      </c>
      <c r="L910" s="16">
        <v>339.499</v>
      </c>
      <c r="M910" s="16">
        <v>376.153</v>
      </c>
      <c r="N910" s="16">
        <v>37.0</v>
      </c>
      <c r="O910" s="17">
        <v>3.0</v>
      </c>
      <c r="P910" s="18">
        <f t="shared" si="1"/>
        <v>339.499</v>
      </c>
    </row>
    <row r="911" ht="15.75" customHeight="1">
      <c r="A911" s="19" t="s">
        <v>217</v>
      </c>
      <c r="B911" s="19" t="s">
        <v>22</v>
      </c>
      <c r="C911" s="20" t="s">
        <v>35</v>
      </c>
      <c r="D911" s="14" t="str">
        <f>VLOOKUP(C911,'State Key'!$A$2:$B$210,2,False)</f>
        <v>West Bengal</v>
      </c>
      <c r="E911" s="21">
        <v>2100.0</v>
      </c>
      <c r="F911" s="22">
        <v>477.14</v>
      </c>
      <c r="G911" s="22">
        <v>0.0</v>
      </c>
      <c r="H911" s="22">
        <v>3.73</v>
      </c>
      <c r="I911" s="22">
        <v>67.317</v>
      </c>
      <c r="J911" s="22">
        <v>0.0</v>
      </c>
      <c r="K911" s="22">
        <v>0.0</v>
      </c>
      <c r="L911" s="22">
        <v>548.187</v>
      </c>
      <c r="M911" s="22">
        <v>723.566</v>
      </c>
      <c r="N911" s="22">
        <v>100.246</v>
      </c>
      <c r="O911" s="17">
        <v>4.2</v>
      </c>
      <c r="P911" s="18">
        <f t="shared" si="1"/>
        <v>548.187</v>
      </c>
    </row>
    <row r="912" ht="15.75" customHeight="1">
      <c r="A912" s="13" t="s">
        <v>217</v>
      </c>
      <c r="B912" s="13" t="s">
        <v>22</v>
      </c>
      <c r="C912" s="14" t="s">
        <v>36</v>
      </c>
      <c r="D912" s="14" t="str">
        <f>VLOOKUP(C912,'State Key'!$A$2:$B$210,2,False)</f>
        <v>West Bengal</v>
      </c>
      <c r="E912" s="15">
        <v>600.0</v>
      </c>
      <c r="F912" s="16">
        <v>282.435</v>
      </c>
      <c r="G912" s="16">
        <v>0.0</v>
      </c>
      <c r="H912" s="16">
        <v>0.0</v>
      </c>
      <c r="I912" s="16">
        <v>0.0</v>
      </c>
      <c r="J912" s="16">
        <v>0.0</v>
      </c>
      <c r="K912" s="16">
        <v>0.0</v>
      </c>
      <c r="L912" s="16">
        <v>282.435</v>
      </c>
      <c r="M912" s="16">
        <v>273.747</v>
      </c>
      <c r="N912" s="16">
        <v>130.33</v>
      </c>
      <c r="O912" s="24">
        <v>14.3</v>
      </c>
      <c r="P912" s="18">
        <f t="shared" si="1"/>
        <v>282.435</v>
      </c>
    </row>
    <row r="913" ht="15.75" customHeight="1">
      <c r="A913" s="19" t="s">
        <v>217</v>
      </c>
      <c r="B913" s="19" t="s">
        <v>22</v>
      </c>
      <c r="C913" s="20" t="s">
        <v>37</v>
      </c>
      <c r="D913" s="14" t="str">
        <f>VLOOKUP(C913,'State Key'!$A$2:$B$210,2,False)</f>
        <v>West Bengal</v>
      </c>
      <c r="E913" s="21">
        <v>300.0</v>
      </c>
      <c r="F913" s="22">
        <v>140.661</v>
      </c>
      <c r="G913" s="22">
        <v>0.0</v>
      </c>
      <c r="H913" s="22">
        <v>0.0</v>
      </c>
      <c r="I913" s="22">
        <v>0.0</v>
      </c>
      <c r="J913" s="22">
        <v>0.0</v>
      </c>
      <c r="K913" s="22">
        <v>0.0</v>
      </c>
      <c r="L913" s="22">
        <v>140.661</v>
      </c>
      <c r="M913" s="22">
        <v>156.159</v>
      </c>
      <c r="N913" s="22">
        <v>2.09</v>
      </c>
      <c r="O913" s="17">
        <v>0.4</v>
      </c>
      <c r="P913" s="18">
        <f t="shared" si="1"/>
        <v>140.661</v>
      </c>
    </row>
    <row r="914" ht="15.75" customHeight="1">
      <c r="A914" s="13" t="s">
        <v>217</v>
      </c>
      <c r="B914" s="13" t="s">
        <v>22</v>
      </c>
      <c r="C914" s="14" t="s">
        <v>38</v>
      </c>
      <c r="D914" s="14" t="str">
        <f>VLOOKUP(C914,'State Key'!$A$2:$B$210,2,False)</f>
        <v>Odisha</v>
      </c>
      <c r="E914" s="15">
        <v>1740.0</v>
      </c>
      <c r="F914" s="16">
        <v>163.803</v>
      </c>
      <c r="G914" s="16">
        <v>0.0</v>
      </c>
      <c r="H914" s="16">
        <v>488.209</v>
      </c>
      <c r="I914" s="16">
        <v>0.0</v>
      </c>
      <c r="J914" s="16">
        <v>0.0</v>
      </c>
      <c r="K914" s="16">
        <v>0.0</v>
      </c>
      <c r="L914" s="16">
        <v>652.012</v>
      </c>
      <c r="M914" s="16">
        <v>669.931</v>
      </c>
      <c r="N914" s="16">
        <v>268.95</v>
      </c>
      <c r="O914" s="23">
        <v>12.0</v>
      </c>
      <c r="P914" s="18">
        <f t="shared" si="1"/>
        <v>652.012</v>
      </c>
    </row>
    <row r="915" ht="15.75" customHeight="1">
      <c r="A915" s="19" t="s">
        <v>217</v>
      </c>
      <c r="B915" s="19" t="s">
        <v>22</v>
      </c>
      <c r="C915" s="20" t="s">
        <v>39</v>
      </c>
      <c r="D915" s="14" t="str">
        <f>VLOOKUP(C915,'State Key'!$A$2:$B$210,2,False)</f>
        <v>Jharkhand</v>
      </c>
      <c r="E915" s="21">
        <v>240.0</v>
      </c>
      <c r="F915" s="22">
        <v>68.917</v>
      </c>
      <c r="G915" s="22">
        <v>0.0</v>
      </c>
      <c r="H915" s="22">
        <v>0.0</v>
      </c>
      <c r="I915" s="22">
        <v>0.0</v>
      </c>
      <c r="J915" s="22">
        <v>26.393</v>
      </c>
      <c r="K915" s="22">
        <v>0.0</v>
      </c>
      <c r="L915" s="22">
        <v>95.31</v>
      </c>
      <c r="M915" s="22">
        <v>111.474</v>
      </c>
      <c r="N915" s="22">
        <v>58.36</v>
      </c>
      <c r="O915" s="24">
        <v>15.7</v>
      </c>
      <c r="P915" s="18">
        <f t="shared" si="1"/>
        <v>95.31</v>
      </c>
    </row>
    <row r="916" ht="15.75" customHeight="1">
      <c r="A916" s="13" t="s">
        <v>217</v>
      </c>
      <c r="B916" s="13" t="s">
        <v>22</v>
      </c>
      <c r="C916" s="14" t="s">
        <v>40</v>
      </c>
      <c r="D916" s="14" t="str">
        <f>VLOOKUP(C916,'State Key'!$A$2:$B$210,2,False)</f>
        <v>Bihar</v>
      </c>
      <c r="E916" s="15">
        <v>2340.0</v>
      </c>
      <c r="F916" s="16">
        <v>918.08</v>
      </c>
      <c r="G916" s="16">
        <v>0.0</v>
      </c>
      <c r="H916" s="16">
        <v>19.62</v>
      </c>
      <c r="I916" s="16">
        <v>55.764</v>
      </c>
      <c r="J916" s="16">
        <v>0.0</v>
      </c>
      <c r="K916" s="16">
        <v>0.0</v>
      </c>
      <c r="L916" s="16">
        <v>993.464</v>
      </c>
      <c r="M916" s="16">
        <v>1041.51</v>
      </c>
      <c r="N916" s="16">
        <v>92.596</v>
      </c>
      <c r="O916" s="17">
        <v>2.7</v>
      </c>
      <c r="P916" s="18">
        <f t="shared" si="1"/>
        <v>993.464</v>
      </c>
    </row>
    <row r="917" ht="15.75" customHeight="1">
      <c r="A917" s="19" t="s">
        <v>217</v>
      </c>
      <c r="B917" s="19" t="s">
        <v>22</v>
      </c>
      <c r="C917" s="20" t="s">
        <v>41</v>
      </c>
      <c r="D917" s="14" t="str">
        <f>VLOOKUP(C917,'State Key'!$A$2:$B$210,2,False)</f>
        <v>Odisha</v>
      </c>
      <c r="E917" s="21">
        <v>1050.0</v>
      </c>
      <c r="F917" s="22">
        <v>368.924</v>
      </c>
      <c r="G917" s="22">
        <v>0.0</v>
      </c>
      <c r="H917" s="22">
        <v>0.0</v>
      </c>
      <c r="I917" s="22">
        <v>0.0</v>
      </c>
      <c r="J917" s="22">
        <v>0.0</v>
      </c>
      <c r="K917" s="22">
        <v>30.333</v>
      </c>
      <c r="L917" s="22">
        <v>399.257</v>
      </c>
      <c r="M917" s="22">
        <v>385.852</v>
      </c>
      <c r="N917" s="22">
        <v>128.514</v>
      </c>
      <c r="O917" s="23">
        <v>10.0</v>
      </c>
      <c r="P917" s="18">
        <f t="shared" si="1"/>
        <v>399.257</v>
      </c>
    </row>
    <row r="918" ht="15.75" customHeight="1">
      <c r="A918" s="13" t="s">
        <v>217</v>
      </c>
      <c r="B918" s="13" t="s">
        <v>22</v>
      </c>
      <c r="C918" s="14" t="s">
        <v>42</v>
      </c>
      <c r="D918" s="14" t="str">
        <f>VLOOKUP(C918,'State Key'!$A$2:$B$210,2,False)</f>
        <v>Jharkhand</v>
      </c>
      <c r="E918" s="15">
        <v>1000.0</v>
      </c>
      <c r="F918" s="16">
        <v>293.644</v>
      </c>
      <c r="G918" s="16">
        <v>0.0</v>
      </c>
      <c r="H918" s="16">
        <v>0.0</v>
      </c>
      <c r="I918" s="16">
        <v>11.171</v>
      </c>
      <c r="J918" s="16">
        <v>0.0</v>
      </c>
      <c r="K918" s="16">
        <v>0.0</v>
      </c>
      <c r="L918" s="16">
        <v>304.815</v>
      </c>
      <c r="M918" s="16">
        <v>421.057</v>
      </c>
      <c r="N918" s="16">
        <v>101.017</v>
      </c>
      <c r="O918" s="23">
        <v>7.2</v>
      </c>
      <c r="P918" s="18">
        <f t="shared" si="1"/>
        <v>304.815</v>
      </c>
    </row>
    <row r="919" ht="15.75" customHeight="1">
      <c r="A919" s="19" t="s">
        <v>217</v>
      </c>
      <c r="B919" s="19" t="s">
        <v>22</v>
      </c>
      <c r="C919" s="20" t="s">
        <v>43</v>
      </c>
      <c r="D919" s="14" t="str">
        <f>VLOOKUP(C919,'State Key'!$A$2:$B$210,2,False)</f>
        <v>West Bengal</v>
      </c>
      <c r="E919" s="21">
        <v>840.0</v>
      </c>
      <c r="F919" s="22">
        <v>153.14</v>
      </c>
      <c r="G919" s="22">
        <v>0.0</v>
      </c>
      <c r="H919" s="22">
        <v>197.096</v>
      </c>
      <c r="I919" s="22">
        <v>0.0</v>
      </c>
      <c r="J919" s="22">
        <v>0.0</v>
      </c>
      <c r="K919" s="22">
        <v>0.0</v>
      </c>
      <c r="L919" s="22">
        <v>350.236</v>
      </c>
      <c r="M919" s="22">
        <v>362.746</v>
      </c>
      <c r="N919" s="22">
        <v>8.01</v>
      </c>
      <c r="O919" s="17">
        <v>0.7</v>
      </c>
      <c r="P919" s="18">
        <f t="shared" si="1"/>
        <v>350.236</v>
      </c>
    </row>
    <row r="920" ht="15.75" customHeight="1">
      <c r="A920" s="13" t="s">
        <v>217</v>
      </c>
      <c r="B920" s="13" t="s">
        <v>22</v>
      </c>
      <c r="C920" s="14" t="s">
        <v>44</v>
      </c>
      <c r="D920" s="14" t="str">
        <f>VLOOKUP(C920,'State Key'!$A$2:$B$210,2,False)</f>
        <v>Jharkhand</v>
      </c>
      <c r="E920" s="15">
        <v>540.0</v>
      </c>
      <c r="F920" s="16">
        <v>178.624</v>
      </c>
      <c r="G920" s="16">
        <v>0.0</v>
      </c>
      <c r="H920" s="16">
        <v>0.0</v>
      </c>
      <c r="I920" s="16">
        <v>0.0</v>
      </c>
      <c r="J920" s="16">
        <v>123.629</v>
      </c>
      <c r="K920" s="16">
        <v>0.0</v>
      </c>
      <c r="L920" s="16">
        <v>302.253</v>
      </c>
      <c r="M920" s="16">
        <v>282.141</v>
      </c>
      <c r="N920" s="16">
        <v>35.13</v>
      </c>
      <c r="O920" s="17">
        <v>3.7</v>
      </c>
      <c r="P920" s="18">
        <f t="shared" si="1"/>
        <v>302.253</v>
      </c>
    </row>
    <row r="921" ht="15.75" customHeight="1">
      <c r="A921" s="19" t="s">
        <v>217</v>
      </c>
      <c r="B921" s="19" t="s">
        <v>22</v>
      </c>
      <c r="C921" s="20" t="s">
        <v>45</v>
      </c>
      <c r="D921" s="14" t="str">
        <f>VLOOKUP(C921,'State Key'!$A$2:$B$210,2,False)</f>
        <v>Jharkhand</v>
      </c>
      <c r="E921" s="21">
        <v>1050.0</v>
      </c>
      <c r="F921" s="22">
        <v>416.9</v>
      </c>
      <c r="G921" s="22">
        <v>0.0</v>
      </c>
      <c r="H921" s="22">
        <v>0.0</v>
      </c>
      <c r="I921" s="22">
        <v>0.0</v>
      </c>
      <c r="J921" s="22">
        <v>0.0</v>
      </c>
      <c r="K921" s="22">
        <v>0.0</v>
      </c>
      <c r="L921" s="22">
        <v>416.9</v>
      </c>
      <c r="M921" s="22">
        <v>429.134</v>
      </c>
      <c r="N921" s="22">
        <v>281.96</v>
      </c>
      <c r="O921" s="24">
        <v>19.7</v>
      </c>
      <c r="P921" s="18">
        <f t="shared" si="1"/>
        <v>416.9</v>
      </c>
    </row>
    <row r="922" ht="15.75" customHeight="1">
      <c r="A922" s="13" t="s">
        <v>217</v>
      </c>
      <c r="B922" s="13" t="s">
        <v>22</v>
      </c>
      <c r="C922" s="14" t="s">
        <v>46</v>
      </c>
      <c r="D922" s="14" t="str">
        <f>VLOOKUP(C922,'State Key'!$A$2:$B$210,2,False)</f>
        <v>West Bengal</v>
      </c>
      <c r="E922" s="15">
        <v>2340.0</v>
      </c>
      <c r="F922" s="16">
        <v>783.627</v>
      </c>
      <c r="G922" s="16">
        <v>0.0</v>
      </c>
      <c r="H922" s="16">
        <v>46.509</v>
      </c>
      <c r="I922" s="16">
        <v>26.81</v>
      </c>
      <c r="J922" s="16">
        <v>0.0</v>
      </c>
      <c r="K922" s="16">
        <v>0.0</v>
      </c>
      <c r="L922" s="16">
        <v>856.946</v>
      </c>
      <c r="M922" s="16">
        <v>773.986</v>
      </c>
      <c r="N922" s="16">
        <v>169.258</v>
      </c>
      <c r="O922" s="17">
        <v>6.6</v>
      </c>
      <c r="P922" s="18">
        <f t="shared" si="1"/>
        <v>856.946</v>
      </c>
    </row>
    <row r="923" ht="15.75" customHeight="1">
      <c r="A923" s="19" t="s">
        <v>217</v>
      </c>
      <c r="B923" s="19" t="s">
        <v>22</v>
      </c>
      <c r="C923" s="20" t="s">
        <v>47</v>
      </c>
      <c r="D923" s="14" t="str">
        <f>VLOOKUP(C923,'State Key'!$A$2:$B$210,2,False)</f>
        <v>Bihar</v>
      </c>
      <c r="E923" s="21">
        <v>390.0</v>
      </c>
      <c r="F923" s="22">
        <v>32.439</v>
      </c>
      <c r="G923" s="22">
        <v>0.0</v>
      </c>
      <c r="H923" s="22">
        <v>146.512</v>
      </c>
      <c r="I923" s="22">
        <v>0.0</v>
      </c>
      <c r="J923" s="22">
        <v>0.0</v>
      </c>
      <c r="K923" s="22">
        <v>0.0</v>
      </c>
      <c r="L923" s="22">
        <v>178.951</v>
      </c>
      <c r="M923" s="22">
        <v>176.087</v>
      </c>
      <c r="N923" s="22">
        <v>41.77</v>
      </c>
      <c r="O923" s="23">
        <v>7.1</v>
      </c>
      <c r="P923" s="18">
        <f t="shared" si="1"/>
        <v>178.951</v>
      </c>
    </row>
    <row r="924" ht="15.75" customHeight="1">
      <c r="A924" s="13" t="s">
        <v>217</v>
      </c>
      <c r="B924" s="13" t="s">
        <v>22</v>
      </c>
      <c r="C924" s="14" t="s">
        <v>48</v>
      </c>
      <c r="D924" s="14" t="str">
        <f>VLOOKUP(C924,'State Key'!$A$2:$B$210,2,False)</f>
        <v>Bihar</v>
      </c>
      <c r="E924" s="15">
        <v>1980.0</v>
      </c>
      <c r="F924" s="16">
        <v>563.75</v>
      </c>
      <c r="G924" s="16">
        <v>0.0</v>
      </c>
      <c r="H924" s="16">
        <v>157.15</v>
      </c>
      <c r="I924" s="16">
        <v>8.14</v>
      </c>
      <c r="J924" s="16">
        <v>0.0</v>
      </c>
      <c r="K924" s="16">
        <v>0.0</v>
      </c>
      <c r="L924" s="16">
        <v>729.04</v>
      </c>
      <c r="M924" s="16">
        <v>820.925</v>
      </c>
      <c r="N924" s="16">
        <v>80.52</v>
      </c>
      <c r="O924" s="17">
        <v>2.9</v>
      </c>
      <c r="P924" s="18">
        <f t="shared" si="1"/>
        <v>729.04</v>
      </c>
    </row>
    <row r="925" ht="15.75" customHeight="1">
      <c r="A925" s="19" t="s">
        <v>217</v>
      </c>
      <c r="B925" s="19" t="s">
        <v>22</v>
      </c>
      <c r="C925" s="20" t="s">
        <v>49</v>
      </c>
      <c r="D925" s="14" t="str">
        <f>VLOOKUP(C925,'State Key'!$A$2:$B$210,2,False)</f>
        <v>Bihar</v>
      </c>
      <c r="E925" s="21">
        <v>1000.0</v>
      </c>
      <c r="F925" s="22">
        <v>444.02656</v>
      </c>
      <c r="G925" s="22">
        <v>0.0</v>
      </c>
      <c r="H925" s="22">
        <v>0.0</v>
      </c>
      <c r="I925" s="22">
        <v>0.0</v>
      </c>
      <c r="J925" s="22">
        <v>0.0</v>
      </c>
      <c r="K925" s="22">
        <v>0.0</v>
      </c>
      <c r="L925" s="22">
        <v>444.02656</v>
      </c>
      <c r="M925" s="22">
        <v>475.216</v>
      </c>
      <c r="N925" s="22">
        <v>20.49</v>
      </c>
      <c r="O925" s="17">
        <v>1.3</v>
      </c>
      <c r="P925" s="18">
        <f t="shared" si="1"/>
        <v>444.02656</v>
      </c>
    </row>
    <row r="926" ht="15.75" customHeight="1">
      <c r="A926" s="13" t="s">
        <v>217</v>
      </c>
      <c r="B926" s="13" t="s">
        <v>22</v>
      </c>
      <c r="C926" s="14" t="s">
        <v>50</v>
      </c>
      <c r="D926" s="14" t="str">
        <f>VLOOKUP(C926,'State Key'!$A$2:$B$210,2,False)</f>
        <v>Jharkhand</v>
      </c>
      <c r="E926" s="15">
        <v>660.0</v>
      </c>
      <c r="F926" s="16">
        <v>172.16</v>
      </c>
      <c r="G926" s="16">
        <v>0.0</v>
      </c>
      <c r="H926" s="16">
        <v>80.74</v>
      </c>
      <c r="I926" s="16">
        <v>0.0</v>
      </c>
      <c r="J926" s="16">
        <v>0.0</v>
      </c>
      <c r="K926" s="16">
        <v>0.0</v>
      </c>
      <c r="L926" s="16">
        <v>252.9</v>
      </c>
      <c r="M926" s="16">
        <v>306.796</v>
      </c>
      <c r="N926" s="16">
        <v>207.964</v>
      </c>
      <c r="O926" s="24">
        <v>20.3</v>
      </c>
      <c r="P926" s="18">
        <f t="shared" si="1"/>
        <v>252.9</v>
      </c>
    </row>
    <row r="927" ht="15.75" customHeight="1">
      <c r="A927" s="19" t="s">
        <v>217</v>
      </c>
      <c r="B927" s="19" t="s">
        <v>22</v>
      </c>
      <c r="C927" s="20" t="s">
        <v>51</v>
      </c>
      <c r="D927" s="14" t="str">
        <f>VLOOKUP(C927,'State Key'!$A$2:$B$210,2,False)</f>
        <v>West Bengal</v>
      </c>
      <c r="E927" s="21">
        <v>1200.0</v>
      </c>
      <c r="F927" s="22">
        <v>298.627</v>
      </c>
      <c r="G927" s="22">
        <v>0.0</v>
      </c>
      <c r="H927" s="22">
        <v>0.0</v>
      </c>
      <c r="I927" s="22">
        <v>19.534</v>
      </c>
      <c r="J927" s="22">
        <v>0.0</v>
      </c>
      <c r="K927" s="22">
        <v>0.0</v>
      </c>
      <c r="L927" s="22">
        <v>318.161</v>
      </c>
      <c r="M927" s="22">
        <v>365.744</v>
      </c>
      <c r="N927" s="22">
        <v>247.44</v>
      </c>
      <c r="O927" s="24">
        <v>20.3</v>
      </c>
      <c r="P927" s="18">
        <f t="shared" si="1"/>
        <v>318.161</v>
      </c>
    </row>
    <row r="928" ht="15.75" customHeight="1">
      <c r="A928" s="13" t="s">
        <v>217</v>
      </c>
      <c r="B928" s="13" t="s">
        <v>22</v>
      </c>
      <c r="C928" s="14" t="s">
        <v>52</v>
      </c>
      <c r="D928" s="14" t="str">
        <f>VLOOKUP(C928,'State Key'!$A$2:$B$210,2,False)</f>
        <v>West Bengal</v>
      </c>
      <c r="E928" s="15">
        <v>1600.0</v>
      </c>
      <c r="F928" s="16">
        <v>134.093</v>
      </c>
      <c r="G928" s="16">
        <v>0.0</v>
      </c>
      <c r="H928" s="16">
        <v>423.951</v>
      </c>
      <c r="I928" s="16">
        <v>0.0</v>
      </c>
      <c r="J928" s="16">
        <v>0.0</v>
      </c>
      <c r="K928" s="16">
        <v>4.251</v>
      </c>
      <c r="L928" s="16">
        <v>562.295</v>
      </c>
      <c r="M928" s="16">
        <v>576.66</v>
      </c>
      <c r="N928" s="16">
        <v>21.32</v>
      </c>
      <c r="O928" s="17">
        <v>1.1</v>
      </c>
      <c r="P928" s="18">
        <f t="shared" si="1"/>
        <v>562.295</v>
      </c>
    </row>
    <row r="929" ht="15.75" customHeight="1">
      <c r="A929" s="19" t="s">
        <v>217</v>
      </c>
      <c r="B929" s="19" t="s">
        <v>22</v>
      </c>
      <c r="C929" s="20" t="s">
        <v>53</v>
      </c>
      <c r="D929" s="14" t="str">
        <f>VLOOKUP(C929,'State Key'!$A$2:$B$210,2,False)</f>
        <v>West Bengal</v>
      </c>
      <c r="E929" s="21">
        <v>500.0</v>
      </c>
      <c r="F929" s="22">
        <v>200.606</v>
      </c>
      <c r="G929" s="22">
        <v>0.0</v>
      </c>
      <c r="H929" s="22">
        <v>27.542</v>
      </c>
      <c r="I929" s="22">
        <v>0.0</v>
      </c>
      <c r="J929" s="22">
        <v>0.0</v>
      </c>
      <c r="K929" s="22">
        <v>0.0</v>
      </c>
      <c r="L929" s="22">
        <v>228.148</v>
      </c>
      <c r="M929" s="22">
        <v>217.613</v>
      </c>
      <c r="N929" s="22">
        <v>29.36</v>
      </c>
      <c r="O929" s="17">
        <v>4.0</v>
      </c>
      <c r="P929" s="18">
        <f t="shared" si="1"/>
        <v>228.148</v>
      </c>
    </row>
    <row r="930" ht="15.75" customHeight="1">
      <c r="A930" s="13" t="s">
        <v>217</v>
      </c>
      <c r="B930" s="13" t="s">
        <v>22</v>
      </c>
      <c r="C930" s="14" t="s">
        <v>54</v>
      </c>
      <c r="D930" s="14" t="str">
        <f>VLOOKUP(C930,'State Key'!$A$2:$B$210,2,False)</f>
        <v>West Bengal</v>
      </c>
      <c r="E930" s="15">
        <v>135.0</v>
      </c>
      <c r="F930" s="16">
        <v>42.448</v>
      </c>
      <c r="G930" s="16">
        <v>0.0</v>
      </c>
      <c r="H930" s="16">
        <v>0.0</v>
      </c>
      <c r="I930" s="16">
        <v>0.0</v>
      </c>
      <c r="J930" s="16">
        <v>0.0</v>
      </c>
      <c r="K930" s="16">
        <v>22.774</v>
      </c>
      <c r="L930" s="16">
        <v>65.222</v>
      </c>
      <c r="M930" s="16">
        <v>68.8</v>
      </c>
      <c r="N930" s="16">
        <v>6.5</v>
      </c>
      <c r="O930" s="17">
        <v>2.8</v>
      </c>
      <c r="P930" s="18">
        <f t="shared" si="1"/>
        <v>65.222</v>
      </c>
    </row>
    <row r="931" ht="15.75" customHeight="1">
      <c r="A931" s="19" t="s">
        <v>217</v>
      </c>
      <c r="B931" s="19" t="s">
        <v>22</v>
      </c>
      <c r="C931" s="20" t="s">
        <v>55</v>
      </c>
      <c r="D931" s="14" t="str">
        <f>VLOOKUP(C931,'State Key'!$A$2:$B$210,2,False)</f>
        <v>Odisha</v>
      </c>
      <c r="E931" s="21">
        <v>3000.0</v>
      </c>
      <c r="F931" s="22">
        <v>1193.94</v>
      </c>
      <c r="G931" s="22">
        <v>0.0</v>
      </c>
      <c r="H931" s="22">
        <v>0.0</v>
      </c>
      <c r="I931" s="22">
        <v>26.76</v>
      </c>
      <c r="J931" s="22">
        <v>0.0</v>
      </c>
      <c r="K931" s="22">
        <v>0.0</v>
      </c>
      <c r="L931" s="22">
        <v>1220.7</v>
      </c>
      <c r="M931" s="22">
        <v>1304.308</v>
      </c>
      <c r="N931" s="22">
        <v>555.524</v>
      </c>
      <c r="O931" s="23">
        <v>12.8</v>
      </c>
      <c r="P931" s="18">
        <f t="shared" si="1"/>
        <v>1220.7</v>
      </c>
    </row>
    <row r="932" ht="15.75" customHeight="1">
      <c r="A932" s="13" t="s">
        <v>217</v>
      </c>
      <c r="B932" s="13" t="s">
        <v>22</v>
      </c>
      <c r="C932" s="14" t="s">
        <v>56</v>
      </c>
      <c r="D932" s="14" t="str">
        <f>VLOOKUP(C932,'State Key'!$A$2:$B$210,2,False)</f>
        <v>Jharkhand</v>
      </c>
      <c r="E932" s="15">
        <v>420.0</v>
      </c>
      <c r="F932" s="16">
        <v>98.0</v>
      </c>
      <c r="G932" s="16">
        <v>0.0</v>
      </c>
      <c r="H932" s="16">
        <v>0.0</v>
      </c>
      <c r="I932" s="16">
        <v>0.0</v>
      </c>
      <c r="J932" s="16">
        <v>0.0</v>
      </c>
      <c r="K932" s="16">
        <v>0.0</v>
      </c>
      <c r="L932" s="16">
        <v>98.0</v>
      </c>
      <c r="M932" s="16">
        <v>105.0</v>
      </c>
      <c r="N932" s="16">
        <v>127.47</v>
      </c>
      <c r="O932" s="24">
        <v>36.4</v>
      </c>
      <c r="P932" s="18">
        <f t="shared" si="1"/>
        <v>98</v>
      </c>
    </row>
    <row r="933" ht="15.75" customHeight="1">
      <c r="A933" s="19" t="s">
        <v>217</v>
      </c>
      <c r="B933" s="19" t="s">
        <v>22</v>
      </c>
      <c r="C933" s="20" t="s">
        <v>57</v>
      </c>
      <c r="D933" s="14" t="str">
        <f>VLOOKUP(C933,'State Key'!$A$2:$B$210,2,False)</f>
        <v>West Bengal</v>
      </c>
      <c r="E933" s="21">
        <v>240.0</v>
      </c>
      <c r="F933" s="22">
        <v>0.0</v>
      </c>
      <c r="G933" s="22">
        <v>0.0</v>
      </c>
      <c r="H933" s="22">
        <v>0.0</v>
      </c>
      <c r="I933" s="22">
        <v>0.0</v>
      </c>
      <c r="J933" s="22">
        <v>0.0</v>
      </c>
      <c r="K933" s="22">
        <v>0.0</v>
      </c>
      <c r="L933" s="22">
        <v>0.0</v>
      </c>
      <c r="M933" s="22">
        <v>0.0</v>
      </c>
      <c r="N933" s="22">
        <v>0.0</v>
      </c>
      <c r="O933" s="19" t="s">
        <v>58</v>
      </c>
      <c r="P933" s="18">
        <f t="shared" si="1"/>
        <v>0</v>
      </c>
    </row>
    <row r="934" ht="15.75" customHeight="1">
      <c r="A934" s="13" t="s">
        <v>217</v>
      </c>
      <c r="B934" s="13" t="s">
        <v>22</v>
      </c>
      <c r="C934" s="14" t="s">
        <v>59</v>
      </c>
      <c r="D934" s="14" t="str">
        <f>VLOOKUP(C934,'State Key'!$A$2:$B$210,2,False)</f>
        <v>Odisha</v>
      </c>
      <c r="E934" s="15">
        <v>350.0</v>
      </c>
      <c r="F934" s="16">
        <v>0.0</v>
      </c>
      <c r="G934" s="16">
        <v>0.0</v>
      </c>
      <c r="H934" s="16">
        <v>0.0</v>
      </c>
      <c r="I934" s="16">
        <v>0.0</v>
      </c>
      <c r="J934" s="16">
        <v>0.0</v>
      </c>
      <c r="K934" s="16">
        <v>0.0</v>
      </c>
      <c r="L934" s="16">
        <v>0.0</v>
      </c>
      <c r="M934" s="16">
        <v>0.0</v>
      </c>
      <c r="N934" s="16">
        <v>0.0</v>
      </c>
      <c r="O934" s="13" t="s">
        <v>58</v>
      </c>
      <c r="P934" s="18">
        <f t="shared" si="1"/>
        <v>0</v>
      </c>
    </row>
    <row r="935" ht="15.75" customHeight="1">
      <c r="A935" s="19" t="s">
        <v>217</v>
      </c>
      <c r="B935" s="19" t="s">
        <v>22</v>
      </c>
      <c r="C935" s="20" t="s">
        <v>60</v>
      </c>
      <c r="D935" s="14" t="str">
        <f>VLOOKUP(C935,'State Key'!$A$2:$B$210,2,False)</f>
        <v>Odisha</v>
      </c>
      <c r="E935" s="21">
        <v>600.0</v>
      </c>
      <c r="F935" s="22">
        <v>173.3</v>
      </c>
      <c r="G935" s="22">
        <v>0.0</v>
      </c>
      <c r="H935" s="22">
        <v>0.0</v>
      </c>
      <c r="I935" s="22">
        <v>0.0</v>
      </c>
      <c r="J935" s="22">
        <v>0.0</v>
      </c>
      <c r="K935" s="22">
        <v>0.0</v>
      </c>
      <c r="L935" s="22">
        <v>173.3</v>
      </c>
      <c r="M935" s="22">
        <v>193.83</v>
      </c>
      <c r="N935" s="22">
        <v>165.34</v>
      </c>
      <c r="O935" s="24">
        <v>25.6</v>
      </c>
      <c r="P935" s="18">
        <f t="shared" si="1"/>
        <v>173.3</v>
      </c>
    </row>
    <row r="936" ht="15.75" customHeight="1">
      <c r="A936" s="13" t="s">
        <v>217</v>
      </c>
      <c r="B936" s="13" t="s">
        <v>61</v>
      </c>
      <c r="C936" s="14" t="s">
        <v>209</v>
      </c>
      <c r="D936" s="14" t="str">
        <f>VLOOKUP(C936,'State Key'!$A$2:$B$210,2,False)</f>
        <v>Rajasthan</v>
      </c>
      <c r="E936" s="15">
        <v>1320.0</v>
      </c>
      <c r="F936" s="16">
        <v>365.911</v>
      </c>
      <c r="G936" s="16">
        <v>0.0</v>
      </c>
      <c r="H936" s="16">
        <v>0.0</v>
      </c>
      <c r="I936" s="16">
        <v>110.545</v>
      </c>
      <c r="J936" s="16">
        <v>0.0</v>
      </c>
      <c r="K936" s="16">
        <v>0.0</v>
      </c>
      <c r="L936" s="16">
        <v>476.456</v>
      </c>
      <c r="M936" s="16">
        <v>336.005</v>
      </c>
      <c r="N936" s="16">
        <v>183.83</v>
      </c>
      <c r="O936" s="24">
        <v>16.4</v>
      </c>
      <c r="P936" s="18">
        <f t="shared" si="1"/>
        <v>476.456</v>
      </c>
    </row>
    <row r="937" ht="15.75" customHeight="1">
      <c r="A937" s="19" t="s">
        <v>217</v>
      </c>
      <c r="B937" s="19" t="s">
        <v>61</v>
      </c>
      <c r="C937" s="20" t="s">
        <v>62</v>
      </c>
      <c r="D937" s="14" t="str">
        <f>VLOOKUP(C937,'State Key'!$A$2:$B$210,2,False)</f>
        <v>Uttar Pradesh</v>
      </c>
      <c r="E937" s="21">
        <v>1200.0</v>
      </c>
      <c r="F937" s="22">
        <v>510.1</v>
      </c>
      <c r="G937" s="22">
        <v>0.0</v>
      </c>
      <c r="H937" s="22">
        <v>0.0</v>
      </c>
      <c r="I937" s="22">
        <v>0.0</v>
      </c>
      <c r="J937" s="22">
        <v>0.0</v>
      </c>
      <c r="K937" s="22">
        <v>0.0</v>
      </c>
      <c r="L937" s="22">
        <v>510.1</v>
      </c>
      <c r="M937" s="22">
        <v>459.68</v>
      </c>
      <c r="N937" s="22">
        <v>89.95</v>
      </c>
      <c r="O937" s="17">
        <v>5.9</v>
      </c>
      <c r="P937" s="18">
        <f t="shared" si="1"/>
        <v>510.1</v>
      </c>
    </row>
    <row r="938" ht="15.75" customHeight="1">
      <c r="A938" s="13" t="s">
        <v>217</v>
      </c>
      <c r="B938" s="13" t="s">
        <v>61</v>
      </c>
      <c r="C938" s="14" t="s">
        <v>63</v>
      </c>
      <c r="D938" s="14" t="str">
        <f>VLOOKUP(C938,'State Key'!$A$2:$B$210,2,False)</f>
        <v>Uttar Pradesh</v>
      </c>
      <c r="E938" s="15">
        <v>2630.0</v>
      </c>
      <c r="F938" s="16">
        <v>1064.151</v>
      </c>
      <c r="G938" s="16">
        <v>0.0</v>
      </c>
      <c r="H938" s="16">
        <v>0.0</v>
      </c>
      <c r="I938" s="16">
        <v>0.0</v>
      </c>
      <c r="J938" s="16">
        <v>0.0</v>
      </c>
      <c r="K938" s="16">
        <v>0.0</v>
      </c>
      <c r="L938" s="16">
        <v>1064.151</v>
      </c>
      <c r="M938" s="16">
        <v>1164.607</v>
      </c>
      <c r="N938" s="16">
        <v>258.24</v>
      </c>
      <c r="O938" s="17">
        <v>6.7</v>
      </c>
      <c r="P938" s="18">
        <f t="shared" si="1"/>
        <v>1064.151</v>
      </c>
    </row>
    <row r="939" ht="15.75" customHeight="1">
      <c r="A939" s="19" t="s">
        <v>217</v>
      </c>
      <c r="B939" s="19" t="s">
        <v>61</v>
      </c>
      <c r="C939" s="20" t="s">
        <v>64</v>
      </c>
      <c r="D939" s="14" t="str">
        <f>VLOOKUP(C939,'State Key'!$A$2:$B$210,2,False)</f>
        <v>Uttar Pradesh</v>
      </c>
      <c r="E939" s="21">
        <v>90.0</v>
      </c>
      <c r="F939" s="22">
        <v>42.47</v>
      </c>
      <c r="G939" s="22">
        <v>0.0</v>
      </c>
      <c r="H939" s="22">
        <v>0.0</v>
      </c>
      <c r="I939" s="22">
        <v>0.0</v>
      </c>
      <c r="J939" s="22">
        <v>0.0</v>
      </c>
      <c r="K939" s="22">
        <v>0.0</v>
      </c>
      <c r="L939" s="22">
        <v>42.47</v>
      </c>
      <c r="M939" s="22">
        <v>36.5</v>
      </c>
      <c r="N939" s="22">
        <v>18.76</v>
      </c>
      <c r="O939" s="24">
        <v>15.4</v>
      </c>
      <c r="P939" s="18">
        <f t="shared" si="1"/>
        <v>42.47</v>
      </c>
    </row>
    <row r="940" ht="15.75" customHeight="1">
      <c r="A940" s="13" t="s">
        <v>217</v>
      </c>
      <c r="B940" s="13" t="s">
        <v>61</v>
      </c>
      <c r="C940" s="14" t="s">
        <v>65</v>
      </c>
      <c r="D940" s="14" t="str">
        <f>VLOOKUP(C940,'State Key'!$A$2:$B$210,2,False)</f>
        <v>Rajasthan</v>
      </c>
      <c r="E940" s="15">
        <v>500.0</v>
      </c>
      <c r="F940" s="16">
        <v>221.52</v>
      </c>
      <c r="G940" s="16">
        <v>0.0</v>
      </c>
      <c r="H940" s="16">
        <v>0.0</v>
      </c>
      <c r="I940" s="16">
        <v>1.94</v>
      </c>
      <c r="J940" s="16">
        <v>0.0</v>
      </c>
      <c r="K940" s="16">
        <v>0.0</v>
      </c>
      <c r="L940" s="16">
        <v>223.46</v>
      </c>
      <c r="M940" s="16">
        <v>209.84</v>
      </c>
      <c r="N940" s="16">
        <v>79.96</v>
      </c>
      <c r="O940" s="23">
        <v>11.4</v>
      </c>
      <c r="P940" s="18">
        <f t="shared" si="1"/>
        <v>223.46</v>
      </c>
    </row>
    <row r="941" ht="15.75" customHeight="1">
      <c r="A941" s="19" t="s">
        <v>217</v>
      </c>
      <c r="B941" s="19" t="s">
        <v>61</v>
      </c>
      <c r="C941" s="20" t="s">
        <v>66</v>
      </c>
      <c r="D941" s="14" t="str">
        <f>VLOOKUP(C941,'State Key'!$A$2:$B$210,2,False)</f>
        <v>Rajasthan</v>
      </c>
      <c r="E941" s="21">
        <v>500.0</v>
      </c>
      <c r="F941" s="22">
        <v>19.17</v>
      </c>
      <c r="G941" s="22">
        <v>0.0</v>
      </c>
      <c r="H941" s="22">
        <v>24.07</v>
      </c>
      <c r="I941" s="22">
        <v>1.94</v>
      </c>
      <c r="J941" s="22">
        <v>0.0</v>
      </c>
      <c r="K941" s="22">
        <v>0.0</v>
      </c>
      <c r="L941" s="22">
        <v>45.18</v>
      </c>
      <c r="M941" s="22">
        <v>128.91</v>
      </c>
      <c r="N941" s="22">
        <v>1.94</v>
      </c>
      <c r="O941" s="17">
        <v>0.5</v>
      </c>
      <c r="P941" s="18">
        <f t="shared" si="1"/>
        <v>45.18</v>
      </c>
    </row>
    <row r="942" ht="15.75" customHeight="1">
      <c r="A942" s="13" t="s">
        <v>217</v>
      </c>
      <c r="B942" s="13" t="s">
        <v>61</v>
      </c>
      <c r="C942" s="14" t="s">
        <v>67</v>
      </c>
      <c r="D942" s="14" t="str">
        <f>VLOOKUP(C942,'State Key'!$A$2:$B$210,2,False)</f>
        <v>Rajasthan</v>
      </c>
      <c r="E942" s="15">
        <v>1320.0</v>
      </c>
      <c r="F942" s="16">
        <v>172.463</v>
      </c>
      <c r="G942" s="16">
        <v>0.0</v>
      </c>
      <c r="H942" s="16">
        <v>129.294</v>
      </c>
      <c r="I942" s="16">
        <v>95.718</v>
      </c>
      <c r="J942" s="16">
        <v>0.0</v>
      </c>
      <c r="K942" s="16">
        <v>0.0</v>
      </c>
      <c r="L942" s="16">
        <v>397.475</v>
      </c>
      <c r="M942" s="16">
        <v>419.916</v>
      </c>
      <c r="N942" s="16">
        <v>103.602</v>
      </c>
      <c r="O942" s="23">
        <v>7.4</v>
      </c>
      <c r="P942" s="18">
        <f t="shared" si="1"/>
        <v>397.475</v>
      </c>
    </row>
    <row r="943" ht="15.75" customHeight="1">
      <c r="A943" s="19" t="s">
        <v>217</v>
      </c>
      <c r="B943" s="19" t="s">
        <v>61</v>
      </c>
      <c r="C943" s="20" t="s">
        <v>68</v>
      </c>
      <c r="D943" s="14" t="str">
        <f>VLOOKUP(C943,'State Key'!$A$2:$B$210,2,False)</f>
        <v>Uttar Pradesh</v>
      </c>
      <c r="E943" s="21">
        <v>1820.0</v>
      </c>
      <c r="F943" s="22">
        <v>461.32</v>
      </c>
      <c r="G943" s="22">
        <v>0.0</v>
      </c>
      <c r="H943" s="22">
        <v>19.64</v>
      </c>
      <c r="I943" s="22">
        <v>0.0</v>
      </c>
      <c r="J943" s="22">
        <v>0.0</v>
      </c>
      <c r="K943" s="22">
        <v>0.0</v>
      </c>
      <c r="L943" s="22">
        <v>480.96</v>
      </c>
      <c r="M943" s="22">
        <v>665.002</v>
      </c>
      <c r="N943" s="22">
        <v>108.642</v>
      </c>
      <c r="O943" s="17">
        <v>4.9</v>
      </c>
      <c r="P943" s="18">
        <f t="shared" si="1"/>
        <v>480.96</v>
      </c>
    </row>
    <row r="944" ht="15.75" customHeight="1">
      <c r="A944" s="13" t="s">
        <v>217</v>
      </c>
      <c r="B944" s="13" t="s">
        <v>61</v>
      </c>
      <c r="C944" s="14" t="s">
        <v>69</v>
      </c>
      <c r="D944" s="14" t="str">
        <f>VLOOKUP(C944,'State Key'!$A$2:$B$210,2,False)</f>
        <v>Punjab</v>
      </c>
      <c r="E944" s="15">
        <v>920.0</v>
      </c>
      <c r="F944" s="16">
        <v>28.838</v>
      </c>
      <c r="G944" s="16">
        <v>0.0</v>
      </c>
      <c r="H944" s="16">
        <v>163.382</v>
      </c>
      <c r="I944" s="16">
        <v>0.0</v>
      </c>
      <c r="J944" s="16">
        <v>0.0</v>
      </c>
      <c r="K944" s="16">
        <v>0.0</v>
      </c>
      <c r="L944" s="16">
        <v>192.22</v>
      </c>
      <c r="M944" s="16">
        <v>256.433</v>
      </c>
      <c r="N944" s="16">
        <v>139.79</v>
      </c>
      <c r="O944" s="24">
        <v>16.4</v>
      </c>
      <c r="P944" s="18">
        <f t="shared" si="1"/>
        <v>192.22</v>
      </c>
    </row>
    <row r="945" ht="15.75" customHeight="1">
      <c r="A945" s="19" t="s">
        <v>217</v>
      </c>
      <c r="B945" s="19" t="s">
        <v>61</v>
      </c>
      <c r="C945" s="20" t="s">
        <v>70</v>
      </c>
      <c r="D945" s="14" t="str">
        <f>VLOOKUP(C945,'State Key'!$A$2:$B$210,2,False)</f>
        <v>Punjab</v>
      </c>
      <c r="E945" s="21">
        <v>540.0</v>
      </c>
      <c r="F945" s="22">
        <v>155.553</v>
      </c>
      <c r="G945" s="22">
        <v>0.0</v>
      </c>
      <c r="H945" s="22">
        <v>0.0</v>
      </c>
      <c r="I945" s="22">
        <v>0.0</v>
      </c>
      <c r="J945" s="22">
        <v>0.0</v>
      </c>
      <c r="K945" s="22">
        <v>0.0</v>
      </c>
      <c r="L945" s="22">
        <v>155.553</v>
      </c>
      <c r="M945" s="22">
        <v>129.162</v>
      </c>
      <c r="N945" s="22">
        <v>32.55</v>
      </c>
      <c r="O945" s="23">
        <v>7.6</v>
      </c>
      <c r="P945" s="18">
        <f t="shared" si="1"/>
        <v>155.553</v>
      </c>
    </row>
    <row r="946" ht="15.75" customHeight="1">
      <c r="A946" s="13" t="s">
        <v>217</v>
      </c>
      <c r="B946" s="13" t="s">
        <v>61</v>
      </c>
      <c r="C946" s="14" t="s">
        <v>71</v>
      </c>
      <c r="D946" s="14" t="str">
        <f>VLOOKUP(C946,'State Key'!$A$2:$B$210,2,False)</f>
        <v>Uttar Pradesh</v>
      </c>
      <c r="E946" s="15">
        <v>1265.0</v>
      </c>
      <c r="F946" s="16">
        <v>347.484</v>
      </c>
      <c r="G946" s="16">
        <v>0.0</v>
      </c>
      <c r="H946" s="16">
        <v>0.0</v>
      </c>
      <c r="I946" s="16">
        <v>0.0</v>
      </c>
      <c r="J946" s="16">
        <v>0.0</v>
      </c>
      <c r="K946" s="16">
        <v>0.0</v>
      </c>
      <c r="L946" s="16">
        <v>347.484</v>
      </c>
      <c r="M946" s="16">
        <v>458.831</v>
      </c>
      <c r="N946" s="16">
        <v>50.39</v>
      </c>
      <c r="O946" s="17">
        <v>3.3</v>
      </c>
      <c r="P946" s="18">
        <f t="shared" si="1"/>
        <v>347.484</v>
      </c>
    </row>
    <row r="947" ht="15.75" customHeight="1">
      <c r="A947" s="19" t="s">
        <v>217</v>
      </c>
      <c r="B947" s="19" t="s">
        <v>61</v>
      </c>
      <c r="C947" s="20" t="s">
        <v>72</v>
      </c>
      <c r="D947" s="14" t="str">
        <f>VLOOKUP(C947,'State Key'!$A$2:$B$210,2,False)</f>
        <v>Haryana</v>
      </c>
      <c r="E947" s="21">
        <v>1500.0</v>
      </c>
      <c r="F947" s="22">
        <v>332.06</v>
      </c>
      <c r="G947" s="22">
        <v>0.0</v>
      </c>
      <c r="H947" s="22">
        <v>0.0</v>
      </c>
      <c r="I947" s="22">
        <v>0.0</v>
      </c>
      <c r="J947" s="22">
        <v>0.0</v>
      </c>
      <c r="K947" s="22">
        <v>0.0</v>
      </c>
      <c r="L947" s="22">
        <v>332.06</v>
      </c>
      <c r="M947" s="22">
        <v>514.02</v>
      </c>
      <c r="N947" s="22">
        <v>122.08</v>
      </c>
      <c r="O947" s="23">
        <v>7.1</v>
      </c>
      <c r="P947" s="18">
        <f t="shared" si="1"/>
        <v>332.06</v>
      </c>
    </row>
    <row r="948" ht="15.75" customHeight="1">
      <c r="A948" s="13" t="s">
        <v>217</v>
      </c>
      <c r="B948" s="13" t="s">
        <v>61</v>
      </c>
      <c r="C948" s="14" t="s">
        <v>73</v>
      </c>
      <c r="D948" s="14" t="str">
        <f>VLOOKUP(C948,'State Key'!$A$2:$B$210,2,False)</f>
        <v>Rajasthan</v>
      </c>
      <c r="E948" s="15">
        <v>1200.0</v>
      </c>
      <c r="F948" s="16">
        <v>229.13387</v>
      </c>
      <c r="G948" s="16">
        <v>0.0</v>
      </c>
      <c r="H948" s="16">
        <v>209.5033</v>
      </c>
      <c r="I948" s="16">
        <v>0.0</v>
      </c>
      <c r="J948" s="16">
        <v>0.0</v>
      </c>
      <c r="K948" s="16">
        <v>0.0</v>
      </c>
      <c r="L948" s="16">
        <v>438.63717</v>
      </c>
      <c r="M948" s="16">
        <v>450.475</v>
      </c>
      <c r="N948" s="16">
        <v>117.67</v>
      </c>
      <c r="O948" s="23">
        <v>7.8</v>
      </c>
      <c r="P948" s="18">
        <f t="shared" si="1"/>
        <v>438.63717</v>
      </c>
    </row>
    <row r="949" ht="15.75" customHeight="1">
      <c r="A949" s="19" t="s">
        <v>217</v>
      </c>
      <c r="B949" s="19" t="s">
        <v>61</v>
      </c>
      <c r="C949" s="20" t="s">
        <v>75</v>
      </c>
      <c r="D949" s="14" t="str">
        <f>VLOOKUP(C949,'State Key'!$A$2:$B$210,2,False)</f>
        <v>Uttar Pradesh</v>
      </c>
      <c r="E949" s="21">
        <v>90.0</v>
      </c>
      <c r="F949" s="22">
        <v>31.33</v>
      </c>
      <c r="G949" s="22">
        <v>0.0</v>
      </c>
      <c r="H949" s="22">
        <v>0.0</v>
      </c>
      <c r="I949" s="22">
        <v>0.0</v>
      </c>
      <c r="J949" s="22">
        <v>0.0</v>
      </c>
      <c r="K949" s="22">
        <v>0.0</v>
      </c>
      <c r="L949" s="22">
        <v>31.33</v>
      </c>
      <c r="M949" s="22">
        <v>35.45</v>
      </c>
      <c r="N949" s="22">
        <v>13.34</v>
      </c>
      <c r="O949" s="23">
        <v>11.3</v>
      </c>
      <c r="P949" s="18">
        <f t="shared" si="1"/>
        <v>31.33</v>
      </c>
    </row>
    <row r="950" ht="15.75" customHeight="1">
      <c r="A950" s="13" t="s">
        <v>217</v>
      </c>
      <c r="B950" s="13" t="s">
        <v>61</v>
      </c>
      <c r="C950" s="14" t="s">
        <v>76</v>
      </c>
      <c r="D950" s="14" t="str">
        <f>VLOOKUP(C950,'State Key'!$A$2:$B$210,2,False)</f>
        <v>Rajasthan</v>
      </c>
      <c r="E950" s="15">
        <v>1240.0</v>
      </c>
      <c r="F950" s="16">
        <v>444.33606</v>
      </c>
      <c r="G950" s="16">
        <v>0.0</v>
      </c>
      <c r="H950" s="16">
        <v>0.0</v>
      </c>
      <c r="I950" s="16">
        <v>0.0</v>
      </c>
      <c r="J950" s="16">
        <v>0.0</v>
      </c>
      <c r="K950" s="16">
        <v>0.0</v>
      </c>
      <c r="L950" s="16">
        <v>444.33606</v>
      </c>
      <c r="M950" s="16">
        <v>483.8552</v>
      </c>
      <c r="N950" s="16">
        <v>97.42</v>
      </c>
      <c r="O950" s="17">
        <v>6.0</v>
      </c>
      <c r="P950" s="18">
        <f t="shared" si="1"/>
        <v>444.33606</v>
      </c>
    </row>
    <row r="951" ht="15.75" customHeight="1">
      <c r="A951" s="19" t="s">
        <v>217</v>
      </c>
      <c r="B951" s="19" t="s">
        <v>61</v>
      </c>
      <c r="C951" s="20" t="s">
        <v>77</v>
      </c>
      <c r="D951" s="14" t="str">
        <f>VLOOKUP(C951,'State Key'!$A$2:$B$210,2,False)</f>
        <v>Uttar Pradesh</v>
      </c>
      <c r="E951" s="21">
        <v>90.0</v>
      </c>
      <c r="F951" s="22">
        <v>39.09</v>
      </c>
      <c r="G951" s="22">
        <v>0.0</v>
      </c>
      <c r="H951" s="22">
        <v>0.0</v>
      </c>
      <c r="I951" s="22">
        <v>0.0</v>
      </c>
      <c r="J951" s="22">
        <v>0.0</v>
      </c>
      <c r="K951" s="22">
        <v>0.0</v>
      </c>
      <c r="L951" s="22">
        <v>39.09</v>
      </c>
      <c r="M951" s="22">
        <v>35.47</v>
      </c>
      <c r="N951" s="22">
        <v>13.39</v>
      </c>
      <c r="O951" s="23">
        <v>11.3</v>
      </c>
      <c r="P951" s="18">
        <f t="shared" si="1"/>
        <v>39.09</v>
      </c>
    </row>
    <row r="952" ht="15.75" customHeight="1">
      <c r="A952" s="13" t="s">
        <v>217</v>
      </c>
      <c r="B952" s="13" t="s">
        <v>61</v>
      </c>
      <c r="C952" s="14" t="s">
        <v>78</v>
      </c>
      <c r="D952" s="14" t="str">
        <f>VLOOKUP(C952,'State Key'!$A$2:$B$210,2,False)</f>
        <v>Uttar Pradesh</v>
      </c>
      <c r="E952" s="15">
        <v>1980.0</v>
      </c>
      <c r="F952" s="16">
        <v>631.466</v>
      </c>
      <c r="G952" s="16">
        <v>0.0</v>
      </c>
      <c r="H952" s="16">
        <v>0.0</v>
      </c>
      <c r="I952" s="16">
        <v>0.0</v>
      </c>
      <c r="J952" s="16">
        <v>0.0</v>
      </c>
      <c r="K952" s="16">
        <v>0.0</v>
      </c>
      <c r="L952" s="16">
        <v>631.466</v>
      </c>
      <c r="M952" s="16">
        <v>722.23</v>
      </c>
      <c r="N952" s="16">
        <v>247.23</v>
      </c>
      <c r="O952" s="23">
        <v>10.3</v>
      </c>
      <c r="P952" s="18">
        <f t="shared" si="1"/>
        <v>631.466</v>
      </c>
    </row>
    <row r="953" ht="15.75" customHeight="1">
      <c r="A953" s="19" t="s">
        <v>217</v>
      </c>
      <c r="B953" s="19" t="s">
        <v>61</v>
      </c>
      <c r="C953" s="20" t="s">
        <v>79</v>
      </c>
      <c r="D953" s="14" t="str">
        <f>VLOOKUP(C953,'State Key'!$A$2:$B$210,2,False)</f>
        <v>Haryana</v>
      </c>
      <c r="E953" s="21">
        <v>1320.0</v>
      </c>
      <c r="F953" s="22">
        <v>398.497</v>
      </c>
      <c r="G953" s="22">
        <v>0.0</v>
      </c>
      <c r="H953" s="22">
        <v>0.0</v>
      </c>
      <c r="I953" s="22">
        <v>0.0</v>
      </c>
      <c r="J953" s="22">
        <v>0.0</v>
      </c>
      <c r="K953" s="22">
        <v>0.0</v>
      </c>
      <c r="L953" s="22">
        <v>398.497</v>
      </c>
      <c r="M953" s="22">
        <v>379.47</v>
      </c>
      <c r="N953" s="22">
        <v>308.58</v>
      </c>
      <c r="O953" s="24">
        <v>24.4</v>
      </c>
      <c r="P953" s="18">
        <f t="shared" si="1"/>
        <v>398.497</v>
      </c>
    </row>
    <row r="954" ht="15.75" customHeight="1">
      <c r="A954" s="13" t="s">
        <v>217</v>
      </c>
      <c r="B954" s="13" t="s">
        <v>61</v>
      </c>
      <c r="C954" s="14" t="s">
        <v>80</v>
      </c>
      <c r="D954" s="14" t="str">
        <f>VLOOKUP(C954,'State Key'!$A$2:$B$210,2,False)</f>
        <v>Uttar Pradesh</v>
      </c>
      <c r="E954" s="15">
        <v>90.0</v>
      </c>
      <c r="F954" s="16">
        <v>34.71</v>
      </c>
      <c r="G954" s="16">
        <v>0.0</v>
      </c>
      <c r="H954" s="16">
        <v>0.0</v>
      </c>
      <c r="I954" s="16">
        <v>0.0</v>
      </c>
      <c r="J954" s="16">
        <v>0.0</v>
      </c>
      <c r="K954" s="16">
        <v>0.0</v>
      </c>
      <c r="L954" s="16">
        <v>34.71</v>
      </c>
      <c r="M954" s="16">
        <v>35.98</v>
      </c>
      <c r="N954" s="16">
        <v>14.18</v>
      </c>
      <c r="O954" s="23">
        <v>11.8</v>
      </c>
      <c r="P954" s="18">
        <f t="shared" si="1"/>
        <v>34.71</v>
      </c>
    </row>
    <row r="955" ht="15.75" customHeight="1">
      <c r="A955" s="19" t="s">
        <v>217</v>
      </c>
      <c r="B955" s="19" t="s">
        <v>61</v>
      </c>
      <c r="C955" s="20" t="s">
        <v>81</v>
      </c>
      <c r="D955" s="14" t="str">
        <f>VLOOKUP(C955,'State Key'!$A$2:$B$210,2,False)</f>
        <v>Uttar Pradesh</v>
      </c>
      <c r="E955" s="21">
        <v>1320.0</v>
      </c>
      <c r="F955" s="22">
        <v>256.789</v>
      </c>
      <c r="G955" s="22">
        <v>0.0</v>
      </c>
      <c r="H955" s="22">
        <v>0.0</v>
      </c>
      <c r="I955" s="22">
        <v>0.0</v>
      </c>
      <c r="J955" s="22">
        <v>0.0</v>
      </c>
      <c r="K955" s="22">
        <v>0.0</v>
      </c>
      <c r="L955" s="22">
        <v>256.789</v>
      </c>
      <c r="M955" s="22">
        <v>487.305</v>
      </c>
      <c r="N955" s="22">
        <v>51.13</v>
      </c>
      <c r="O955" s="17">
        <v>3.1</v>
      </c>
      <c r="P955" s="18">
        <f t="shared" si="1"/>
        <v>256.789</v>
      </c>
    </row>
    <row r="956" ht="15.75" customHeight="1">
      <c r="A956" s="13" t="s">
        <v>217</v>
      </c>
      <c r="B956" s="13" t="s">
        <v>61</v>
      </c>
      <c r="C956" s="14" t="s">
        <v>82</v>
      </c>
      <c r="D956" s="14" t="str">
        <f>VLOOKUP(C956,'State Key'!$A$2:$B$210,2,False)</f>
        <v>Uttar Pradesh</v>
      </c>
      <c r="E956" s="15">
        <v>1000.0</v>
      </c>
      <c r="F956" s="16">
        <v>323.61</v>
      </c>
      <c r="G956" s="16">
        <v>0.0</v>
      </c>
      <c r="H956" s="16">
        <v>0.0</v>
      </c>
      <c r="I956" s="16">
        <v>0.0</v>
      </c>
      <c r="J956" s="16">
        <v>0.0</v>
      </c>
      <c r="K956" s="16">
        <v>0.0</v>
      </c>
      <c r="L956" s="16">
        <v>323.61</v>
      </c>
      <c r="M956" s="16">
        <v>366.945</v>
      </c>
      <c r="N956" s="16">
        <v>79.8</v>
      </c>
      <c r="O956" s="17">
        <v>6.5</v>
      </c>
      <c r="P956" s="18">
        <f t="shared" si="1"/>
        <v>323.61</v>
      </c>
    </row>
    <row r="957" ht="15.75" customHeight="1">
      <c r="A957" s="19" t="s">
        <v>217</v>
      </c>
      <c r="B957" s="19" t="s">
        <v>61</v>
      </c>
      <c r="C957" s="20" t="s">
        <v>83</v>
      </c>
      <c r="D957" s="14" t="str">
        <f>VLOOKUP(C957,'State Key'!$A$2:$B$210,2,False)</f>
        <v>Haryana</v>
      </c>
      <c r="E957" s="21">
        <v>710.0</v>
      </c>
      <c r="F957" s="22">
        <v>281.261</v>
      </c>
      <c r="G957" s="22">
        <v>0.0</v>
      </c>
      <c r="H957" s="22">
        <v>0.0</v>
      </c>
      <c r="I957" s="22">
        <v>0.0</v>
      </c>
      <c r="J957" s="22">
        <v>0.0</v>
      </c>
      <c r="K957" s="22">
        <v>0.0</v>
      </c>
      <c r="L957" s="22">
        <v>281.261</v>
      </c>
      <c r="M957" s="22">
        <v>317.268</v>
      </c>
      <c r="N957" s="22">
        <v>65.74</v>
      </c>
      <c r="O957" s="17">
        <v>6.2</v>
      </c>
      <c r="P957" s="18">
        <f t="shared" si="1"/>
        <v>281.261</v>
      </c>
    </row>
    <row r="958" ht="15.75" customHeight="1">
      <c r="A958" s="13" t="s">
        <v>217</v>
      </c>
      <c r="B958" s="13" t="s">
        <v>61</v>
      </c>
      <c r="C958" s="14" t="s">
        <v>84</v>
      </c>
      <c r="D958" s="14" t="str">
        <f>VLOOKUP(C958,'State Key'!$A$2:$B$210,2,False)</f>
        <v>Uttar Pradesh</v>
      </c>
      <c r="E958" s="15">
        <v>1140.0</v>
      </c>
      <c r="F958" s="16">
        <v>347.864</v>
      </c>
      <c r="G958" s="16">
        <v>0.0</v>
      </c>
      <c r="H958" s="16">
        <v>0.0</v>
      </c>
      <c r="I958" s="16">
        <v>0.0</v>
      </c>
      <c r="J958" s="16">
        <v>0.201</v>
      </c>
      <c r="K958" s="16">
        <v>0.0</v>
      </c>
      <c r="L958" s="16">
        <v>348.065</v>
      </c>
      <c r="M958" s="16">
        <v>416.169</v>
      </c>
      <c r="N958" s="16">
        <v>123.64</v>
      </c>
      <c r="O958" s="23">
        <v>8.9</v>
      </c>
      <c r="P958" s="18">
        <f t="shared" si="1"/>
        <v>348.065</v>
      </c>
    </row>
    <row r="959" ht="15.75" customHeight="1">
      <c r="A959" s="19" t="s">
        <v>217</v>
      </c>
      <c r="B959" s="19" t="s">
        <v>61</v>
      </c>
      <c r="C959" s="20" t="s">
        <v>85</v>
      </c>
      <c r="D959" s="14" t="str">
        <f>VLOOKUP(C959,'State Key'!$A$2:$B$210,2,False)</f>
        <v>Uttar Pradesh</v>
      </c>
      <c r="E959" s="21">
        <v>1980.0</v>
      </c>
      <c r="F959" s="22">
        <v>628.662</v>
      </c>
      <c r="G959" s="22">
        <v>0.0</v>
      </c>
      <c r="H959" s="22">
        <v>0.0</v>
      </c>
      <c r="I959" s="22">
        <v>0.0</v>
      </c>
      <c r="J959" s="22">
        <v>0.0</v>
      </c>
      <c r="K959" s="22">
        <v>0.0</v>
      </c>
      <c r="L959" s="22">
        <v>628.662</v>
      </c>
      <c r="M959" s="22">
        <v>642.4494</v>
      </c>
      <c r="N959" s="22">
        <v>266.92</v>
      </c>
      <c r="O959" s="23">
        <v>12.5</v>
      </c>
      <c r="P959" s="18">
        <f t="shared" si="1"/>
        <v>628.662</v>
      </c>
    </row>
    <row r="960" ht="15.75" customHeight="1">
      <c r="A960" s="13" t="s">
        <v>217</v>
      </c>
      <c r="B960" s="13" t="s">
        <v>61</v>
      </c>
      <c r="C960" s="14" t="s">
        <v>86</v>
      </c>
      <c r="D960" s="14" t="str">
        <f>VLOOKUP(C960,'State Key'!$A$2:$B$210,2,False)</f>
        <v>Haryana</v>
      </c>
      <c r="E960" s="15">
        <v>1200.0</v>
      </c>
      <c r="F960" s="16">
        <v>265.31</v>
      </c>
      <c r="G960" s="16">
        <v>0.0</v>
      </c>
      <c r="H960" s="16">
        <v>0.0</v>
      </c>
      <c r="I960" s="16">
        <v>0.0</v>
      </c>
      <c r="J960" s="16">
        <v>0.0</v>
      </c>
      <c r="K960" s="16">
        <v>0.0</v>
      </c>
      <c r="L960" s="16">
        <v>265.31</v>
      </c>
      <c r="M960" s="16">
        <v>356.265</v>
      </c>
      <c r="N960" s="16">
        <v>273.925</v>
      </c>
      <c r="O960" s="24">
        <v>23.1</v>
      </c>
      <c r="P960" s="18">
        <f t="shared" si="1"/>
        <v>265.31</v>
      </c>
    </row>
    <row r="961" ht="15.75" customHeight="1">
      <c r="A961" s="19" t="s">
        <v>217</v>
      </c>
      <c r="B961" s="19" t="s">
        <v>61</v>
      </c>
      <c r="C961" s="20" t="s">
        <v>87</v>
      </c>
      <c r="D961" s="14" t="str">
        <f>VLOOKUP(C961,'State Key'!$A$2:$B$210,2,False)</f>
        <v>Punjab</v>
      </c>
      <c r="E961" s="21">
        <v>1400.0</v>
      </c>
      <c r="F961" s="22">
        <v>525.3551</v>
      </c>
      <c r="G961" s="22">
        <v>0.0</v>
      </c>
      <c r="H961" s="22">
        <v>0.0</v>
      </c>
      <c r="I961" s="22">
        <v>0.0</v>
      </c>
      <c r="J961" s="22">
        <v>0.0</v>
      </c>
      <c r="K961" s="22">
        <v>0.0</v>
      </c>
      <c r="L961" s="22">
        <v>525.3551</v>
      </c>
      <c r="M961" s="22">
        <v>532.195</v>
      </c>
      <c r="N961" s="22">
        <v>201.9</v>
      </c>
      <c r="O961" s="23">
        <v>11.4</v>
      </c>
      <c r="P961" s="18">
        <f t="shared" si="1"/>
        <v>525.3551</v>
      </c>
    </row>
    <row r="962" ht="15.75" customHeight="1">
      <c r="A962" s="13" t="s">
        <v>217</v>
      </c>
      <c r="B962" s="13" t="s">
        <v>61</v>
      </c>
      <c r="C962" s="14" t="s">
        <v>88</v>
      </c>
      <c r="D962" s="14" t="str">
        <f>VLOOKUP(C962,'State Key'!$A$2:$B$210,2,False)</f>
        <v>Uttar Pradesh</v>
      </c>
      <c r="E962" s="15">
        <v>3000.0</v>
      </c>
      <c r="F962" s="16">
        <v>1211.97</v>
      </c>
      <c r="G962" s="16">
        <v>0.0</v>
      </c>
      <c r="H962" s="16">
        <v>0.0</v>
      </c>
      <c r="I962" s="16">
        <v>0.0</v>
      </c>
      <c r="J962" s="16">
        <v>0.0</v>
      </c>
      <c r="K962" s="16">
        <v>0.0</v>
      </c>
      <c r="L962" s="16">
        <v>1211.97</v>
      </c>
      <c r="M962" s="16">
        <v>1214.624</v>
      </c>
      <c r="N962" s="16">
        <v>958.05</v>
      </c>
      <c r="O962" s="24">
        <v>23.7</v>
      </c>
      <c r="P962" s="18">
        <f t="shared" si="1"/>
        <v>1211.97</v>
      </c>
    </row>
    <row r="963" ht="15.75" customHeight="1">
      <c r="A963" s="19" t="s">
        <v>217</v>
      </c>
      <c r="B963" s="19" t="s">
        <v>61</v>
      </c>
      <c r="C963" s="20" t="s">
        <v>89</v>
      </c>
      <c r="D963" s="14" t="str">
        <f>VLOOKUP(C963,'State Key'!$A$2:$B$210,2,False)</f>
        <v>Punjab</v>
      </c>
      <c r="E963" s="21">
        <v>840.0</v>
      </c>
      <c r="F963" s="22">
        <v>87.862</v>
      </c>
      <c r="G963" s="22">
        <v>0.0</v>
      </c>
      <c r="H963" s="22">
        <v>211.08</v>
      </c>
      <c r="I963" s="22">
        <v>0.0</v>
      </c>
      <c r="J963" s="22">
        <v>0.0</v>
      </c>
      <c r="K963" s="22">
        <v>0.0</v>
      </c>
      <c r="L963" s="22">
        <v>298.942</v>
      </c>
      <c r="M963" s="22">
        <v>210.395</v>
      </c>
      <c r="N963" s="22">
        <v>384.39</v>
      </c>
      <c r="O963" s="24">
        <v>54.8</v>
      </c>
      <c r="P963" s="18">
        <f t="shared" si="1"/>
        <v>298.942</v>
      </c>
    </row>
    <row r="964" ht="15.75" customHeight="1">
      <c r="A964" s="13" t="s">
        <v>217</v>
      </c>
      <c r="B964" s="13" t="s">
        <v>61</v>
      </c>
      <c r="C964" s="14" t="s">
        <v>90</v>
      </c>
      <c r="D964" s="14" t="str">
        <f>VLOOKUP(C964,'State Key'!$A$2:$B$210,2,False)</f>
        <v>Uttar Pradesh</v>
      </c>
      <c r="E964" s="15">
        <v>1200.0</v>
      </c>
      <c r="F964" s="16">
        <v>324.8</v>
      </c>
      <c r="G964" s="16">
        <v>0.0</v>
      </c>
      <c r="H964" s="16">
        <v>0.0</v>
      </c>
      <c r="I964" s="16">
        <v>0.0</v>
      </c>
      <c r="J964" s="16">
        <v>0.0</v>
      </c>
      <c r="K964" s="16">
        <v>0.0</v>
      </c>
      <c r="L964" s="16">
        <v>324.8</v>
      </c>
      <c r="M964" s="16">
        <v>347.1</v>
      </c>
      <c r="N964" s="16">
        <v>142.74</v>
      </c>
      <c r="O964" s="23">
        <v>12.3</v>
      </c>
      <c r="P964" s="18">
        <f t="shared" si="1"/>
        <v>324.8</v>
      </c>
    </row>
    <row r="965" ht="15.75" customHeight="1">
      <c r="A965" s="19" t="s">
        <v>217</v>
      </c>
      <c r="B965" s="19" t="s">
        <v>61</v>
      </c>
      <c r="C965" s="20" t="s">
        <v>91</v>
      </c>
      <c r="D965" s="14" t="str">
        <f>VLOOKUP(C965,'State Key'!$A$2:$B$210,2,False)</f>
        <v>Uttar Pradesh</v>
      </c>
      <c r="E965" s="21">
        <v>2000.0</v>
      </c>
      <c r="F965" s="22">
        <v>760.0</v>
      </c>
      <c r="G965" s="22">
        <v>0.0</v>
      </c>
      <c r="H965" s="22">
        <v>0.0</v>
      </c>
      <c r="I965" s="22">
        <v>0.0</v>
      </c>
      <c r="J965" s="22">
        <v>0.0</v>
      </c>
      <c r="K965" s="22">
        <v>0.0</v>
      </c>
      <c r="L965" s="22">
        <v>760.0</v>
      </c>
      <c r="M965" s="22">
        <v>809.905</v>
      </c>
      <c r="N965" s="22">
        <v>228.424</v>
      </c>
      <c r="O965" s="23">
        <v>8.5</v>
      </c>
      <c r="P965" s="18">
        <f t="shared" si="1"/>
        <v>760</v>
      </c>
    </row>
    <row r="966" ht="15.75" customHeight="1">
      <c r="A966" s="13" t="s">
        <v>217</v>
      </c>
      <c r="B966" s="13" t="s">
        <v>61</v>
      </c>
      <c r="C966" s="14" t="s">
        <v>92</v>
      </c>
      <c r="D966" s="14" t="str">
        <f>VLOOKUP(C966,'State Key'!$A$2:$B$210,2,False)</f>
        <v>Rajasthan</v>
      </c>
      <c r="E966" s="15">
        <v>1320.0</v>
      </c>
      <c r="F966" s="16">
        <v>287.56358</v>
      </c>
      <c r="G966" s="16">
        <v>0.0</v>
      </c>
      <c r="H966" s="16">
        <v>55.23124</v>
      </c>
      <c r="I966" s="16">
        <v>28.28938</v>
      </c>
      <c r="J966" s="16">
        <v>0.0</v>
      </c>
      <c r="K966" s="16">
        <v>0.0</v>
      </c>
      <c r="L966" s="16">
        <v>371.0842</v>
      </c>
      <c r="M966" s="16">
        <v>384.395</v>
      </c>
      <c r="N966" s="16">
        <v>62.57</v>
      </c>
      <c r="O966" s="17">
        <v>4.9</v>
      </c>
      <c r="P966" s="18">
        <f t="shared" si="1"/>
        <v>371.0842</v>
      </c>
    </row>
    <row r="967" ht="15.75" customHeight="1">
      <c r="A967" s="19" t="s">
        <v>217</v>
      </c>
      <c r="B967" s="19" t="s">
        <v>61</v>
      </c>
      <c r="C967" s="20" t="s">
        <v>93</v>
      </c>
      <c r="D967" s="14" t="str">
        <f>VLOOKUP(C967,'State Key'!$A$2:$B$210,2,False)</f>
        <v>Rajasthan</v>
      </c>
      <c r="E967" s="21">
        <v>1500.0</v>
      </c>
      <c r="F967" s="22">
        <v>484.958</v>
      </c>
      <c r="G967" s="22">
        <v>0.0</v>
      </c>
      <c r="H967" s="22">
        <v>0.0</v>
      </c>
      <c r="I967" s="22">
        <v>0.0</v>
      </c>
      <c r="J967" s="22">
        <v>0.0</v>
      </c>
      <c r="K967" s="22">
        <v>0.0</v>
      </c>
      <c r="L967" s="22">
        <v>484.958</v>
      </c>
      <c r="M967" s="22">
        <v>460.47</v>
      </c>
      <c r="N967" s="22">
        <v>190.04</v>
      </c>
      <c r="O967" s="23">
        <v>12.4</v>
      </c>
      <c r="P967" s="18">
        <f t="shared" si="1"/>
        <v>484.958</v>
      </c>
    </row>
    <row r="968" ht="15.75" customHeight="1">
      <c r="A968" s="13" t="s">
        <v>217</v>
      </c>
      <c r="B968" s="13" t="s">
        <v>61</v>
      </c>
      <c r="C968" s="14" t="s">
        <v>94</v>
      </c>
      <c r="D968" s="14" t="str">
        <f>VLOOKUP(C968,'State Key'!$A$2:$B$210,2,False)</f>
        <v>Punjab</v>
      </c>
      <c r="E968" s="15">
        <v>1980.0</v>
      </c>
      <c r="F968" s="16">
        <v>730.959</v>
      </c>
      <c r="G968" s="16">
        <v>0.0</v>
      </c>
      <c r="H968" s="16">
        <v>0.0</v>
      </c>
      <c r="I968" s="16">
        <v>0.0</v>
      </c>
      <c r="J968" s="16">
        <v>0.0</v>
      </c>
      <c r="K968" s="16">
        <v>0.0</v>
      </c>
      <c r="L968" s="16">
        <v>730.959</v>
      </c>
      <c r="M968" s="16">
        <v>671.16</v>
      </c>
      <c r="N968" s="16">
        <v>175.07</v>
      </c>
      <c r="O968" s="23">
        <v>7.8</v>
      </c>
      <c r="P968" s="18">
        <f t="shared" si="1"/>
        <v>730.959</v>
      </c>
    </row>
    <row r="969" ht="15.75" customHeight="1">
      <c r="A969" s="19" t="s">
        <v>217</v>
      </c>
      <c r="B969" s="19" t="s">
        <v>61</v>
      </c>
      <c r="C969" s="20" t="s">
        <v>95</v>
      </c>
      <c r="D969" s="14" t="str">
        <f>VLOOKUP(C969,'State Key'!$A$2:$B$210,2,False)</f>
        <v>Uttar Pradesh</v>
      </c>
      <c r="E969" s="21">
        <v>1760.0</v>
      </c>
      <c r="F969" s="22">
        <v>383.37</v>
      </c>
      <c r="G969" s="22">
        <v>0.0</v>
      </c>
      <c r="H969" s="22">
        <v>19.46</v>
      </c>
      <c r="I969" s="22">
        <v>56.4</v>
      </c>
      <c r="J969" s="22">
        <v>0.0</v>
      </c>
      <c r="K969" s="22">
        <v>0.0</v>
      </c>
      <c r="L969" s="22">
        <v>459.23</v>
      </c>
      <c r="M969" s="22">
        <v>646.986</v>
      </c>
      <c r="N969" s="22">
        <v>134.462</v>
      </c>
      <c r="O969" s="17">
        <v>6.2</v>
      </c>
      <c r="P969" s="18">
        <f t="shared" si="1"/>
        <v>459.23</v>
      </c>
    </row>
    <row r="970" ht="15.75" customHeight="1">
      <c r="A970" s="13" t="s">
        <v>217</v>
      </c>
      <c r="B970" s="13" t="s">
        <v>61</v>
      </c>
      <c r="C970" s="14" t="s">
        <v>96</v>
      </c>
      <c r="D970" s="14" t="str">
        <f>VLOOKUP(C970,'State Key'!$A$2:$B$210,2,False)</f>
        <v>Uttar Pradesh</v>
      </c>
      <c r="E970" s="15">
        <v>1550.0</v>
      </c>
      <c r="F970" s="16">
        <v>310.73</v>
      </c>
      <c r="G970" s="16">
        <v>0.0</v>
      </c>
      <c r="H970" s="16">
        <v>35.45</v>
      </c>
      <c r="I970" s="16">
        <v>50.268</v>
      </c>
      <c r="J970" s="16">
        <v>0.0</v>
      </c>
      <c r="K970" s="16">
        <v>0.0</v>
      </c>
      <c r="L970" s="16">
        <v>396.448</v>
      </c>
      <c r="M970" s="16">
        <v>516.574</v>
      </c>
      <c r="N970" s="16">
        <v>105.926</v>
      </c>
      <c r="O970" s="17">
        <v>6.2</v>
      </c>
      <c r="P970" s="18">
        <f t="shared" si="1"/>
        <v>396.448</v>
      </c>
    </row>
    <row r="971" ht="15.75" customHeight="1">
      <c r="A971" s="19" t="s">
        <v>217</v>
      </c>
      <c r="B971" s="19" t="s">
        <v>61</v>
      </c>
      <c r="C971" s="20" t="s">
        <v>97</v>
      </c>
      <c r="D971" s="14" t="str">
        <f>VLOOKUP(C971,'State Key'!$A$2:$B$210,2,False)</f>
        <v>Uttar Pradesh</v>
      </c>
      <c r="E971" s="21">
        <v>90.0</v>
      </c>
      <c r="F971" s="22">
        <v>35.39</v>
      </c>
      <c r="G971" s="22">
        <v>0.0</v>
      </c>
      <c r="H971" s="22">
        <v>0.0</v>
      </c>
      <c r="I971" s="22">
        <v>0.0</v>
      </c>
      <c r="J971" s="22">
        <v>0.0</v>
      </c>
      <c r="K971" s="22">
        <v>0.0</v>
      </c>
      <c r="L971" s="22">
        <v>35.39</v>
      </c>
      <c r="M971" s="22">
        <v>37.85</v>
      </c>
      <c r="N971" s="22">
        <v>14.48</v>
      </c>
      <c r="O971" s="23">
        <v>11.5</v>
      </c>
      <c r="P971" s="18">
        <f t="shared" si="1"/>
        <v>35.39</v>
      </c>
    </row>
    <row r="972" ht="15.75" customHeight="1">
      <c r="A972" s="13" t="s">
        <v>217</v>
      </c>
      <c r="B972" s="13" t="s">
        <v>61</v>
      </c>
      <c r="C972" s="14" t="s">
        <v>98</v>
      </c>
      <c r="D972" s="14" t="str">
        <f>VLOOKUP(C972,'State Key'!$A$2:$B$210,2,False)</f>
        <v>Haryana</v>
      </c>
      <c r="E972" s="15">
        <v>600.0</v>
      </c>
      <c r="F972" s="16">
        <v>183.634</v>
      </c>
      <c r="G972" s="16">
        <v>0.0</v>
      </c>
      <c r="H972" s="16">
        <v>0.0</v>
      </c>
      <c r="I972" s="16">
        <v>0.0</v>
      </c>
      <c r="J972" s="16">
        <v>0.0</v>
      </c>
      <c r="K972" s="16">
        <v>0.0</v>
      </c>
      <c r="L972" s="16">
        <v>183.634</v>
      </c>
      <c r="M972" s="16">
        <v>249.952</v>
      </c>
      <c r="N972" s="16">
        <v>94.18</v>
      </c>
      <c r="O972" s="23">
        <v>11.3</v>
      </c>
      <c r="P972" s="18">
        <f t="shared" si="1"/>
        <v>183.634</v>
      </c>
    </row>
    <row r="973" ht="15.75" customHeight="1">
      <c r="A973" s="19" t="s">
        <v>217</v>
      </c>
      <c r="B973" s="19" t="s">
        <v>99</v>
      </c>
      <c r="C973" s="20" t="s">
        <v>210</v>
      </c>
      <c r="D973" s="14" t="str">
        <f>VLOOKUP(C973,'State Key'!$A$2:$B$210,2,False)</f>
        <v>Karnataka</v>
      </c>
      <c r="E973" s="21">
        <v>1200.0</v>
      </c>
      <c r="F973" s="22">
        <v>0.0</v>
      </c>
      <c r="G973" s="22">
        <v>0.0</v>
      </c>
      <c r="H973" s="22">
        <v>0.0</v>
      </c>
      <c r="I973" s="22">
        <v>240.662</v>
      </c>
      <c r="J973" s="22">
        <v>0.0</v>
      </c>
      <c r="K973" s="22">
        <v>0.0</v>
      </c>
      <c r="L973" s="22">
        <v>240.662</v>
      </c>
      <c r="M973" s="22">
        <v>231.683</v>
      </c>
      <c r="N973" s="22">
        <v>56.7</v>
      </c>
      <c r="O973" s="23">
        <v>7.3</v>
      </c>
      <c r="P973" s="18">
        <f t="shared" si="1"/>
        <v>240.662</v>
      </c>
    </row>
    <row r="974" ht="15.75" customHeight="1">
      <c r="A974" s="13" t="s">
        <v>217</v>
      </c>
      <c r="B974" s="13" t="s">
        <v>99</v>
      </c>
      <c r="C974" s="14" t="s">
        <v>100</v>
      </c>
      <c r="D974" s="14" t="str">
        <f>VLOOKUP(C974,'State Key'!$A$2:$B$210,2,False)</f>
        <v>Karnataka</v>
      </c>
      <c r="E974" s="15">
        <v>1700.0</v>
      </c>
      <c r="F974" s="16">
        <v>167.07377</v>
      </c>
      <c r="G974" s="16">
        <v>149.0513</v>
      </c>
      <c r="H974" s="16">
        <v>105.47659</v>
      </c>
      <c r="I974" s="16">
        <v>0.0</v>
      </c>
      <c r="J974" s="16">
        <v>0.0</v>
      </c>
      <c r="K974" s="16">
        <v>0.0</v>
      </c>
      <c r="L974" s="16">
        <v>421.60166</v>
      </c>
      <c r="M974" s="16">
        <v>478.993</v>
      </c>
      <c r="N974" s="16">
        <v>1.9345</v>
      </c>
      <c r="O974" s="17">
        <v>0.1</v>
      </c>
      <c r="P974" s="18">
        <f t="shared" si="1"/>
        <v>421.60166</v>
      </c>
    </row>
    <row r="975" ht="15.75" customHeight="1">
      <c r="A975" s="19" t="s">
        <v>217</v>
      </c>
      <c r="B975" s="19" t="s">
        <v>99</v>
      </c>
      <c r="C975" s="20" t="s">
        <v>101</v>
      </c>
      <c r="D975" s="14" t="str">
        <f>VLOOKUP(C975,'State Key'!$A$2:$B$210,2,False)</f>
        <v>Telangana</v>
      </c>
      <c r="E975" s="21">
        <v>1080.0</v>
      </c>
      <c r="F975" s="22">
        <v>0.0</v>
      </c>
      <c r="G975" s="22">
        <v>385.768</v>
      </c>
      <c r="H975" s="22">
        <v>0.0</v>
      </c>
      <c r="I975" s="22">
        <v>0.0</v>
      </c>
      <c r="J975" s="22">
        <v>0.0</v>
      </c>
      <c r="K975" s="22">
        <v>0.0</v>
      </c>
      <c r="L975" s="22">
        <v>385.768</v>
      </c>
      <c r="M975" s="22">
        <v>456.68</v>
      </c>
      <c r="N975" s="22">
        <v>178.92</v>
      </c>
      <c r="O975" s="23">
        <v>11.8</v>
      </c>
      <c r="P975" s="18">
        <f t="shared" si="1"/>
        <v>385.768</v>
      </c>
    </row>
    <row r="976" ht="15.75" customHeight="1">
      <c r="A976" s="13" t="s">
        <v>217</v>
      </c>
      <c r="B976" s="13" t="s">
        <v>99</v>
      </c>
      <c r="C976" s="14" t="s">
        <v>102</v>
      </c>
      <c r="D976" s="14" t="str">
        <f>VLOOKUP(C976,'State Key'!$A$2:$B$210,2,False)</f>
        <v>Andhra Pradesh</v>
      </c>
      <c r="E976" s="15">
        <v>2400.0</v>
      </c>
      <c r="F976" s="16">
        <v>392.254</v>
      </c>
      <c r="G976" s="16">
        <v>0.0</v>
      </c>
      <c r="H976" s="16">
        <v>0.0</v>
      </c>
      <c r="I976" s="16">
        <v>0.038</v>
      </c>
      <c r="J976" s="16">
        <v>0.0</v>
      </c>
      <c r="K976" s="16">
        <v>0.0</v>
      </c>
      <c r="L976" s="16">
        <v>392.292</v>
      </c>
      <c r="M976" s="16">
        <v>365.297</v>
      </c>
      <c r="N976" s="16">
        <v>84.76</v>
      </c>
      <c r="O976" s="23">
        <v>7.0</v>
      </c>
      <c r="P976" s="18">
        <f t="shared" si="1"/>
        <v>392.292</v>
      </c>
    </row>
    <row r="977" ht="15.75" customHeight="1">
      <c r="A977" s="19" t="s">
        <v>217</v>
      </c>
      <c r="B977" s="19" t="s">
        <v>99</v>
      </c>
      <c r="C977" s="20" t="s">
        <v>103</v>
      </c>
      <c r="D977" s="14" t="str">
        <f>VLOOKUP(C977,'State Key'!$A$2:$B$210,2,False)</f>
        <v>Andhra Pradesh</v>
      </c>
      <c r="E977" s="21">
        <v>1760.0</v>
      </c>
      <c r="F977" s="22">
        <v>500.432</v>
      </c>
      <c r="G977" s="22">
        <v>280.446</v>
      </c>
      <c r="H977" s="22">
        <v>0.0</v>
      </c>
      <c r="I977" s="22">
        <v>0.0</v>
      </c>
      <c r="J977" s="22">
        <v>0.0</v>
      </c>
      <c r="K977" s="22">
        <v>0.0</v>
      </c>
      <c r="L977" s="22">
        <v>780.878</v>
      </c>
      <c r="M977" s="22">
        <v>780.669</v>
      </c>
      <c r="N977" s="22">
        <v>55.98</v>
      </c>
      <c r="O977" s="17">
        <v>2.2</v>
      </c>
      <c r="P977" s="18">
        <f t="shared" si="1"/>
        <v>780.878</v>
      </c>
    </row>
    <row r="978" ht="15.75" customHeight="1">
      <c r="A978" s="13" t="s">
        <v>217</v>
      </c>
      <c r="B978" s="13" t="s">
        <v>99</v>
      </c>
      <c r="C978" s="14" t="s">
        <v>104</v>
      </c>
      <c r="D978" s="14" t="str">
        <f>VLOOKUP(C978,'State Key'!$A$2:$B$210,2,False)</f>
        <v>Tamil Nadu</v>
      </c>
      <c r="E978" s="15">
        <v>1200.0</v>
      </c>
      <c r="F978" s="16">
        <v>0.0</v>
      </c>
      <c r="G978" s="16">
        <v>0.0</v>
      </c>
      <c r="H978" s="16">
        <v>0.0</v>
      </c>
      <c r="I978" s="16">
        <v>338.568</v>
      </c>
      <c r="J978" s="16">
        <v>0.0</v>
      </c>
      <c r="K978" s="16">
        <v>0.0</v>
      </c>
      <c r="L978" s="16">
        <v>338.568</v>
      </c>
      <c r="M978" s="16">
        <v>361.626</v>
      </c>
      <c r="N978" s="16">
        <v>135.13</v>
      </c>
      <c r="O978" s="23">
        <v>11.2</v>
      </c>
      <c r="P978" s="18">
        <f t="shared" si="1"/>
        <v>338.568</v>
      </c>
    </row>
    <row r="979" ht="15.75" customHeight="1">
      <c r="A979" s="19" t="s">
        <v>217</v>
      </c>
      <c r="B979" s="19" t="s">
        <v>99</v>
      </c>
      <c r="C979" s="20" t="s">
        <v>105</v>
      </c>
      <c r="D979" s="14" t="str">
        <f>VLOOKUP(C979,'State Key'!$A$2:$B$210,2,False)</f>
        <v>Telangana</v>
      </c>
      <c r="E979" s="21">
        <v>1100.0</v>
      </c>
      <c r="F979" s="22">
        <v>0.0</v>
      </c>
      <c r="G979" s="22">
        <v>385.809</v>
      </c>
      <c r="H979" s="22">
        <v>0.0</v>
      </c>
      <c r="I979" s="22">
        <v>0.0</v>
      </c>
      <c r="J979" s="22">
        <v>0.0</v>
      </c>
      <c r="K979" s="22">
        <v>0.0</v>
      </c>
      <c r="L979" s="22">
        <v>385.809</v>
      </c>
      <c r="M979" s="22">
        <v>403.902</v>
      </c>
      <c r="N979" s="22">
        <v>164.36</v>
      </c>
      <c r="O979" s="23">
        <v>12.2</v>
      </c>
      <c r="P979" s="18">
        <f t="shared" si="1"/>
        <v>385.809</v>
      </c>
    </row>
    <row r="980" ht="15.75" customHeight="1">
      <c r="A980" s="13" t="s">
        <v>217</v>
      </c>
      <c r="B980" s="13" t="s">
        <v>99</v>
      </c>
      <c r="C980" s="14" t="s">
        <v>106</v>
      </c>
      <c r="D980" s="14" t="str">
        <f>VLOOKUP(C980,'State Key'!$A$2:$B$210,2,False)</f>
        <v>Telangana</v>
      </c>
      <c r="E980" s="15">
        <v>1000.0</v>
      </c>
      <c r="F980" s="16">
        <v>0.0</v>
      </c>
      <c r="G980" s="16">
        <v>365.475</v>
      </c>
      <c r="H980" s="16">
        <v>0.0</v>
      </c>
      <c r="I980" s="16">
        <v>0.0</v>
      </c>
      <c r="J980" s="16">
        <v>0.0</v>
      </c>
      <c r="K980" s="16">
        <v>0.0</v>
      </c>
      <c r="L980" s="16">
        <v>365.475</v>
      </c>
      <c r="M980" s="16">
        <v>427.498</v>
      </c>
      <c r="N980" s="16">
        <v>181.951</v>
      </c>
      <c r="O980" s="23">
        <v>12.8</v>
      </c>
      <c r="P980" s="18">
        <f t="shared" si="1"/>
        <v>365.475</v>
      </c>
    </row>
    <row r="981" ht="15.75" customHeight="1">
      <c r="A981" s="19" t="s">
        <v>217</v>
      </c>
      <c r="B981" s="19" t="s">
        <v>99</v>
      </c>
      <c r="C981" s="20" t="s">
        <v>107</v>
      </c>
      <c r="D981" s="14" t="str">
        <f>VLOOKUP(C981,'State Key'!$A$2:$B$210,2,False)</f>
        <v>Telangana</v>
      </c>
      <c r="E981" s="21">
        <v>800.0</v>
      </c>
      <c r="F981" s="22">
        <v>0.0</v>
      </c>
      <c r="G981" s="22">
        <v>249.809</v>
      </c>
      <c r="H981" s="22">
        <v>0.0</v>
      </c>
      <c r="I981" s="22">
        <v>0.0</v>
      </c>
      <c r="J981" s="22">
        <v>0.0</v>
      </c>
      <c r="K981" s="22">
        <v>0.0</v>
      </c>
      <c r="L981" s="22">
        <v>249.809</v>
      </c>
      <c r="M981" s="22">
        <v>233.228</v>
      </c>
      <c r="N981" s="22">
        <v>78.253</v>
      </c>
      <c r="O981" s="23">
        <v>10.1</v>
      </c>
      <c r="P981" s="18">
        <f t="shared" si="1"/>
        <v>249.809</v>
      </c>
    </row>
    <row r="982" ht="15.75" customHeight="1">
      <c r="A982" s="13" t="s">
        <v>217</v>
      </c>
      <c r="B982" s="13" t="s">
        <v>99</v>
      </c>
      <c r="C982" s="14" t="s">
        <v>108</v>
      </c>
      <c r="D982" s="14" t="str">
        <f>VLOOKUP(C982,'State Key'!$A$2:$B$210,2,False)</f>
        <v>Karnataka</v>
      </c>
      <c r="E982" s="15">
        <v>2400.0</v>
      </c>
      <c r="F982" s="16">
        <v>419.34</v>
      </c>
      <c r="G982" s="16">
        <v>220.75</v>
      </c>
      <c r="H982" s="16">
        <v>150.0</v>
      </c>
      <c r="I982" s="16">
        <v>77.115</v>
      </c>
      <c r="J982" s="16">
        <v>0.0</v>
      </c>
      <c r="K982" s="16">
        <v>0.0</v>
      </c>
      <c r="L982" s="16">
        <v>867.205</v>
      </c>
      <c r="M982" s="16">
        <v>659.056</v>
      </c>
      <c r="N982" s="16">
        <v>274.798</v>
      </c>
      <c r="O982" s="23">
        <v>12.5</v>
      </c>
      <c r="P982" s="18">
        <f t="shared" si="1"/>
        <v>867.205</v>
      </c>
    </row>
    <row r="983" ht="15.75" customHeight="1">
      <c r="A983" s="19" t="s">
        <v>217</v>
      </c>
      <c r="B983" s="19" t="s">
        <v>99</v>
      </c>
      <c r="C983" s="20" t="s">
        <v>109</v>
      </c>
      <c r="D983" s="14" t="str">
        <f>VLOOKUP(C983,'State Key'!$A$2:$B$210,2,False)</f>
        <v>Tamil Nadu</v>
      </c>
      <c r="E983" s="21">
        <v>840.0</v>
      </c>
      <c r="F983" s="22">
        <v>107.6144</v>
      </c>
      <c r="G983" s="22">
        <v>4.1053</v>
      </c>
      <c r="H983" s="22">
        <v>0.0</v>
      </c>
      <c r="I983" s="22">
        <v>46.1169</v>
      </c>
      <c r="J983" s="22">
        <v>226.6579</v>
      </c>
      <c r="K983" s="22">
        <v>0.0</v>
      </c>
      <c r="L983" s="22">
        <v>384.4945</v>
      </c>
      <c r="M983" s="22">
        <v>373.3515</v>
      </c>
      <c r="N983" s="22">
        <v>39.806</v>
      </c>
      <c r="O983" s="17">
        <v>3.2</v>
      </c>
      <c r="P983" s="18">
        <f t="shared" si="1"/>
        <v>384.4945</v>
      </c>
    </row>
    <row r="984" ht="15.75" customHeight="1">
      <c r="A984" s="13" t="s">
        <v>217</v>
      </c>
      <c r="B984" s="13" t="s">
        <v>99</v>
      </c>
      <c r="C984" s="14" t="s">
        <v>110</v>
      </c>
      <c r="D984" s="14" t="str">
        <f>VLOOKUP(C984,'State Key'!$A$2:$B$210,2,False)</f>
        <v>Tamil Nadu</v>
      </c>
      <c r="E984" s="15">
        <v>600.0</v>
      </c>
      <c r="F984" s="16">
        <v>147.753</v>
      </c>
      <c r="G984" s="16">
        <v>0.0</v>
      </c>
      <c r="H984" s="16">
        <v>0.0</v>
      </c>
      <c r="I984" s="16">
        <v>17.044</v>
      </c>
      <c r="J984" s="16">
        <v>0.0</v>
      </c>
      <c r="K984" s="16">
        <v>0.0</v>
      </c>
      <c r="L984" s="16">
        <v>164.797</v>
      </c>
      <c r="M984" s="16">
        <v>207.02</v>
      </c>
      <c r="N984" s="16">
        <v>63.02</v>
      </c>
      <c r="O984" s="23">
        <v>9.1</v>
      </c>
      <c r="P984" s="18">
        <f t="shared" si="1"/>
        <v>164.797</v>
      </c>
    </row>
    <row r="985" ht="15.75" customHeight="1">
      <c r="A985" s="19" t="s">
        <v>217</v>
      </c>
      <c r="B985" s="19" t="s">
        <v>99</v>
      </c>
      <c r="C985" s="20" t="s">
        <v>111</v>
      </c>
      <c r="D985" s="14" t="str">
        <f>VLOOKUP(C985,'State Key'!$A$2:$B$210,2,False)</f>
        <v>Tamil Nadu</v>
      </c>
      <c r="E985" s="21">
        <v>1200.0</v>
      </c>
      <c r="F985" s="22">
        <v>0.0</v>
      </c>
      <c r="G985" s="22">
        <v>0.0</v>
      </c>
      <c r="H985" s="22">
        <v>0.0</v>
      </c>
      <c r="I985" s="22">
        <v>407.901</v>
      </c>
      <c r="J985" s="22">
        <v>0.0</v>
      </c>
      <c r="K985" s="22">
        <v>0.0</v>
      </c>
      <c r="L985" s="22">
        <v>407.901</v>
      </c>
      <c r="M985" s="22">
        <v>395.388</v>
      </c>
      <c r="N985" s="22">
        <v>45.317</v>
      </c>
      <c r="O985" s="17">
        <v>3.4</v>
      </c>
      <c r="P985" s="18">
        <f t="shared" si="1"/>
        <v>407.901</v>
      </c>
    </row>
    <row r="986" ht="15.75" customHeight="1">
      <c r="A986" s="13" t="s">
        <v>217</v>
      </c>
      <c r="B986" s="13" t="s">
        <v>99</v>
      </c>
      <c r="C986" s="14" t="s">
        <v>112</v>
      </c>
      <c r="D986" s="14" t="str">
        <f>VLOOKUP(C986,'State Key'!$A$2:$B$210,2,False)</f>
        <v>Tamil Nadu</v>
      </c>
      <c r="E986" s="15">
        <v>1830.0</v>
      </c>
      <c r="F986" s="16">
        <v>552.587</v>
      </c>
      <c r="G986" s="16">
        <v>0.0</v>
      </c>
      <c r="H986" s="16">
        <v>0.0</v>
      </c>
      <c r="I986" s="16">
        <v>0.0</v>
      </c>
      <c r="J986" s="16">
        <v>0.0</v>
      </c>
      <c r="K986" s="16">
        <v>0.0</v>
      </c>
      <c r="L986" s="16">
        <v>552.587</v>
      </c>
      <c r="M986" s="16">
        <v>682.329</v>
      </c>
      <c r="N986" s="16">
        <v>157.04</v>
      </c>
      <c r="O986" s="17">
        <v>6.9</v>
      </c>
      <c r="P986" s="18">
        <f t="shared" si="1"/>
        <v>552.587</v>
      </c>
    </row>
    <row r="987" ht="15.75" customHeight="1">
      <c r="A987" s="19" t="s">
        <v>217</v>
      </c>
      <c r="B987" s="19" t="s">
        <v>99</v>
      </c>
      <c r="C987" s="20" t="s">
        <v>113</v>
      </c>
      <c r="D987" s="14" t="str">
        <f>VLOOKUP(C987,'State Key'!$A$2:$B$210,2,False)</f>
        <v>Tamil Nadu</v>
      </c>
      <c r="E987" s="21">
        <v>1000.0</v>
      </c>
      <c r="F987" s="22">
        <v>151.85</v>
      </c>
      <c r="G987" s="22">
        <v>0.0</v>
      </c>
      <c r="H987" s="22">
        <v>150.307</v>
      </c>
      <c r="I987" s="22">
        <v>75.175</v>
      </c>
      <c r="J987" s="22">
        <v>0.0</v>
      </c>
      <c r="K987" s="22">
        <v>0.0</v>
      </c>
      <c r="L987" s="22">
        <v>377.332</v>
      </c>
      <c r="M987" s="22">
        <v>387.192</v>
      </c>
      <c r="N987" s="22">
        <v>252.16</v>
      </c>
      <c r="O987" s="24">
        <v>19.5</v>
      </c>
      <c r="P987" s="18">
        <f t="shared" si="1"/>
        <v>377.332</v>
      </c>
    </row>
    <row r="988" ht="15.75" customHeight="1">
      <c r="A988" s="13" t="s">
        <v>217</v>
      </c>
      <c r="B988" s="13" t="s">
        <v>99</v>
      </c>
      <c r="C988" s="14" t="s">
        <v>114</v>
      </c>
      <c r="D988" s="14" t="str">
        <f>VLOOKUP(C988,'State Key'!$A$2:$B$210,2,False)</f>
        <v>Andhra Pradesh</v>
      </c>
      <c r="E988" s="15">
        <v>1320.0</v>
      </c>
      <c r="F988" s="16">
        <v>344.282</v>
      </c>
      <c r="G988" s="16">
        <v>0.0</v>
      </c>
      <c r="H988" s="16">
        <v>0.0</v>
      </c>
      <c r="I988" s="16">
        <v>175.685</v>
      </c>
      <c r="J988" s="16">
        <v>0.0</v>
      </c>
      <c r="K988" s="16">
        <v>0.0</v>
      </c>
      <c r="L988" s="16">
        <v>519.967</v>
      </c>
      <c r="M988" s="16">
        <v>496.008</v>
      </c>
      <c r="N988" s="16">
        <v>147.023</v>
      </c>
      <c r="O988" s="23">
        <v>8.9</v>
      </c>
      <c r="P988" s="18">
        <f t="shared" si="1"/>
        <v>519.967</v>
      </c>
    </row>
    <row r="989" ht="15.75" customHeight="1">
      <c r="A989" s="19" t="s">
        <v>217</v>
      </c>
      <c r="B989" s="19" t="s">
        <v>99</v>
      </c>
      <c r="C989" s="20" t="s">
        <v>115</v>
      </c>
      <c r="D989" s="14" t="str">
        <f>VLOOKUP(C989,'State Key'!$A$2:$B$210,2,False)</f>
        <v>Karnataka</v>
      </c>
      <c r="E989" s="21">
        <v>1720.0</v>
      </c>
      <c r="F989" s="22">
        <v>250.501</v>
      </c>
      <c r="G989" s="22">
        <v>103.523</v>
      </c>
      <c r="H989" s="22">
        <v>0.0</v>
      </c>
      <c r="I989" s="22">
        <v>0.0</v>
      </c>
      <c r="J989" s="22">
        <v>0.0</v>
      </c>
      <c r="K989" s="22">
        <v>0.0</v>
      </c>
      <c r="L989" s="22">
        <v>354.024</v>
      </c>
      <c r="M989" s="22">
        <v>480.07</v>
      </c>
      <c r="N989" s="22">
        <v>73.9</v>
      </c>
      <c r="O989" s="17">
        <v>4.6</v>
      </c>
      <c r="P989" s="18">
        <f t="shared" si="1"/>
        <v>354.024</v>
      </c>
    </row>
    <row r="990" ht="15.75" customHeight="1">
      <c r="A990" s="13" t="s">
        <v>217</v>
      </c>
      <c r="B990" s="13" t="s">
        <v>99</v>
      </c>
      <c r="C990" s="14" t="s">
        <v>116</v>
      </c>
      <c r="D990" s="14" t="str">
        <f>VLOOKUP(C990,'State Key'!$A$2:$B$210,2,False)</f>
        <v>Telangana</v>
      </c>
      <c r="E990" s="15">
        <v>2600.0</v>
      </c>
      <c r="F990" s="16">
        <v>0.0</v>
      </c>
      <c r="G990" s="16">
        <v>1105.73</v>
      </c>
      <c r="H990" s="16">
        <v>0.0</v>
      </c>
      <c r="I990" s="16">
        <v>0.0</v>
      </c>
      <c r="J990" s="16">
        <v>0.0</v>
      </c>
      <c r="K990" s="16">
        <v>0.0</v>
      </c>
      <c r="L990" s="16">
        <v>1105.73</v>
      </c>
      <c r="M990" s="16">
        <v>1023.518</v>
      </c>
      <c r="N990" s="16">
        <v>157.535</v>
      </c>
      <c r="O990" s="17">
        <v>4.6</v>
      </c>
      <c r="P990" s="18">
        <f t="shared" si="1"/>
        <v>1105.73</v>
      </c>
    </row>
    <row r="991" ht="15.75" customHeight="1">
      <c r="A991" s="19" t="s">
        <v>217</v>
      </c>
      <c r="B991" s="19" t="s">
        <v>99</v>
      </c>
      <c r="C991" s="20" t="s">
        <v>117</v>
      </c>
      <c r="D991" s="14" t="str">
        <f>VLOOKUP(C991,'State Key'!$A$2:$B$210,2,False)</f>
        <v>Telangana</v>
      </c>
      <c r="E991" s="21">
        <v>62.5</v>
      </c>
      <c r="F991" s="22">
        <v>0.0</v>
      </c>
      <c r="G991" s="22">
        <v>7.231</v>
      </c>
      <c r="H991" s="22">
        <v>0.0</v>
      </c>
      <c r="I991" s="22">
        <v>0.0</v>
      </c>
      <c r="J991" s="22">
        <v>0.0</v>
      </c>
      <c r="K991" s="22">
        <v>0.0</v>
      </c>
      <c r="L991" s="22">
        <v>7.231</v>
      </c>
      <c r="M991" s="22">
        <v>3.309</v>
      </c>
      <c r="N991" s="22">
        <v>6.656</v>
      </c>
      <c r="O991" s="24">
        <v>60.3</v>
      </c>
      <c r="P991" s="18">
        <f t="shared" si="1"/>
        <v>7.231</v>
      </c>
    </row>
    <row r="992" ht="15.75" customHeight="1">
      <c r="A992" s="13" t="s">
        <v>217</v>
      </c>
      <c r="B992" s="13" t="s">
        <v>99</v>
      </c>
      <c r="C992" s="14" t="s">
        <v>118</v>
      </c>
      <c r="D992" s="14" t="str">
        <f>VLOOKUP(C992,'State Key'!$A$2:$B$210,2,False)</f>
        <v>Andhra Pradesh</v>
      </c>
      <c r="E992" s="15">
        <v>1650.0</v>
      </c>
      <c r="F992" s="16">
        <v>613.344</v>
      </c>
      <c r="G992" s="16">
        <v>52.887</v>
      </c>
      <c r="H992" s="16">
        <v>0.0</v>
      </c>
      <c r="I992" s="16">
        <v>0.0</v>
      </c>
      <c r="J992" s="16">
        <v>0.0</v>
      </c>
      <c r="K992" s="16">
        <v>0.0</v>
      </c>
      <c r="L992" s="16">
        <v>666.231</v>
      </c>
      <c r="M992" s="16">
        <v>670.26</v>
      </c>
      <c r="N992" s="16">
        <v>34.698</v>
      </c>
      <c r="O992" s="17">
        <v>1.6</v>
      </c>
      <c r="P992" s="18">
        <f t="shared" si="1"/>
        <v>666.231</v>
      </c>
    </row>
    <row r="993" ht="15.75" customHeight="1">
      <c r="A993" s="19" t="s">
        <v>217</v>
      </c>
      <c r="B993" s="19" t="s">
        <v>99</v>
      </c>
      <c r="C993" s="20" t="s">
        <v>119</v>
      </c>
      <c r="D993" s="14" t="str">
        <f>VLOOKUP(C993,'State Key'!$A$2:$B$210,2,False)</f>
        <v>Andhra Pradesh</v>
      </c>
      <c r="E993" s="21">
        <v>1320.0</v>
      </c>
      <c r="F993" s="22">
        <v>181.189</v>
      </c>
      <c r="G993" s="22">
        <v>0.0</v>
      </c>
      <c r="H993" s="22">
        <v>0.0</v>
      </c>
      <c r="I993" s="22">
        <v>372.116</v>
      </c>
      <c r="J993" s="22">
        <v>0.0</v>
      </c>
      <c r="K993" s="22">
        <v>0.0</v>
      </c>
      <c r="L993" s="22">
        <v>553.305</v>
      </c>
      <c r="M993" s="22">
        <v>532.724</v>
      </c>
      <c r="N993" s="22">
        <v>221.068</v>
      </c>
      <c r="O993" s="23">
        <v>12.4</v>
      </c>
      <c r="P993" s="18">
        <f t="shared" si="1"/>
        <v>553.305</v>
      </c>
    </row>
    <row r="994" ht="15.75" customHeight="1">
      <c r="A994" s="13" t="s">
        <v>217</v>
      </c>
      <c r="B994" s="13" t="s">
        <v>99</v>
      </c>
      <c r="C994" s="14" t="s">
        <v>120</v>
      </c>
      <c r="D994" s="14" t="str">
        <f>VLOOKUP(C994,'State Key'!$A$2:$B$210,2,False)</f>
        <v>Andhra Pradesh</v>
      </c>
      <c r="E994" s="15">
        <v>2000.0</v>
      </c>
      <c r="F994" s="16">
        <v>570.3</v>
      </c>
      <c r="G994" s="16">
        <v>0.0</v>
      </c>
      <c r="H994" s="16">
        <v>39.52</v>
      </c>
      <c r="I994" s="16">
        <v>12.782</v>
      </c>
      <c r="J994" s="16">
        <v>0.0</v>
      </c>
      <c r="K994" s="16">
        <v>0.0</v>
      </c>
      <c r="L994" s="16">
        <v>622.602</v>
      </c>
      <c r="M994" s="16">
        <v>835.985</v>
      </c>
      <c r="N994" s="16">
        <v>85.457</v>
      </c>
      <c r="O994" s="17">
        <v>3.1</v>
      </c>
      <c r="P994" s="18">
        <f t="shared" si="1"/>
        <v>622.602</v>
      </c>
    </row>
    <row r="995" ht="15.75" customHeight="1">
      <c r="A995" s="19" t="s">
        <v>217</v>
      </c>
      <c r="B995" s="19" t="s">
        <v>99</v>
      </c>
      <c r="C995" s="20" t="s">
        <v>121</v>
      </c>
      <c r="D995" s="14" t="str">
        <f>VLOOKUP(C995,'State Key'!$A$2:$B$210,2,False)</f>
        <v>Andhra Pradesh</v>
      </c>
      <c r="E995" s="21">
        <v>600.0</v>
      </c>
      <c r="F995" s="22">
        <v>0.0</v>
      </c>
      <c r="G995" s="22">
        <v>0.0</v>
      </c>
      <c r="H995" s="22">
        <v>0.0</v>
      </c>
      <c r="I995" s="22">
        <v>191.94941</v>
      </c>
      <c r="J995" s="22">
        <v>0.0</v>
      </c>
      <c r="K995" s="22">
        <v>0.0</v>
      </c>
      <c r="L995" s="22">
        <v>191.94941</v>
      </c>
      <c r="M995" s="22">
        <v>180.43</v>
      </c>
      <c r="N995" s="22">
        <v>89.57</v>
      </c>
      <c r="O995" s="24">
        <v>14.9</v>
      </c>
      <c r="P995" s="18">
        <f t="shared" si="1"/>
        <v>191.94941</v>
      </c>
    </row>
    <row r="996" ht="15.75" customHeight="1">
      <c r="A996" s="13" t="s">
        <v>217</v>
      </c>
      <c r="B996" s="13" t="s">
        <v>99</v>
      </c>
      <c r="C996" s="14" t="s">
        <v>122</v>
      </c>
      <c r="D996" s="14" t="str">
        <f>VLOOKUP(C996,'State Key'!$A$2:$B$210,2,False)</f>
        <v>Telangana</v>
      </c>
      <c r="E996" s="15">
        <v>1200.0</v>
      </c>
      <c r="F996" s="16">
        <v>0.0</v>
      </c>
      <c r="G996" s="16">
        <v>487.895</v>
      </c>
      <c r="H996" s="16">
        <v>0.0</v>
      </c>
      <c r="I996" s="16">
        <v>0.0</v>
      </c>
      <c r="J996" s="16">
        <v>0.0</v>
      </c>
      <c r="K996" s="16">
        <v>0.0</v>
      </c>
      <c r="L996" s="16">
        <v>487.895</v>
      </c>
      <c r="M996" s="16">
        <v>502.093</v>
      </c>
      <c r="N996" s="16">
        <v>70.07</v>
      </c>
      <c r="O996" s="17">
        <v>4.2</v>
      </c>
      <c r="P996" s="18">
        <f t="shared" si="1"/>
        <v>487.895</v>
      </c>
    </row>
    <row r="997" ht="15.75" customHeight="1">
      <c r="A997" s="19" t="s">
        <v>217</v>
      </c>
      <c r="B997" s="19" t="s">
        <v>99</v>
      </c>
      <c r="C997" s="20" t="s">
        <v>123</v>
      </c>
      <c r="D997" s="14" t="str">
        <f>VLOOKUP(C997,'State Key'!$A$2:$B$210,2,False)</f>
        <v>Andhra Pradesh</v>
      </c>
      <c r="E997" s="21">
        <v>300.0</v>
      </c>
      <c r="F997" s="22">
        <v>0.0</v>
      </c>
      <c r="G997" s="22">
        <v>0.0</v>
      </c>
      <c r="H997" s="22">
        <v>0.0</v>
      </c>
      <c r="I997" s="22">
        <v>0.0</v>
      </c>
      <c r="J997" s="22">
        <v>0.0</v>
      </c>
      <c r="K997" s="22">
        <v>0.0</v>
      </c>
      <c r="L997" s="22">
        <v>0.0</v>
      </c>
      <c r="M997" s="22">
        <v>0.0</v>
      </c>
      <c r="N997" s="22">
        <v>0.0</v>
      </c>
      <c r="O997" s="19" t="s">
        <v>58</v>
      </c>
      <c r="P997" s="18">
        <f t="shared" si="1"/>
        <v>0</v>
      </c>
    </row>
    <row r="998" ht="15.75" customHeight="1">
      <c r="A998" s="13" t="s">
        <v>217</v>
      </c>
      <c r="B998" s="13" t="s">
        <v>99</v>
      </c>
      <c r="C998" s="14" t="s">
        <v>124</v>
      </c>
      <c r="D998" s="14" t="str">
        <f>VLOOKUP(C998,'State Key'!$A$2:$B$210,2,False)</f>
        <v>Karnataka</v>
      </c>
      <c r="E998" s="15">
        <v>260.0</v>
      </c>
      <c r="F998" s="16">
        <v>0.0</v>
      </c>
      <c r="G998" s="16">
        <v>0.0</v>
      </c>
      <c r="H998" s="16">
        <v>0.0</v>
      </c>
      <c r="I998" s="16">
        <v>59.33</v>
      </c>
      <c r="J998" s="16">
        <v>0.0</v>
      </c>
      <c r="K998" s="16">
        <v>0.0</v>
      </c>
      <c r="L998" s="16">
        <v>59.33</v>
      </c>
      <c r="M998" s="16">
        <v>59.3298</v>
      </c>
      <c r="N998" s="16">
        <v>0.0</v>
      </c>
      <c r="O998" s="17">
        <v>0.0</v>
      </c>
      <c r="P998" s="18">
        <f t="shared" si="1"/>
        <v>59.33</v>
      </c>
    </row>
    <row r="999" ht="15.75" customHeight="1">
      <c r="A999" s="19" t="s">
        <v>217</v>
      </c>
      <c r="B999" s="19" t="s">
        <v>99</v>
      </c>
      <c r="C999" s="20" t="s">
        <v>125</v>
      </c>
      <c r="D999" s="14" t="str">
        <f>VLOOKUP(C999,'State Key'!$A$2:$B$210,2,False)</f>
        <v>Karnataka</v>
      </c>
      <c r="E999" s="21">
        <v>600.0</v>
      </c>
      <c r="F999" s="22">
        <v>0.0</v>
      </c>
      <c r="G999" s="22">
        <v>0.0</v>
      </c>
      <c r="H999" s="22">
        <v>0.0</v>
      </c>
      <c r="I999" s="22">
        <v>89.08</v>
      </c>
      <c r="J999" s="22">
        <v>0.0</v>
      </c>
      <c r="K999" s="22">
        <v>0.0</v>
      </c>
      <c r="L999" s="22">
        <v>89.08</v>
      </c>
      <c r="M999" s="22">
        <v>90.24</v>
      </c>
      <c r="N999" s="22">
        <v>0.1</v>
      </c>
      <c r="O999" s="17">
        <v>0.0</v>
      </c>
      <c r="P999" s="18">
        <f t="shared" si="1"/>
        <v>89.08</v>
      </c>
    </row>
    <row r="1000" ht="15.75" customHeight="1">
      <c r="A1000" s="13" t="s">
        <v>217</v>
      </c>
      <c r="B1000" s="13" t="s">
        <v>99</v>
      </c>
      <c r="C1000" s="14" t="s">
        <v>126</v>
      </c>
      <c r="D1000" s="14" t="str">
        <f>VLOOKUP(C1000,'State Key'!$A$2:$B$210,2,False)</f>
        <v>Tamil Nadu</v>
      </c>
      <c r="E1000" s="15">
        <v>300.0</v>
      </c>
      <c r="F1000" s="16">
        <v>0.0</v>
      </c>
      <c r="G1000" s="16">
        <v>0.0</v>
      </c>
      <c r="H1000" s="16">
        <v>0.0</v>
      </c>
      <c r="I1000" s="16">
        <v>0.0</v>
      </c>
      <c r="J1000" s="16">
        <v>0.0</v>
      </c>
      <c r="K1000" s="16">
        <v>0.0</v>
      </c>
      <c r="L1000" s="16">
        <v>0.0</v>
      </c>
      <c r="M1000" s="16">
        <v>0.0</v>
      </c>
      <c r="N1000" s="16">
        <v>0.0</v>
      </c>
      <c r="O1000" s="13" t="s">
        <v>58</v>
      </c>
      <c r="P1000" s="18">
        <f t="shared" si="1"/>
        <v>0</v>
      </c>
    </row>
    <row r="1001" ht="15.75" customHeight="1">
      <c r="A1001" s="19" t="s">
        <v>217</v>
      </c>
      <c r="B1001" s="19" t="s">
        <v>99</v>
      </c>
      <c r="C1001" s="20" t="s">
        <v>127</v>
      </c>
      <c r="D1001" s="14" t="str">
        <f>VLOOKUP(C1001,'State Key'!$A$2:$B$210,2,False)</f>
        <v>Tamil Nadu</v>
      </c>
      <c r="E1001" s="21">
        <v>525.0</v>
      </c>
      <c r="F1001" s="22">
        <v>0.0</v>
      </c>
      <c r="G1001" s="22">
        <v>0.0</v>
      </c>
      <c r="H1001" s="22">
        <v>0.0</v>
      </c>
      <c r="I1001" s="22">
        <v>177.14</v>
      </c>
      <c r="J1001" s="22">
        <v>0.0</v>
      </c>
      <c r="K1001" s="22">
        <v>0.0</v>
      </c>
      <c r="L1001" s="22">
        <v>177.14</v>
      </c>
      <c r="M1001" s="22">
        <v>153.27</v>
      </c>
      <c r="N1001" s="22">
        <v>31.95</v>
      </c>
      <c r="O1001" s="17">
        <v>6.3</v>
      </c>
      <c r="P1001" s="18">
        <f t="shared" si="1"/>
        <v>177.14</v>
      </c>
    </row>
    <row r="1002" ht="15.75" customHeight="1">
      <c r="A1002" s="13" t="s">
        <v>217</v>
      </c>
      <c r="B1002" s="13" t="s">
        <v>99</v>
      </c>
      <c r="C1002" s="14" t="s">
        <v>128</v>
      </c>
      <c r="D1002" s="14" t="str">
        <f>VLOOKUP(C1002,'State Key'!$A$2:$B$210,2,False)</f>
        <v>Tamil Nadu</v>
      </c>
      <c r="E1002" s="15">
        <v>1050.0</v>
      </c>
      <c r="F1002" s="16">
        <v>464.977</v>
      </c>
      <c r="G1002" s="16">
        <v>0.0</v>
      </c>
      <c r="H1002" s="16">
        <v>0.0</v>
      </c>
      <c r="I1002" s="16">
        <v>0.0</v>
      </c>
      <c r="J1002" s="16">
        <v>0.0</v>
      </c>
      <c r="K1002" s="16">
        <v>0.0</v>
      </c>
      <c r="L1002" s="16">
        <v>464.977</v>
      </c>
      <c r="M1002" s="16">
        <v>464.499</v>
      </c>
      <c r="N1002" s="16">
        <v>83.71</v>
      </c>
      <c r="O1002" s="17">
        <v>5.4</v>
      </c>
      <c r="P1002" s="18">
        <f t="shared" si="1"/>
        <v>464.977</v>
      </c>
    </row>
    <row r="1003" ht="15.75" customHeight="1">
      <c r="A1003" s="19" t="s">
        <v>217</v>
      </c>
      <c r="B1003" s="19" t="s">
        <v>99</v>
      </c>
      <c r="C1003" s="20" t="s">
        <v>130</v>
      </c>
      <c r="D1003" s="14" t="str">
        <f>VLOOKUP(C1003,'State Key'!$A$2:$B$210,2,False)</f>
        <v>Tamil Nadu</v>
      </c>
      <c r="E1003" s="21">
        <v>1500.0</v>
      </c>
      <c r="F1003" s="22">
        <v>242.166</v>
      </c>
      <c r="G1003" s="22">
        <v>122.507</v>
      </c>
      <c r="H1003" s="22">
        <v>0.0</v>
      </c>
      <c r="I1003" s="22">
        <v>0.0</v>
      </c>
      <c r="J1003" s="22">
        <v>0.0</v>
      </c>
      <c r="K1003" s="22">
        <v>0.0</v>
      </c>
      <c r="L1003" s="22">
        <v>364.673</v>
      </c>
      <c r="M1003" s="22">
        <v>384.593</v>
      </c>
      <c r="N1003" s="22">
        <v>271.1</v>
      </c>
      <c r="O1003" s="24">
        <v>21.1</v>
      </c>
      <c r="P1003" s="18">
        <f t="shared" si="1"/>
        <v>364.673</v>
      </c>
    </row>
    <row r="1004" ht="15.75" customHeight="1">
      <c r="A1004" s="13" t="s">
        <v>217</v>
      </c>
      <c r="B1004" s="13" t="s">
        <v>99</v>
      </c>
      <c r="C1004" s="14" t="s">
        <v>131</v>
      </c>
      <c r="D1004" s="14" t="str">
        <f>VLOOKUP(C1004,'State Key'!$A$2:$B$210,2,False)</f>
        <v>Andhra Pradesh</v>
      </c>
      <c r="E1004" s="15">
        <v>1040.0</v>
      </c>
      <c r="F1004" s="16">
        <v>338.614</v>
      </c>
      <c r="G1004" s="16">
        <v>0.0</v>
      </c>
      <c r="H1004" s="16">
        <v>0.0</v>
      </c>
      <c r="I1004" s="16">
        <v>91.045</v>
      </c>
      <c r="J1004" s="16">
        <v>0.0</v>
      </c>
      <c r="K1004" s="16">
        <v>0.0</v>
      </c>
      <c r="L1004" s="16">
        <v>429.659</v>
      </c>
      <c r="M1004" s="16">
        <v>394.496</v>
      </c>
      <c r="N1004" s="16">
        <v>116.9807</v>
      </c>
      <c r="O1004" s="23">
        <v>8.9</v>
      </c>
      <c r="P1004" s="18">
        <f t="shared" si="1"/>
        <v>429.659</v>
      </c>
    </row>
    <row r="1005" ht="15.75" customHeight="1">
      <c r="A1005" s="19" t="s">
        <v>217</v>
      </c>
      <c r="B1005" s="19" t="s">
        <v>99</v>
      </c>
      <c r="C1005" s="20" t="s">
        <v>132</v>
      </c>
      <c r="D1005" s="14" t="str">
        <f>VLOOKUP(C1005,'State Key'!$A$2:$B$210,2,False)</f>
        <v>Karnataka</v>
      </c>
      <c r="E1005" s="21">
        <v>1600.0</v>
      </c>
      <c r="F1005" s="22">
        <v>0.0</v>
      </c>
      <c r="G1005" s="22">
        <v>428.556</v>
      </c>
      <c r="H1005" s="22">
        <v>0.0</v>
      </c>
      <c r="I1005" s="22">
        <v>0.0</v>
      </c>
      <c r="J1005" s="22">
        <v>0.0</v>
      </c>
      <c r="K1005" s="22">
        <v>0.0</v>
      </c>
      <c r="L1005" s="22">
        <v>428.556</v>
      </c>
      <c r="M1005" s="22">
        <v>477.27</v>
      </c>
      <c r="N1005" s="22">
        <v>44.61</v>
      </c>
      <c r="O1005" s="17">
        <v>2.8</v>
      </c>
      <c r="P1005" s="18">
        <f t="shared" si="1"/>
        <v>428.556</v>
      </c>
    </row>
    <row r="1006" ht="15.75" customHeight="1">
      <c r="A1006" s="13" t="s">
        <v>217</v>
      </c>
      <c r="B1006" s="13" t="s">
        <v>133</v>
      </c>
      <c r="C1006" s="14" t="s">
        <v>211</v>
      </c>
      <c r="D1006" s="14" t="str">
        <f>VLOOKUP(C1006,'State Key'!$A$2:$B$210,2,False)</f>
        <v>Gujarat</v>
      </c>
      <c r="E1006" s="15">
        <v>2640.0</v>
      </c>
      <c r="F1006" s="16">
        <v>0.0</v>
      </c>
      <c r="G1006" s="16">
        <v>0.0</v>
      </c>
      <c r="H1006" s="16">
        <v>0.0</v>
      </c>
      <c r="I1006" s="16">
        <v>742.433</v>
      </c>
      <c r="J1006" s="16">
        <v>0.0</v>
      </c>
      <c r="K1006" s="16">
        <v>0.0</v>
      </c>
      <c r="L1006" s="16">
        <v>742.433</v>
      </c>
      <c r="M1006" s="16">
        <v>714.951</v>
      </c>
      <c r="N1006" s="16">
        <v>29.236</v>
      </c>
      <c r="O1006" s="17">
        <v>1.2</v>
      </c>
      <c r="P1006" s="18">
        <f t="shared" si="1"/>
        <v>742.433</v>
      </c>
    </row>
    <row r="1007" ht="15.75" customHeight="1">
      <c r="A1007" s="19" t="s">
        <v>217</v>
      </c>
      <c r="B1007" s="19" t="s">
        <v>133</v>
      </c>
      <c r="C1007" s="20" t="s">
        <v>212</v>
      </c>
      <c r="D1007" s="14" t="str">
        <f>VLOOKUP(C1007,'State Key'!$A$2:$B$210,2,False)</f>
        <v>Gujarat</v>
      </c>
      <c r="E1007" s="21">
        <v>1980.0</v>
      </c>
      <c r="F1007" s="22">
        <v>0.0</v>
      </c>
      <c r="G1007" s="22">
        <v>0.0</v>
      </c>
      <c r="H1007" s="22">
        <v>0.0</v>
      </c>
      <c r="I1007" s="22">
        <v>587.425</v>
      </c>
      <c r="J1007" s="22">
        <v>0.0</v>
      </c>
      <c r="K1007" s="22">
        <v>0.0</v>
      </c>
      <c r="L1007" s="22">
        <v>587.425</v>
      </c>
      <c r="M1007" s="22">
        <v>536.046</v>
      </c>
      <c r="N1007" s="22">
        <v>59.104</v>
      </c>
      <c r="O1007" s="17">
        <v>3.3</v>
      </c>
      <c r="P1007" s="18">
        <f t="shared" si="1"/>
        <v>587.425</v>
      </c>
    </row>
    <row r="1008" ht="15.75" customHeight="1">
      <c r="A1008" s="13" t="s">
        <v>217</v>
      </c>
      <c r="B1008" s="13" t="s">
        <v>133</v>
      </c>
      <c r="C1008" s="14" t="s">
        <v>213</v>
      </c>
      <c r="D1008" s="14" t="str">
        <f>VLOOKUP(C1008,'State Key'!$A$2:$B$210,2,False)</f>
        <v>Chhattisgarh</v>
      </c>
      <c r="E1008" s="15">
        <v>600.0</v>
      </c>
      <c r="F1008" s="16">
        <v>19.018</v>
      </c>
      <c r="G1008" s="16">
        <v>0.0</v>
      </c>
      <c r="H1008" s="16">
        <v>0.0</v>
      </c>
      <c r="I1008" s="16">
        <v>0.0</v>
      </c>
      <c r="J1008" s="16">
        <v>0.0</v>
      </c>
      <c r="K1008" s="16">
        <v>114.057</v>
      </c>
      <c r="L1008" s="16">
        <v>133.075</v>
      </c>
      <c r="M1008" s="16">
        <v>101.677</v>
      </c>
      <c r="N1008" s="16">
        <v>245.34</v>
      </c>
      <c r="O1008" s="24">
        <v>72.4</v>
      </c>
      <c r="P1008" s="18">
        <f t="shared" si="1"/>
        <v>133.075</v>
      </c>
    </row>
    <row r="1009" ht="15.75" customHeight="1">
      <c r="A1009" s="19" t="s">
        <v>217</v>
      </c>
      <c r="B1009" s="19" t="s">
        <v>133</v>
      </c>
      <c r="C1009" s="20" t="s">
        <v>214</v>
      </c>
      <c r="D1009" s="14" t="str">
        <f>VLOOKUP(C1009,'State Key'!$A$2:$B$210,2,False)</f>
        <v>Chhattisgarh</v>
      </c>
      <c r="E1009" s="21">
        <v>1370.0</v>
      </c>
      <c r="F1009" s="22">
        <v>321.724</v>
      </c>
      <c r="G1009" s="22">
        <v>0.0</v>
      </c>
      <c r="H1009" s="22">
        <v>0.0</v>
      </c>
      <c r="I1009" s="22">
        <v>35.199</v>
      </c>
      <c r="J1009" s="22">
        <v>28.321</v>
      </c>
      <c r="K1009" s="22">
        <v>7.718</v>
      </c>
      <c r="L1009" s="22">
        <v>392.962</v>
      </c>
      <c r="M1009" s="22">
        <v>519.094</v>
      </c>
      <c r="N1009" s="22">
        <v>87.84</v>
      </c>
      <c r="O1009" s="17">
        <v>5.1</v>
      </c>
      <c r="P1009" s="18">
        <f t="shared" si="1"/>
        <v>392.962</v>
      </c>
    </row>
    <row r="1010" ht="15.75" customHeight="1">
      <c r="A1010" s="13" t="s">
        <v>217</v>
      </c>
      <c r="B1010" s="13" t="s">
        <v>133</v>
      </c>
      <c r="C1010" s="14" t="s">
        <v>215</v>
      </c>
      <c r="D1010" s="14" t="str">
        <f>VLOOKUP(C1010,'State Key'!$A$2:$B$210,2,False)</f>
        <v>Maharashtra</v>
      </c>
      <c r="E1010" s="15">
        <v>3300.0</v>
      </c>
      <c r="F1010" s="16">
        <v>906.606</v>
      </c>
      <c r="G1010" s="16">
        <v>0.0</v>
      </c>
      <c r="H1010" s="16">
        <v>0.0</v>
      </c>
      <c r="I1010" s="16">
        <v>0.0</v>
      </c>
      <c r="J1010" s="16">
        <v>0.0</v>
      </c>
      <c r="K1010" s="16">
        <v>0.0</v>
      </c>
      <c r="L1010" s="16">
        <v>906.606</v>
      </c>
      <c r="M1010" s="16">
        <v>1181.746</v>
      </c>
      <c r="N1010" s="16">
        <v>257.22</v>
      </c>
      <c r="O1010" s="17">
        <v>6.5</v>
      </c>
      <c r="P1010" s="18">
        <f t="shared" si="1"/>
        <v>906.606</v>
      </c>
    </row>
    <row r="1011" ht="15.75" customHeight="1">
      <c r="A1011" s="19" t="s">
        <v>217</v>
      </c>
      <c r="B1011" s="19" t="s">
        <v>133</v>
      </c>
      <c r="C1011" s="20" t="s">
        <v>134</v>
      </c>
      <c r="D1011" s="14" t="str">
        <f>VLOOKUP(C1011,'State Key'!$A$2:$B$210,2,False)</f>
        <v>Chhattisgarh</v>
      </c>
      <c r="E1011" s="21">
        <v>1800.0</v>
      </c>
      <c r="F1011" s="22">
        <v>538.2399</v>
      </c>
      <c r="G1011" s="22">
        <v>0.0</v>
      </c>
      <c r="H1011" s="22">
        <v>0.0</v>
      </c>
      <c r="I1011" s="22">
        <v>0.0</v>
      </c>
      <c r="J1011" s="22">
        <v>0.0</v>
      </c>
      <c r="K1011" s="22">
        <v>56.6466</v>
      </c>
      <c r="L1011" s="22">
        <v>594.8865</v>
      </c>
      <c r="M1011" s="22">
        <v>517.092</v>
      </c>
      <c r="N1011" s="22">
        <v>356.05</v>
      </c>
      <c r="O1011" s="24">
        <v>20.7</v>
      </c>
      <c r="P1011" s="18">
        <f t="shared" si="1"/>
        <v>594.8865</v>
      </c>
    </row>
    <row r="1012" ht="15.75" customHeight="1">
      <c r="A1012" s="13" t="s">
        <v>217</v>
      </c>
      <c r="B1012" s="13" t="s">
        <v>133</v>
      </c>
      <c r="C1012" s="14" t="s">
        <v>135</v>
      </c>
      <c r="D1012" s="14" t="str">
        <f>VLOOKUP(C1012,'State Key'!$A$2:$B$210,2,False)</f>
        <v>Madhya Pradesh</v>
      </c>
      <c r="E1012" s="15">
        <v>210.0</v>
      </c>
      <c r="F1012" s="16">
        <v>93.59</v>
      </c>
      <c r="G1012" s="16">
        <v>0.0</v>
      </c>
      <c r="H1012" s="16">
        <v>0.0</v>
      </c>
      <c r="I1012" s="16">
        <v>0.0</v>
      </c>
      <c r="J1012" s="16">
        <v>0.0</v>
      </c>
      <c r="K1012" s="16">
        <v>0.0</v>
      </c>
      <c r="L1012" s="16">
        <v>93.59</v>
      </c>
      <c r="M1012" s="16">
        <v>88.52</v>
      </c>
      <c r="N1012" s="16">
        <v>24.874</v>
      </c>
      <c r="O1012" s="23">
        <v>8.4</v>
      </c>
      <c r="P1012" s="18">
        <f t="shared" si="1"/>
        <v>93.59</v>
      </c>
    </row>
    <row r="1013" ht="15.75" customHeight="1">
      <c r="A1013" s="19" t="s">
        <v>217</v>
      </c>
      <c r="B1013" s="19" t="s">
        <v>133</v>
      </c>
      <c r="C1013" s="20" t="s">
        <v>136</v>
      </c>
      <c r="D1013" s="14" t="str">
        <f>VLOOKUP(C1013,'State Key'!$A$2:$B$210,2,False)</f>
        <v>Maharashtra</v>
      </c>
      <c r="E1013" s="21">
        <v>1350.0</v>
      </c>
      <c r="F1013" s="22">
        <v>509.632</v>
      </c>
      <c r="G1013" s="22">
        <v>0.0</v>
      </c>
      <c r="H1013" s="22">
        <v>0.0</v>
      </c>
      <c r="I1013" s="22">
        <v>0.0</v>
      </c>
      <c r="J1013" s="22">
        <v>0.0</v>
      </c>
      <c r="K1013" s="22">
        <v>0.0</v>
      </c>
      <c r="L1013" s="22">
        <v>509.632</v>
      </c>
      <c r="M1013" s="22">
        <v>501.751</v>
      </c>
      <c r="N1013" s="22">
        <v>250.75</v>
      </c>
      <c r="O1013" s="24">
        <v>15.0</v>
      </c>
      <c r="P1013" s="18">
        <f t="shared" si="1"/>
        <v>509.632</v>
      </c>
    </row>
    <row r="1014" ht="15.75" customHeight="1">
      <c r="A1014" s="13" t="s">
        <v>217</v>
      </c>
      <c r="B1014" s="13" t="s">
        <v>133</v>
      </c>
      <c r="C1014" s="14" t="s">
        <v>137</v>
      </c>
      <c r="D1014" s="14" t="str">
        <f>VLOOKUP(C1014,'State Key'!$A$2:$B$210,2,False)</f>
        <v>Madhya Pradesh</v>
      </c>
      <c r="E1014" s="15">
        <v>1250.0</v>
      </c>
      <c r="F1014" s="16">
        <v>385.3</v>
      </c>
      <c r="G1014" s="16">
        <v>0.0</v>
      </c>
      <c r="H1014" s="16">
        <v>0.0</v>
      </c>
      <c r="I1014" s="16">
        <v>0.0</v>
      </c>
      <c r="J1014" s="16">
        <v>0.0</v>
      </c>
      <c r="K1014" s="16">
        <v>86.27</v>
      </c>
      <c r="L1014" s="16">
        <v>471.57</v>
      </c>
      <c r="M1014" s="16">
        <v>553.48</v>
      </c>
      <c r="N1014" s="16">
        <v>199.19</v>
      </c>
      <c r="O1014" s="23">
        <v>10.8</v>
      </c>
      <c r="P1014" s="18">
        <f t="shared" si="1"/>
        <v>471.57</v>
      </c>
    </row>
    <row r="1015" ht="15.75" customHeight="1">
      <c r="A1015" s="19" t="s">
        <v>217</v>
      </c>
      <c r="B1015" s="19" t="s">
        <v>133</v>
      </c>
      <c r="C1015" s="20" t="s">
        <v>139</v>
      </c>
      <c r="D1015" s="14" t="str">
        <f>VLOOKUP(C1015,'State Key'!$A$2:$B$210,2,False)</f>
        <v>Chhattisgarh</v>
      </c>
      <c r="E1015" s="21">
        <v>600.0</v>
      </c>
      <c r="F1015" s="22">
        <v>53.47</v>
      </c>
      <c r="G1015" s="22">
        <v>0.0</v>
      </c>
      <c r="H1015" s="22">
        <v>0.0</v>
      </c>
      <c r="I1015" s="22">
        <v>0.0</v>
      </c>
      <c r="J1015" s="22">
        <v>0.0</v>
      </c>
      <c r="K1015" s="22">
        <v>66.31</v>
      </c>
      <c r="L1015" s="22">
        <v>119.78</v>
      </c>
      <c r="M1015" s="22">
        <v>203.11</v>
      </c>
      <c r="N1015" s="22">
        <v>8.7</v>
      </c>
      <c r="O1015" s="17">
        <v>1.3</v>
      </c>
      <c r="P1015" s="18">
        <f t="shared" si="1"/>
        <v>119.78</v>
      </c>
    </row>
    <row r="1016" ht="15.75" customHeight="1">
      <c r="A1016" s="13" t="s">
        <v>217</v>
      </c>
      <c r="B1016" s="13" t="s">
        <v>133</v>
      </c>
      <c r="C1016" s="14" t="s">
        <v>140</v>
      </c>
      <c r="D1016" s="14" t="str">
        <f>VLOOKUP(C1016,'State Key'!$A$2:$B$210,2,False)</f>
        <v>Chhattisgarh</v>
      </c>
      <c r="E1016" s="15">
        <v>300.0</v>
      </c>
      <c r="F1016" s="16">
        <v>64.918</v>
      </c>
      <c r="G1016" s="16">
        <v>0.0</v>
      </c>
      <c r="H1016" s="16">
        <v>0.0</v>
      </c>
      <c r="I1016" s="16">
        <v>0.0</v>
      </c>
      <c r="J1016" s="16">
        <v>8.932</v>
      </c>
      <c r="K1016" s="16">
        <v>53.449</v>
      </c>
      <c r="L1016" s="16">
        <v>127.299</v>
      </c>
      <c r="M1016" s="16">
        <v>155.889</v>
      </c>
      <c r="N1016" s="16">
        <v>32.67</v>
      </c>
      <c r="O1016" s="17">
        <v>6.3</v>
      </c>
      <c r="P1016" s="18">
        <f t="shared" si="1"/>
        <v>127.299</v>
      </c>
    </row>
    <row r="1017" ht="15.75" customHeight="1">
      <c r="A1017" s="19" t="s">
        <v>217</v>
      </c>
      <c r="B1017" s="19" t="s">
        <v>133</v>
      </c>
      <c r="C1017" s="20" t="s">
        <v>141</v>
      </c>
      <c r="D1017" s="14" t="str">
        <f>VLOOKUP(C1017,'State Key'!$A$2:$B$210,2,False)</f>
        <v>Chhattisgarh</v>
      </c>
      <c r="E1017" s="21">
        <v>1200.0</v>
      </c>
      <c r="F1017" s="22">
        <v>195.436</v>
      </c>
      <c r="G1017" s="22">
        <v>0.0</v>
      </c>
      <c r="H1017" s="22">
        <v>0.0</v>
      </c>
      <c r="I1017" s="22">
        <v>0.0</v>
      </c>
      <c r="J1017" s="22">
        <v>0.0</v>
      </c>
      <c r="K1017" s="22">
        <v>306.069</v>
      </c>
      <c r="L1017" s="22">
        <v>501.505</v>
      </c>
      <c r="M1017" s="22">
        <v>540.829</v>
      </c>
      <c r="N1017" s="22">
        <v>164.23</v>
      </c>
      <c r="O1017" s="23">
        <v>9.1</v>
      </c>
      <c r="P1017" s="18">
        <f t="shared" si="1"/>
        <v>501.505</v>
      </c>
    </row>
    <row r="1018" ht="15.75" customHeight="1">
      <c r="A1018" s="13" t="s">
        <v>217</v>
      </c>
      <c r="B1018" s="13" t="s">
        <v>133</v>
      </c>
      <c r="C1018" s="14" t="s">
        <v>142</v>
      </c>
      <c r="D1018" s="14" t="str">
        <f>VLOOKUP(C1018,'State Key'!$A$2:$B$210,2,False)</f>
        <v>Maharashtra</v>
      </c>
      <c r="E1018" s="15">
        <v>270.0</v>
      </c>
      <c r="F1018" s="16">
        <v>70.99</v>
      </c>
      <c r="G1018" s="16">
        <v>0.0</v>
      </c>
      <c r="H1018" s="16">
        <v>0.0</v>
      </c>
      <c r="I1018" s="16">
        <v>0.0</v>
      </c>
      <c r="J1018" s="16">
        <v>41.73</v>
      </c>
      <c r="K1018" s="16">
        <v>3.389</v>
      </c>
      <c r="L1018" s="16">
        <v>116.109</v>
      </c>
      <c r="M1018" s="16">
        <v>125.3</v>
      </c>
      <c r="N1018" s="16">
        <v>0.14</v>
      </c>
      <c r="O1018" s="17">
        <v>0.0</v>
      </c>
      <c r="P1018" s="18">
        <f t="shared" si="1"/>
        <v>116.109</v>
      </c>
    </row>
    <row r="1019" ht="15.75" customHeight="1">
      <c r="A1019" s="19" t="s">
        <v>217</v>
      </c>
      <c r="B1019" s="19" t="s">
        <v>133</v>
      </c>
      <c r="C1019" s="20" t="s">
        <v>143</v>
      </c>
      <c r="D1019" s="14" t="str">
        <f>VLOOKUP(C1019,'State Key'!$A$2:$B$210,2,False)</f>
        <v>Chhattisgarh</v>
      </c>
      <c r="E1019" s="21">
        <v>500.0</v>
      </c>
      <c r="F1019" s="22">
        <v>160.708</v>
      </c>
      <c r="G1019" s="22">
        <v>3.942</v>
      </c>
      <c r="H1019" s="22">
        <v>0.0</v>
      </c>
      <c r="I1019" s="22">
        <v>0.0</v>
      </c>
      <c r="J1019" s="22">
        <v>0.0</v>
      </c>
      <c r="K1019" s="22">
        <v>0.0</v>
      </c>
      <c r="L1019" s="22">
        <v>164.65</v>
      </c>
      <c r="M1019" s="22">
        <v>247.126</v>
      </c>
      <c r="N1019" s="22">
        <v>67.57</v>
      </c>
      <c r="O1019" s="23">
        <v>8.2</v>
      </c>
      <c r="P1019" s="18">
        <f t="shared" si="1"/>
        <v>164.65</v>
      </c>
    </row>
    <row r="1020" ht="15.75" customHeight="1">
      <c r="A1020" s="13" t="s">
        <v>217</v>
      </c>
      <c r="B1020" s="13" t="s">
        <v>133</v>
      </c>
      <c r="C1020" s="14" t="s">
        <v>144</v>
      </c>
      <c r="D1020" s="14" t="str">
        <f>VLOOKUP(C1020,'State Key'!$A$2:$B$210,2,False)</f>
        <v>Maharashtra</v>
      </c>
      <c r="E1020" s="15">
        <v>1210.0</v>
      </c>
      <c r="F1020" s="16">
        <v>462.995</v>
      </c>
      <c r="G1020" s="16">
        <v>0.0</v>
      </c>
      <c r="H1020" s="16">
        <v>0.0</v>
      </c>
      <c r="I1020" s="16">
        <v>0.0</v>
      </c>
      <c r="J1020" s="16">
        <v>0.0</v>
      </c>
      <c r="K1020" s="16">
        <v>0.0</v>
      </c>
      <c r="L1020" s="16">
        <v>462.995</v>
      </c>
      <c r="M1020" s="16">
        <v>546.331</v>
      </c>
      <c r="N1020" s="16">
        <v>36.035</v>
      </c>
      <c r="O1020" s="17">
        <v>2.0</v>
      </c>
      <c r="P1020" s="18">
        <f t="shared" si="1"/>
        <v>462.995</v>
      </c>
    </row>
    <row r="1021" ht="15.75" customHeight="1">
      <c r="A1021" s="19" t="s">
        <v>217</v>
      </c>
      <c r="B1021" s="19" t="s">
        <v>133</v>
      </c>
      <c r="C1021" s="20" t="s">
        <v>145</v>
      </c>
      <c r="D1021" s="14" t="str">
        <f>VLOOKUP(C1021,'State Key'!$A$2:$B$210,2,False)</f>
        <v>Madhya Pradesh</v>
      </c>
      <c r="E1021" s="21">
        <v>500.0</v>
      </c>
      <c r="F1021" s="22">
        <v>82.99</v>
      </c>
      <c r="G1021" s="22">
        <v>0.0</v>
      </c>
      <c r="H1021" s="22">
        <v>0.0</v>
      </c>
      <c r="I1021" s="22">
        <v>0.0</v>
      </c>
      <c r="J1021" s="22">
        <v>0.0</v>
      </c>
      <c r="K1021" s="22">
        <v>117.24</v>
      </c>
      <c r="L1021" s="22">
        <v>200.23</v>
      </c>
      <c r="M1021" s="22">
        <v>187.59</v>
      </c>
      <c r="N1021" s="22">
        <v>102.64</v>
      </c>
      <c r="O1021" s="24">
        <v>16.4</v>
      </c>
      <c r="P1021" s="18">
        <f t="shared" si="1"/>
        <v>200.23</v>
      </c>
    </row>
    <row r="1022" ht="15.75" customHeight="1">
      <c r="A1022" s="13" t="s">
        <v>217</v>
      </c>
      <c r="B1022" s="13" t="s">
        <v>133</v>
      </c>
      <c r="C1022" s="14" t="s">
        <v>146</v>
      </c>
      <c r="D1022" s="14" t="str">
        <f>VLOOKUP(C1022,'State Key'!$A$2:$B$210,2,False)</f>
        <v>Chhattisgarh</v>
      </c>
      <c r="E1022" s="15">
        <v>600.0</v>
      </c>
      <c r="F1022" s="16">
        <v>56.133</v>
      </c>
      <c r="G1022" s="16">
        <v>0.0</v>
      </c>
      <c r="H1022" s="16">
        <v>0.0</v>
      </c>
      <c r="I1022" s="16">
        <v>0.0</v>
      </c>
      <c r="J1022" s="16">
        <v>0.0</v>
      </c>
      <c r="K1022" s="16">
        <v>163.17</v>
      </c>
      <c r="L1022" s="16">
        <v>219.303</v>
      </c>
      <c r="M1022" s="16">
        <v>140.638</v>
      </c>
      <c r="N1022" s="16">
        <v>223.76</v>
      </c>
      <c r="O1022" s="24">
        <v>47.7</v>
      </c>
      <c r="P1022" s="18">
        <f t="shared" si="1"/>
        <v>219.303</v>
      </c>
    </row>
    <row r="1023" ht="15.75" customHeight="1">
      <c r="A1023" s="19" t="s">
        <v>217</v>
      </c>
      <c r="B1023" s="19" t="s">
        <v>133</v>
      </c>
      <c r="C1023" s="20" t="s">
        <v>147</v>
      </c>
      <c r="D1023" s="14" t="str">
        <f>VLOOKUP(C1023,'State Key'!$A$2:$B$210,2,False)</f>
        <v>Maharashtra</v>
      </c>
      <c r="E1023" s="21">
        <v>600.0</v>
      </c>
      <c r="F1023" s="22">
        <v>0.0</v>
      </c>
      <c r="G1023" s="22">
        <v>0.0</v>
      </c>
      <c r="H1023" s="22">
        <v>0.0</v>
      </c>
      <c r="I1023" s="22">
        <v>0.0</v>
      </c>
      <c r="J1023" s="22">
        <v>0.0</v>
      </c>
      <c r="K1023" s="22">
        <v>0.0</v>
      </c>
      <c r="L1023" s="22">
        <v>0.0</v>
      </c>
      <c r="M1023" s="22">
        <v>0.0</v>
      </c>
      <c r="N1023" s="22">
        <v>0.0</v>
      </c>
      <c r="O1023" s="19" t="s">
        <v>58</v>
      </c>
      <c r="P1023" s="18">
        <f t="shared" si="1"/>
        <v>0</v>
      </c>
    </row>
    <row r="1024" ht="15.75" customHeight="1">
      <c r="A1024" s="13" t="s">
        <v>217</v>
      </c>
      <c r="B1024" s="13" t="s">
        <v>133</v>
      </c>
      <c r="C1024" s="14" t="s">
        <v>148</v>
      </c>
      <c r="D1024" s="14" t="str">
        <f>VLOOKUP(C1024,'State Key'!$A$2:$B$210,2,False)</f>
        <v>Chhattisgarh</v>
      </c>
      <c r="E1024" s="15">
        <v>30.0</v>
      </c>
      <c r="F1024" s="16">
        <v>13.142</v>
      </c>
      <c r="G1024" s="16">
        <v>0.0</v>
      </c>
      <c r="H1024" s="16">
        <v>0.0</v>
      </c>
      <c r="I1024" s="16">
        <v>0.0</v>
      </c>
      <c r="J1024" s="16">
        <v>32.96</v>
      </c>
      <c r="K1024" s="16">
        <v>0.0</v>
      </c>
      <c r="L1024" s="16">
        <v>46.102</v>
      </c>
      <c r="M1024" s="16">
        <v>50.895</v>
      </c>
      <c r="N1024" s="16">
        <v>28.19</v>
      </c>
      <c r="O1024" s="24">
        <v>16.6</v>
      </c>
      <c r="P1024" s="18">
        <f t="shared" si="1"/>
        <v>46.102</v>
      </c>
    </row>
    <row r="1025" ht="15.75" customHeight="1">
      <c r="A1025" s="19" t="s">
        <v>217</v>
      </c>
      <c r="B1025" s="19" t="s">
        <v>133</v>
      </c>
      <c r="C1025" s="20" t="s">
        <v>149</v>
      </c>
      <c r="D1025" s="14" t="str">
        <f>VLOOKUP(C1025,'State Key'!$A$2:$B$210,2,False)</f>
        <v>Maharashtra</v>
      </c>
      <c r="E1025" s="21">
        <v>2920.0</v>
      </c>
      <c r="F1025" s="22">
        <v>643.699</v>
      </c>
      <c r="G1025" s="22">
        <v>4.041</v>
      </c>
      <c r="H1025" s="22">
        <v>0.0</v>
      </c>
      <c r="I1025" s="22">
        <v>0.0</v>
      </c>
      <c r="J1025" s="22">
        <v>0.0</v>
      </c>
      <c r="K1025" s="22">
        <v>0.0</v>
      </c>
      <c r="L1025" s="22">
        <v>647.74</v>
      </c>
      <c r="M1025" s="22">
        <v>912.28</v>
      </c>
      <c r="N1025" s="22">
        <v>70.38</v>
      </c>
      <c r="O1025" s="17">
        <v>2.3</v>
      </c>
      <c r="P1025" s="18">
        <f t="shared" si="1"/>
        <v>647.74</v>
      </c>
    </row>
    <row r="1026" ht="15.75" customHeight="1">
      <c r="A1026" s="13" t="s">
        <v>217</v>
      </c>
      <c r="B1026" s="13" t="s">
        <v>133</v>
      </c>
      <c r="C1026" s="14" t="s">
        <v>150</v>
      </c>
      <c r="D1026" s="14" t="str">
        <f>VLOOKUP(C1026,'State Key'!$A$2:$B$210,2,False)</f>
        <v>Maharashtra</v>
      </c>
      <c r="E1026" s="15">
        <v>500.0</v>
      </c>
      <c r="F1026" s="16">
        <v>178.02599</v>
      </c>
      <c r="G1026" s="16">
        <v>0.0</v>
      </c>
      <c r="H1026" s="16">
        <v>0.0</v>
      </c>
      <c r="I1026" s="16">
        <v>0.0</v>
      </c>
      <c r="J1026" s="16">
        <v>0.0</v>
      </c>
      <c r="K1026" s="16">
        <v>0.0</v>
      </c>
      <c r="L1026" s="16">
        <v>178.02599</v>
      </c>
      <c r="M1026" s="16">
        <v>185.135</v>
      </c>
      <c r="N1026" s="16">
        <v>1.54</v>
      </c>
      <c r="O1026" s="17">
        <v>0.2</v>
      </c>
      <c r="P1026" s="18">
        <f t="shared" si="1"/>
        <v>178.02599</v>
      </c>
    </row>
    <row r="1027" ht="15.75" customHeight="1">
      <c r="A1027" s="19" t="s">
        <v>217</v>
      </c>
      <c r="B1027" s="19" t="s">
        <v>133</v>
      </c>
      <c r="C1027" s="20" t="s">
        <v>151</v>
      </c>
      <c r="D1027" s="14" t="str">
        <f>VLOOKUP(C1027,'State Key'!$A$2:$B$210,2,False)</f>
        <v>Maharashtra</v>
      </c>
      <c r="E1027" s="21">
        <v>600.0</v>
      </c>
      <c r="F1027" s="22">
        <v>220.699</v>
      </c>
      <c r="G1027" s="22">
        <v>0.0</v>
      </c>
      <c r="H1027" s="22">
        <v>0.0</v>
      </c>
      <c r="I1027" s="22">
        <v>0.0</v>
      </c>
      <c r="J1027" s="22">
        <v>0.0</v>
      </c>
      <c r="K1027" s="22">
        <v>10.299</v>
      </c>
      <c r="L1027" s="22">
        <v>230.998</v>
      </c>
      <c r="M1027" s="22">
        <v>276.66</v>
      </c>
      <c r="N1027" s="22">
        <v>21.21</v>
      </c>
      <c r="O1027" s="17">
        <v>2.3</v>
      </c>
      <c r="P1027" s="18">
        <f t="shared" si="1"/>
        <v>230.998</v>
      </c>
    </row>
    <row r="1028" ht="15.75" customHeight="1">
      <c r="A1028" s="13" t="s">
        <v>217</v>
      </c>
      <c r="B1028" s="13" t="s">
        <v>133</v>
      </c>
      <c r="C1028" s="14" t="s">
        <v>152</v>
      </c>
      <c r="D1028" s="14" t="str">
        <f>VLOOKUP(C1028,'State Key'!$A$2:$B$210,2,False)</f>
        <v>Chhattisgarh</v>
      </c>
      <c r="E1028" s="15">
        <v>500.0</v>
      </c>
      <c r="F1028" s="16">
        <v>117.62631</v>
      </c>
      <c r="G1028" s="16">
        <v>0.0</v>
      </c>
      <c r="H1028" s="16">
        <v>0.0</v>
      </c>
      <c r="I1028" s="16">
        <v>0.0</v>
      </c>
      <c r="J1028" s="16">
        <v>0.0</v>
      </c>
      <c r="K1028" s="16">
        <v>0.0</v>
      </c>
      <c r="L1028" s="16">
        <v>117.62631</v>
      </c>
      <c r="M1028" s="16">
        <v>260.019</v>
      </c>
      <c r="N1028" s="16">
        <v>221.92</v>
      </c>
      <c r="O1028" s="24">
        <v>25.6</v>
      </c>
      <c r="P1028" s="18">
        <f t="shared" si="1"/>
        <v>117.62631</v>
      </c>
    </row>
    <row r="1029" ht="15.75" customHeight="1">
      <c r="A1029" s="19" t="s">
        <v>217</v>
      </c>
      <c r="B1029" s="19" t="s">
        <v>133</v>
      </c>
      <c r="C1029" s="20" t="s">
        <v>153</v>
      </c>
      <c r="D1029" s="14" t="str">
        <f>VLOOKUP(C1029,'State Key'!$A$2:$B$210,2,False)</f>
        <v>Madhya Pradesh</v>
      </c>
      <c r="E1029" s="21">
        <v>1600.0</v>
      </c>
      <c r="F1029" s="22">
        <v>365.27</v>
      </c>
      <c r="G1029" s="22">
        <v>0.0</v>
      </c>
      <c r="H1029" s="22">
        <v>274.56</v>
      </c>
      <c r="I1029" s="22">
        <v>4.01</v>
      </c>
      <c r="J1029" s="22">
        <v>0.0</v>
      </c>
      <c r="K1029" s="22">
        <v>0.0</v>
      </c>
      <c r="L1029" s="22">
        <v>643.84</v>
      </c>
      <c r="M1029" s="22">
        <v>632.661</v>
      </c>
      <c r="N1029" s="22">
        <v>101.461</v>
      </c>
      <c r="O1029" s="17">
        <v>4.8</v>
      </c>
      <c r="P1029" s="18">
        <f t="shared" si="1"/>
        <v>643.84</v>
      </c>
    </row>
    <row r="1030" ht="15.75" customHeight="1">
      <c r="A1030" s="13" t="s">
        <v>217</v>
      </c>
      <c r="B1030" s="13" t="s">
        <v>133</v>
      </c>
      <c r="C1030" s="14" t="s">
        <v>154</v>
      </c>
      <c r="D1030" s="14" t="str">
        <f>VLOOKUP(C1030,'State Key'!$A$2:$B$210,2,False)</f>
        <v>Gujarat</v>
      </c>
      <c r="E1030" s="15">
        <v>630.0</v>
      </c>
      <c r="F1030" s="16">
        <v>125.194</v>
      </c>
      <c r="G1030" s="16">
        <v>0.0</v>
      </c>
      <c r="H1030" s="16">
        <v>0.0</v>
      </c>
      <c r="I1030" s="16">
        <v>0.0</v>
      </c>
      <c r="J1030" s="16">
        <v>0.0</v>
      </c>
      <c r="K1030" s="16">
        <v>0.0</v>
      </c>
      <c r="L1030" s="16">
        <v>125.194</v>
      </c>
      <c r="M1030" s="16">
        <v>174.013</v>
      </c>
      <c r="N1030" s="16">
        <v>116.95</v>
      </c>
      <c r="O1030" s="24">
        <v>20.2</v>
      </c>
      <c r="P1030" s="18">
        <f t="shared" si="1"/>
        <v>125.194</v>
      </c>
    </row>
    <row r="1031" ht="15.75" customHeight="1">
      <c r="A1031" s="19" t="s">
        <v>217</v>
      </c>
      <c r="B1031" s="19" t="s">
        <v>133</v>
      </c>
      <c r="C1031" s="20" t="s">
        <v>155</v>
      </c>
      <c r="D1031" s="14" t="str">
        <f>VLOOKUP(C1031,'State Key'!$A$2:$B$210,2,False)</f>
        <v>Maharashtra</v>
      </c>
      <c r="E1031" s="21">
        <v>120.0</v>
      </c>
      <c r="F1031" s="22">
        <v>0.0</v>
      </c>
      <c r="G1031" s="22">
        <v>0.0</v>
      </c>
      <c r="H1031" s="22">
        <v>0.0</v>
      </c>
      <c r="I1031" s="22">
        <v>0.0</v>
      </c>
      <c r="J1031" s="22">
        <v>0.0</v>
      </c>
      <c r="K1031" s="22">
        <v>0.0</v>
      </c>
      <c r="L1031" s="22">
        <v>0.0</v>
      </c>
      <c r="M1031" s="22">
        <v>0.0</v>
      </c>
      <c r="N1031" s="22">
        <v>0.0</v>
      </c>
      <c r="O1031" s="19" t="s">
        <v>58</v>
      </c>
      <c r="P1031" s="18">
        <f t="shared" si="1"/>
        <v>0</v>
      </c>
    </row>
    <row r="1032" ht="15.75" customHeight="1">
      <c r="A1032" s="13" t="s">
        <v>217</v>
      </c>
      <c r="B1032" s="13" t="s">
        <v>133</v>
      </c>
      <c r="C1032" s="14" t="s">
        <v>156</v>
      </c>
      <c r="D1032" s="14" t="str">
        <f>VLOOKUP(C1032,'State Key'!$A$2:$B$210,2,False)</f>
        <v>Maharashtra</v>
      </c>
      <c r="E1032" s="15">
        <v>600.0</v>
      </c>
      <c r="F1032" s="16">
        <v>181.419</v>
      </c>
      <c r="G1032" s="16">
        <v>0.0</v>
      </c>
      <c r="H1032" s="16">
        <v>0.0</v>
      </c>
      <c r="I1032" s="16">
        <v>0.0</v>
      </c>
      <c r="J1032" s="16">
        <v>0.0</v>
      </c>
      <c r="K1032" s="16">
        <v>14.072</v>
      </c>
      <c r="L1032" s="16">
        <v>195.491</v>
      </c>
      <c r="M1032" s="16">
        <v>232.245</v>
      </c>
      <c r="N1032" s="16">
        <v>13.02</v>
      </c>
      <c r="O1032" s="17">
        <v>1.7</v>
      </c>
      <c r="P1032" s="18">
        <f t="shared" si="1"/>
        <v>195.491</v>
      </c>
    </row>
    <row r="1033" ht="15.75" customHeight="1">
      <c r="A1033" s="19" t="s">
        <v>217</v>
      </c>
      <c r="B1033" s="19" t="s">
        <v>133</v>
      </c>
      <c r="C1033" s="20" t="s">
        <v>157</v>
      </c>
      <c r="D1033" s="14" t="str">
        <f>VLOOKUP(C1033,'State Key'!$A$2:$B$210,2,False)</f>
        <v>Maharashtra</v>
      </c>
      <c r="E1033" s="21">
        <v>300.0</v>
      </c>
      <c r="F1033" s="22">
        <v>0.0</v>
      </c>
      <c r="G1033" s="22">
        <v>0.0</v>
      </c>
      <c r="H1033" s="22">
        <v>0.0</v>
      </c>
      <c r="I1033" s="22">
        <v>35.0</v>
      </c>
      <c r="J1033" s="22">
        <v>0.0</v>
      </c>
      <c r="K1033" s="22">
        <v>0.0</v>
      </c>
      <c r="L1033" s="22">
        <v>35.0</v>
      </c>
      <c r="M1033" s="22">
        <v>78.54</v>
      </c>
      <c r="N1033" s="22">
        <v>10.23</v>
      </c>
      <c r="O1033" s="17">
        <v>3.9</v>
      </c>
      <c r="P1033" s="18">
        <f t="shared" si="1"/>
        <v>35</v>
      </c>
    </row>
    <row r="1034" ht="15.75" customHeight="1">
      <c r="A1034" s="13" t="s">
        <v>217</v>
      </c>
      <c r="B1034" s="13" t="s">
        <v>133</v>
      </c>
      <c r="C1034" s="14" t="s">
        <v>158</v>
      </c>
      <c r="D1034" s="14" t="str">
        <f>VLOOKUP(C1034,'State Key'!$A$2:$B$210,2,False)</f>
        <v>Chhattisgarh</v>
      </c>
      <c r="E1034" s="15">
        <v>270.0</v>
      </c>
      <c r="F1034" s="16">
        <v>36.027</v>
      </c>
      <c r="G1034" s="16">
        <v>0.0</v>
      </c>
      <c r="H1034" s="16">
        <v>0.0</v>
      </c>
      <c r="I1034" s="16">
        <v>0.0</v>
      </c>
      <c r="J1034" s="16">
        <v>105.211</v>
      </c>
      <c r="K1034" s="16">
        <v>0.0</v>
      </c>
      <c r="L1034" s="16">
        <v>141.238</v>
      </c>
      <c r="M1034" s="16">
        <v>152.24</v>
      </c>
      <c r="N1034" s="16">
        <v>23.93</v>
      </c>
      <c r="O1034" s="17">
        <v>4.7</v>
      </c>
      <c r="P1034" s="18">
        <f t="shared" si="1"/>
        <v>141.238</v>
      </c>
    </row>
    <row r="1035" ht="15.75" customHeight="1">
      <c r="A1035" s="19" t="s">
        <v>217</v>
      </c>
      <c r="B1035" s="19" t="s">
        <v>133</v>
      </c>
      <c r="C1035" s="20" t="s">
        <v>159</v>
      </c>
      <c r="D1035" s="14" t="str">
        <f>VLOOKUP(C1035,'State Key'!$A$2:$B$210,2,False)</f>
        <v>Chhattisgarh</v>
      </c>
      <c r="E1035" s="21">
        <v>35.0</v>
      </c>
      <c r="F1035" s="22">
        <v>0.0</v>
      </c>
      <c r="G1035" s="22">
        <v>0.0</v>
      </c>
      <c r="H1035" s="22">
        <v>0.0</v>
      </c>
      <c r="I1035" s="22">
        <v>0.0</v>
      </c>
      <c r="J1035" s="22">
        <v>0.0</v>
      </c>
      <c r="K1035" s="22">
        <v>0.0</v>
      </c>
      <c r="L1035" s="22">
        <v>0.0</v>
      </c>
      <c r="M1035" s="22">
        <v>0.0</v>
      </c>
      <c r="N1035" s="22">
        <v>0.0</v>
      </c>
      <c r="O1035" s="19" t="s">
        <v>58</v>
      </c>
      <c r="P1035" s="18">
        <f t="shared" si="1"/>
        <v>0</v>
      </c>
    </row>
    <row r="1036" ht="15.75" customHeight="1">
      <c r="A1036" s="13" t="s">
        <v>217</v>
      </c>
      <c r="B1036" s="13" t="s">
        <v>133</v>
      </c>
      <c r="C1036" s="14" t="s">
        <v>160</v>
      </c>
      <c r="D1036" s="14" t="str">
        <f>VLOOKUP(C1036,'State Key'!$A$2:$B$210,2,False)</f>
        <v>Maharashtra</v>
      </c>
      <c r="E1036" s="15">
        <v>1340.0</v>
      </c>
      <c r="F1036" s="16">
        <v>452.431</v>
      </c>
      <c r="G1036" s="16">
        <v>0.0</v>
      </c>
      <c r="H1036" s="16">
        <v>0.0</v>
      </c>
      <c r="I1036" s="16">
        <v>0.0</v>
      </c>
      <c r="J1036" s="16">
        <v>0.483</v>
      </c>
      <c r="K1036" s="16">
        <v>0.0</v>
      </c>
      <c r="L1036" s="16">
        <v>452.914</v>
      </c>
      <c r="M1036" s="16">
        <v>551.414</v>
      </c>
      <c r="N1036" s="16">
        <v>35.415</v>
      </c>
      <c r="O1036" s="17">
        <v>1.9</v>
      </c>
      <c r="P1036" s="18">
        <f t="shared" si="1"/>
        <v>452.914</v>
      </c>
    </row>
    <row r="1037" ht="15.75" customHeight="1">
      <c r="A1037" s="19" t="s">
        <v>217</v>
      </c>
      <c r="B1037" s="19" t="s">
        <v>133</v>
      </c>
      <c r="C1037" s="20" t="s">
        <v>161</v>
      </c>
      <c r="D1037" s="14" t="str">
        <f>VLOOKUP(C1037,'State Key'!$A$2:$B$210,2,False)</f>
        <v>Madhya Pradesh</v>
      </c>
      <c r="E1037" s="21">
        <v>1320.0</v>
      </c>
      <c r="F1037" s="22">
        <v>228.04</v>
      </c>
      <c r="G1037" s="22">
        <v>0.0</v>
      </c>
      <c r="H1037" s="22">
        <v>169.94</v>
      </c>
      <c r="I1037" s="22">
        <v>8.18</v>
      </c>
      <c r="J1037" s="22">
        <v>0.0</v>
      </c>
      <c r="K1037" s="22">
        <v>0.0</v>
      </c>
      <c r="L1037" s="22">
        <v>406.16</v>
      </c>
      <c r="M1037" s="22">
        <v>409.875</v>
      </c>
      <c r="N1037" s="22">
        <v>71.505</v>
      </c>
      <c r="O1037" s="17">
        <v>5.2</v>
      </c>
      <c r="P1037" s="18">
        <f t="shared" si="1"/>
        <v>406.16</v>
      </c>
    </row>
    <row r="1038" ht="15.75" customHeight="1">
      <c r="A1038" s="13" t="s">
        <v>217</v>
      </c>
      <c r="B1038" s="13" t="s">
        <v>133</v>
      </c>
      <c r="C1038" s="14" t="s">
        <v>162</v>
      </c>
      <c r="D1038" s="14" t="str">
        <f>VLOOKUP(C1038,'State Key'!$A$2:$B$210,2,False)</f>
        <v>Maharashtra</v>
      </c>
      <c r="E1038" s="15">
        <v>2190.0</v>
      </c>
      <c r="F1038" s="16">
        <v>629.262</v>
      </c>
      <c r="G1038" s="16">
        <v>0.0</v>
      </c>
      <c r="H1038" s="16">
        <v>0.0</v>
      </c>
      <c r="I1038" s="16">
        <v>0.0</v>
      </c>
      <c r="J1038" s="16">
        <v>0.0</v>
      </c>
      <c r="K1038" s="16">
        <v>0.0</v>
      </c>
      <c r="L1038" s="16">
        <v>629.262</v>
      </c>
      <c r="M1038" s="16">
        <v>617.729</v>
      </c>
      <c r="N1038" s="16">
        <v>345.754</v>
      </c>
      <c r="O1038" s="24">
        <v>16.8</v>
      </c>
      <c r="P1038" s="18">
        <f t="shared" si="1"/>
        <v>629.262</v>
      </c>
    </row>
    <row r="1039" ht="15.75" customHeight="1">
      <c r="A1039" s="19" t="s">
        <v>217</v>
      </c>
      <c r="B1039" s="19" t="s">
        <v>133</v>
      </c>
      <c r="C1039" s="20" t="s">
        <v>163</v>
      </c>
      <c r="D1039" s="14" t="str">
        <f>VLOOKUP(C1039,'State Key'!$A$2:$B$210,2,False)</f>
        <v>Chhattisgarh</v>
      </c>
      <c r="E1039" s="21">
        <v>2600.0</v>
      </c>
      <c r="F1039" s="22">
        <v>1049.03</v>
      </c>
      <c r="G1039" s="22">
        <v>0.0</v>
      </c>
      <c r="H1039" s="22">
        <v>0.0</v>
      </c>
      <c r="I1039" s="22">
        <v>0.0</v>
      </c>
      <c r="J1039" s="22">
        <v>0.0</v>
      </c>
      <c r="K1039" s="22">
        <v>0.0</v>
      </c>
      <c r="L1039" s="22">
        <v>1049.03</v>
      </c>
      <c r="M1039" s="22">
        <v>1074.99</v>
      </c>
      <c r="N1039" s="22">
        <v>382.083</v>
      </c>
      <c r="O1039" s="23">
        <v>10.7</v>
      </c>
      <c r="P1039" s="18">
        <f t="shared" si="1"/>
        <v>1049.03</v>
      </c>
    </row>
    <row r="1040" ht="15.75" customHeight="1">
      <c r="A1040" s="13" t="s">
        <v>217</v>
      </c>
      <c r="B1040" s="13" t="s">
        <v>133</v>
      </c>
      <c r="C1040" s="14" t="s">
        <v>164</v>
      </c>
      <c r="D1040" s="14" t="str">
        <f>VLOOKUP(C1040,'State Key'!$A$2:$B$210,2,False)</f>
        <v>Chhattisgarh</v>
      </c>
      <c r="E1040" s="15">
        <v>1340.0</v>
      </c>
      <c r="F1040" s="16">
        <v>414.786</v>
      </c>
      <c r="G1040" s="16">
        <v>0.0</v>
      </c>
      <c r="H1040" s="16">
        <v>0.0</v>
      </c>
      <c r="I1040" s="16">
        <v>0.0</v>
      </c>
      <c r="J1040" s="16">
        <v>0.0</v>
      </c>
      <c r="K1040" s="16">
        <v>0.0</v>
      </c>
      <c r="L1040" s="16">
        <v>414.786</v>
      </c>
      <c r="M1040" s="16">
        <v>609.787</v>
      </c>
      <c r="N1040" s="16">
        <v>171.35</v>
      </c>
      <c r="O1040" s="23">
        <v>8.4</v>
      </c>
      <c r="P1040" s="18">
        <f t="shared" si="1"/>
        <v>414.786</v>
      </c>
    </row>
    <row r="1041" ht="15.75" customHeight="1">
      <c r="A1041" s="19" t="s">
        <v>217</v>
      </c>
      <c r="B1041" s="19" t="s">
        <v>133</v>
      </c>
      <c r="C1041" s="20" t="s">
        <v>165</v>
      </c>
      <c r="D1041" s="14" t="str">
        <f>VLOOKUP(C1041,'State Key'!$A$2:$B$210,2,False)</f>
        <v>Chhattisgarh</v>
      </c>
      <c r="E1041" s="21">
        <v>1600.0</v>
      </c>
      <c r="F1041" s="22">
        <v>7.43</v>
      </c>
      <c r="G1041" s="22">
        <v>0.0</v>
      </c>
      <c r="H1041" s="22">
        <v>647.65</v>
      </c>
      <c r="I1041" s="22">
        <v>0.0</v>
      </c>
      <c r="J1041" s="22">
        <v>0.0</v>
      </c>
      <c r="K1041" s="22">
        <v>0.0</v>
      </c>
      <c r="L1041" s="22">
        <v>655.08</v>
      </c>
      <c r="M1041" s="22">
        <v>817.111</v>
      </c>
      <c r="N1041" s="22">
        <v>263.292</v>
      </c>
      <c r="O1041" s="23">
        <v>9.7</v>
      </c>
      <c r="P1041" s="18">
        <f t="shared" si="1"/>
        <v>655.08</v>
      </c>
    </row>
    <row r="1042" ht="15.75" customHeight="1">
      <c r="A1042" s="13" t="s">
        <v>217</v>
      </c>
      <c r="B1042" s="13" t="s">
        <v>133</v>
      </c>
      <c r="C1042" s="14" t="s">
        <v>166</v>
      </c>
      <c r="D1042" s="14" t="str">
        <f>VLOOKUP(C1042,'State Key'!$A$2:$B$210,2,False)</f>
        <v>Madhya Pradesh</v>
      </c>
      <c r="E1042" s="15">
        <v>1200.0</v>
      </c>
      <c r="F1042" s="16">
        <v>111.022</v>
      </c>
      <c r="G1042" s="16">
        <v>0.0</v>
      </c>
      <c r="H1042" s="16">
        <v>0.0</v>
      </c>
      <c r="I1042" s="16">
        <v>0.0</v>
      </c>
      <c r="J1042" s="16">
        <v>7.365</v>
      </c>
      <c r="K1042" s="16">
        <v>0.0</v>
      </c>
      <c r="L1042" s="16">
        <v>118.387</v>
      </c>
      <c r="M1042" s="16">
        <v>226.061</v>
      </c>
      <c r="N1042" s="16">
        <v>124.91</v>
      </c>
      <c r="O1042" s="24">
        <v>16.6</v>
      </c>
      <c r="P1042" s="18">
        <f t="shared" si="1"/>
        <v>118.387</v>
      </c>
    </row>
    <row r="1043" ht="15.75" customHeight="1">
      <c r="A1043" s="19" t="s">
        <v>217</v>
      </c>
      <c r="B1043" s="19" t="s">
        <v>133</v>
      </c>
      <c r="C1043" s="20" t="s">
        <v>167</v>
      </c>
      <c r="D1043" s="14" t="str">
        <f>VLOOKUP(C1043,'State Key'!$A$2:$B$210,2,False)</f>
        <v>Chhattisgarh</v>
      </c>
      <c r="E1043" s="21">
        <v>1000.0</v>
      </c>
      <c r="F1043" s="22">
        <v>83.83</v>
      </c>
      <c r="G1043" s="22">
        <v>0.0</v>
      </c>
      <c r="H1043" s="22">
        <v>219.46</v>
      </c>
      <c r="I1043" s="22">
        <v>0.0</v>
      </c>
      <c r="J1043" s="22">
        <v>0.0</v>
      </c>
      <c r="K1043" s="22">
        <v>0.0</v>
      </c>
      <c r="L1043" s="22">
        <v>303.29</v>
      </c>
      <c r="M1043" s="22">
        <v>439.269</v>
      </c>
      <c r="N1043" s="22">
        <v>244.91</v>
      </c>
      <c r="O1043" s="24">
        <v>16.7</v>
      </c>
      <c r="P1043" s="18">
        <f t="shared" si="1"/>
        <v>303.29</v>
      </c>
    </row>
    <row r="1044" ht="15.75" customHeight="1">
      <c r="A1044" s="13" t="s">
        <v>217</v>
      </c>
      <c r="B1044" s="13" t="s">
        <v>133</v>
      </c>
      <c r="C1044" s="14" t="s">
        <v>168</v>
      </c>
      <c r="D1044" s="14" t="str">
        <f>VLOOKUP(C1044,'State Key'!$A$2:$B$210,2,False)</f>
        <v>Maharashtra</v>
      </c>
      <c r="E1044" s="15">
        <v>2320.0</v>
      </c>
      <c r="F1044" s="16">
        <v>845.03</v>
      </c>
      <c r="G1044" s="16">
        <v>0.066</v>
      </c>
      <c r="H1044" s="16">
        <v>22.29</v>
      </c>
      <c r="I1044" s="16">
        <v>65.311</v>
      </c>
      <c r="J1044" s="16">
        <v>0.0</v>
      </c>
      <c r="K1044" s="16">
        <v>0.0</v>
      </c>
      <c r="L1044" s="16">
        <v>932.697</v>
      </c>
      <c r="M1044" s="16">
        <v>918.123</v>
      </c>
      <c r="N1044" s="16">
        <v>179.36</v>
      </c>
      <c r="O1044" s="17">
        <v>5.9</v>
      </c>
      <c r="P1044" s="18">
        <f t="shared" si="1"/>
        <v>932.697</v>
      </c>
    </row>
    <row r="1045" ht="15.75" customHeight="1">
      <c r="A1045" s="19" t="s">
        <v>217</v>
      </c>
      <c r="B1045" s="19" t="s">
        <v>133</v>
      </c>
      <c r="C1045" s="20" t="s">
        <v>169</v>
      </c>
      <c r="D1045" s="14" t="str">
        <f>VLOOKUP(C1045,'State Key'!$A$2:$B$210,2,False)</f>
        <v>Madhya Pradesh</v>
      </c>
      <c r="E1045" s="21">
        <v>246.0</v>
      </c>
      <c r="F1045" s="22">
        <v>0.0</v>
      </c>
      <c r="G1045" s="22">
        <v>0.0</v>
      </c>
      <c r="H1045" s="22">
        <v>0.0</v>
      </c>
      <c r="I1045" s="22">
        <v>0.0</v>
      </c>
      <c r="J1045" s="22">
        <v>0.0</v>
      </c>
      <c r="K1045" s="22">
        <v>0.0</v>
      </c>
      <c r="L1045" s="22">
        <v>0.0</v>
      </c>
      <c r="M1045" s="22">
        <v>0.0</v>
      </c>
      <c r="N1045" s="22">
        <v>0.0</v>
      </c>
      <c r="O1045" s="19" t="s">
        <v>58</v>
      </c>
      <c r="P1045" s="18">
        <f t="shared" si="1"/>
        <v>0</v>
      </c>
    </row>
    <row r="1046" ht="15.75" customHeight="1">
      <c r="A1046" s="13" t="s">
        <v>217</v>
      </c>
      <c r="B1046" s="13" t="s">
        <v>133</v>
      </c>
      <c r="C1046" s="14" t="s">
        <v>172</v>
      </c>
      <c r="D1046" s="14" t="str">
        <f>VLOOKUP(C1046,'State Key'!$A$2:$B$210,2,False)</f>
        <v>Gujarat</v>
      </c>
      <c r="E1046" s="15">
        <v>4000.0</v>
      </c>
      <c r="F1046" s="16">
        <v>0.0</v>
      </c>
      <c r="G1046" s="16">
        <v>0.0</v>
      </c>
      <c r="H1046" s="16">
        <v>0.0</v>
      </c>
      <c r="I1046" s="16">
        <v>712.203</v>
      </c>
      <c r="J1046" s="16">
        <v>0.0</v>
      </c>
      <c r="K1046" s="16">
        <v>0.0</v>
      </c>
      <c r="L1046" s="16">
        <v>712.203</v>
      </c>
      <c r="M1046" s="16">
        <v>767.513</v>
      </c>
      <c r="N1046" s="16">
        <v>352.996</v>
      </c>
      <c r="O1046" s="23">
        <v>13.8</v>
      </c>
      <c r="P1046" s="18">
        <f t="shared" si="1"/>
        <v>712.203</v>
      </c>
    </row>
    <row r="1047" ht="15.75" customHeight="1">
      <c r="A1047" s="19" t="s">
        <v>217</v>
      </c>
      <c r="B1047" s="19" t="s">
        <v>133</v>
      </c>
      <c r="C1047" s="20" t="s">
        <v>173</v>
      </c>
      <c r="D1047" s="14" t="str">
        <f>VLOOKUP(C1047,'State Key'!$A$2:$B$210,2,False)</f>
        <v>Maharashtra</v>
      </c>
      <c r="E1047" s="21">
        <v>1350.0</v>
      </c>
      <c r="F1047" s="22">
        <v>0.0</v>
      </c>
      <c r="G1047" s="22">
        <v>0.0</v>
      </c>
      <c r="H1047" s="22">
        <v>0.0</v>
      </c>
      <c r="I1047" s="22">
        <v>0.0</v>
      </c>
      <c r="J1047" s="22">
        <v>0.0</v>
      </c>
      <c r="K1047" s="22">
        <v>0.0</v>
      </c>
      <c r="L1047" s="22">
        <v>0.0</v>
      </c>
      <c r="M1047" s="22">
        <v>0.0</v>
      </c>
      <c r="N1047" s="22">
        <v>0.0</v>
      </c>
      <c r="O1047" s="19" t="s">
        <v>58</v>
      </c>
      <c r="P1047" s="18">
        <f t="shared" si="1"/>
        <v>0</v>
      </c>
    </row>
    <row r="1048" ht="15.75" customHeight="1">
      <c r="A1048" s="13" t="s">
        <v>217</v>
      </c>
      <c r="B1048" s="13" t="s">
        <v>133</v>
      </c>
      <c r="C1048" s="14" t="s">
        <v>174</v>
      </c>
      <c r="D1048" s="14" t="str">
        <f>VLOOKUP(C1048,'State Key'!$A$2:$B$210,2,False)</f>
        <v>Maharashtra</v>
      </c>
      <c r="E1048" s="15">
        <v>630.0</v>
      </c>
      <c r="F1048" s="16">
        <v>177.331</v>
      </c>
      <c r="G1048" s="16">
        <v>0.0</v>
      </c>
      <c r="H1048" s="16">
        <v>0.0</v>
      </c>
      <c r="I1048" s="16">
        <v>0.0</v>
      </c>
      <c r="J1048" s="16">
        <v>0.0</v>
      </c>
      <c r="K1048" s="16">
        <v>0.0</v>
      </c>
      <c r="L1048" s="16">
        <v>177.331</v>
      </c>
      <c r="M1048" s="16">
        <v>257.396</v>
      </c>
      <c r="N1048" s="16">
        <v>25.29</v>
      </c>
      <c r="O1048" s="17">
        <v>2.9</v>
      </c>
      <c r="P1048" s="18">
        <f t="shared" si="1"/>
        <v>177.331</v>
      </c>
    </row>
    <row r="1049" ht="15.75" customHeight="1">
      <c r="A1049" s="19" t="s">
        <v>217</v>
      </c>
      <c r="B1049" s="19" t="s">
        <v>133</v>
      </c>
      <c r="C1049" s="20" t="s">
        <v>175</v>
      </c>
      <c r="D1049" s="14" t="str">
        <f>VLOOKUP(C1049,'State Key'!$A$2:$B$210,2,False)</f>
        <v>Chhattisgarh</v>
      </c>
      <c r="E1049" s="21">
        <v>600.0</v>
      </c>
      <c r="F1049" s="22">
        <v>152.24</v>
      </c>
      <c r="G1049" s="22">
        <v>0.0</v>
      </c>
      <c r="H1049" s="22">
        <v>0.0</v>
      </c>
      <c r="I1049" s="22">
        <v>0.0</v>
      </c>
      <c r="J1049" s="22">
        <v>0.0</v>
      </c>
      <c r="K1049" s="22">
        <v>0.0</v>
      </c>
      <c r="L1049" s="22">
        <v>152.24</v>
      </c>
      <c r="M1049" s="22">
        <v>202.0</v>
      </c>
      <c r="N1049" s="22">
        <v>41.28</v>
      </c>
      <c r="O1049" s="17">
        <v>6.1</v>
      </c>
      <c r="P1049" s="18">
        <f t="shared" si="1"/>
        <v>152.24</v>
      </c>
    </row>
    <row r="1050" ht="15.75" customHeight="1">
      <c r="A1050" s="13" t="s">
        <v>217</v>
      </c>
      <c r="B1050" s="13" t="s">
        <v>133</v>
      </c>
      <c r="C1050" s="14" t="s">
        <v>176</v>
      </c>
      <c r="D1050" s="14" t="str">
        <f>VLOOKUP(C1050,'State Key'!$A$2:$B$210,2,False)</f>
        <v>Madhya Pradesh</v>
      </c>
      <c r="E1050" s="15">
        <v>1320.0</v>
      </c>
      <c r="F1050" s="16">
        <v>0.0</v>
      </c>
      <c r="G1050" s="16">
        <v>0.0</v>
      </c>
      <c r="H1050" s="16">
        <v>314.011</v>
      </c>
      <c r="I1050" s="16">
        <v>0.0</v>
      </c>
      <c r="J1050" s="16">
        <v>0.0</v>
      </c>
      <c r="K1050" s="16">
        <v>92.6172</v>
      </c>
      <c r="L1050" s="16">
        <v>406.6282</v>
      </c>
      <c r="M1050" s="16">
        <v>418.429</v>
      </c>
      <c r="N1050" s="16">
        <v>305.58</v>
      </c>
      <c r="O1050" s="24">
        <v>21.9</v>
      </c>
      <c r="P1050" s="18">
        <f t="shared" si="1"/>
        <v>406.6282</v>
      </c>
    </row>
    <row r="1051" ht="15.75" customHeight="1">
      <c r="A1051" s="19" t="s">
        <v>217</v>
      </c>
      <c r="B1051" s="19" t="s">
        <v>133</v>
      </c>
      <c r="C1051" s="20" t="s">
        <v>177</v>
      </c>
      <c r="D1051" s="14" t="str">
        <f>VLOOKUP(C1051,'State Key'!$A$2:$B$210,2,False)</f>
        <v>Madhya Pradesh</v>
      </c>
      <c r="E1051" s="21">
        <v>90.0</v>
      </c>
      <c r="F1051" s="22">
        <v>22.86</v>
      </c>
      <c r="G1051" s="22">
        <v>0.0</v>
      </c>
      <c r="H1051" s="22">
        <v>0.0</v>
      </c>
      <c r="I1051" s="22">
        <v>0.0</v>
      </c>
      <c r="J1051" s="22">
        <v>18.0</v>
      </c>
      <c r="K1051" s="22">
        <v>0.0</v>
      </c>
      <c r="L1051" s="22">
        <v>40.86</v>
      </c>
      <c r="M1051" s="22">
        <v>35.72</v>
      </c>
      <c r="N1051" s="22">
        <v>74.08</v>
      </c>
      <c r="O1051" s="24">
        <v>62.2</v>
      </c>
      <c r="P1051" s="18">
        <f t="shared" si="1"/>
        <v>40.86</v>
      </c>
    </row>
    <row r="1052" ht="15.75" customHeight="1">
      <c r="A1052" s="13" t="s">
        <v>217</v>
      </c>
      <c r="B1052" s="13" t="s">
        <v>133</v>
      </c>
      <c r="C1052" s="14" t="s">
        <v>178</v>
      </c>
      <c r="D1052" s="14" t="str">
        <f>VLOOKUP(C1052,'State Key'!$A$2:$B$210,2,False)</f>
        <v>Chhattisgarh</v>
      </c>
      <c r="E1052" s="15">
        <v>1000.0</v>
      </c>
      <c r="F1052" s="16">
        <v>0.0</v>
      </c>
      <c r="G1052" s="16">
        <v>0.0</v>
      </c>
      <c r="H1052" s="16">
        <v>0.0</v>
      </c>
      <c r="I1052" s="16">
        <v>0.0</v>
      </c>
      <c r="J1052" s="16">
        <v>46.232</v>
      </c>
      <c r="K1052" s="16">
        <v>360.007</v>
      </c>
      <c r="L1052" s="16">
        <v>406.239</v>
      </c>
      <c r="M1052" s="16">
        <v>522.381</v>
      </c>
      <c r="N1052" s="16">
        <v>234.521</v>
      </c>
      <c r="O1052" s="23">
        <v>13.5</v>
      </c>
      <c r="P1052" s="18">
        <f t="shared" si="1"/>
        <v>406.239</v>
      </c>
    </row>
    <row r="1053" ht="15.75" customHeight="1">
      <c r="A1053" s="19" t="s">
        <v>217</v>
      </c>
      <c r="B1053" s="19" t="s">
        <v>133</v>
      </c>
      <c r="C1053" s="20" t="s">
        <v>179</v>
      </c>
      <c r="D1053" s="14" t="str">
        <f>VLOOKUP(C1053,'State Key'!$A$2:$B$210,2,False)</f>
        <v>Maharashtra</v>
      </c>
      <c r="E1053" s="21">
        <v>500.0</v>
      </c>
      <c r="F1053" s="22">
        <v>203.317</v>
      </c>
      <c r="G1053" s="22">
        <v>0.0</v>
      </c>
      <c r="H1053" s="22">
        <v>0.0</v>
      </c>
      <c r="I1053" s="22">
        <v>0.0</v>
      </c>
      <c r="J1053" s="22">
        <v>0.0</v>
      </c>
      <c r="K1053" s="22">
        <v>0.0</v>
      </c>
      <c r="L1053" s="22">
        <v>203.317</v>
      </c>
      <c r="M1053" s="22">
        <v>211.754</v>
      </c>
      <c r="N1053" s="22">
        <v>26.43</v>
      </c>
      <c r="O1053" s="17">
        <v>3.7</v>
      </c>
      <c r="P1053" s="18">
        <f t="shared" si="1"/>
        <v>203.317</v>
      </c>
    </row>
    <row r="1054" ht="15.75" customHeight="1">
      <c r="A1054" s="13" t="s">
        <v>217</v>
      </c>
      <c r="B1054" s="13" t="s">
        <v>133</v>
      </c>
      <c r="C1054" s="14" t="s">
        <v>180</v>
      </c>
      <c r="D1054" s="14" t="str">
        <f>VLOOKUP(C1054,'State Key'!$A$2:$B$210,2,False)</f>
        <v>Maharashtra</v>
      </c>
      <c r="E1054" s="15">
        <v>750.0</v>
      </c>
      <c r="F1054" s="16">
        <v>46.239</v>
      </c>
      <c r="G1054" s="16">
        <v>201.107</v>
      </c>
      <c r="H1054" s="16">
        <v>0.0</v>
      </c>
      <c r="I1054" s="16">
        <v>0.0</v>
      </c>
      <c r="J1054" s="16">
        <v>0.0</v>
      </c>
      <c r="K1054" s="16">
        <v>0.0</v>
      </c>
      <c r="L1054" s="16">
        <v>247.346</v>
      </c>
      <c r="M1054" s="16">
        <v>270.604</v>
      </c>
      <c r="N1054" s="16">
        <v>13.51</v>
      </c>
      <c r="O1054" s="17">
        <v>1.5</v>
      </c>
      <c r="P1054" s="18">
        <f t="shared" si="1"/>
        <v>247.346</v>
      </c>
    </row>
    <row r="1055" ht="15.75" customHeight="1">
      <c r="A1055" s="19" t="s">
        <v>217</v>
      </c>
      <c r="B1055" s="19" t="s">
        <v>133</v>
      </c>
      <c r="C1055" s="20" t="s">
        <v>181</v>
      </c>
      <c r="D1055" s="14" t="str">
        <f>VLOOKUP(C1055,'State Key'!$A$2:$B$210,2,False)</f>
        <v>Chhattisgarh</v>
      </c>
      <c r="E1055" s="21">
        <v>600.0</v>
      </c>
      <c r="F1055" s="22">
        <v>134.38</v>
      </c>
      <c r="G1055" s="22">
        <v>0.0</v>
      </c>
      <c r="H1055" s="22">
        <v>0.0</v>
      </c>
      <c r="I1055" s="22">
        <v>0.0</v>
      </c>
      <c r="J1055" s="22">
        <v>0.0</v>
      </c>
      <c r="K1055" s="22">
        <v>0.0</v>
      </c>
      <c r="L1055" s="22">
        <v>134.38</v>
      </c>
      <c r="M1055" s="22">
        <v>162.23</v>
      </c>
      <c r="N1055" s="22">
        <v>278.26</v>
      </c>
      <c r="O1055" s="24">
        <v>51.5</v>
      </c>
      <c r="P1055" s="18">
        <f t="shared" si="1"/>
        <v>134.38</v>
      </c>
    </row>
    <row r="1056" ht="15.75" customHeight="1">
      <c r="A1056" s="13" t="s">
        <v>217</v>
      </c>
      <c r="B1056" s="13" t="s">
        <v>133</v>
      </c>
      <c r="C1056" s="14" t="s">
        <v>183</v>
      </c>
      <c r="D1056" s="14" t="str">
        <f>VLOOKUP(C1056,'State Key'!$A$2:$B$210,2,False)</f>
        <v>Chhattisgarh</v>
      </c>
      <c r="E1056" s="15">
        <v>100.0</v>
      </c>
      <c r="F1056" s="16">
        <v>3.8449</v>
      </c>
      <c r="G1056" s="16">
        <v>0.0</v>
      </c>
      <c r="H1056" s="16">
        <v>0.0</v>
      </c>
      <c r="I1056" s="16">
        <v>0.0</v>
      </c>
      <c r="J1056" s="16">
        <v>60.0497</v>
      </c>
      <c r="K1056" s="16">
        <v>0.0</v>
      </c>
      <c r="L1056" s="16">
        <v>63.8946</v>
      </c>
      <c r="M1056" s="16">
        <v>86.372</v>
      </c>
      <c r="N1056" s="16">
        <v>19.9</v>
      </c>
      <c r="O1056" s="17">
        <v>6.9</v>
      </c>
      <c r="P1056" s="18">
        <f t="shared" si="1"/>
        <v>63.8946</v>
      </c>
    </row>
    <row r="1057" ht="15.75" customHeight="1">
      <c r="A1057" s="19" t="s">
        <v>217</v>
      </c>
      <c r="B1057" s="19" t="s">
        <v>133</v>
      </c>
      <c r="C1057" s="20" t="s">
        <v>184</v>
      </c>
      <c r="D1057" s="14" t="str">
        <f>VLOOKUP(C1057,'State Key'!$A$2:$B$210,2,False)</f>
        <v>Gujarat</v>
      </c>
      <c r="E1057" s="21">
        <v>362.0</v>
      </c>
      <c r="F1057" s="22">
        <v>94.259</v>
      </c>
      <c r="G1057" s="22">
        <v>0.0</v>
      </c>
      <c r="H1057" s="22">
        <v>0.0</v>
      </c>
      <c r="I1057" s="22">
        <v>47.312</v>
      </c>
      <c r="J1057" s="22">
        <v>0.0</v>
      </c>
      <c r="K1057" s="22">
        <v>0.0</v>
      </c>
      <c r="L1057" s="22">
        <v>141.571</v>
      </c>
      <c r="M1057" s="22">
        <v>135.93</v>
      </c>
      <c r="N1057" s="22">
        <v>107.19</v>
      </c>
      <c r="O1057" s="24">
        <v>23.7</v>
      </c>
      <c r="P1057" s="18">
        <f t="shared" si="1"/>
        <v>141.571</v>
      </c>
    </row>
    <row r="1058" ht="15.75" customHeight="1">
      <c r="A1058" s="13" t="s">
        <v>217</v>
      </c>
      <c r="B1058" s="13" t="s">
        <v>133</v>
      </c>
      <c r="C1058" s="14" t="s">
        <v>185</v>
      </c>
      <c r="D1058" s="14" t="str">
        <f>VLOOKUP(C1058,'State Key'!$A$2:$B$210,2,False)</f>
        <v>Gujarat</v>
      </c>
      <c r="E1058" s="15">
        <v>1200.0</v>
      </c>
      <c r="F1058" s="16">
        <v>0.0</v>
      </c>
      <c r="G1058" s="16">
        <v>0.0</v>
      </c>
      <c r="H1058" s="16">
        <v>0.0</v>
      </c>
      <c r="I1058" s="16">
        <v>37.045</v>
      </c>
      <c r="J1058" s="16">
        <v>0.0</v>
      </c>
      <c r="K1058" s="16">
        <v>0.0</v>
      </c>
      <c r="L1058" s="16">
        <v>37.045</v>
      </c>
      <c r="M1058" s="16">
        <v>177.094</v>
      </c>
      <c r="N1058" s="16">
        <v>70.96</v>
      </c>
      <c r="O1058" s="23">
        <v>12.0</v>
      </c>
      <c r="P1058" s="18">
        <f t="shared" si="1"/>
        <v>37.045</v>
      </c>
    </row>
    <row r="1059" ht="15.75" customHeight="1">
      <c r="A1059" s="19" t="s">
        <v>217</v>
      </c>
      <c r="B1059" s="19" t="s">
        <v>133</v>
      </c>
      <c r="C1059" s="20" t="s">
        <v>186</v>
      </c>
      <c r="D1059" s="14" t="str">
        <f>VLOOKUP(C1059,'State Key'!$A$2:$B$210,2,False)</f>
        <v>Chhattisgarh</v>
      </c>
      <c r="E1059" s="21">
        <v>135.0</v>
      </c>
      <c r="F1059" s="22">
        <v>0.0</v>
      </c>
      <c r="G1059" s="22">
        <v>0.0</v>
      </c>
      <c r="H1059" s="22">
        <v>0.0</v>
      </c>
      <c r="I1059" s="22">
        <v>0.0</v>
      </c>
      <c r="J1059" s="22">
        <v>0.0</v>
      </c>
      <c r="K1059" s="22">
        <v>0.0</v>
      </c>
      <c r="L1059" s="22">
        <v>0.0</v>
      </c>
      <c r="M1059" s="22">
        <v>0.0</v>
      </c>
      <c r="N1059" s="22">
        <v>0.0</v>
      </c>
      <c r="O1059" s="19" t="s">
        <v>58</v>
      </c>
      <c r="P1059" s="18">
        <f t="shared" si="1"/>
        <v>0</v>
      </c>
    </row>
    <row r="1060" ht="15.75" customHeight="1">
      <c r="A1060" s="13" t="s">
        <v>217</v>
      </c>
      <c r="B1060" s="13" t="s">
        <v>133</v>
      </c>
      <c r="C1060" s="14" t="s">
        <v>187</v>
      </c>
      <c r="D1060" s="14" t="str">
        <f>VLOOKUP(C1060,'State Key'!$A$2:$B$210,2,False)</f>
        <v>Madhya Pradesh</v>
      </c>
      <c r="E1060" s="15">
        <v>1340.0</v>
      </c>
      <c r="F1060" s="16">
        <v>327.247</v>
      </c>
      <c r="G1060" s="16">
        <v>0.0</v>
      </c>
      <c r="H1060" s="16">
        <v>0.0</v>
      </c>
      <c r="I1060" s="16">
        <v>0.0</v>
      </c>
      <c r="J1060" s="16">
        <v>0.0</v>
      </c>
      <c r="K1060" s="16">
        <v>0.0</v>
      </c>
      <c r="L1060" s="16">
        <v>327.247</v>
      </c>
      <c r="M1060" s="16">
        <v>354.034</v>
      </c>
      <c r="N1060" s="16">
        <v>175.4</v>
      </c>
      <c r="O1060" s="24">
        <v>14.9</v>
      </c>
      <c r="P1060" s="18">
        <f t="shared" si="1"/>
        <v>327.247</v>
      </c>
    </row>
    <row r="1061" ht="15.75" customHeight="1">
      <c r="A1061" s="19" t="s">
        <v>217</v>
      </c>
      <c r="B1061" s="19" t="s">
        <v>133</v>
      </c>
      <c r="C1061" s="20" t="s">
        <v>188</v>
      </c>
      <c r="D1061" s="14" t="str">
        <f>VLOOKUP(C1061,'State Key'!$A$2:$B$210,2,False)</f>
        <v>Madhya Pradesh</v>
      </c>
      <c r="E1061" s="21">
        <v>3960.0</v>
      </c>
      <c r="F1061" s="22">
        <v>0.0</v>
      </c>
      <c r="G1061" s="22">
        <v>0.0</v>
      </c>
      <c r="H1061" s="22">
        <v>1272.447</v>
      </c>
      <c r="I1061" s="22">
        <v>0.0</v>
      </c>
      <c r="J1061" s="22">
        <v>0.0</v>
      </c>
      <c r="K1061" s="22">
        <v>0.0</v>
      </c>
      <c r="L1061" s="22">
        <v>1272.447</v>
      </c>
      <c r="M1061" s="22">
        <v>1441.481</v>
      </c>
      <c r="N1061" s="22">
        <v>145.52</v>
      </c>
      <c r="O1061" s="17">
        <v>3.0</v>
      </c>
      <c r="P1061" s="18">
        <f t="shared" si="1"/>
        <v>1272.447</v>
      </c>
    </row>
    <row r="1062" ht="15.75" customHeight="1">
      <c r="A1062" s="13" t="s">
        <v>217</v>
      </c>
      <c r="B1062" s="13" t="s">
        <v>133</v>
      </c>
      <c r="C1062" s="14" t="s">
        <v>189</v>
      </c>
      <c r="D1062" s="14" t="str">
        <f>VLOOKUP(C1062,'State Key'!$A$2:$B$210,2,False)</f>
        <v>Madhya Pradesh</v>
      </c>
      <c r="E1062" s="15">
        <v>1330.0</v>
      </c>
      <c r="F1062" s="16">
        <v>191.302</v>
      </c>
      <c r="G1062" s="16">
        <v>0.0</v>
      </c>
      <c r="H1062" s="16">
        <v>0.0</v>
      </c>
      <c r="I1062" s="16">
        <v>0.0</v>
      </c>
      <c r="J1062" s="16">
        <v>0.0</v>
      </c>
      <c r="K1062" s="16">
        <v>0.0</v>
      </c>
      <c r="L1062" s="16">
        <v>191.302</v>
      </c>
      <c r="M1062" s="16">
        <v>220.238</v>
      </c>
      <c r="N1062" s="16">
        <v>64.05</v>
      </c>
      <c r="O1062" s="23">
        <v>8.7</v>
      </c>
      <c r="P1062" s="18">
        <f t="shared" si="1"/>
        <v>191.302</v>
      </c>
    </row>
    <row r="1063" ht="15.75" customHeight="1">
      <c r="A1063" s="19" t="s">
        <v>217</v>
      </c>
      <c r="B1063" s="19" t="s">
        <v>133</v>
      </c>
      <c r="C1063" s="20" t="s">
        <v>190</v>
      </c>
      <c r="D1063" s="14" t="str">
        <f>VLOOKUP(C1063,'State Key'!$A$2:$B$210,2,False)</f>
        <v>Madhya Pradesh</v>
      </c>
      <c r="E1063" s="21">
        <v>600.0</v>
      </c>
      <c r="F1063" s="22">
        <v>89.637</v>
      </c>
      <c r="G1063" s="22">
        <v>0.0</v>
      </c>
      <c r="H1063" s="22">
        <v>0.0</v>
      </c>
      <c r="I1063" s="22">
        <v>0.0</v>
      </c>
      <c r="J1063" s="22">
        <v>0.0</v>
      </c>
      <c r="K1063" s="22">
        <v>115.106</v>
      </c>
      <c r="L1063" s="22">
        <v>204.743</v>
      </c>
      <c r="M1063" s="22">
        <v>274.258</v>
      </c>
      <c r="N1063" s="22">
        <v>116.7</v>
      </c>
      <c r="O1063" s="23">
        <v>12.8</v>
      </c>
      <c r="P1063" s="18">
        <f t="shared" si="1"/>
        <v>204.743</v>
      </c>
    </row>
    <row r="1064" ht="15.75" customHeight="1">
      <c r="A1064" s="13" t="s">
        <v>217</v>
      </c>
      <c r="B1064" s="13" t="s">
        <v>133</v>
      </c>
      <c r="C1064" s="14" t="s">
        <v>191</v>
      </c>
      <c r="D1064" s="14" t="str">
        <f>VLOOKUP(C1064,'State Key'!$A$2:$B$210,2,False)</f>
        <v>Maharashtra</v>
      </c>
      <c r="E1064" s="15">
        <v>150.0</v>
      </c>
      <c r="F1064" s="16">
        <v>0.0</v>
      </c>
      <c r="G1064" s="16">
        <v>0.0</v>
      </c>
      <c r="H1064" s="16">
        <v>0.0</v>
      </c>
      <c r="I1064" s="16">
        <v>0.0</v>
      </c>
      <c r="J1064" s="16">
        <v>0.0</v>
      </c>
      <c r="K1064" s="16">
        <v>0.0</v>
      </c>
      <c r="L1064" s="16">
        <v>0.0</v>
      </c>
      <c r="M1064" s="16">
        <v>0.0</v>
      </c>
      <c r="N1064" s="16">
        <v>0.0</v>
      </c>
      <c r="O1064" s="13" t="s">
        <v>58</v>
      </c>
      <c r="P1064" s="18">
        <f t="shared" si="1"/>
        <v>0</v>
      </c>
    </row>
    <row r="1065" ht="15.75" customHeight="1">
      <c r="A1065" s="19" t="s">
        <v>217</v>
      </c>
      <c r="B1065" s="19" t="s">
        <v>133</v>
      </c>
      <c r="C1065" s="20" t="s">
        <v>192</v>
      </c>
      <c r="D1065" s="14" t="str">
        <f>VLOOKUP(C1065,'State Key'!$A$2:$B$210,2,False)</f>
        <v>Madhya Pradesh</v>
      </c>
      <c r="E1065" s="21">
        <v>2520.0</v>
      </c>
      <c r="F1065" s="22">
        <v>789.434</v>
      </c>
      <c r="G1065" s="22">
        <v>0.0</v>
      </c>
      <c r="H1065" s="22">
        <v>0.0</v>
      </c>
      <c r="I1065" s="22">
        <v>0.0</v>
      </c>
      <c r="J1065" s="22">
        <v>0.0</v>
      </c>
      <c r="K1065" s="22">
        <v>0.0</v>
      </c>
      <c r="L1065" s="22">
        <v>789.434</v>
      </c>
      <c r="M1065" s="22">
        <v>761.298</v>
      </c>
      <c r="N1065" s="22">
        <v>140.61</v>
      </c>
      <c r="O1065" s="17">
        <v>5.5</v>
      </c>
      <c r="P1065" s="18">
        <f t="shared" si="1"/>
        <v>789.434</v>
      </c>
    </row>
    <row r="1066" ht="15.75" customHeight="1">
      <c r="A1066" s="13" t="s">
        <v>217</v>
      </c>
      <c r="B1066" s="13" t="s">
        <v>133</v>
      </c>
      <c r="C1066" s="14" t="s">
        <v>193</v>
      </c>
      <c r="D1066" s="14" t="str">
        <f>VLOOKUP(C1066,'State Key'!$A$2:$B$210,2,False)</f>
        <v>Gujarat</v>
      </c>
      <c r="E1066" s="15">
        <v>500.0</v>
      </c>
      <c r="F1066" s="16">
        <v>0.0</v>
      </c>
      <c r="G1066" s="16">
        <v>0.0</v>
      </c>
      <c r="H1066" s="16">
        <v>0.0</v>
      </c>
      <c r="I1066" s="16">
        <v>96.45</v>
      </c>
      <c r="J1066" s="16">
        <v>0.0</v>
      </c>
      <c r="K1066" s="16">
        <v>0.0</v>
      </c>
      <c r="L1066" s="16">
        <v>96.45</v>
      </c>
      <c r="M1066" s="16">
        <v>41.62</v>
      </c>
      <c r="N1066" s="16">
        <v>97.1</v>
      </c>
      <c r="O1066" s="24">
        <v>70.0</v>
      </c>
      <c r="P1066" s="18">
        <f t="shared" si="1"/>
        <v>96.45</v>
      </c>
    </row>
    <row r="1067" ht="15.75" customHeight="1">
      <c r="A1067" s="19" t="s">
        <v>217</v>
      </c>
      <c r="B1067" s="19" t="s">
        <v>133</v>
      </c>
      <c r="C1067" s="20" t="s">
        <v>194</v>
      </c>
      <c r="D1067" s="14" t="str">
        <f>VLOOKUP(C1067,'State Key'!$A$2:$B$210,2,False)</f>
        <v>Chhattisgarh</v>
      </c>
      <c r="E1067" s="21">
        <v>2980.0</v>
      </c>
      <c r="F1067" s="22">
        <v>1067.39</v>
      </c>
      <c r="G1067" s="22">
        <v>0.0</v>
      </c>
      <c r="H1067" s="22">
        <v>0.0</v>
      </c>
      <c r="I1067" s="22">
        <v>0.0</v>
      </c>
      <c r="J1067" s="22">
        <v>0.0</v>
      </c>
      <c r="K1067" s="22">
        <v>0.0</v>
      </c>
      <c r="L1067" s="22">
        <v>1067.39</v>
      </c>
      <c r="M1067" s="22">
        <v>1040.301</v>
      </c>
      <c r="N1067" s="22">
        <v>706.172</v>
      </c>
      <c r="O1067" s="24">
        <v>20.4</v>
      </c>
      <c r="P1067" s="18">
        <f t="shared" si="1"/>
        <v>1067.39</v>
      </c>
    </row>
    <row r="1068" ht="15.75" customHeight="1">
      <c r="A1068" s="13" t="s">
        <v>217</v>
      </c>
      <c r="B1068" s="13" t="s">
        <v>133</v>
      </c>
      <c r="C1068" s="14" t="s">
        <v>195</v>
      </c>
      <c r="D1068" s="14" t="str">
        <f>VLOOKUP(C1068,'State Key'!$A$2:$B$210,2,False)</f>
        <v>Maharashtra</v>
      </c>
      <c r="E1068" s="15">
        <v>1320.0</v>
      </c>
      <c r="F1068" s="16">
        <v>264.68</v>
      </c>
      <c r="G1068" s="16">
        <v>8.09</v>
      </c>
      <c r="H1068" s="16">
        <v>158.17</v>
      </c>
      <c r="I1068" s="16">
        <v>19.64</v>
      </c>
      <c r="J1068" s="16">
        <v>0.0</v>
      </c>
      <c r="K1068" s="16">
        <v>0.0</v>
      </c>
      <c r="L1068" s="16">
        <v>450.58</v>
      </c>
      <c r="M1068" s="16">
        <v>463.297</v>
      </c>
      <c r="N1068" s="16">
        <v>65.339</v>
      </c>
      <c r="O1068" s="17">
        <v>4.2</v>
      </c>
      <c r="P1068" s="18">
        <f t="shared" si="1"/>
        <v>450.58</v>
      </c>
    </row>
    <row r="1069" ht="15.75" customHeight="1">
      <c r="A1069" s="19" t="s">
        <v>217</v>
      </c>
      <c r="B1069" s="19" t="s">
        <v>133</v>
      </c>
      <c r="C1069" s="20" t="s">
        <v>196</v>
      </c>
      <c r="D1069" s="14" t="str">
        <f>VLOOKUP(C1069,'State Key'!$A$2:$B$210,2,False)</f>
        <v>Chhattisgarh</v>
      </c>
      <c r="E1069" s="21">
        <v>63.0</v>
      </c>
      <c r="F1069" s="22">
        <v>0.0</v>
      </c>
      <c r="G1069" s="22">
        <v>0.0</v>
      </c>
      <c r="H1069" s="22">
        <v>0.0</v>
      </c>
      <c r="I1069" s="22">
        <v>0.0</v>
      </c>
      <c r="J1069" s="22">
        <v>0.0</v>
      </c>
      <c r="K1069" s="22">
        <v>0.0</v>
      </c>
      <c r="L1069" s="22">
        <v>0.0</v>
      </c>
      <c r="M1069" s="22">
        <v>0.0</v>
      </c>
      <c r="N1069" s="22">
        <v>0.0</v>
      </c>
      <c r="O1069" s="19" t="s">
        <v>58</v>
      </c>
      <c r="P1069" s="18">
        <f t="shared" si="1"/>
        <v>0</v>
      </c>
    </row>
    <row r="1070" ht="15.75" customHeight="1">
      <c r="A1070" s="13" t="s">
        <v>217</v>
      </c>
      <c r="B1070" s="13" t="s">
        <v>133</v>
      </c>
      <c r="C1070" s="14" t="s">
        <v>197</v>
      </c>
      <c r="D1070" s="14" t="str">
        <f>VLOOKUP(C1070,'State Key'!$A$2:$B$210,2,False)</f>
        <v>Chhattisgarh</v>
      </c>
      <c r="E1070" s="15">
        <v>25.0</v>
      </c>
      <c r="F1070" s="16">
        <v>0.0</v>
      </c>
      <c r="G1070" s="16">
        <v>0.0</v>
      </c>
      <c r="H1070" s="16">
        <v>0.0</v>
      </c>
      <c r="I1070" s="16">
        <v>0.0</v>
      </c>
      <c r="J1070" s="16">
        <v>0.0</v>
      </c>
      <c r="K1070" s="16">
        <v>0.0</v>
      </c>
      <c r="L1070" s="16">
        <v>0.0</v>
      </c>
      <c r="M1070" s="16">
        <v>0.0</v>
      </c>
      <c r="N1070" s="16">
        <v>0.0</v>
      </c>
      <c r="O1070" s="13" t="s">
        <v>58</v>
      </c>
      <c r="P1070" s="18">
        <f t="shared" si="1"/>
        <v>0</v>
      </c>
    </row>
    <row r="1071" ht="15.75" customHeight="1">
      <c r="A1071" s="19" t="s">
        <v>217</v>
      </c>
      <c r="B1071" s="19" t="s">
        <v>133</v>
      </c>
      <c r="C1071" s="20" t="s">
        <v>198</v>
      </c>
      <c r="D1071" s="14" t="str">
        <f>VLOOKUP(C1071,'State Key'!$A$2:$B$210,2,False)</f>
        <v>Chhattisgarh</v>
      </c>
      <c r="E1071" s="21">
        <v>2400.0</v>
      </c>
      <c r="F1071" s="22">
        <v>310.787</v>
      </c>
      <c r="G1071" s="22">
        <v>0.0</v>
      </c>
      <c r="H1071" s="22">
        <v>0.0</v>
      </c>
      <c r="I1071" s="22">
        <v>0.038</v>
      </c>
      <c r="J1071" s="22">
        <v>0.0</v>
      </c>
      <c r="K1071" s="22">
        <v>384.544</v>
      </c>
      <c r="L1071" s="22">
        <v>695.369</v>
      </c>
      <c r="M1071" s="22">
        <v>859.457</v>
      </c>
      <c r="N1071" s="22">
        <v>53.568</v>
      </c>
      <c r="O1071" s="17">
        <v>1.9</v>
      </c>
      <c r="P1071" s="18">
        <f t="shared" si="1"/>
        <v>695.369</v>
      </c>
    </row>
    <row r="1072" ht="15.75" customHeight="1">
      <c r="A1072" s="13" t="s">
        <v>217</v>
      </c>
      <c r="B1072" s="13" t="s">
        <v>133</v>
      </c>
      <c r="C1072" s="14" t="s">
        <v>200</v>
      </c>
      <c r="D1072" s="14" t="str">
        <f>VLOOKUP(C1072,'State Key'!$A$2:$B$210,2,False)</f>
        <v>Maharashtra</v>
      </c>
      <c r="E1072" s="15">
        <v>750.0</v>
      </c>
      <c r="F1072" s="16">
        <v>0.0</v>
      </c>
      <c r="G1072" s="16">
        <v>0.0</v>
      </c>
      <c r="H1072" s="16">
        <v>0.0</v>
      </c>
      <c r="I1072" s="16">
        <v>176.17445</v>
      </c>
      <c r="J1072" s="16">
        <v>0.0</v>
      </c>
      <c r="K1072" s="16">
        <v>0.0</v>
      </c>
      <c r="L1072" s="16">
        <v>176.17445</v>
      </c>
      <c r="M1072" s="16">
        <v>228.6905</v>
      </c>
      <c r="N1072" s="16">
        <v>167.15</v>
      </c>
      <c r="O1072" s="24">
        <v>21.9</v>
      </c>
      <c r="P1072" s="18">
        <f t="shared" si="1"/>
        <v>176.17445</v>
      </c>
    </row>
    <row r="1073" ht="15.75" customHeight="1">
      <c r="A1073" s="19" t="s">
        <v>217</v>
      </c>
      <c r="B1073" s="19" t="s">
        <v>133</v>
      </c>
      <c r="C1073" s="20" t="s">
        <v>201</v>
      </c>
      <c r="D1073" s="14" t="str">
        <f>VLOOKUP(C1073,'State Key'!$A$2:$B$210,2,False)</f>
        <v>Chhattisgarh</v>
      </c>
      <c r="E1073" s="21">
        <v>1440.0</v>
      </c>
      <c r="F1073" s="22">
        <v>138.27</v>
      </c>
      <c r="G1073" s="22">
        <v>0.0</v>
      </c>
      <c r="H1073" s="22">
        <v>0.0</v>
      </c>
      <c r="I1073" s="22">
        <v>0.0</v>
      </c>
      <c r="J1073" s="22">
        <v>0.0</v>
      </c>
      <c r="K1073" s="22">
        <v>339.989</v>
      </c>
      <c r="L1073" s="22">
        <v>478.259</v>
      </c>
      <c r="M1073" s="22">
        <v>637.962</v>
      </c>
      <c r="N1073" s="22">
        <v>49.97</v>
      </c>
      <c r="O1073" s="17">
        <v>2.3</v>
      </c>
      <c r="P1073" s="18">
        <f t="shared" si="1"/>
        <v>478.259</v>
      </c>
    </row>
    <row r="1074" ht="15.75" customHeight="1">
      <c r="A1074" s="13" t="s">
        <v>217</v>
      </c>
      <c r="B1074" s="13" t="s">
        <v>133</v>
      </c>
      <c r="C1074" s="14" t="s">
        <v>202</v>
      </c>
      <c r="D1074" s="14" t="str">
        <f>VLOOKUP(C1074,'State Key'!$A$2:$B$210,2,False)</f>
        <v>Gujarat</v>
      </c>
      <c r="E1074" s="15">
        <v>1110.0</v>
      </c>
      <c r="F1074" s="16">
        <v>298.965</v>
      </c>
      <c r="G1074" s="16">
        <v>0.0</v>
      </c>
      <c r="H1074" s="16">
        <v>0.0</v>
      </c>
      <c r="I1074" s="16">
        <v>0.0</v>
      </c>
      <c r="J1074" s="16">
        <v>0.0</v>
      </c>
      <c r="K1074" s="16">
        <v>0.0</v>
      </c>
      <c r="L1074" s="16">
        <v>298.965</v>
      </c>
      <c r="M1074" s="16">
        <v>259.119</v>
      </c>
      <c r="N1074" s="16">
        <v>273.22</v>
      </c>
      <c r="O1074" s="24">
        <v>31.6</v>
      </c>
      <c r="P1074" s="18">
        <f t="shared" si="1"/>
        <v>298.965</v>
      </c>
    </row>
    <row r="1075" ht="15.75" customHeight="1">
      <c r="A1075" s="19" t="s">
        <v>217</v>
      </c>
      <c r="B1075" s="19" t="s">
        <v>133</v>
      </c>
      <c r="C1075" s="20" t="s">
        <v>203</v>
      </c>
      <c r="D1075" s="14" t="str">
        <f>VLOOKUP(C1075,'State Key'!$A$2:$B$210,2,False)</f>
        <v>Madhya Pradesh</v>
      </c>
      <c r="E1075" s="21">
        <v>4760.0</v>
      </c>
      <c r="F1075" s="22">
        <v>1769.64</v>
      </c>
      <c r="G1075" s="22">
        <v>0.0</v>
      </c>
      <c r="H1075" s="22">
        <v>0.0</v>
      </c>
      <c r="I1075" s="22">
        <v>0.0</v>
      </c>
      <c r="J1075" s="22">
        <v>0.0</v>
      </c>
      <c r="K1075" s="22">
        <v>0.0</v>
      </c>
      <c r="L1075" s="22">
        <v>1769.64</v>
      </c>
      <c r="M1075" s="22">
        <v>1857.04</v>
      </c>
      <c r="N1075" s="22">
        <v>1257.105</v>
      </c>
      <c r="O1075" s="24">
        <v>20.3</v>
      </c>
      <c r="P1075" s="18">
        <f t="shared" si="1"/>
        <v>1769.64</v>
      </c>
    </row>
    <row r="1076" ht="15.75" customHeight="1">
      <c r="A1076" s="13" t="s">
        <v>217</v>
      </c>
      <c r="B1076" s="13" t="s">
        <v>133</v>
      </c>
      <c r="C1076" s="14" t="s">
        <v>204</v>
      </c>
      <c r="D1076" s="14" t="str">
        <f>VLOOKUP(C1076,'State Key'!$A$2:$B$210,2,False)</f>
        <v>Gujarat</v>
      </c>
      <c r="E1076" s="15">
        <v>2270.0</v>
      </c>
      <c r="F1076" s="16">
        <v>653.833</v>
      </c>
      <c r="G1076" s="16">
        <v>0.0</v>
      </c>
      <c r="H1076" s="16">
        <v>0.0</v>
      </c>
      <c r="I1076" s="16">
        <v>0.0</v>
      </c>
      <c r="J1076" s="16">
        <v>0.0</v>
      </c>
      <c r="K1076" s="16">
        <v>0.0</v>
      </c>
      <c r="L1076" s="16">
        <v>653.833</v>
      </c>
      <c r="M1076" s="16">
        <v>783.509</v>
      </c>
      <c r="N1076" s="16">
        <v>128.11</v>
      </c>
      <c r="O1076" s="17">
        <v>4.9</v>
      </c>
      <c r="P1076" s="18">
        <f t="shared" si="1"/>
        <v>653.833</v>
      </c>
    </row>
    <row r="1077" ht="15.75" customHeight="1">
      <c r="A1077" s="19" t="s">
        <v>217</v>
      </c>
      <c r="B1077" s="19" t="s">
        <v>133</v>
      </c>
      <c r="C1077" s="20" t="s">
        <v>205</v>
      </c>
      <c r="D1077" s="14" t="str">
        <f>VLOOKUP(C1077,'State Key'!$A$2:$B$210,2,False)</f>
        <v>Maharashtra</v>
      </c>
      <c r="E1077" s="21">
        <v>540.0</v>
      </c>
      <c r="F1077" s="22">
        <v>188.23091</v>
      </c>
      <c r="G1077" s="22">
        <v>0.0</v>
      </c>
      <c r="H1077" s="22">
        <v>0.0</v>
      </c>
      <c r="I1077" s="22">
        <v>0.0</v>
      </c>
      <c r="J1077" s="22">
        <v>0.0</v>
      </c>
      <c r="K1077" s="22">
        <v>0.88</v>
      </c>
      <c r="L1077" s="22">
        <v>189.11091</v>
      </c>
      <c r="M1077" s="22">
        <v>189.109</v>
      </c>
      <c r="N1077" s="22">
        <v>138.12</v>
      </c>
      <c r="O1077" s="24">
        <v>21.9</v>
      </c>
      <c r="P1077" s="18">
        <f t="shared" si="1"/>
        <v>189.11091</v>
      </c>
    </row>
    <row r="1078" ht="15.75" customHeight="1">
      <c r="A1078" s="13" t="s">
        <v>218</v>
      </c>
      <c r="B1078" s="13" t="s">
        <v>22</v>
      </c>
      <c r="C1078" s="14" t="s">
        <v>23</v>
      </c>
      <c r="D1078" s="14" t="str">
        <f>VLOOKUP(C1078,'State Key'!$A$2:$B$210,2,False)</f>
        <v>West Bengal</v>
      </c>
      <c r="E1078" s="15">
        <v>1050.0</v>
      </c>
      <c r="F1078" s="16">
        <v>136.978</v>
      </c>
      <c r="G1078" s="16">
        <v>0.0</v>
      </c>
      <c r="H1078" s="16">
        <v>343.172</v>
      </c>
      <c r="I1078" s="16">
        <v>0.0</v>
      </c>
      <c r="J1078" s="16">
        <v>0.0</v>
      </c>
      <c r="K1078" s="16">
        <v>0.0</v>
      </c>
      <c r="L1078" s="16">
        <v>480.15</v>
      </c>
      <c r="M1078" s="16">
        <v>445.322</v>
      </c>
      <c r="N1078" s="16">
        <v>90.38</v>
      </c>
      <c r="O1078" s="17">
        <v>6.1</v>
      </c>
      <c r="P1078" s="18">
        <f t="shared" si="1"/>
        <v>480.15</v>
      </c>
    </row>
    <row r="1079" ht="15.75" customHeight="1">
      <c r="A1079" s="19" t="s">
        <v>218</v>
      </c>
      <c r="B1079" s="19" t="s">
        <v>22</v>
      </c>
      <c r="C1079" s="20" t="s">
        <v>24</v>
      </c>
      <c r="D1079" s="14" t="str">
        <f>VLOOKUP(C1079,'State Key'!$A$2:$B$210,2,False)</f>
        <v>West Bengal</v>
      </c>
      <c r="E1079" s="21">
        <v>270.0</v>
      </c>
      <c r="F1079" s="22">
        <v>7.624</v>
      </c>
      <c r="G1079" s="22">
        <v>0.0</v>
      </c>
      <c r="H1079" s="22">
        <v>110.332</v>
      </c>
      <c r="I1079" s="22">
        <v>0.0</v>
      </c>
      <c r="J1079" s="22">
        <v>0.0</v>
      </c>
      <c r="K1079" s="22">
        <v>0.0</v>
      </c>
      <c r="L1079" s="22">
        <v>117.956</v>
      </c>
      <c r="M1079" s="22">
        <v>120.311</v>
      </c>
      <c r="N1079" s="22">
        <v>10.8</v>
      </c>
      <c r="O1079" s="17">
        <v>2.7</v>
      </c>
      <c r="P1079" s="18">
        <f t="shared" si="1"/>
        <v>117.956</v>
      </c>
    </row>
    <row r="1080" ht="15.75" customHeight="1">
      <c r="A1080" s="13" t="s">
        <v>218</v>
      </c>
      <c r="B1080" s="13" t="s">
        <v>22</v>
      </c>
      <c r="C1080" s="14" t="s">
        <v>25</v>
      </c>
      <c r="D1080" s="14" t="str">
        <f>VLOOKUP(C1080,'State Key'!$A$2:$B$210,2,False)</f>
        <v>Bihar</v>
      </c>
      <c r="E1080" s="15">
        <v>710.0</v>
      </c>
      <c r="F1080" s="16">
        <v>7.86</v>
      </c>
      <c r="G1080" s="16">
        <v>0.0</v>
      </c>
      <c r="H1080" s="16">
        <v>142.94</v>
      </c>
      <c r="I1080" s="16">
        <v>0.0</v>
      </c>
      <c r="J1080" s="16">
        <v>0.0</v>
      </c>
      <c r="K1080" s="16">
        <v>0.0</v>
      </c>
      <c r="L1080" s="16">
        <v>150.8</v>
      </c>
      <c r="M1080" s="16">
        <v>203.875</v>
      </c>
      <c r="N1080" s="16">
        <v>19.22</v>
      </c>
      <c r="O1080" s="17">
        <v>2.8</v>
      </c>
      <c r="P1080" s="18">
        <f t="shared" si="1"/>
        <v>150.8</v>
      </c>
    </row>
    <row r="1081" ht="15.75" customHeight="1">
      <c r="A1081" s="19" t="s">
        <v>218</v>
      </c>
      <c r="B1081" s="19" t="s">
        <v>22</v>
      </c>
      <c r="C1081" s="20" t="s">
        <v>26</v>
      </c>
      <c r="D1081" s="14" t="str">
        <f>VLOOKUP(C1081,'State Key'!$A$2:$B$210,2,False)</f>
        <v>Bihar</v>
      </c>
      <c r="E1081" s="21">
        <v>2640.0</v>
      </c>
      <c r="F1081" s="22">
        <v>363.46</v>
      </c>
      <c r="G1081" s="22">
        <v>0.0</v>
      </c>
      <c r="H1081" s="22">
        <v>349.31</v>
      </c>
      <c r="I1081" s="22">
        <v>52.326</v>
      </c>
      <c r="J1081" s="22">
        <v>0.0</v>
      </c>
      <c r="K1081" s="22">
        <v>0.0</v>
      </c>
      <c r="L1081" s="22">
        <v>765.096</v>
      </c>
      <c r="M1081" s="22">
        <v>810.895</v>
      </c>
      <c r="N1081" s="22">
        <v>109.19</v>
      </c>
      <c r="O1081" s="17">
        <v>4.0</v>
      </c>
      <c r="P1081" s="18">
        <f t="shared" si="1"/>
        <v>765.096</v>
      </c>
    </row>
    <row r="1082" ht="15.75" customHeight="1">
      <c r="A1082" s="13" t="s">
        <v>218</v>
      </c>
      <c r="B1082" s="13" t="s">
        <v>22</v>
      </c>
      <c r="C1082" s="14" t="s">
        <v>27</v>
      </c>
      <c r="D1082" s="14" t="str">
        <f>VLOOKUP(C1082,'State Key'!$A$2:$B$210,2,False)</f>
        <v>Jharkhand</v>
      </c>
      <c r="E1082" s="15">
        <v>500.0</v>
      </c>
      <c r="F1082" s="16">
        <v>125.141</v>
      </c>
      <c r="G1082" s="16">
        <v>0.0</v>
      </c>
      <c r="H1082" s="16">
        <v>0.0</v>
      </c>
      <c r="I1082" s="16">
        <v>0.0</v>
      </c>
      <c r="J1082" s="16">
        <v>0.0</v>
      </c>
      <c r="K1082" s="16">
        <v>0.0</v>
      </c>
      <c r="L1082" s="16">
        <v>125.141</v>
      </c>
      <c r="M1082" s="16">
        <v>185.088</v>
      </c>
      <c r="N1082" s="16">
        <v>40.99</v>
      </c>
      <c r="O1082" s="17">
        <v>6.6</v>
      </c>
      <c r="P1082" s="18">
        <f t="shared" si="1"/>
        <v>125.141</v>
      </c>
    </row>
    <row r="1083" ht="15.75" customHeight="1">
      <c r="A1083" s="19" t="s">
        <v>218</v>
      </c>
      <c r="B1083" s="19" t="s">
        <v>22</v>
      </c>
      <c r="C1083" s="20" t="s">
        <v>28</v>
      </c>
      <c r="D1083" s="14" t="str">
        <f>VLOOKUP(C1083,'State Key'!$A$2:$B$210,2,False)</f>
        <v>West Bengal</v>
      </c>
      <c r="E1083" s="21">
        <v>750.0</v>
      </c>
      <c r="F1083" s="22">
        <v>102.757</v>
      </c>
      <c r="G1083" s="22">
        <v>0.0</v>
      </c>
      <c r="H1083" s="22">
        <v>99.433</v>
      </c>
      <c r="I1083" s="22">
        <v>0.0</v>
      </c>
      <c r="J1083" s="22">
        <v>0.0</v>
      </c>
      <c r="K1083" s="22">
        <v>114.489</v>
      </c>
      <c r="L1083" s="22">
        <v>316.679</v>
      </c>
      <c r="M1083" s="22">
        <v>329.916</v>
      </c>
      <c r="N1083" s="22">
        <v>58.58</v>
      </c>
      <c r="O1083" s="17">
        <v>5.3</v>
      </c>
      <c r="P1083" s="18">
        <f t="shared" si="1"/>
        <v>316.679</v>
      </c>
    </row>
    <row r="1084" ht="15.75" customHeight="1">
      <c r="A1084" s="13" t="s">
        <v>218</v>
      </c>
      <c r="B1084" s="13" t="s">
        <v>22</v>
      </c>
      <c r="C1084" s="14" t="s">
        <v>29</v>
      </c>
      <c r="D1084" s="14" t="str">
        <f>VLOOKUP(C1084,'State Key'!$A$2:$B$210,2,False)</f>
        <v>Jharkhand</v>
      </c>
      <c r="E1084" s="15">
        <v>500.0</v>
      </c>
      <c r="F1084" s="16">
        <v>144.629</v>
      </c>
      <c r="G1084" s="16">
        <v>0.0</v>
      </c>
      <c r="H1084" s="16">
        <v>59.159</v>
      </c>
      <c r="I1084" s="16">
        <v>11.323</v>
      </c>
      <c r="J1084" s="16">
        <v>0.0</v>
      </c>
      <c r="K1084" s="16">
        <v>0.0</v>
      </c>
      <c r="L1084" s="16">
        <v>215.111</v>
      </c>
      <c r="M1084" s="16">
        <v>231.198</v>
      </c>
      <c r="N1084" s="16">
        <v>20.007</v>
      </c>
      <c r="O1084" s="17">
        <v>2.6</v>
      </c>
      <c r="P1084" s="18">
        <f t="shared" si="1"/>
        <v>215.111</v>
      </c>
    </row>
    <row r="1085" ht="15.75" customHeight="1">
      <c r="A1085" s="19" t="s">
        <v>218</v>
      </c>
      <c r="B1085" s="19" t="s">
        <v>22</v>
      </c>
      <c r="C1085" s="20" t="s">
        <v>30</v>
      </c>
      <c r="D1085" s="14" t="str">
        <f>VLOOKUP(C1085,'State Key'!$A$2:$B$210,2,False)</f>
        <v>West Bengal</v>
      </c>
      <c r="E1085" s="21">
        <v>550.0</v>
      </c>
      <c r="F1085" s="22">
        <v>95.26</v>
      </c>
      <c r="G1085" s="22">
        <v>0.0</v>
      </c>
      <c r="H1085" s="22">
        <v>0.0</v>
      </c>
      <c r="I1085" s="22">
        <v>0.0</v>
      </c>
      <c r="J1085" s="22">
        <v>0.0</v>
      </c>
      <c r="K1085" s="22">
        <v>0.0</v>
      </c>
      <c r="L1085" s="22">
        <v>95.26</v>
      </c>
      <c r="M1085" s="22">
        <v>105.44</v>
      </c>
      <c r="N1085" s="22">
        <v>2.91</v>
      </c>
      <c r="O1085" s="17">
        <v>0.8</v>
      </c>
      <c r="P1085" s="18">
        <f t="shared" si="1"/>
        <v>95.26</v>
      </c>
    </row>
    <row r="1086" ht="15.75" customHeight="1">
      <c r="A1086" s="13" t="s">
        <v>218</v>
      </c>
      <c r="B1086" s="13" t="s">
        <v>22</v>
      </c>
      <c r="C1086" s="14" t="s">
        <v>31</v>
      </c>
      <c r="D1086" s="14" t="str">
        <f>VLOOKUP(C1086,'State Key'!$A$2:$B$210,2,False)</f>
        <v>Odisha</v>
      </c>
      <c r="E1086" s="15">
        <v>1600.0</v>
      </c>
      <c r="F1086" s="16">
        <v>0.0</v>
      </c>
      <c r="G1086" s="16">
        <v>0.0</v>
      </c>
      <c r="H1086" s="16">
        <v>737.25</v>
      </c>
      <c r="I1086" s="16">
        <v>0.0</v>
      </c>
      <c r="J1086" s="16">
        <v>0.0</v>
      </c>
      <c r="K1086" s="16">
        <v>0.0</v>
      </c>
      <c r="L1086" s="16">
        <v>737.25</v>
      </c>
      <c r="M1086" s="16">
        <v>889.025</v>
      </c>
      <c r="N1086" s="16">
        <v>407.932</v>
      </c>
      <c r="O1086" s="23">
        <v>13.8</v>
      </c>
      <c r="P1086" s="18">
        <f t="shared" si="1"/>
        <v>737.25</v>
      </c>
    </row>
    <row r="1087" ht="15.75" customHeight="1">
      <c r="A1087" s="19" t="s">
        <v>218</v>
      </c>
      <c r="B1087" s="19" t="s">
        <v>22</v>
      </c>
      <c r="C1087" s="20" t="s">
        <v>32</v>
      </c>
      <c r="D1087" s="14" t="str">
        <f>VLOOKUP(C1087,'State Key'!$A$2:$B$210,2,False)</f>
        <v>Odisha</v>
      </c>
      <c r="E1087" s="21">
        <v>1200.0</v>
      </c>
      <c r="F1087" s="22">
        <v>330.8647</v>
      </c>
      <c r="G1087" s="22">
        <v>0.0</v>
      </c>
      <c r="H1087" s="22">
        <v>0.0</v>
      </c>
      <c r="I1087" s="22">
        <v>0.0</v>
      </c>
      <c r="J1087" s="22">
        <v>0.0</v>
      </c>
      <c r="K1087" s="22">
        <v>208.1353</v>
      </c>
      <c r="L1087" s="22">
        <v>539.0</v>
      </c>
      <c r="M1087" s="22">
        <v>575.0</v>
      </c>
      <c r="N1087" s="22">
        <v>613.96</v>
      </c>
      <c r="O1087" s="24">
        <v>32.0</v>
      </c>
      <c r="P1087" s="18">
        <f t="shared" si="1"/>
        <v>539</v>
      </c>
    </row>
    <row r="1088" ht="15.75" customHeight="1">
      <c r="A1088" s="13" t="s">
        <v>218</v>
      </c>
      <c r="B1088" s="13" t="s">
        <v>22</v>
      </c>
      <c r="C1088" s="14" t="s">
        <v>33</v>
      </c>
      <c r="D1088" s="14" t="str">
        <f>VLOOKUP(C1088,'State Key'!$A$2:$B$210,2,False)</f>
        <v>West Bengal</v>
      </c>
      <c r="E1088" s="15">
        <v>12.0</v>
      </c>
      <c r="F1088" s="16">
        <v>3.876</v>
      </c>
      <c r="G1088" s="16">
        <v>0.0</v>
      </c>
      <c r="H1088" s="16">
        <v>0.0</v>
      </c>
      <c r="I1088" s="16">
        <v>0.0</v>
      </c>
      <c r="J1088" s="16">
        <v>0.0</v>
      </c>
      <c r="K1088" s="16">
        <v>0.0</v>
      </c>
      <c r="L1088" s="16">
        <v>3.876</v>
      </c>
      <c r="M1088" s="16">
        <v>3.906</v>
      </c>
      <c r="N1088" s="16">
        <v>0.01</v>
      </c>
      <c r="O1088" s="17">
        <v>0.1</v>
      </c>
      <c r="P1088" s="18">
        <f t="shared" si="1"/>
        <v>3.876</v>
      </c>
    </row>
    <row r="1089" ht="15.75" customHeight="1">
      <c r="A1089" s="19" t="s">
        <v>218</v>
      </c>
      <c r="B1089" s="19" t="s">
        <v>22</v>
      </c>
      <c r="C1089" s="20" t="s">
        <v>34</v>
      </c>
      <c r="D1089" s="14" t="str">
        <f>VLOOKUP(C1089,'State Key'!$A$2:$B$210,2,False)</f>
        <v>West Bengal</v>
      </c>
      <c r="E1089" s="21">
        <v>1000.0</v>
      </c>
      <c r="F1089" s="22">
        <v>358.368</v>
      </c>
      <c r="G1089" s="22">
        <v>0.0</v>
      </c>
      <c r="H1089" s="22">
        <v>3.524</v>
      </c>
      <c r="I1089" s="22">
        <v>44.261</v>
      </c>
      <c r="J1089" s="22">
        <v>0.0</v>
      </c>
      <c r="K1089" s="22">
        <v>0.0</v>
      </c>
      <c r="L1089" s="22">
        <v>406.153</v>
      </c>
      <c r="M1089" s="22">
        <v>353.109</v>
      </c>
      <c r="N1089" s="22">
        <v>84.301</v>
      </c>
      <c r="O1089" s="23">
        <v>7.2</v>
      </c>
      <c r="P1089" s="18">
        <f t="shared" si="1"/>
        <v>406.153</v>
      </c>
    </row>
    <row r="1090" ht="15.75" customHeight="1">
      <c r="A1090" s="13" t="s">
        <v>218</v>
      </c>
      <c r="B1090" s="13" t="s">
        <v>22</v>
      </c>
      <c r="C1090" s="14" t="s">
        <v>35</v>
      </c>
      <c r="D1090" s="14" t="str">
        <f>VLOOKUP(C1090,'State Key'!$A$2:$B$210,2,False)</f>
        <v>West Bengal</v>
      </c>
      <c r="E1090" s="15">
        <v>2100.0</v>
      </c>
      <c r="F1090" s="16">
        <v>664.18</v>
      </c>
      <c r="G1090" s="16">
        <v>0.0</v>
      </c>
      <c r="H1090" s="16">
        <v>47.82</v>
      </c>
      <c r="I1090" s="16">
        <v>38.44614</v>
      </c>
      <c r="J1090" s="16">
        <v>0.0</v>
      </c>
      <c r="K1090" s="16">
        <v>0.0</v>
      </c>
      <c r="L1090" s="16">
        <v>750.44614</v>
      </c>
      <c r="M1090" s="16">
        <v>808.313</v>
      </c>
      <c r="N1090" s="16">
        <v>36.433</v>
      </c>
      <c r="O1090" s="17">
        <v>1.4</v>
      </c>
      <c r="P1090" s="18">
        <f t="shared" si="1"/>
        <v>750.44614</v>
      </c>
    </row>
    <row r="1091" ht="15.75" customHeight="1">
      <c r="A1091" s="19" t="s">
        <v>218</v>
      </c>
      <c r="B1091" s="19" t="s">
        <v>22</v>
      </c>
      <c r="C1091" s="20" t="s">
        <v>36</v>
      </c>
      <c r="D1091" s="14" t="str">
        <f>VLOOKUP(C1091,'State Key'!$A$2:$B$210,2,False)</f>
        <v>West Bengal</v>
      </c>
      <c r="E1091" s="21">
        <v>600.0</v>
      </c>
      <c r="F1091" s="22">
        <v>293.552</v>
      </c>
      <c r="G1091" s="22">
        <v>0.0</v>
      </c>
      <c r="H1091" s="22">
        <v>0.0</v>
      </c>
      <c r="I1091" s="22">
        <v>0.0</v>
      </c>
      <c r="J1091" s="22">
        <v>0.0</v>
      </c>
      <c r="K1091" s="22">
        <v>7.473</v>
      </c>
      <c r="L1091" s="22">
        <v>301.025</v>
      </c>
      <c r="M1091" s="22">
        <v>266.603</v>
      </c>
      <c r="N1091" s="22">
        <v>164.75</v>
      </c>
      <c r="O1091" s="24">
        <v>18.5</v>
      </c>
      <c r="P1091" s="18">
        <f t="shared" si="1"/>
        <v>301.025</v>
      </c>
    </row>
    <row r="1092" ht="15.75" customHeight="1">
      <c r="A1092" s="13" t="s">
        <v>218</v>
      </c>
      <c r="B1092" s="13" t="s">
        <v>22</v>
      </c>
      <c r="C1092" s="14" t="s">
        <v>37</v>
      </c>
      <c r="D1092" s="14" t="str">
        <f>VLOOKUP(C1092,'State Key'!$A$2:$B$210,2,False)</f>
        <v>West Bengal</v>
      </c>
      <c r="E1092" s="15">
        <v>300.0</v>
      </c>
      <c r="F1092" s="16">
        <v>155.531</v>
      </c>
      <c r="G1092" s="16">
        <v>0.0</v>
      </c>
      <c r="H1092" s="16">
        <v>0.0</v>
      </c>
      <c r="I1092" s="16">
        <v>0.0</v>
      </c>
      <c r="J1092" s="16">
        <v>0.0</v>
      </c>
      <c r="K1092" s="16">
        <v>0.0</v>
      </c>
      <c r="L1092" s="16">
        <v>155.531</v>
      </c>
      <c r="M1092" s="16">
        <v>151.033</v>
      </c>
      <c r="N1092" s="16">
        <v>16.15</v>
      </c>
      <c r="O1092" s="17">
        <v>3.2</v>
      </c>
      <c r="P1092" s="18">
        <f t="shared" si="1"/>
        <v>155.531</v>
      </c>
    </row>
    <row r="1093" ht="15.75" customHeight="1">
      <c r="A1093" s="19" t="s">
        <v>218</v>
      </c>
      <c r="B1093" s="19" t="s">
        <v>22</v>
      </c>
      <c r="C1093" s="20" t="s">
        <v>38</v>
      </c>
      <c r="D1093" s="14" t="str">
        <f>VLOOKUP(C1093,'State Key'!$A$2:$B$210,2,False)</f>
        <v>Odisha</v>
      </c>
      <c r="E1093" s="21">
        <v>1740.0</v>
      </c>
      <c r="F1093" s="22">
        <v>139.431</v>
      </c>
      <c r="G1093" s="22">
        <v>0.0</v>
      </c>
      <c r="H1093" s="22">
        <v>415.569</v>
      </c>
      <c r="I1093" s="22">
        <v>0.0</v>
      </c>
      <c r="J1093" s="22">
        <v>0.0</v>
      </c>
      <c r="K1093" s="22">
        <v>0.0</v>
      </c>
      <c r="L1093" s="22">
        <v>555.0</v>
      </c>
      <c r="M1093" s="22">
        <v>579.0</v>
      </c>
      <c r="N1093" s="22">
        <v>244.95</v>
      </c>
      <c r="O1093" s="23">
        <v>12.7</v>
      </c>
      <c r="P1093" s="18">
        <f t="shared" si="1"/>
        <v>555</v>
      </c>
    </row>
    <row r="1094" ht="15.75" customHeight="1">
      <c r="A1094" s="13" t="s">
        <v>218</v>
      </c>
      <c r="B1094" s="13" t="s">
        <v>22</v>
      </c>
      <c r="C1094" s="14" t="s">
        <v>39</v>
      </c>
      <c r="D1094" s="14" t="str">
        <f>VLOOKUP(C1094,'State Key'!$A$2:$B$210,2,False)</f>
        <v>Jharkhand</v>
      </c>
      <c r="E1094" s="15">
        <v>240.0</v>
      </c>
      <c r="F1094" s="16">
        <v>81.16955</v>
      </c>
      <c r="G1094" s="16">
        <v>0.0</v>
      </c>
      <c r="H1094" s="16">
        <v>0.0</v>
      </c>
      <c r="I1094" s="16">
        <v>0.0</v>
      </c>
      <c r="J1094" s="16">
        <v>5.85572</v>
      </c>
      <c r="K1094" s="16">
        <v>0.0</v>
      </c>
      <c r="L1094" s="16">
        <v>87.02527</v>
      </c>
      <c r="M1094" s="16">
        <v>99.28</v>
      </c>
      <c r="N1094" s="16">
        <v>46.11</v>
      </c>
      <c r="O1094" s="23">
        <v>13.9</v>
      </c>
      <c r="P1094" s="18">
        <f t="shared" si="1"/>
        <v>87.02527</v>
      </c>
    </row>
    <row r="1095" ht="15.75" customHeight="1">
      <c r="A1095" s="19" t="s">
        <v>218</v>
      </c>
      <c r="B1095" s="19" t="s">
        <v>22</v>
      </c>
      <c r="C1095" s="20" t="s">
        <v>40</v>
      </c>
      <c r="D1095" s="14" t="str">
        <f>VLOOKUP(C1095,'State Key'!$A$2:$B$210,2,False)</f>
        <v>Bihar</v>
      </c>
      <c r="E1095" s="21">
        <v>2340.0</v>
      </c>
      <c r="F1095" s="22">
        <v>935.76</v>
      </c>
      <c r="G1095" s="22">
        <v>0.0</v>
      </c>
      <c r="H1095" s="22">
        <v>38.01</v>
      </c>
      <c r="I1095" s="22">
        <v>24.09</v>
      </c>
      <c r="J1095" s="22">
        <v>0.0</v>
      </c>
      <c r="K1095" s="22">
        <v>0.0</v>
      </c>
      <c r="L1095" s="22">
        <v>997.86</v>
      </c>
      <c r="M1095" s="22">
        <v>997.969</v>
      </c>
      <c r="N1095" s="22">
        <v>92.26</v>
      </c>
      <c r="O1095" s="17">
        <v>2.8</v>
      </c>
      <c r="P1095" s="18">
        <f t="shared" si="1"/>
        <v>997.86</v>
      </c>
    </row>
    <row r="1096" ht="15.75" customHeight="1">
      <c r="A1096" s="13" t="s">
        <v>218</v>
      </c>
      <c r="B1096" s="13" t="s">
        <v>22</v>
      </c>
      <c r="C1096" s="14" t="s">
        <v>41</v>
      </c>
      <c r="D1096" s="14" t="str">
        <f>VLOOKUP(C1096,'State Key'!$A$2:$B$210,2,False)</f>
        <v>Odisha</v>
      </c>
      <c r="E1096" s="15">
        <v>1050.0</v>
      </c>
      <c r="F1096" s="16">
        <v>354.402</v>
      </c>
      <c r="G1096" s="16">
        <v>0.0</v>
      </c>
      <c r="H1096" s="16">
        <v>0.0</v>
      </c>
      <c r="I1096" s="16">
        <v>3.654</v>
      </c>
      <c r="J1096" s="16">
        <v>0.0</v>
      </c>
      <c r="K1096" s="16">
        <v>75.121</v>
      </c>
      <c r="L1096" s="16">
        <v>433.177</v>
      </c>
      <c r="M1096" s="16">
        <v>472.6</v>
      </c>
      <c r="N1096" s="16">
        <v>89.098</v>
      </c>
      <c r="O1096" s="17">
        <v>5.7</v>
      </c>
      <c r="P1096" s="18">
        <f t="shared" si="1"/>
        <v>433.177</v>
      </c>
    </row>
    <row r="1097" ht="15.75" customHeight="1">
      <c r="A1097" s="19" t="s">
        <v>218</v>
      </c>
      <c r="B1097" s="19" t="s">
        <v>22</v>
      </c>
      <c r="C1097" s="20" t="s">
        <v>42</v>
      </c>
      <c r="D1097" s="14" t="str">
        <f>VLOOKUP(C1097,'State Key'!$A$2:$B$210,2,False)</f>
        <v>Jharkhand</v>
      </c>
      <c r="E1097" s="21">
        <v>1000.0</v>
      </c>
      <c r="F1097" s="22">
        <v>326.127</v>
      </c>
      <c r="G1097" s="22">
        <v>0.0</v>
      </c>
      <c r="H1097" s="22">
        <v>7.133</v>
      </c>
      <c r="I1097" s="22">
        <v>19.098</v>
      </c>
      <c r="J1097" s="22">
        <v>0.0</v>
      </c>
      <c r="K1097" s="22">
        <v>0.0</v>
      </c>
      <c r="L1097" s="22">
        <v>352.358</v>
      </c>
      <c r="M1097" s="22">
        <v>383.916</v>
      </c>
      <c r="N1097" s="22">
        <v>59.583</v>
      </c>
      <c r="O1097" s="17">
        <v>4.7</v>
      </c>
      <c r="P1097" s="18">
        <f t="shared" si="1"/>
        <v>352.358</v>
      </c>
    </row>
    <row r="1098" ht="15.75" customHeight="1">
      <c r="A1098" s="13" t="s">
        <v>218</v>
      </c>
      <c r="B1098" s="13" t="s">
        <v>22</v>
      </c>
      <c r="C1098" s="14" t="s">
        <v>43</v>
      </c>
      <c r="D1098" s="14" t="str">
        <f>VLOOKUP(C1098,'State Key'!$A$2:$B$210,2,False)</f>
        <v>West Bengal</v>
      </c>
      <c r="E1098" s="15">
        <v>840.0</v>
      </c>
      <c r="F1098" s="16">
        <v>213.47</v>
      </c>
      <c r="G1098" s="16">
        <v>0.0</v>
      </c>
      <c r="H1098" s="16">
        <v>211.98</v>
      </c>
      <c r="I1098" s="16">
        <v>0.0</v>
      </c>
      <c r="J1098" s="16">
        <v>0.0</v>
      </c>
      <c r="K1098" s="16">
        <v>0.0</v>
      </c>
      <c r="L1098" s="16">
        <v>425.45</v>
      </c>
      <c r="M1098" s="16">
        <v>400.301</v>
      </c>
      <c r="N1098" s="16">
        <v>41.22</v>
      </c>
      <c r="O1098" s="17">
        <v>3.1</v>
      </c>
      <c r="P1098" s="18">
        <f t="shared" si="1"/>
        <v>425.45</v>
      </c>
    </row>
    <row r="1099" ht="15.75" customHeight="1">
      <c r="A1099" s="19" t="s">
        <v>218</v>
      </c>
      <c r="B1099" s="19" t="s">
        <v>22</v>
      </c>
      <c r="C1099" s="20" t="s">
        <v>44</v>
      </c>
      <c r="D1099" s="14" t="str">
        <f>VLOOKUP(C1099,'State Key'!$A$2:$B$210,2,False)</f>
        <v>Jharkhand</v>
      </c>
      <c r="E1099" s="21">
        <v>540.0</v>
      </c>
      <c r="F1099" s="22">
        <v>148.118</v>
      </c>
      <c r="G1099" s="22">
        <v>0.0</v>
      </c>
      <c r="H1099" s="22">
        <v>0.0</v>
      </c>
      <c r="I1099" s="22">
        <v>0.0</v>
      </c>
      <c r="J1099" s="22">
        <v>133.281</v>
      </c>
      <c r="K1099" s="22">
        <v>0.0</v>
      </c>
      <c r="L1099" s="22">
        <v>281.399</v>
      </c>
      <c r="M1099" s="22">
        <v>287.624</v>
      </c>
      <c r="N1099" s="22">
        <v>28.9</v>
      </c>
      <c r="O1099" s="17">
        <v>3.0</v>
      </c>
      <c r="P1099" s="18">
        <f t="shared" si="1"/>
        <v>281.399</v>
      </c>
    </row>
    <row r="1100" ht="15.75" customHeight="1">
      <c r="A1100" s="13" t="s">
        <v>218</v>
      </c>
      <c r="B1100" s="13" t="s">
        <v>22</v>
      </c>
      <c r="C1100" s="14" t="s">
        <v>45</v>
      </c>
      <c r="D1100" s="14" t="str">
        <f>VLOOKUP(C1100,'State Key'!$A$2:$B$210,2,False)</f>
        <v>Jharkhand</v>
      </c>
      <c r="E1100" s="15">
        <v>1050.0</v>
      </c>
      <c r="F1100" s="16">
        <v>441.073</v>
      </c>
      <c r="G1100" s="16">
        <v>0.0</v>
      </c>
      <c r="H1100" s="16">
        <v>0.0</v>
      </c>
      <c r="I1100" s="16">
        <v>0.0</v>
      </c>
      <c r="J1100" s="16">
        <v>0.0</v>
      </c>
      <c r="K1100" s="16">
        <v>0.0</v>
      </c>
      <c r="L1100" s="16">
        <v>441.073</v>
      </c>
      <c r="M1100" s="16">
        <v>417.506</v>
      </c>
      <c r="N1100" s="16">
        <v>302.76</v>
      </c>
      <c r="O1100" s="24">
        <v>21.8</v>
      </c>
      <c r="P1100" s="18">
        <f t="shared" si="1"/>
        <v>441.073</v>
      </c>
    </row>
    <row r="1101" ht="15.75" customHeight="1">
      <c r="A1101" s="19" t="s">
        <v>218</v>
      </c>
      <c r="B1101" s="19" t="s">
        <v>22</v>
      </c>
      <c r="C1101" s="20" t="s">
        <v>46</v>
      </c>
      <c r="D1101" s="14" t="str">
        <f>VLOOKUP(C1101,'State Key'!$A$2:$B$210,2,False)</f>
        <v>West Bengal</v>
      </c>
      <c r="E1101" s="21">
        <v>2340.0</v>
      </c>
      <c r="F1101" s="22">
        <v>720.346</v>
      </c>
      <c r="G1101" s="22">
        <v>0.0</v>
      </c>
      <c r="H1101" s="22">
        <v>29.291</v>
      </c>
      <c r="I1101" s="22">
        <v>37.144</v>
      </c>
      <c r="J1101" s="22">
        <v>0.0</v>
      </c>
      <c r="K1101" s="22">
        <v>0.0</v>
      </c>
      <c r="L1101" s="22">
        <v>786.781</v>
      </c>
      <c r="M1101" s="22">
        <v>818.375</v>
      </c>
      <c r="N1101" s="22">
        <v>133.67</v>
      </c>
      <c r="O1101" s="17">
        <v>4.9</v>
      </c>
      <c r="P1101" s="18">
        <f t="shared" si="1"/>
        <v>786.781</v>
      </c>
    </row>
    <row r="1102" ht="15.75" customHeight="1">
      <c r="A1102" s="13" t="s">
        <v>218</v>
      </c>
      <c r="B1102" s="13" t="s">
        <v>22</v>
      </c>
      <c r="C1102" s="14" t="s">
        <v>47</v>
      </c>
      <c r="D1102" s="14" t="str">
        <f>VLOOKUP(C1102,'State Key'!$A$2:$B$210,2,False)</f>
        <v>Bihar</v>
      </c>
      <c r="E1102" s="15">
        <v>390.0</v>
      </c>
      <c r="F1102" s="16">
        <v>55.374</v>
      </c>
      <c r="G1102" s="16">
        <v>0.0</v>
      </c>
      <c r="H1102" s="16">
        <v>129.791</v>
      </c>
      <c r="I1102" s="16">
        <v>0.0</v>
      </c>
      <c r="J1102" s="16">
        <v>0.0</v>
      </c>
      <c r="K1102" s="16">
        <v>0.0</v>
      </c>
      <c r="L1102" s="16">
        <v>185.165</v>
      </c>
      <c r="M1102" s="16">
        <v>171.439</v>
      </c>
      <c r="N1102" s="16">
        <v>55.5</v>
      </c>
      <c r="O1102" s="23">
        <v>9.7</v>
      </c>
      <c r="P1102" s="18">
        <f t="shared" si="1"/>
        <v>185.165</v>
      </c>
    </row>
    <row r="1103" ht="15.75" customHeight="1">
      <c r="A1103" s="19" t="s">
        <v>218</v>
      </c>
      <c r="B1103" s="19" t="s">
        <v>22</v>
      </c>
      <c r="C1103" s="20" t="s">
        <v>48</v>
      </c>
      <c r="D1103" s="14" t="str">
        <f>VLOOKUP(C1103,'State Key'!$A$2:$B$210,2,False)</f>
        <v>Bihar</v>
      </c>
      <c r="E1103" s="21">
        <v>1980.0</v>
      </c>
      <c r="F1103" s="22">
        <v>563.45116</v>
      </c>
      <c r="G1103" s="22">
        <v>0.0</v>
      </c>
      <c r="H1103" s="22">
        <v>177.49</v>
      </c>
      <c r="I1103" s="22">
        <v>35.389</v>
      </c>
      <c r="J1103" s="22">
        <v>0.0</v>
      </c>
      <c r="K1103" s="22">
        <v>0.0</v>
      </c>
      <c r="L1103" s="22">
        <v>776.33016</v>
      </c>
      <c r="M1103" s="22">
        <v>735.145</v>
      </c>
      <c r="N1103" s="22">
        <v>95.34</v>
      </c>
      <c r="O1103" s="17">
        <v>3.9</v>
      </c>
      <c r="P1103" s="18">
        <f t="shared" si="1"/>
        <v>776.33016</v>
      </c>
    </row>
    <row r="1104" ht="15.75" customHeight="1">
      <c r="A1104" s="13" t="s">
        <v>218</v>
      </c>
      <c r="B1104" s="13" t="s">
        <v>22</v>
      </c>
      <c r="C1104" s="14" t="s">
        <v>49</v>
      </c>
      <c r="D1104" s="14" t="str">
        <f>VLOOKUP(C1104,'State Key'!$A$2:$B$210,2,False)</f>
        <v>Bihar</v>
      </c>
      <c r="E1104" s="15">
        <v>1000.0</v>
      </c>
      <c r="F1104" s="16">
        <v>472.2499</v>
      </c>
      <c r="G1104" s="16">
        <v>0.0</v>
      </c>
      <c r="H1104" s="16">
        <v>0.0</v>
      </c>
      <c r="I1104" s="16">
        <v>11.6352</v>
      </c>
      <c r="J1104" s="16">
        <v>0.0</v>
      </c>
      <c r="K1104" s="16">
        <v>0.0</v>
      </c>
      <c r="L1104" s="16">
        <v>483.8851</v>
      </c>
      <c r="M1104" s="16">
        <v>480.4119</v>
      </c>
      <c r="N1104" s="16">
        <v>19.24</v>
      </c>
      <c r="O1104" s="17">
        <v>1.2</v>
      </c>
      <c r="P1104" s="18">
        <f t="shared" si="1"/>
        <v>483.8851</v>
      </c>
    </row>
    <row r="1105" ht="15.75" customHeight="1">
      <c r="A1105" s="19" t="s">
        <v>218</v>
      </c>
      <c r="B1105" s="19" t="s">
        <v>22</v>
      </c>
      <c r="C1105" s="20" t="s">
        <v>50</v>
      </c>
      <c r="D1105" s="14" t="str">
        <f>VLOOKUP(C1105,'State Key'!$A$2:$B$210,2,False)</f>
        <v>Jharkhand</v>
      </c>
      <c r="E1105" s="21">
        <v>660.0</v>
      </c>
      <c r="F1105" s="22">
        <v>191.84</v>
      </c>
      <c r="G1105" s="22">
        <v>0.0</v>
      </c>
      <c r="H1105" s="22">
        <v>119.58</v>
      </c>
      <c r="I1105" s="22">
        <v>0.0</v>
      </c>
      <c r="J1105" s="22">
        <v>0.0</v>
      </c>
      <c r="K1105" s="22">
        <v>0.0</v>
      </c>
      <c r="L1105" s="22">
        <v>311.42</v>
      </c>
      <c r="M1105" s="22">
        <v>306.71</v>
      </c>
      <c r="N1105" s="22">
        <v>210.12</v>
      </c>
      <c r="O1105" s="24">
        <v>20.6</v>
      </c>
      <c r="P1105" s="18">
        <f t="shared" si="1"/>
        <v>311.42</v>
      </c>
    </row>
    <row r="1106" ht="15.75" customHeight="1">
      <c r="A1106" s="13" t="s">
        <v>218</v>
      </c>
      <c r="B1106" s="13" t="s">
        <v>22</v>
      </c>
      <c r="C1106" s="14" t="s">
        <v>51</v>
      </c>
      <c r="D1106" s="14" t="str">
        <f>VLOOKUP(C1106,'State Key'!$A$2:$B$210,2,False)</f>
        <v>West Bengal</v>
      </c>
      <c r="E1106" s="15">
        <v>1200.0</v>
      </c>
      <c r="F1106" s="16">
        <v>202.195</v>
      </c>
      <c r="G1106" s="16">
        <v>0.0</v>
      </c>
      <c r="H1106" s="16">
        <v>0.0</v>
      </c>
      <c r="I1106" s="16">
        <v>24.48</v>
      </c>
      <c r="J1106" s="16">
        <v>0.0</v>
      </c>
      <c r="K1106" s="16">
        <v>0.0</v>
      </c>
      <c r="L1106" s="16">
        <v>226.675</v>
      </c>
      <c r="M1106" s="16">
        <v>334.182</v>
      </c>
      <c r="N1106" s="16">
        <v>120.028</v>
      </c>
      <c r="O1106" s="23">
        <v>10.8</v>
      </c>
      <c r="P1106" s="18">
        <f t="shared" si="1"/>
        <v>226.675</v>
      </c>
    </row>
    <row r="1107" ht="15.75" customHeight="1">
      <c r="A1107" s="19" t="s">
        <v>218</v>
      </c>
      <c r="B1107" s="19" t="s">
        <v>22</v>
      </c>
      <c r="C1107" s="20" t="s">
        <v>52</v>
      </c>
      <c r="D1107" s="14" t="str">
        <f>VLOOKUP(C1107,'State Key'!$A$2:$B$210,2,False)</f>
        <v>West Bengal</v>
      </c>
      <c r="E1107" s="21">
        <v>1600.0</v>
      </c>
      <c r="F1107" s="22">
        <v>197.645</v>
      </c>
      <c r="G1107" s="22">
        <v>0.0</v>
      </c>
      <c r="H1107" s="22">
        <v>498.416</v>
      </c>
      <c r="I1107" s="22">
        <v>0.0</v>
      </c>
      <c r="J1107" s="22">
        <v>0.0</v>
      </c>
      <c r="K1107" s="22">
        <v>23.73</v>
      </c>
      <c r="L1107" s="22">
        <v>719.791</v>
      </c>
      <c r="M1107" s="22">
        <v>725.71</v>
      </c>
      <c r="N1107" s="22">
        <v>15.31</v>
      </c>
      <c r="O1107" s="17">
        <v>0.6</v>
      </c>
      <c r="P1107" s="18">
        <f t="shared" si="1"/>
        <v>719.791</v>
      </c>
    </row>
    <row r="1108" ht="15.75" customHeight="1">
      <c r="A1108" s="13" t="s">
        <v>218</v>
      </c>
      <c r="B1108" s="13" t="s">
        <v>22</v>
      </c>
      <c r="C1108" s="14" t="s">
        <v>53</v>
      </c>
      <c r="D1108" s="14" t="str">
        <f>VLOOKUP(C1108,'State Key'!$A$2:$B$210,2,False)</f>
        <v>West Bengal</v>
      </c>
      <c r="E1108" s="15">
        <v>500.0</v>
      </c>
      <c r="F1108" s="16">
        <v>241.107</v>
      </c>
      <c r="G1108" s="16">
        <v>0.0</v>
      </c>
      <c r="H1108" s="16">
        <v>40.471</v>
      </c>
      <c r="I1108" s="16">
        <v>0.0</v>
      </c>
      <c r="J1108" s="16">
        <v>0.0</v>
      </c>
      <c r="K1108" s="16">
        <v>0.0</v>
      </c>
      <c r="L1108" s="16">
        <v>281.578</v>
      </c>
      <c r="M1108" s="16">
        <v>257.0</v>
      </c>
      <c r="N1108" s="16">
        <v>54.42</v>
      </c>
      <c r="O1108" s="17">
        <v>6.4</v>
      </c>
      <c r="P1108" s="18">
        <f t="shared" si="1"/>
        <v>281.578</v>
      </c>
    </row>
    <row r="1109" ht="15.75" customHeight="1">
      <c r="A1109" s="19" t="s">
        <v>218</v>
      </c>
      <c r="B1109" s="19" t="s">
        <v>22</v>
      </c>
      <c r="C1109" s="20" t="s">
        <v>54</v>
      </c>
      <c r="D1109" s="14" t="str">
        <f>VLOOKUP(C1109,'State Key'!$A$2:$B$210,2,False)</f>
        <v>West Bengal</v>
      </c>
      <c r="E1109" s="21">
        <v>135.0</v>
      </c>
      <c r="F1109" s="22">
        <v>38.027</v>
      </c>
      <c r="G1109" s="22">
        <v>0.0</v>
      </c>
      <c r="H1109" s="22">
        <v>0.0</v>
      </c>
      <c r="I1109" s="22">
        <v>0.0</v>
      </c>
      <c r="J1109" s="22">
        <v>0.0</v>
      </c>
      <c r="K1109" s="22">
        <v>27.521</v>
      </c>
      <c r="L1109" s="22">
        <v>65.548</v>
      </c>
      <c r="M1109" s="22">
        <v>47.76</v>
      </c>
      <c r="N1109" s="22">
        <v>24.29</v>
      </c>
      <c r="O1109" s="24">
        <v>15.3</v>
      </c>
      <c r="P1109" s="18">
        <f t="shared" si="1"/>
        <v>65.548</v>
      </c>
    </row>
    <row r="1110" ht="15.75" customHeight="1">
      <c r="A1110" s="13" t="s">
        <v>218</v>
      </c>
      <c r="B1110" s="13" t="s">
        <v>22</v>
      </c>
      <c r="C1110" s="14" t="s">
        <v>55</v>
      </c>
      <c r="D1110" s="14" t="str">
        <f>VLOOKUP(C1110,'State Key'!$A$2:$B$210,2,False)</f>
        <v>Odisha</v>
      </c>
      <c r="E1110" s="15">
        <v>3000.0</v>
      </c>
      <c r="F1110" s="16">
        <v>1346.24</v>
      </c>
      <c r="G1110" s="16">
        <v>0.0</v>
      </c>
      <c r="H1110" s="16">
        <v>0.0</v>
      </c>
      <c r="I1110" s="16">
        <v>7.75</v>
      </c>
      <c r="J1110" s="16">
        <v>0.0</v>
      </c>
      <c r="K1110" s="16">
        <v>0.0</v>
      </c>
      <c r="L1110" s="16">
        <v>1353.99</v>
      </c>
      <c r="M1110" s="16">
        <v>1554.232</v>
      </c>
      <c r="N1110" s="16">
        <v>347.815</v>
      </c>
      <c r="O1110" s="17">
        <v>6.7</v>
      </c>
      <c r="P1110" s="18">
        <f t="shared" si="1"/>
        <v>1353.99</v>
      </c>
    </row>
    <row r="1111" ht="15.75" customHeight="1">
      <c r="A1111" s="19" t="s">
        <v>218</v>
      </c>
      <c r="B1111" s="19" t="s">
        <v>22</v>
      </c>
      <c r="C1111" s="20" t="s">
        <v>56</v>
      </c>
      <c r="D1111" s="14" t="str">
        <f>VLOOKUP(C1111,'State Key'!$A$2:$B$210,2,False)</f>
        <v>Jharkhand</v>
      </c>
      <c r="E1111" s="21">
        <v>420.0</v>
      </c>
      <c r="F1111" s="22">
        <v>103.0</v>
      </c>
      <c r="G1111" s="22">
        <v>0.0</v>
      </c>
      <c r="H1111" s="22">
        <v>0.0</v>
      </c>
      <c r="I1111" s="22">
        <v>0.0</v>
      </c>
      <c r="J1111" s="22">
        <v>0.0</v>
      </c>
      <c r="K1111" s="22">
        <v>0.0</v>
      </c>
      <c r="L1111" s="22">
        <v>103.0</v>
      </c>
      <c r="M1111" s="22">
        <v>163.0</v>
      </c>
      <c r="N1111" s="22">
        <v>67.47</v>
      </c>
      <c r="O1111" s="23">
        <v>12.4</v>
      </c>
      <c r="P1111" s="18">
        <f t="shared" si="1"/>
        <v>103</v>
      </c>
    </row>
    <row r="1112" ht="15.75" customHeight="1">
      <c r="A1112" s="13" t="s">
        <v>218</v>
      </c>
      <c r="B1112" s="13" t="s">
        <v>22</v>
      </c>
      <c r="C1112" s="14" t="s">
        <v>57</v>
      </c>
      <c r="D1112" s="14" t="str">
        <f>VLOOKUP(C1112,'State Key'!$A$2:$B$210,2,False)</f>
        <v>West Bengal</v>
      </c>
      <c r="E1112" s="15">
        <v>240.0</v>
      </c>
      <c r="F1112" s="16">
        <v>0.0</v>
      </c>
      <c r="G1112" s="16">
        <v>0.0</v>
      </c>
      <c r="H1112" s="16">
        <v>0.0</v>
      </c>
      <c r="I1112" s="16">
        <v>0.0</v>
      </c>
      <c r="J1112" s="16">
        <v>0.0</v>
      </c>
      <c r="K1112" s="16">
        <v>0.0</v>
      </c>
      <c r="L1112" s="16">
        <v>0.0</v>
      </c>
      <c r="M1112" s="16">
        <v>0.0</v>
      </c>
      <c r="N1112" s="16">
        <v>0.0</v>
      </c>
      <c r="O1112" s="13" t="s">
        <v>58</v>
      </c>
      <c r="P1112" s="18">
        <f t="shared" si="1"/>
        <v>0</v>
      </c>
    </row>
    <row r="1113" ht="15.75" customHeight="1">
      <c r="A1113" s="19" t="s">
        <v>218</v>
      </c>
      <c r="B1113" s="19" t="s">
        <v>22</v>
      </c>
      <c r="C1113" s="20" t="s">
        <v>59</v>
      </c>
      <c r="D1113" s="14" t="str">
        <f>VLOOKUP(C1113,'State Key'!$A$2:$B$210,2,False)</f>
        <v>Odisha</v>
      </c>
      <c r="E1113" s="21">
        <v>350.0</v>
      </c>
      <c r="F1113" s="22">
        <v>0.0</v>
      </c>
      <c r="G1113" s="22">
        <v>0.0</v>
      </c>
      <c r="H1113" s="22">
        <v>0.0</v>
      </c>
      <c r="I1113" s="22">
        <v>0.0</v>
      </c>
      <c r="J1113" s="22">
        <v>0.0</v>
      </c>
      <c r="K1113" s="22">
        <v>0.0</v>
      </c>
      <c r="L1113" s="22">
        <v>0.0</v>
      </c>
      <c r="M1113" s="22">
        <v>0.0</v>
      </c>
      <c r="N1113" s="22">
        <v>0.0</v>
      </c>
      <c r="O1113" s="19" t="s">
        <v>58</v>
      </c>
      <c r="P1113" s="18">
        <f t="shared" si="1"/>
        <v>0</v>
      </c>
    </row>
    <row r="1114" ht="15.75" customHeight="1">
      <c r="A1114" s="13" t="s">
        <v>218</v>
      </c>
      <c r="B1114" s="13" t="s">
        <v>22</v>
      </c>
      <c r="C1114" s="14" t="s">
        <v>60</v>
      </c>
      <c r="D1114" s="14" t="str">
        <f>VLOOKUP(C1114,'State Key'!$A$2:$B$210,2,False)</f>
        <v>Odisha</v>
      </c>
      <c r="E1114" s="15">
        <v>600.0</v>
      </c>
      <c r="F1114" s="16">
        <v>191.85</v>
      </c>
      <c r="G1114" s="16">
        <v>0.0</v>
      </c>
      <c r="H1114" s="16">
        <v>0.0</v>
      </c>
      <c r="I1114" s="16">
        <v>0.0</v>
      </c>
      <c r="J1114" s="16">
        <v>0.0</v>
      </c>
      <c r="K1114" s="16">
        <v>0.0</v>
      </c>
      <c r="L1114" s="16">
        <v>191.85</v>
      </c>
      <c r="M1114" s="16">
        <v>195.96</v>
      </c>
      <c r="N1114" s="16">
        <v>161.23</v>
      </c>
      <c r="O1114" s="24">
        <v>24.7</v>
      </c>
      <c r="P1114" s="18">
        <f t="shared" si="1"/>
        <v>191.85</v>
      </c>
    </row>
    <row r="1115" ht="15.75" customHeight="1">
      <c r="A1115" s="19" t="s">
        <v>218</v>
      </c>
      <c r="B1115" s="19" t="s">
        <v>61</v>
      </c>
      <c r="C1115" s="20" t="s">
        <v>209</v>
      </c>
      <c r="D1115" s="14" t="str">
        <f>VLOOKUP(C1115,'State Key'!$A$2:$B$210,2,False)</f>
        <v>Rajasthan</v>
      </c>
      <c r="E1115" s="21">
        <v>1320.0</v>
      </c>
      <c r="F1115" s="22">
        <v>304.189</v>
      </c>
      <c r="G1115" s="22">
        <v>0.0</v>
      </c>
      <c r="H1115" s="22">
        <v>0.0</v>
      </c>
      <c r="I1115" s="22">
        <v>134.321</v>
      </c>
      <c r="J1115" s="22">
        <v>0.0</v>
      </c>
      <c r="K1115" s="22">
        <v>0.0</v>
      </c>
      <c r="L1115" s="22">
        <v>438.51</v>
      </c>
      <c r="M1115" s="22">
        <v>527.991</v>
      </c>
      <c r="N1115" s="22">
        <v>94.35</v>
      </c>
      <c r="O1115" s="17">
        <v>5.4</v>
      </c>
      <c r="P1115" s="18">
        <f t="shared" si="1"/>
        <v>438.51</v>
      </c>
    </row>
    <row r="1116" ht="15.75" customHeight="1">
      <c r="A1116" s="13" t="s">
        <v>218</v>
      </c>
      <c r="B1116" s="13" t="s">
        <v>61</v>
      </c>
      <c r="C1116" s="14" t="s">
        <v>62</v>
      </c>
      <c r="D1116" s="14" t="str">
        <f>VLOOKUP(C1116,'State Key'!$A$2:$B$210,2,False)</f>
        <v>Uttar Pradesh</v>
      </c>
      <c r="E1116" s="15">
        <v>1200.0</v>
      </c>
      <c r="F1116" s="16">
        <v>477.72</v>
      </c>
      <c r="G1116" s="16">
        <v>0.0</v>
      </c>
      <c r="H1116" s="16">
        <v>0.0</v>
      </c>
      <c r="I1116" s="16">
        <v>0.0</v>
      </c>
      <c r="J1116" s="16">
        <v>0.0</v>
      </c>
      <c r="K1116" s="16">
        <v>0.0</v>
      </c>
      <c r="L1116" s="16">
        <v>477.72</v>
      </c>
      <c r="M1116" s="16">
        <v>453.492</v>
      </c>
      <c r="N1116" s="16">
        <v>114.18</v>
      </c>
      <c r="O1116" s="23">
        <v>7.6</v>
      </c>
      <c r="P1116" s="18">
        <f t="shared" si="1"/>
        <v>477.72</v>
      </c>
    </row>
    <row r="1117" ht="15.75" customHeight="1">
      <c r="A1117" s="19" t="s">
        <v>218</v>
      </c>
      <c r="B1117" s="19" t="s">
        <v>61</v>
      </c>
      <c r="C1117" s="20" t="s">
        <v>63</v>
      </c>
      <c r="D1117" s="14" t="str">
        <f>VLOOKUP(C1117,'State Key'!$A$2:$B$210,2,False)</f>
        <v>Uttar Pradesh</v>
      </c>
      <c r="E1117" s="21">
        <v>2630.0</v>
      </c>
      <c r="F1117" s="22">
        <v>1102.799</v>
      </c>
      <c r="G1117" s="22">
        <v>0.0</v>
      </c>
      <c r="H1117" s="22">
        <v>0.0</v>
      </c>
      <c r="I1117" s="22">
        <v>0.0</v>
      </c>
      <c r="J1117" s="22">
        <v>0.0</v>
      </c>
      <c r="K1117" s="22">
        <v>0.0</v>
      </c>
      <c r="L1117" s="22">
        <v>1102.799</v>
      </c>
      <c r="M1117" s="22">
        <v>1070.133</v>
      </c>
      <c r="N1117" s="22">
        <v>290.91</v>
      </c>
      <c r="O1117" s="23">
        <v>8.2</v>
      </c>
      <c r="P1117" s="18">
        <f t="shared" si="1"/>
        <v>1102.799</v>
      </c>
    </row>
    <row r="1118" ht="15.75" customHeight="1">
      <c r="A1118" s="13" t="s">
        <v>218</v>
      </c>
      <c r="B1118" s="13" t="s">
        <v>61</v>
      </c>
      <c r="C1118" s="14" t="s">
        <v>64</v>
      </c>
      <c r="D1118" s="14" t="str">
        <f>VLOOKUP(C1118,'State Key'!$A$2:$B$210,2,False)</f>
        <v>Uttar Pradesh</v>
      </c>
      <c r="E1118" s="15">
        <v>90.0</v>
      </c>
      <c r="F1118" s="16">
        <v>33.9</v>
      </c>
      <c r="G1118" s="16">
        <v>0.0</v>
      </c>
      <c r="H1118" s="16">
        <v>0.0</v>
      </c>
      <c r="I1118" s="16">
        <v>0.0</v>
      </c>
      <c r="J1118" s="16">
        <v>0.0</v>
      </c>
      <c r="K1118" s="16">
        <v>0.0</v>
      </c>
      <c r="L1118" s="16">
        <v>33.9</v>
      </c>
      <c r="M1118" s="16">
        <v>36.57</v>
      </c>
      <c r="N1118" s="16">
        <v>15.82</v>
      </c>
      <c r="O1118" s="23">
        <v>13.0</v>
      </c>
      <c r="P1118" s="18">
        <f t="shared" si="1"/>
        <v>33.9</v>
      </c>
    </row>
    <row r="1119" ht="15.75" customHeight="1">
      <c r="A1119" s="19" t="s">
        <v>218</v>
      </c>
      <c r="B1119" s="19" t="s">
        <v>61</v>
      </c>
      <c r="C1119" s="20" t="s">
        <v>65</v>
      </c>
      <c r="D1119" s="14" t="str">
        <f>VLOOKUP(C1119,'State Key'!$A$2:$B$210,2,False)</f>
        <v>Rajasthan</v>
      </c>
      <c r="E1119" s="21">
        <v>500.0</v>
      </c>
      <c r="F1119" s="22">
        <v>298.02</v>
      </c>
      <c r="G1119" s="22">
        <v>0.0</v>
      </c>
      <c r="H1119" s="22">
        <v>0.0</v>
      </c>
      <c r="I1119" s="22">
        <v>0.0</v>
      </c>
      <c r="J1119" s="22">
        <v>0.0</v>
      </c>
      <c r="K1119" s="22">
        <v>0.0</v>
      </c>
      <c r="L1119" s="22">
        <v>298.02</v>
      </c>
      <c r="M1119" s="22">
        <v>219.64</v>
      </c>
      <c r="N1119" s="22">
        <v>156.17</v>
      </c>
      <c r="O1119" s="24">
        <v>21.3</v>
      </c>
      <c r="P1119" s="18">
        <f t="shared" si="1"/>
        <v>298.02</v>
      </c>
    </row>
    <row r="1120" ht="15.75" customHeight="1">
      <c r="A1120" s="13" t="s">
        <v>218</v>
      </c>
      <c r="B1120" s="13" t="s">
        <v>61</v>
      </c>
      <c r="C1120" s="14" t="s">
        <v>66</v>
      </c>
      <c r="D1120" s="14" t="str">
        <f>VLOOKUP(C1120,'State Key'!$A$2:$B$210,2,False)</f>
        <v>Rajasthan</v>
      </c>
      <c r="E1120" s="15">
        <v>500.0</v>
      </c>
      <c r="F1120" s="16">
        <v>60.41</v>
      </c>
      <c r="G1120" s="16">
        <v>0.0</v>
      </c>
      <c r="H1120" s="16">
        <v>0.07</v>
      </c>
      <c r="I1120" s="16">
        <v>0.0</v>
      </c>
      <c r="J1120" s="16">
        <v>0.0</v>
      </c>
      <c r="K1120" s="16">
        <v>0.0</v>
      </c>
      <c r="L1120" s="16">
        <v>60.48</v>
      </c>
      <c r="M1120" s="16">
        <v>158.82</v>
      </c>
      <c r="N1120" s="16">
        <v>0.0</v>
      </c>
      <c r="O1120" s="17">
        <v>0.0</v>
      </c>
      <c r="P1120" s="18">
        <f t="shared" si="1"/>
        <v>60.48</v>
      </c>
    </row>
    <row r="1121" ht="15.75" customHeight="1">
      <c r="A1121" s="19" t="s">
        <v>218</v>
      </c>
      <c r="B1121" s="19" t="s">
        <v>61</v>
      </c>
      <c r="C1121" s="20" t="s">
        <v>67</v>
      </c>
      <c r="D1121" s="14" t="str">
        <f>VLOOKUP(C1121,'State Key'!$A$2:$B$210,2,False)</f>
        <v>Rajasthan</v>
      </c>
      <c r="E1121" s="21">
        <v>1320.0</v>
      </c>
      <c r="F1121" s="22">
        <v>185.72136</v>
      </c>
      <c r="G1121" s="22">
        <v>124.35019</v>
      </c>
      <c r="H1121" s="22">
        <v>0.0</v>
      </c>
      <c r="I1121" s="22">
        <v>23.07519</v>
      </c>
      <c r="J1121" s="22">
        <v>0.0</v>
      </c>
      <c r="K1121" s="22">
        <v>0.0</v>
      </c>
      <c r="L1121" s="22">
        <v>333.14674</v>
      </c>
      <c r="M1121" s="22">
        <v>395.62</v>
      </c>
      <c r="N1121" s="22">
        <v>41.13</v>
      </c>
      <c r="O1121" s="17">
        <v>3.1</v>
      </c>
      <c r="P1121" s="18">
        <f t="shared" si="1"/>
        <v>333.14674</v>
      </c>
    </row>
    <row r="1122" ht="15.75" customHeight="1">
      <c r="A1122" s="13" t="s">
        <v>218</v>
      </c>
      <c r="B1122" s="13" t="s">
        <v>61</v>
      </c>
      <c r="C1122" s="14" t="s">
        <v>68</v>
      </c>
      <c r="D1122" s="14" t="str">
        <f>VLOOKUP(C1122,'State Key'!$A$2:$B$210,2,False)</f>
        <v>Uttar Pradesh</v>
      </c>
      <c r="E1122" s="15">
        <v>1820.0</v>
      </c>
      <c r="F1122" s="16">
        <v>551.29</v>
      </c>
      <c r="G1122" s="16">
        <v>0.0</v>
      </c>
      <c r="H1122" s="16">
        <v>78.69</v>
      </c>
      <c r="I1122" s="16">
        <v>38.254</v>
      </c>
      <c r="J1122" s="16">
        <v>0.0</v>
      </c>
      <c r="K1122" s="16">
        <v>0.0</v>
      </c>
      <c r="L1122" s="16">
        <v>668.234</v>
      </c>
      <c r="M1122" s="16">
        <v>687.8024</v>
      </c>
      <c r="N1122" s="16">
        <v>81.386</v>
      </c>
      <c r="O1122" s="17">
        <v>3.5</v>
      </c>
      <c r="P1122" s="18">
        <f t="shared" si="1"/>
        <v>668.234</v>
      </c>
    </row>
    <row r="1123" ht="15.75" customHeight="1">
      <c r="A1123" s="19" t="s">
        <v>218</v>
      </c>
      <c r="B1123" s="19" t="s">
        <v>61</v>
      </c>
      <c r="C1123" s="20" t="s">
        <v>69</v>
      </c>
      <c r="D1123" s="14" t="str">
        <f>VLOOKUP(C1123,'State Key'!$A$2:$B$210,2,False)</f>
        <v>Punjab</v>
      </c>
      <c r="E1123" s="21">
        <v>920.0</v>
      </c>
      <c r="F1123" s="22">
        <v>63.681</v>
      </c>
      <c r="G1123" s="22">
        <v>0.0</v>
      </c>
      <c r="H1123" s="22">
        <v>234.263</v>
      </c>
      <c r="I1123" s="22">
        <v>0.0</v>
      </c>
      <c r="J1123" s="22">
        <v>0.0</v>
      </c>
      <c r="K1123" s="22">
        <v>0.0</v>
      </c>
      <c r="L1123" s="22">
        <v>297.944</v>
      </c>
      <c r="M1123" s="22">
        <v>295.919</v>
      </c>
      <c r="N1123" s="22">
        <v>146.81</v>
      </c>
      <c r="O1123" s="24">
        <v>14.9</v>
      </c>
      <c r="P1123" s="18">
        <f t="shared" si="1"/>
        <v>297.944</v>
      </c>
    </row>
    <row r="1124" ht="15.75" customHeight="1">
      <c r="A1124" s="13" t="s">
        <v>218</v>
      </c>
      <c r="B1124" s="13" t="s">
        <v>61</v>
      </c>
      <c r="C1124" s="14" t="s">
        <v>70</v>
      </c>
      <c r="D1124" s="14" t="str">
        <f>VLOOKUP(C1124,'State Key'!$A$2:$B$210,2,False)</f>
        <v>Punjab</v>
      </c>
      <c r="E1124" s="15">
        <v>540.0</v>
      </c>
      <c r="F1124" s="16">
        <v>118.019</v>
      </c>
      <c r="G1124" s="16">
        <v>0.0</v>
      </c>
      <c r="H1124" s="16">
        <v>0.0</v>
      </c>
      <c r="I1124" s="16">
        <v>0.0</v>
      </c>
      <c r="J1124" s="16">
        <v>0.0</v>
      </c>
      <c r="K1124" s="16">
        <v>0.0</v>
      </c>
      <c r="L1124" s="16">
        <v>118.019</v>
      </c>
      <c r="M1124" s="16">
        <v>104.119</v>
      </c>
      <c r="N1124" s="16">
        <v>46.45</v>
      </c>
      <c r="O1124" s="23">
        <v>13.4</v>
      </c>
      <c r="P1124" s="18">
        <f t="shared" si="1"/>
        <v>118.019</v>
      </c>
    </row>
    <row r="1125" ht="15.75" customHeight="1">
      <c r="A1125" s="19" t="s">
        <v>218</v>
      </c>
      <c r="B1125" s="19" t="s">
        <v>61</v>
      </c>
      <c r="C1125" s="20" t="s">
        <v>71</v>
      </c>
      <c r="D1125" s="14" t="str">
        <f>VLOOKUP(C1125,'State Key'!$A$2:$B$210,2,False)</f>
        <v>Uttar Pradesh</v>
      </c>
      <c r="E1125" s="21">
        <v>1265.0</v>
      </c>
      <c r="F1125" s="22">
        <v>410.205</v>
      </c>
      <c r="G1125" s="22">
        <v>0.0</v>
      </c>
      <c r="H1125" s="22">
        <v>0.0</v>
      </c>
      <c r="I1125" s="22">
        <v>0.0</v>
      </c>
      <c r="J1125" s="22">
        <v>0.0</v>
      </c>
      <c r="K1125" s="22">
        <v>0.0</v>
      </c>
      <c r="L1125" s="22">
        <v>410.205</v>
      </c>
      <c r="M1125" s="22">
        <v>384.663</v>
      </c>
      <c r="N1125" s="22">
        <v>75.93</v>
      </c>
      <c r="O1125" s="17">
        <v>5.9</v>
      </c>
      <c r="P1125" s="18">
        <f t="shared" si="1"/>
        <v>410.205</v>
      </c>
    </row>
    <row r="1126" ht="15.75" customHeight="1">
      <c r="A1126" s="13" t="s">
        <v>218</v>
      </c>
      <c r="B1126" s="13" t="s">
        <v>61</v>
      </c>
      <c r="C1126" s="14" t="s">
        <v>72</v>
      </c>
      <c r="D1126" s="14" t="str">
        <f>VLOOKUP(C1126,'State Key'!$A$2:$B$210,2,False)</f>
        <v>Haryana</v>
      </c>
      <c r="E1126" s="15">
        <v>1500.0</v>
      </c>
      <c r="F1126" s="16">
        <v>526.533</v>
      </c>
      <c r="G1126" s="16">
        <v>0.0</v>
      </c>
      <c r="H1126" s="16">
        <v>0.0</v>
      </c>
      <c r="I1126" s="16">
        <v>43.476</v>
      </c>
      <c r="J1126" s="16">
        <v>0.0</v>
      </c>
      <c r="K1126" s="16">
        <v>0.0</v>
      </c>
      <c r="L1126" s="16">
        <v>570.009</v>
      </c>
      <c r="M1126" s="16">
        <v>580.03</v>
      </c>
      <c r="N1126" s="16">
        <v>107.799</v>
      </c>
      <c r="O1126" s="17">
        <v>5.6</v>
      </c>
      <c r="P1126" s="18">
        <f t="shared" si="1"/>
        <v>570.009</v>
      </c>
    </row>
    <row r="1127" ht="15.75" customHeight="1">
      <c r="A1127" s="19" t="s">
        <v>218</v>
      </c>
      <c r="B1127" s="19" t="s">
        <v>61</v>
      </c>
      <c r="C1127" s="20" t="s">
        <v>73</v>
      </c>
      <c r="D1127" s="14" t="str">
        <f>VLOOKUP(C1127,'State Key'!$A$2:$B$210,2,False)</f>
        <v>Rajasthan</v>
      </c>
      <c r="E1127" s="21">
        <v>1200.0</v>
      </c>
      <c r="F1127" s="22">
        <v>394.53465</v>
      </c>
      <c r="G1127" s="22">
        <v>0.0</v>
      </c>
      <c r="H1127" s="22">
        <v>0.32955</v>
      </c>
      <c r="I1127" s="22">
        <v>0.0</v>
      </c>
      <c r="J1127" s="22">
        <v>0.0</v>
      </c>
      <c r="K1127" s="22">
        <v>0.0</v>
      </c>
      <c r="L1127" s="22">
        <v>394.8642</v>
      </c>
      <c r="M1127" s="22">
        <v>399.379</v>
      </c>
      <c r="N1127" s="22">
        <v>113.16</v>
      </c>
      <c r="O1127" s="23">
        <v>8.5</v>
      </c>
      <c r="P1127" s="18">
        <f t="shared" si="1"/>
        <v>394.8642</v>
      </c>
    </row>
    <row r="1128" ht="15.75" customHeight="1">
      <c r="A1128" s="13" t="s">
        <v>218</v>
      </c>
      <c r="B1128" s="13" t="s">
        <v>61</v>
      </c>
      <c r="C1128" s="14" t="s">
        <v>75</v>
      </c>
      <c r="D1128" s="14" t="str">
        <f>VLOOKUP(C1128,'State Key'!$A$2:$B$210,2,False)</f>
        <v>Uttar Pradesh</v>
      </c>
      <c r="E1128" s="15">
        <v>90.0</v>
      </c>
      <c r="F1128" s="16">
        <v>23.63</v>
      </c>
      <c r="G1128" s="16">
        <v>0.0</v>
      </c>
      <c r="H1128" s="16">
        <v>0.0</v>
      </c>
      <c r="I1128" s="16">
        <v>0.0</v>
      </c>
      <c r="J1128" s="16">
        <v>0.0</v>
      </c>
      <c r="K1128" s="16">
        <v>0.0</v>
      </c>
      <c r="L1128" s="16">
        <v>23.63</v>
      </c>
      <c r="M1128" s="16">
        <v>31.24</v>
      </c>
      <c r="N1128" s="16">
        <v>5.55</v>
      </c>
      <c r="O1128" s="17">
        <v>5.3</v>
      </c>
      <c r="P1128" s="18">
        <f t="shared" si="1"/>
        <v>23.63</v>
      </c>
    </row>
    <row r="1129" ht="15.75" customHeight="1">
      <c r="A1129" s="19" t="s">
        <v>218</v>
      </c>
      <c r="B1129" s="19" t="s">
        <v>61</v>
      </c>
      <c r="C1129" s="20" t="s">
        <v>76</v>
      </c>
      <c r="D1129" s="14" t="str">
        <f>VLOOKUP(C1129,'State Key'!$A$2:$B$210,2,False)</f>
        <v>Rajasthan</v>
      </c>
      <c r="E1129" s="21">
        <v>1240.0</v>
      </c>
      <c r="F1129" s="22">
        <v>558.28317</v>
      </c>
      <c r="G1129" s="22">
        <v>0.0</v>
      </c>
      <c r="H1129" s="22">
        <v>0.0</v>
      </c>
      <c r="I1129" s="22">
        <v>0.0</v>
      </c>
      <c r="J1129" s="22">
        <v>0.0</v>
      </c>
      <c r="K1129" s="22">
        <v>0.0</v>
      </c>
      <c r="L1129" s="22">
        <v>558.28317</v>
      </c>
      <c r="M1129" s="22">
        <v>572.81</v>
      </c>
      <c r="N1129" s="22">
        <v>79.97</v>
      </c>
      <c r="O1129" s="17">
        <v>4.2</v>
      </c>
      <c r="P1129" s="18">
        <f t="shared" si="1"/>
        <v>558.28317</v>
      </c>
    </row>
    <row r="1130" ht="15.75" customHeight="1">
      <c r="A1130" s="13" t="s">
        <v>218</v>
      </c>
      <c r="B1130" s="13" t="s">
        <v>61</v>
      </c>
      <c r="C1130" s="14" t="s">
        <v>77</v>
      </c>
      <c r="D1130" s="14" t="str">
        <f>VLOOKUP(C1130,'State Key'!$A$2:$B$210,2,False)</f>
        <v>Uttar Pradesh</v>
      </c>
      <c r="E1130" s="15">
        <v>90.0</v>
      </c>
      <c r="F1130" s="16">
        <v>23.29</v>
      </c>
      <c r="G1130" s="16">
        <v>0.0</v>
      </c>
      <c r="H1130" s="16">
        <v>0.0</v>
      </c>
      <c r="I1130" s="16">
        <v>0.0</v>
      </c>
      <c r="J1130" s="16">
        <v>0.0</v>
      </c>
      <c r="K1130" s="16">
        <v>0.0</v>
      </c>
      <c r="L1130" s="16">
        <v>23.29</v>
      </c>
      <c r="M1130" s="16">
        <v>30.38</v>
      </c>
      <c r="N1130" s="16">
        <v>6.12</v>
      </c>
      <c r="O1130" s="17">
        <v>6.0</v>
      </c>
      <c r="P1130" s="18">
        <f t="shared" si="1"/>
        <v>23.29</v>
      </c>
    </row>
    <row r="1131" ht="15.75" customHeight="1">
      <c r="A1131" s="19" t="s">
        <v>218</v>
      </c>
      <c r="B1131" s="19" t="s">
        <v>61</v>
      </c>
      <c r="C1131" s="20" t="s">
        <v>78</v>
      </c>
      <c r="D1131" s="14" t="str">
        <f>VLOOKUP(C1131,'State Key'!$A$2:$B$210,2,False)</f>
        <v>Uttar Pradesh</v>
      </c>
      <c r="E1131" s="21">
        <v>1980.0</v>
      </c>
      <c r="F1131" s="22">
        <v>596.402</v>
      </c>
      <c r="G1131" s="22">
        <v>0.0</v>
      </c>
      <c r="H1131" s="22">
        <v>0.0</v>
      </c>
      <c r="I1131" s="22">
        <v>0.0</v>
      </c>
      <c r="J1131" s="22">
        <v>0.0</v>
      </c>
      <c r="K1131" s="22">
        <v>0.0</v>
      </c>
      <c r="L1131" s="22">
        <v>596.402</v>
      </c>
      <c r="M1131" s="22">
        <v>742.206</v>
      </c>
      <c r="N1131" s="22">
        <v>96.65</v>
      </c>
      <c r="O1131" s="17">
        <v>3.9</v>
      </c>
      <c r="P1131" s="18">
        <f t="shared" si="1"/>
        <v>596.402</v>
      </c>
    </row>
    <row r="1132" ht="15.75" customHeight="1">
      <c r="A1132" s="13" t="s">
        <v>218</v>
      </c>
      <c r="B1132" s="13" t="s">
        <v>61</v>
      </c>
      <c r="C1132" s="14" t="s">
        <v>79</v>
      </c>
      <c r="D1132" s="14" t="str">
        <f>VLOOKUP(C1132,'State Key'!$A$2:$B$210,2,False)</f>
        <v>Haryana</v>
      </c>
      <c r="E1132" s="15">
        <v>1320.0</v>
      </c>
      <c r="F1132" s="16">
        <v>259.65</v>
      </c>
      <c r="G1132" s="16">
        <v>0.0</v>
      </c>
      <c r="H1132" s="16">
        <v>0.0</v>
      </c>
      <c r="I1132" s="16">
        <v>0.0</v>
      </c>
      <c r="J1132" s="16">
        <v>0.0</v>
      </c>
      <c r="K1132" s="16">
        <v>0.0</v>
      </c>
      <c r="L1132" s="16">
        <v>259.65</v>
      </c>
      <c r="M1132" s="16">
        <v>554.134</v>
      </c>
      <c r="N1132" s="16">
        <v>30.8</v>
      </c>
      <c r="O1132" s="17">
        <v>1.7</v>
      </c>
      <c r="P1132" s="18">
        <f t="shared" si="1"/>
        <v>259.65</v>
      </c>
    </row>
    <row r="1133" ht="15.75" customHeight="1">
      <c r="A1133" s="19" t="s">
        <v>218</v>
      </c>
      <c r="B1133" s="19" t="s">
        <v>61</v>
      </c>
      <c r="C1133" s="20" t="s">
        <v>80</v>
      </c>
      <c r="D1133" s="14" t="str">
        <f>VLOOKUP(C1133,'State Key'!$A$2:$B$210,2,False)</f>
        <v>Uttar Pradesh</v>
      </c>
      <c r="E1133" s="21">
        <v>90.0</v>
      </c>
      <c r="F1133" s="22">
        <v>35.02</v>
      </c>
      <c r="G1133" s="22">
        <v>0.0</v>
      </c>
      <c r="H1133" s="22">
        <v>0.0</v>
      </c>
      <c r="I1133" s="22">
        <v>0.0</v>
      </c>
      <c r="J1133" s="22">
        <v>0.0</v>
      </c>
      <c r="K1133" s="22">
        <v>0.0</v>
      </c>
      <c r="L1133" s="22">
        <v>35.02</v>
      </c>
      <c r="M1133" s="22">
        <v>36.11</v>
      </c>
      <c r="N1133" s="22">
        <v>12.81</v>
      </c>
      <c r="O1133" s="23">
        <v>10.6</v>
      </c>
      <c r="P1133" s="18">
        <f t="shared" si="1"/>
        <v>35.02</v>
      </c>
    </row>
    <row r="1134" ht="15.75" customHeight="1">
      <c r="A1134" s="13" t="s">
        <v>218</v>
      </c>
      <c r="B1134" s="13" t="s">
        <v>61</v>
      </c>
      <c r="C1134" s="14" t="s">
        <v>81</v>
      </c>
      <c r="D1134" s="14" t="str">
        <f>VLOOKUP(C1134,'State Key'!$A$2:$B$210,2,False)</f>
        <v>Uttar Pradesh</v>
      </c>
      <c r="E1134" s="15">
        <v>1320.0</v>
      </c>
      <c r="F1134" s="16">
        <v>266.096</v>
      </c>
      <c r="G1134" s="16">
        <v>0.0</v>
      </c>
      <c r="H1134" s="16">
        <v>0.0</v>
      </c>
      <c r="I1134" s="16">
        <v>0.0</v>
      </c>
      <c r="J1134" s="16">
        <v>0.0</v>
      </c>
      <c r="K1134" s="16">
        <v>0.0</v>
      </c>
      <c r="L1134" s="16">
        <v>266.096</v>
      </c>
      <c r="M1134" s="16">
        <v>261.104</v>
      </c>
      <c r="N1134" s="16">
        <v>56.12</v>
      </c>
      <c r="O1134" s="17">
        <v>6.4</v>
      </c>
      <c r="P1134" s="18">
        <f t="shared" si="1"/>
        <v>266.096</v>
      </c>
    </row>
    <row r="1135" ht="15.75" customHeight="1">
      <c r="A1135" s="19" t="s">
        <v>218</v>
      </c>
      <c r="B1135" s="19" t="s">
        <v>61</v>
      </c>
      <c r="C1135" s="20" t="s">
        <v>82</v>
      </c>
      <c r="D1135" s="14" t="str">
        <f>VLOOKUP(C1135,'State Key'!$A$2:$B$210,2,False)</f>
        <v>Uttar Pradesh</v>
      </c>
      <c r="E1135" s="21">
        <v>1000.0</v>
      </c>
      <c r="F1135" s="22">
        <v>339.399</v>
      </c>
      <c r="G1135" s="22">
        <v>0.0</v>
      </c>
      <c r="H1135" s="22">
        <v>0.0</v>
      </c>
      <c r="I1135" s="22">
        <v>0.0</v>
      </c>
      <c r="J1135" s="22">
        <v>0.0</v>
      </c>
      <c r="K1135" s="22">
        <v>0.0</v>
      </c>
      <c r="L1135" s="22">
        <v>339.399</v>
      </c>
      <c r="M1135" s="22">
        <v>378.438</v>
      </c>
      <c r="N1135" s="22">
        <v>30.761</v>
      </c>
      <c r="O1135" s="17">
        <v>2.4</v>
      </c>
      <c r="P1135" s="18">
        <f t="shared" si="1"/>
        <v>339.399</v>
      </c>
    </row>
    <row r="1136" ht="15.75" customHeight="1">
      <c r="A1136" s="13" t="s">
        <v>218</v>
      </c>
      <c r="B1136" s="13" t="s">
        <v>61</v>
      </c>
      <c r="C1136" s="14" t="s">
        <v>83</v>
      </c>
      <c r="D1136" s="14" t="str">
        <f>VLOOKUP(C1136,'State Key'!$A$2:$B$210,2,False)</f>
        <v>Haryana</v>
      </c>
      <c r="E1136" s="15">
        <v>710.0</v>
      </c>
      <c r="F1136" s="16">
        <v>211.331</v>
      </c>
      <c r="G1136" s="16">
        <v>0.0</v>
      </c>
      <c r="H1136" s="16">
        <v>0.0</v>
      </c>
      <c r="I1136" s="16">
        <v>0.0</v>
      </c>
      <c r="J1136" s="16">
        <v>0.0</v>
      </c>
      <c r="K1136" s="16">
        <v>0.0</v>
      </c>
      <c r="L1136" s="16">
        <v>211.331</v>
      </c>
      <c r="M1136" s="16">
        <v>215.423</v>
      </c>
      <c r="N1136" s="16">
        <v>61.65</v>
      </c>
      <c r="O1136" s="23">
        <v>8.6</v>
      </c>
      <c r="P1136" s="18">
        <f t="shared" si="1"/>
        <v>211.331</v>
      </c>
    </row>
    <row r="1137" ht="15.75" customHeight="1">
      <c r="A1137" s="19" t="s">
        <v>218</v>
      </c>
      <c r="B1137" s="19" t="s">
        <v>61</v>
      </c>
      <c r="C1137" s="20" t="s">
        <v>84</v>
      </c>
      <c r="D1137" s="14" t="str">
        <f>VLOOKUP(C1137,'State Key'!$A$2:$B$210,2,False)</f>
        <v>Uttar Pradesh</v>
      </c>
      <c r="E1137" s="21">
        <v>920.0</v>
      </c>
      <c r="F1137" s="22">
        <v>349.308</v>
      </c>
      <c r="G1137" s="22">
        <v>0.0</v>
      </c>
      <c r="H1137" s="22">
        <v>0.0</v>
      </c>
      <c r="I1137" s="22">
        <v>0.0</v>
      </c>
      <c r="J1137" s="22">
        <v>0.0</v>
      </c>
      <c r="K1137" s="22">
        <v>0.0</v>
      </c>
      <c r="L1137" s="22">
        <v>349.308</v>
      </c>
      <c r="M1137" s="22">
        <v>397.03</v>
      </c>
      <c r="N1137" s="22">
        <v>75.918</v>
      </c>
      <c r="O1137" s="17">
        <v>5.7</v>
      </c>
      <c r="P1137" s="18">
        <f t="shared" si="1"/>
        <v>349.308</v>
      </c>
    </row>
    <row r="1138" ht="15.75" customHeight="1">
      <c r="A1138" s="13" t="s">
        <v>218</v>
      </c>
      <c r="B1138" s="13" t="s">
        <v>61</v>
      </c>
      <c r="C1138" s="14" t="s">
        <v>85</v>
      </c>
      <c r="D1138" s="14" t="str">
        <f>VLOOKUP(C1138,'State Key'!$A$2:$B$210,2,False)</f>
        <v>Uttar Pradesh</v>
      </c>
      <c r="E1138" s="15">
        <v>1980.0</v>
      </c>
      <c r="F1138" s="16">
        <v>569.561</v>
      </c>
      <c r="G1138" s="16">
        <v>0.0</v>
      </c>
      <c r="H1138" s="16">
        <v>0.0</v>
      </c>
      <c r="I1138" s="16">
        <v>0.0</v>
      </c>
      <c r="J1138" s="16">
        <v>0.0</v>
      </c>
      <c r="K1138" s="16">
        <v>0.0</v>
      </c>
      <c r="L1138" s="16">
        <v>569.561</v>
      </c>
      <c r="M1138" s="16">
        <v>643.683</v>
      </c>
      <c r="N1138" s="16">
        <v>139.13</v>
      </c>
      <c r="O1138" s="17">
        <v>6.5</v>
      </c>
      <c r="P1138" s="18">
        <f t="shared" si="1"/>
        <v>569.561</v>
      </c>
    </row>
    <row r="1139" ht="15.75" customHeight="1">
      <c r="A1139" s="19" t="s">
        <v>218</v>
      </c>
      <c r="B1139" s="19" t="s">
        <v>61</v>
      </c>
      <c r="C1139" s="20" t="s">
        <v>86</v>
      </c>
      <c r="D1139" s="14" t="str">
        <f>VLOOKUP(C1139,'State Key'!$A$2:$B$210,2,False)</f>
        <v>Haryana</v>
      </c>
      <c r="E1139" s="21">
        <v>1200.0</v>
      </c>
      <c r="F1139" s="22">
        <v>142.079</v>
      </c>
      <c r="G1139" s="22">
        <v>0.0</v>
      </c>
      <c r="H1139" s="22">
        <v>0.0</v>
      </c>
      <c r="I1139" s="22">
        <v>0.0</v>
      </c>
      <c r="J1139" s="22">
        <v>0.0</v>
      </c>
      <c r="K1139" s="22">
        <v>0.0</v>
      </c>
      <c r="L1139" s="22">
        <v>142.079</v>
      </c>
      <c r="M1139" s="22">
        <v>437.711</v>
      </c>
      <c r="N1139" s="22">
        <v>0.0</v>
      </c>
      <c r="O1139" s="17">
        <v>0.0</v>
      </c>
      <c r="P1139" s="18">
        <f t="shared" si="1"/>
        <v>142.079</v>
      </c>
    </row>
    <row r="1140" ht="15.75" customHeight="1">
      <c r="A1140" s="13" t="s">
        <v>218</v>
      </c>
      <c r="B1140" s="13" t="s">
        <v>61</v>
      </c>
      <c r="C1140" s="14" t="s">
        <v>87</v>
      </c>
      <c r="D1140" s="14" t="str">
        <f>VLOOKUP(C1140,'State Key'!$A$2:$B$210,2,False)</f>
        <v>Punjab</v>
      </c>
      <c r="E1140" s="15">
        <v>1400.0</v>
      </c>
      <c r="F1140" s="16">
        <v>522.5018</v>
      </c>
      <c r="G1140" s="16">
        <v>0.0</v>
      </c>
      <c r="H1140" s="16">
        <v>0.0</v>
      </c>
      <c r="I1140" s="16">
        <v>0.0</v>
      </c>
      <c r="J1140" s="16">
        <v>0.0</v>
      </c>
      <c r="K1140" s="16">
        <v>0.0</v>
      </c>
      <c r="L1140" s="16">
        <v>522.5018</v>
      </c>
      <c r="M1140" s="16">
        <v>528.604</v>
      </c>
      <c r="N1140" s="16">
        <v>195.8</v>
      </c>
      <c r="O1140" s="23">
        <v>11.1</v>
      </c>
      <c r="P1140" s="18">
        <f t="shared" si="1"/>
        <v>522.5018</v>
      </c>
    </row>
    <row r="1141" ht="15.75" customHeight="1">
      <c r="A1141" s="19" t="s">
        <v>218</v>
      </c>
      <c r="B1141" s="19" t="s">
        <v>61</v>
      </c>
      <c r="C1141" s="20" t="s">
        <v>88</v>
      </c>
      <c r="D1141" s="14" t="str">
        <f>VLOOKUP(C1141,'State Key'!$A$2:$B$210,2,False)</f>
        <v>Uttar Pradesh</v>
      </c>
      <c r="E1141" s="21">
        <v>3000.0</v>
      </c>
      <c r="F1141" s="22">
        <v>1184.02</v>
      </c>
      <c r="G1141" s="22">
        <v>0.0</v>
      </c>
      <c r="H1141" s="22">
        <v>0.0</v>
      </c>
      <c r="I1141" s="22">
        <v>0.0</v>
      </c>
      <c r="J1141" s="22">
        <v>0.0</v>
      </c>
      <c r="K1141" s="22">
        <v>0.0</v>
      </c>
      <c r="L1141" s="22">
        <v>1184.02</v>
      </c>
      <c r="M1141" s="22">
        <v>1070.007</v>
      </c>
      <c r="N1141" s="22">
        <v>1065.195</v>
      </c>
      <c r="O1141" s="24">
        <v>29.9</v>
      </c>
      <c r="P1141" s="18">
        <f t="shared" si="1"/>
        <v>1184.02</v>
      </c>
    </row>
    <row r="1142" ht="15.75" customHeight="1">
      <c r="A1142" s="13" t="s">
        <v>218</v>
      </c>
      <c r="B1142" s="13" t="s">
        <v>61</v>
      </c>
      <c r="C1142" s="14" t="s">
        <v>89</v>
      </c>
      <c r="D1142" s="14" t="str">
        <f>VLOOKUP(C1142,'State Key'!$A$2:$B$210,2,False)</f>
        <v>Punjab</v>
      </c>
      <c r="E1142" s="15">
        <v>840.0</v>
      </c>
      <c r="F1142" s="16">
        <v>38.72277</v>
      </c>
      <c r="G1142" s="16">
        <v>0.0</v>
      </c>
      <c r="H1142" s="16">
        <v>81.556</v>
      </c>
      <c r="I1142" s="16">
        <v>0.0</v>
      </c>
      <c r="J1142" s="16">
        <v>0.0</v>
      </c>
      <c r="K1142" s="16">
        <v>0.0</v>
      </c>
      <c r="L1142" s="16">
        <v>120.27877</v>
      </c>
      <c r="M1142" s="16">
        <v>275.37</v>
      </c>
      <c r="N1142" s="16">
        <v>229.3</v>
      </c>
      <c r="O1142" s="24">
        <v>25.0</v>
      </c>
      <c r="P1142" s="18">
        <f t="shared" si="1"/>
        <v>120.27877</v>
      </c>
    </row>
    <row r="1143" ht="15.75" customHeight="1">
      <c r="A1143" s="19" t="s">
        <v>218</v>
      </c>
      <c r="B1143" s="19" t="s">
        <v>61</v>
      </c>
      <c r="C1143" s="20" t="s">
        <v>90</v>
      </c>
      <c r="D1143" s="14" t="str">
        <f>VLOOKUP(C1143,'State Key'!$A$2:$B$210,2,False)</f>
        <v>Uttar Pradesh</v>
      </c>
      <c r="E1143" s="21">
        <v>1200.0</v>
      </c>
      <c r="F1143" s="22">
        <v>237.148</v>
      </c>
      <c r="G1143" s="22">
        <v>0.0</v>
      </c>
      <c r="H1143" s="22">
        <v>0.0</v>
      </c>
      <c r="I1143" s="22">
        <v>0.0</v>
      </c>
      <c r="J1143" s="22">
        <v>0.0</v>
      </c>
      <c r="K1143" s="22">
        <v>0.0</v>
      </c>
      <c r="L1143" s="22">
        <v>237.148</v>
      </c>
      <c r="M1143" s="22">
        <v>375.068</v>
      </c>
      <c r="N1143" s="22">
        <v>4.82</v>
      </c>
      <c r="O1143" s="17">
        <v>0.4</v>
      </c>
      <c r="P1143" s="18">
        <f t="shared" si="1"/>
        <v>237.148</v>
      </c>
    </row>
    <row r="1144" ht="15.75" customHeight="1">
      <c r="A1144" s="13" t="s">
        <v>218</v>
      </c>
      <c r="B1144" s="13" t="s">
        <v>61</v>
      </c>
      <c r="C1144" s="14" t="s">
        <v>219</v>
      </c>
      <c r="D1144" s="14" t="str">
        <f>VLOOKUP(C1144,'State Key'!$A$2:$B$210,2,False)</f>
        <v>Rajasthan</v>
      </c>
      <c r="E1144" s="15">
        <v>300.0</v>
      </c>
      <c r="F1144" s="16">
        <v>0.0</v>
      </c>
      <c r="G1144" s="16">
        <v>0.0</v>
      </c>
      <c r="H1144" s="16">
        <v>0.0</v>
      </c>
      <c r="I1144" s="16">
        <v>26.0</v>
      </c>
      <c r="J1144" s="16">
        <v>0.0</v>
      </c>
      <c r="K1144" s="16">
        <v>0.0</v>
      </c>
      <c r="L1144" s="16">
        <v>26.0</v>
      </c>
      <c r="M1144" s="16">
        <v>35.0</v>
      </c>
      <c r="N1144" s="16">
        <v>27.8</v>
      </c>
      <c r="O1144" s="24">
        <v>23.8</v>
      </c>
      <c r="P1144" s="18">
        <f t="shared" si="1"/>
        <v>26</v>
      </c>
    </row>
    <row r="1145" ht="15.75" customHeight="1">
      <c r="A1145" s="19" t="s">
        <v>218</v>
      </c>
      <c r="B1145" s="19" t="s">
        <v>61</v>
      </c>
      <c r="C1145" s="20" t="s">
        <v>91</v>
      </c>
      <c r="D1145" s="14" t="str">
        <f>VLOOKUP(C1145,'State Key'!$A$2:$B$210,2,False)</f>
        <v>Uttar Pradesh</v>
      </c>
      <c r="E1145" s="21">
        <v>2000.0</v>
      </c>
      <c r="F1145" s="22">
        <v>788.96</v>
      </c>
      <c r="G1145" s="22">
        <v>0.0</v>
      </c>
      <c r="H1145" s="22">
        <v>0.0</v>
      </c>
      <c r="I1145" s="22">
        <v>0.0</v>
      </c>
      <c r="J1145" s="22">
        <v>0.0</v>
      </c>
      <c r="K1145" s="22">
        <v>0.0</v>
      </c>
      <c r="L1145" s="22">
        <v>788.96</v>
      </c>
      <c r="M1145" s="22">
        <v>680.316</v>
      </c>
      <c r="N1145" s="22">
        <v>356.54</v>
      </c>
      <c r="O1145" s="24">
        <v>15.7</v>
      </c>
      <c r="P1145" s="18">
        <f t="shared" si="1"/>
        <v>788.96</v>
      </c>
    </row>
    <row r="1146" ht="15.75" customHeight="1">
      <c r="A1146" s="13" t="s">
        <v>218</v>
      </c>
      <c r="B1146" s="13" t="s">
        <v>61</v>
      </c>
      <c r="C1146" s="14" t="s">
        <v>92</v>
      </c>
      <c r="D1146" s="14" t="str">
        <f>VLOOKUP(C1146,'State Key'!$A$2:$B$210,2,False)</f>
        <v>Rajasthan</v>
      </c>
      <c r="E1146" s="15">
        <v>1320.0</v>
      </c>
      <c r="F1146" s="16">
        <v>331.66175</v>
      </c>
      <c r="G1146" s="16">
        <v>0.0</v>
      </c>
      <c r="H1146" s="16">
        <v>0.0</v>
      </c>
      <c r="I1146" s="16">
        <v>100.46971</v>
      </c>
      <c r="J1146" s="16">
        <v>0.0</v>
      </c>
      <c r="K1146" s="16">
        <v>0.0</v>
      </c>
      <c r="L1146" s="16">
        <v>432.13146</v>
      </c>
      <c r="M1146" s="16">
        <v>395.589</v>
      </c>
      <c r="N1146" s="16">
        <v>99.11</v>
      </c>
      <c r="O1146" s="23">
        <v>7.5</v>
      </c>
      <c r="P1146" s="18">
        <f t="shared" si="1"/>
        <v>432.13146</v>
      </c>
    </row>
    <row r="1147" ht="15.75" customHeight="1">
      <c r="A1147" s="19" t="s">
        <v>218</v>
      </c>
      <c r="B1147" s="19" t="s">
        <v>61</v>
      </c>
      <c r="C1147" s="20" t="s">
        <v>93</v>
      </c>
      <c r="D1147" s="14" t="str">
        <f>VLOOKUP(C1147,'State Key'!$A$2:$B$210,2,False)</f>
        <v>Rajasthan</v>
      </c>
      <c r="E1147" s="21">
        <v>1500.0</v>
      </c>
      <c r="F1147" s="22">
        <v>272.563</v>
      </c>
      <c r="G1147" s="22">
        <v>0.0</v>
      </c>
      <c r="H1147" s="22">
        <v>0.0</v>
      </c>
      <c r="I1147" s="22">
        <v>19.878</v>
      </c>
      <c r="J1147" s="22">
        <v>0.0</v>
      </c>
      <c r="K1147" s="22">
        <v>0.0</v>
      </c>
      <c r="L1147" s="22">
        <v>292.441</v>
      </c>
      <c r="M1147" s="22">
        <v>409.45</v>
      </c>
      <c r="N1147" s="22">
        <v>53.15</v>
      </c>
      <c r="O1147" s="17">
        <v>3.9</v>
      </c>
      <c r="P1147" s="18">
        <f t="shared" si="1"/>
        <v>292.441</v>
      </c>
    </row>
    <row r="1148" ht="15.75" customHeight="1">
      <c r="A1148" s="13" t="s">
        <v>218</v>
      </c>
      <c r="B1148" s="13" t="s">
        <v>61</v>
      </c>
      <c r="C1148" s="14" t="s">
        <v>94</v>
      </c>
      <c r="D1148" s="14" t="str">
        <f>VLOOKUP(C1148,'State Key'!$A$2:$B$210,2,False)</f>
        <v>Punjab</v>
      </c>
      <c r="E1148" s="15">
        <v>1980.0</v>
      </c>
      <c r="F1148" s="16">
        <v>647.879</v>
      </c>
      <c r="G1148" s="16">
        <v>0.0</v>
      </c>
      <c r="H1148" s="16">
        <v>0.0</v>
      </c>
      <c r="I1148" s="16">
        <v>0.0</v>
      </c>
      <c r="J1148" s="16">
        <v>0.0</v>
      </c>
      <c r="K1148" s="16">
        <v>0.0</v>
      </c>
      <c r="L1148" s="16">
        <v>647.879</v>
      </c>
      <c r="M1148" s="16">
        <v>699.432</v>
      </c>
      <c r="N1148" s="16">
        <v>123.52</v>
      </c>
      <c r="O1148" s="17">
        <v>5.3</v>
      </c>
      <c r="P1148" s="18">
        <f t="shared" si="1"/>
        <v>647.879</v>
      </c>
    </row>
    <row r="1149" ht="15.75" customHeight="1">
      <c r="A1149" s="19" t="s">
        <v>218</v>
      </c>
      <c r="B1149" s="19" t="s">
        <v>61</v>
      </c>
      <c r="C1149" s="20" t="s">
        <v>95</v>
      </c>
      <c r="D1149" s="14" t="str">
        <f>VLOOKUP(C1149,'State Key'!$A$2:$B$210,2,False)</f>
        <v>Uttar Pradesh</v>
      </c>
      <c r="E1149" s="21">
        <v>1760.0</v>
      </c>
      <c r="F1149" s="22">
        <v>452.37</v>
      </c>
      <c r="G1149" s="22">
        <v>0.0</v>
      </c>
      <c r="H1149" s="22">
        <v>126.9</v>
      </c>
      <c r="I1149" s="22">
        <v>15.79</v>
      </c>
      <c r="J1149" s="22">
        <v>0.0</v>
      </c>
      <c r="K1149" s="22">
        <v>0.0</v>
      </c>
      <c r="L1149" s="22">
        <v>595.06</v>
      </c>
      <c r="M1149" s="22">
        <v>611.528</v>
      </c>
      <c r="N1149" s="22">
        <v>102.922</v>
      </c>
      <c r="O1149" s="17">
        <v>5.0</v>
      </c>
      <c r="P1149" s="18">
        <f t="shared" si="1"/>
        <v>595.06</v>
      </c>
    </row>
    <row r="1150" ht="15.75" customHeight="1">
      <c r="A1150" s="13" t="s">
        <v>218</v>
      </c>
      <c r="B1150" s="13" t="s">
        <v>61</v>
      </c>
      <c r="C1150" s="14" t="s">
        <v>96</v>
      </c>
      <c r="D1150" s="14" t="str">
        <f>VLOOKUP(C1150,'State Key'!$A$2:$B$210,2,False)</f>
        <v>Uttar Pradesh</v>
      </c>
      <c r="E1150" s="15">
        <v>1550.0</v>
      </c>
      <c r="F1150" s="16">
        <v>312.24</v>
      </c>
      <c r="G1150" s="16">
        <v>0.0</v>
      </c>
      <c r="H1150" s="16">
        <v>121.26</v>
      </c>
      <c r="I1150" s="16">
        <v>0.0</v>
      </c>
      <c r="J1150" s="16">
        <v>0.0</v>
      </c>
      <c r="K1150" s="16">
        <v>0.0</v>
      </c>
      <c r="L1150" s="16">
        <v>433.5</v>
      </c>
      <c r="M1150" s="16">
        <v>505.109</v>
      </c>
      <c r="N1150" s="16">
        <v>38.074</v>
      </c>
      <c r="O1150" s="17">
        <v>2.3</v>
      </c>
      <c r="P1150" s="18">
        <f t="shared" si="1"/>
        <v>433.5</v>
      </c>
    </row>
    <row r="1151" ht="15.75" customHeight="1">
      <c r="A1151" s="19" t="s">
        <v>218</v>
      </c>
      <c r="B1151" s="19" t="s">
        <v>61</v>
      </c>
      <c r="C1151" s="20" t="s">
        <v>97</v>
      </c>
      <c r="D1151" s="14" t="str">
        <f>VLOOKUP(C1151,'State Key'!$A$2:$B$210,2,False)</f>
        <v>Uttar Pradesh</v>
      </c>
      <c r="E1151" s="21">
        <v>90.0</v>
      </c>
      <c r="F1151" s="22">
        <v>23.68</v>
      </c>
      <c r="G1151" s="22">
        <v>0.0</v>
      </c>
      <c r="H1151" s="22">
        <v>0.0</v>
      </c>
      <c r="I1151" s="22">
        <v>0.0</v>
      </c>
      <c r="J1151" s="22">
        <v>0.0</v>
      </c>
      <c r="K1151" s="22">
        <v>0.0</v>
      </c>
      <c r="L1151" s="22">
        <v>23.68</v>
      </c>
      <c r="M1151" s="22">
        <v>35.51</v>
      </c>
      <c r="N1151" s="22">
        <v>2.18</v>
      </c>
      <c r="O1151" s="17">
        <v>1.8</v>
      </c>
      <c r="P1151" s="18">
        <f t="shared" si="1"/>
        <v>23.68</v>
      </c>
    </row>
    <row r="1152" ht="15.75" customHeight="1">
      <c r="A1152" s="13" t="s">
        <v>218</v>
      </c>
      <c r="B1152" s="13" t="s">
        <v>61</v>
      </c>
      <c r="C1152" s="14" t="s">
        <v>98</v>
      </c>
      <c r="D1152" s="14" t="str">
        <f>VLOOKUP(C1152,'State Key'!$A$2:$B$210,2,False)</f>
        <v>Haryana</v>
      </c>
      <c r="E1152" s="15">
        <v>600.0</v>
      </c>
      <c r="F1152" s="16">
        <v>192.256</v>
      </c>
      <c r="G1152" s="16">
        <v>0.0</v>
      </c>
      <c r="H1152" s="16">
        <v>0.0</v>
      </c>
      <c r="I1152" s="16">
        <v>0.0</v>
      </c>
      <c r="J1152" s="16">
        <v>0.0</v>
      </c>
      <c r="K1152" s="16">
        <v>0.0</v>
      </c>
      <c r="L1152" s="16">
        <v>192.256</v>
      </c>
      <c r="M1152" s="16">
        <v>226.293</v>
      </c>
      <c r="N1152" s="16">
        <v>50.89</v>
      </c>
      <c r="O1152" s="17">
        <v>6.7</v>
      </c>
      <c r="P1152" s="18">
        <f t="shared" si="1"/>
        <v>192.256</v>
      </c>
    </row>
    <row r="1153" ht="15.75" customHeight="1">
      <c r="A1153" s="19" t="s">
        <v>218</v>
      </c>
      <c r="B1153" s="19" t="s">
        <v>99</v>
      </c>
      <c r="C1153" s="20" t="s">
        <v>210</v>
      </c>
      <c r="D1153" s="14" t="str">
        <f>VLOOKUP(C1153,'State Key'!$A$2:$B$210,2,False)</f>
        <v>Karnataka</v>
      </c>
      <c r="E1153" s="21">
        <v>1200.0</v>
      </c>
      <c r="F1153" s="22">
        <v>0.0</v>
      </c>
      <c r="G1153" s="22">
        <v>0.0</v>
      </c>
      <c r="H1153" s="22">
        <v>0.0</v>
      </c>
      <c r="I1153" s="22">
        <v>360.174</v>
      </c>
      <c r="J1153" s="22">
        <v>0.0</v>
      </c>
      <c r="K1153" s="22">
        <v>0.0</v>
      </c>
      <c r="L1153" s="22">
        <v>360.174</v>
      </c>
      <c r="M1153" s="22">
        <v>332.824</v>
      </c>
      <c r="N1153" s="22">
        <v>84.05</v>
      </c>
      <c r="O1153" s="23">
        <v>7.6</v>
      </c>
      <c r="P1153" s="18">
        <f t="shared" si="1"/>
        <v>360.174</v>
      </c>
    </row>
    <row r="1154" ht="15.75" customHeight="1">
      <c r="A1154" s="13" t="s">
        <v>218</v>
      </c>
      <c r="B1154" s="13" t="s">
        <v>99</v>
      </c>
      <c r="C1154" s="14" t="s">
        <v>100</v>
      </c>
      <c r="D1154" s="14" t="str">
        <f>VLOOKUP(C1154,'State Key'!$A$2:$B$210,2,False)</f>
        <v>Karnataka</v>
      </c>
      <c r="E1154" s="15">
        <v>1700.0</v>
      </c>
      <c r="F1154" s="16">
        <v>165.29812</v>
      </c>
      <c r="G1154" s="16">
        <v>82.99655</v>
      </c>
      <c r="H1154" s="16">
        <v>188.65412</v>
      </c>
      <c r="I1154" s="16">
        <v>0.0</v>
      </c>
      <c r="J1154" s="16">
        <v>0.0</v>
      </c>
      <c r="K1154" s="16">
        <v>0.0</v>
      </c>
      <c r="L1154" s="16">
        <v>436.94879</v>
      </c>
      <c r="M1154" s="16">
        <v>359.762</v>
      </c>
      <c r="N1154" s="16">
        <v>75.6257</v>
      </c>
      <c r="O1154" s="17">
        <v>6.3</v>
      </c>
      <c r="P1154" s="18">
        <f t="shared" si="1"/>
        <v>436.94879</v>
      </c>
    </row>
    <row r="1155" ht="15.75" customHeight="1">
      <c r="A1155" s="19" t="s">
        <v>218</v>
      </c>
      <c r="B1155" s="19" t="s">
        <v>99</v>
      </c>
      <c r="C1155" s="20" t="s">
        <v>101</v>
      </c>
      <c r="D1155" s="14" t="str">
        <f>VLOOKUP(C1155,'State Key'!$A$2:$B$210,2,False)</f>
        <v>Telangana</v>
      </c>
      <c r="E1155" s="21">
        <v>1080.0</v>
      </c>
      <c r="F1155" s="22">
        <v>0.0</v>
      </c>
      <c r="G1155" s="22">
        <v>456.393</v>
      </c>
      <c r="H1155" s="22">
        <v>0.0</v>
      </c>
      <c r="I1155" s="22">
        <v>0.0</v>
      </c>
      <c r="J1155" s="22">
        <v>0.0</v>
      </c>
      <c r="K1155" s="22">
        <v>0.0</v>
      </c>
      <c r="L1155" s="22">
        <v>456.393</v>
      </c>
      <c r="M1155" s="22">
        <v>482.083</v>
      </c>
      <c r="N1155" s="22">
        <v>153.228</v>
      </c>
      <c r="O1155" s="23">
        <v>9.5</v>
      </c>
      <c r="P1155" s="18">
        <f t="shared" si="1"/>
        <v>456.393</v>
      </c>
    </row>
    <row r="1156" ht="15.75" customHeight="1">
      <c r="A1156" s="13" t="s">
        <v>218</v>
      </c>
      <c r="B1156" s="13" t="s">
        <v>99</v>
      </c>
      <c r="C1156" s="14" t="s">
        <v>102</v>
      </c>
      <c r="D1156" s="14" t="str">
        <f>VLOOKUP(C1156,'State Key'!$A$2:$B$210,2,False)</f>
        <v>Andhra Pradesh</v>
      </c>
      <c r="E1156" s="15">
        <v>2400.0</v>
      </c>
      <c r="F1156" s="16">
        <v>403.274</v>
      </c>
      <c r="G1156" s="16">
        <v>0.0</v>
      </c>
      <c r="H1156" s="16">
        <v>0.0</v>
      </c>
      <c r="I1156" s="16">
        <v>46.162</v>
      </c>
      <c r="J1156" s="16">
        <v>0.0</v>
      </c>
      <c r="K1156" s="16">
        <v>0.0</v>
      </c>
      <c r="L1156" s="16">
        <v>449.436</v>
      </c>
      <c r="M1156" s="16">
        <v>513.29</v>
      </c>
      <c r="N1156" s="16">
        <v>18.666</v>
      </c>
      <c r="O1156" s="17">
        <v>1.1</v>
      </c>
      <c r="P1156" s="18">
        <f t="shared" si="1"/>
        <v>449.436</v>
      </c>
    </row>
    <row r="1157" ht="15.75" customHeight="1">
      <c r="A1157" s="19" t="s">
        <v>218</v>
      </c>
      <c r="B1157" s="19" t="s">
        <v>99</v>
      </c>
      <c r="C1157" s="20" t="s">
        <v>103</v>
      </c>
      <c r="D1157" s="14" t="str">
        <f>VLOOKUP(C1157,'State Key'!$A$2:$B$210,2,False)</f>
        <v>Andhra Pradesh</v>
      </c>
      <c r="E1157" s="21">
        <v>1760.0</v>
      </c>
      <c r="F1157" s="22">
        <v>570.873</v>
      </c>
      <c r="G1157" s="22">
        <v>291.833</v>
      </c>
      <c r="H1157" s="22">
        <v>0.0</v>
      </c>
      <c r="I1157" s="22">
        <v>0.0</v>
      </c>
      <c r="J1157" s="22">
        <v>0.0</v>
      </c>
      <c r="K1157" s="22">
        <v>0.0</v>
      </c>
      <c r="L1157" s="22">
        <v>862.706</v>
      </c>
      <c r="M1157" s="22">
        <v>899.893</v>
      </c>
      <c r="N1157" s="22">
        <v>18.78</v>
      </c>
      <c r="O1157" s="17">
        <v>0.6</v>
      </c>
      <c r="P1157" s="18">
        <f t="shared" si="1"/>
        <v>862.706</v>
      </c>
    </row>
    <row r="1158" ht="15.75" customHeight="1">
      <c r="A1158" s="13" t="s">
        <v>218</v>
      </c>
      <c r="B1158" s="13" t="s">
        <v>99</v>
      </c>
      <c r="C1158" s="14" t="s">
        <v>104</v>
      </c>
      <c r="D1158" s="14" t="str">
        <f>VLOOKUP(C1158,'State Key'!$A$2:$B$210,2,False)</f>
        <v>Tamil Nadu</v>
      </c>
      <c r="E1158" s="15">
        <v>1200.0</v>
      </c>
      <c r="F1158" s="16">
        <v>0.0</v>
      </c>
      <c r="G1158" s="16">
        <v>0.0</v>
      </c>
      <c r="H1158" s="16">
        <v>0.0</v>
      </c>
      <c r="I1158" s="16">
        <v>286.0</v>
      </c>
      <c r="J1158" s="16">
        <v>0.0</v>
      </c>
      <c r="K1158" s="16">
        <v>0.0</v>
      </c>
      <c r="L1158" s="16">
        <v>286.0</v>
      </c>
      <c r="M1158" s="16">
        <v>276.0</v>
      </c>
      <c r="N1158" s="16">
        <v>145.13</v>
      </c>
      <c r="O1158" s="24">
        <v>15.8</v>
      </c>
      <c r="P1158" s="18">
        <f t="shared" si="1"/>
        <v>286</v>
      </c>
    </row>
    <row r="1159" ht="15.75" customHeight="1">
      <c r="A1159" s="19" t="s">
        <v>218</v>
      </c>
      <c r="B1159" s="19" t="s">
        <v>99</v>
      </c>
      <c r="C1159" s="20" t="s">
        <v>105</v>
      </c>
      <c r="D1159" s="14" t="str">
        <f>VLOOKUP(C1159,'State Key'!$A$2:$B$210,2,False)</f>
        <v>Telangana</v>
      </c>
      <c r="E1159" s="21">
        <v>1100.0</v>
      </c>
      <c r="F1159" s="22">
        <v>0.0</v>
      </c>
      <c r="G1159" s="22">
        <v>492.457</v>
      </c>
      <c r="H1159" s="22">
        <v>0.0</v>
      </c>
      <c r="I1159" s="22">
        <v>0.0</v>
      </c>
      <c r="J1159" s="22">
        <v>0.0</v>
      </c>
      <c r="K1159" s="22">
        <v>0.0</v>
      </c>
      <c r="L1159" s="22">
        <v>492.457</v>
      </c>
      <c r="M1159" s="22">
        <v>408.518</v>
      </c>
      <c r="N1159" s="22">
        <v>248.299</v>
      </c>
      <c r="O1159" s="24">
        <v>18.2</v>
      </c>
      <c r="P1159" s="18">
        <f t="shared" si="1"/>
        <v>492.457</v>
      </c>
    </row>
    <row r="1160" ht="15.75" customHeight="1">
      <c r="A1160" s="13" t="s">
        <v>218</v>
      </c>
      <c r="B1160" s="13" t="s">
        <v>99</v>
      </c>
      <c r="C1160" s="14" t="s">
        <v>106</v>
      </c>
      <c r="D1160" s="14" t="str">
        <f>VLOOKUP(C1160,'State Key'!$A$2:$B$210,2,False)</f>
        <v>Telangana</v>
      </c>
      <c r="E1160" s="15">
        <v>1000.0</v>
      </c>
      <c r="F1160" s="16">
        <v>0.0</v>
      </c>
      <c r="G1160" s="16">
        <v>376.909</v>
      </c>
      <c r="H1160" s="16">
        <v>0.0</v>
      </c>
      <c r="I1160" s="16">
        <v>0.0</v>
      </c>
      <c r="J1160" s="16">
        <v>0.0</v>
      </c>
      <c r="K1160" s="16">
        <v>0.0</v>
      </c>
      <c r="L1160" s="16">
        <v>376.909</v>
      </c>
      <c r="M1160" s="16">
        <v>415.39</v>
      </c>
      <c r="N1160" s="16">
        <v>143.47</v>
      </c>
      <c r="O1160" s="23">
        <v>10.4</v>
      </c>
      <c r="P1160" s="18">
        <f t="shared" si="1"/>
        <v>376.909</v>
      </c>
    </row>
    <row r="1161" ht="15.75" customHeight="1">
      <c r="A1161" s="19" t="s">
        <v>218</v>
      </c>
      <c r="B1161" s="19" t="s">
        <v>99</v>
      </c>
      <c r="C1161" s="20" t="s">
        <v>107</v>
      </c>
      <c r="D1161" s="14" t="str">
        <f>VLOOKUP(C1161,'State Key'!$A$2:$B$210,2,False)</f>
        <v>Telangana</v>
      </c>
      <c r="E1161" s="21">
        <v>800.0</v>
      </c>
      <c r="F1161" s="22">
        <v>0.0</v>
      </c>
      <c r="G1161" s="22">
        <v>273.675</v>
      </c>
      <c r="H1161" s="22">
        <v>0.0</v>
      </c>
      <c r="I1161" s="22">
        <v>0.0</v>
      </c>
      <c r="J1161" s="22">
        <v>0.0</v>
      </c>
      <c r="K1161" s="22">
        <v>0.0</v>
      </c>
      <c r="L1161" s="22">
        <v>273.675</v>
      </c>
      <c r="M1161" s="22">
        <v>266.653</v>
      </c>
      <c r="N1161" s="22">
        <v>80.137</v>
      </c>
      <c r="O1161" s="23">
        <v>9.0</v>
      </c>
      <c r="P1161" s="18">
        <f t="shared" si="1"/>
        <v>273.675</v>
      </c>
    </row>
    <row r="1162" ht="15.75" customHeight="1">
      <c r="A1162" s="13" t="s">
        <v>218</v>
      </c>
      <c r="B1162" s="13" t="s">
        <v>99</v>
      </c>
      <c r="C1162" s="14" t="s">
        <v>108</v>
      </c>
      <c r="D1162" s="14" t="str">
        <f>VLOOKUP(C1162,'State Key'!$A$2:$B$210,2,False)</f>
        <v>Karnataka</v>
      </c>
      <c r="E1162" s="15">
        <v>2400.0</v>
      </c>
      <c r="F1162" s="16">
        <v>242.22</v>
      </c>
      <c r="G1162" s="16">
        <v>186.07</v>
      </c>
      <c r="H1162" s="16">
        <v>95.65</v>
      </c>
      <c r="I1162" s="16">
        <v>48.241</v>
      </c>
      <c r="J1162" s="16">
        <v>0.0</v>
      </c>
      <c r="K1162" s="16">
        <v>0.0</v>
      </c>
      <c r="L1162" s="16">
        <v>572.181</v>
      </c>
      <c r="M1162" s="16">
        <v>780.637</v>
      </c>
      <c r="N1162" s="16">
        <v>66.798</v>
      </c>
      <c r="O1162" s="17">
        <v>2.6</v>
      </c>
      <c r="P1162" s="18">
        <f t="shared" si="1"/>
        <v>572.181</v>
      </c>
    </row>
    <row r="1163" ht="15.75" customHeight="1">
      <c r="A1163" s="19" t="s">
        <v>218</v>
      </c>
      <c r="B1163" s="19" t="s">
        <v>99</v>
      </c>
      <c r="C1163" s="20" t="s">
        <v>109</v>
      </c>
      <c r="D1163" s="14" t="str">
        <f>VLOOKUP(C1163,'State Key'!$A$2:$B$210,2,False)</f>
        <v>Tamil Nadu</v>
      </c>
      <c r="E1163" s="21">
        <v>840.0</v>
      </c>
      <c r="F1163" s="22">
        <v>421.9841</v>
      </c>
      <c r="G1163" s="22">
        <v>0.2082</v>
      </c>
      <c r="H1163" s="22">
        <v>0.0</v>
      </c>
      <c r="I1163" s="22">
        <v>0.0</v>
      </c>
      <c r="J1163" s="22">
        <v>0.0</v>
      </c>
      <c r="K1163" s="22">
        <v>0.0</v>
      </c>
      <c r="L1163" s="22">
        <v>422.1923</v>
      </c>
      <c r="M1163" s="22">
        <v>437.6361</v>
      </c>
      <c r="N1163" s="22">
        <v>24.442</v>
      </c>
      <c r="O1163" s="17">
        <v>1.7</v>
      </c>
      <c r="P1163" s="18">
        <f t="shared" si="1"/>
        <v>422.1923</v>
      </c>
    </row>
    <row r="1164" ht="15.75" customHeight="1">
      <c r="A1164" s="13" t="s">
        <v>218</v>
      </c>
      <c r="B1164" s="13" t="s">
        <v>99</v>
      </c>
      <c r="C1164" s="14" t="s">
        <v>110</v>
      </c>
      <c r="D1164" s="14" t="str">
        <f>VLOOKUP(C1164,'State Key'!$A$2:$B$210,2,False)</f>
        <v>Tamil Nadu</v>
      </c>
      <c r="E1164" s="15">
        <v>600.0</v>
      </c>
      <c r="F1164" s="16">
        <v>188.21</v>
      </c>
      <c r="G1164" s="16">
        <v>0.0</v>
      </c>
      <c r="H1164" s="16">
        <v>0.0</v>
      </c>
      <c r="I1164" s="16">
        <v>41.82</v>
      </c>
      <c r="J1164" s="16">
        <v>0.0</v>
      </c>
      <c r="K1164" s="16">
        <v>0.0</v>
      </c>
      <c r="L1164" s="16">
        <v>230.03</v>
      </c>
      <c r="M1164" s="16">
        <v>235.39</v>
      </c>
      <c r="N1164" s="16">
        <v>57.75</v>
      </c>
      <c r="O1164" s="23">
        <v>7.4</v>
      </c>
      <c r="P1164" s="18">
        <f t="shared" si="1"/>
        <v>230.03</v>
      </c>
    </row>
    <row r="1165" ht="15.75" customHeight="1">
      <c r="A1165" s="19" t="s">
        <v>218</v>
      </c>
      <c r="B1165" s="19" t="s">
        <v>99</v>
      </c>
      <c r="C1165" s="20" t="s">
        <v>111</v>
      </c>
      <c r="D1165" s="14" t="str">
        <f>VLOOKUP(C1165,'State Key'!$A$2:$B$210,2,False)</f>
        <v>Tamil Nadu</v>
      </c>
      <c r="E1165" s="21">
        <v>1200.0</v>
      </c>
      <c r="F1165" s="22">
        <v>0.0</v>
      </c>
      <c r="G1165" s="22">
        <v>0.0</v>
      </c>
      <c r="H1165" s="22">
        <v>0.0</v>
      </c>
      <c r="I1165" s="22">
        <v>379.87348</v>
      </c>
      <c r="J1165" s="22">
        <v>0.0</v>
      </c>
      <c r="K1165" s="22">
        <v>0.0</v>
      </c>
      <c r="L1165" s="22">
        <v>379.87348</v>
      </c>
      <c r="M1165" s="22">
        <v>364.534</v>
      </c>
      <c r="N1165" s="22">
        <v>53.893</v>
      </c>
      <c r="O1165" s="17">
        <v>4.4</v>
      </c>
      <c r="P1165" s="18">
        <f t="shared" si="1"/>
        <v>379.87348</v>
      </c>
    </row>
    <row r="1166" ht="15.75" customHeight="1">
      <c r="A1166" s="13" t="s">
        <v>218</v>
      </c>
      <c r="B1166" s="13" t="s">
        <v>99</v>
      </c>
      <c r="C1166" s="14" t="s">
        <v>112</v>
      </c>
      <c r="D1166" s="14" t="str">
        <f>VLOOKUP(C1166,'State Key'!$A$2:$B$210,2,False)</f>
        <v>Tamil Nadu</v>
      </c>
      <c r="E1166" s="15">
        <v>1830.0</v>
      </c>
      <c r="F1166" s="16">
        <v>743.336</v>
      </c>
      <c r="G1166" s="16">
        <v>0.0</v>
      </c>
      <c r="H1166" s="16">
        <v>0.0</v>
      </c>
      <c r="I1166" s="16">
        <v>0.0</v>
      </c>
      <c r="J1166" s="16">
        <v>0.0</v>
      </c>
      <c r="K1166" s="16">
        <v>0.0</v>
      </c>
      <c r="L1166" s="16">
        <v>743.336</v>
      </c>
      <c r="M1166" s="16">
        <v>772.505</v>
      </c>
      <c r="N1166" s="16">
        <v>123.21</v>
      </c>
      <c r="O1166" s="17">
        <v>4.8</v>
      </c>
      <c r="P1166" s="18">
        <f t="shared" si="1"/>
        <v>743.336</v>
      </c>
    </row>
    <row r="1167" ht="15.75" customHeight="1">
      <c r="A1167" s="19" t="s">
        <v>218</v>
      </c>
      <c r="B1167" s="19" t="s">
        <v>99</v>
      </c>
      <c r="C1167" s="20" t="s">
        <v>113</v>
      </c>
      <c r="D1167" s="14" t="str">
        <f>VLOOKUP(C1167,'State Key'!$A$2:$B$210,2,False)</f>
        <v>Tamil Nadu</v>
      </c>
      <c r="E1167" s="21">
        <v>1000.0</v>
      </c>
      <c r="F1167" s="22">
        <v>223.664</v>
      </c>
      <c r="G1167" s="22">
        <v>0.0</v>
      </c>
      <c r="H1167" s="22">
        <v>117.165</v>
      </c>
      <c r="I1167" s="22">
        <v>72.0</v>
      </c>
      <c r="J1167" s="22">
        <v>0.0</v>
      </c>
      <c r="K1167" s="22">
        <v>0.0</v>
      </c>
      <c r="L1167" s="22">
        <v>412.829</v>
      </c>
      <c r="M1167" s="22">
        <v>499.712</v>
      </c>
      <c r="N1167" s="22">
        <v>185.284</v>
      </c>
      <c r="O1167" s="23">
        <v>11.1</v>
      </c>
      <c r="P1167" s="18">
        <f t="shared" si="1"/>
        <v>412.829</v>
      </c>
    </row>
    <row r="1168" ht="15.75" customHeight="1">
      <c r="A1168" s="13" t="s">
        <v>218</v>
      </c>
      <c r="B1168" s="13" t="s">
        <v>99</v>
      </c>
      <c r="C1168" s="14" t="s">
        <v>114</v>
      </c>
      <c r="D1168" s="14" t="str">
        <f>VLOOKUP(C1168,'State Key'!$A$2:$B$210,2,False)</f>
        <v>Andhra Pradesh</v>
      </c>
      <c r="E1168" s="15">
        <v>1320.0</v>
      </c>
      <c r="F1168" s="16">
        <v>285.365</v>
      </c>
      <c r="G1168" s="16">
        <v>0.0</v>
      </c>
      <c r="H1168" s="16">
        <v>0.0</v>
      </c>
      <c r="I1168" s="16">
        <v>415.256</v>
      </c>
      <c r="J1168" s="16">
        <v>0.0</v>
      </c>
      <c r="K1168" s="16">
        <v>0.0</v>
      </c>
      <c r="L1168" s="16">
        <v>700.621</v>
      </c>
      <c r="M1168" s="16">
        <v>479.38</v>
      </c>
      <c r="N1168" s="16">
        <v>368.26</v>
      </c>
      <c r="O1168" s="24">
        <v>23.0</v>
      </c>
      <c r="P1168" s="18">
        <f t="shared" si="1"/>
        <v>700.621</v>
      </c>
    </row>
    <row r="1169" ht="15.75" customHeight="1">
      <c r="A1169" s="19" t="s">
        <v>218</v>
      </c>
      <c r="B1169" s="19" t="s">
        <v>99</v>
      </c>
      <c r="C1169" s="20" t="s">
        <v>115</v>
      </c>
      <c r="D1169" s="14" t="str">
        <f>VLOOKUP(C1169,'State Key'!$A$2:$B$210,2,False)</f>
        <v>Karnataka</v>
      </c>
      <c r="E1169" s="21">
        <v>1720.0</v>
      </c>
      <c r="F1169" s="22">
        <v>385.386</v>
      </c>
      <c r="G1169" s="22">
        <v>274.974</v>
      </c>
      <c r="H1169" s="22">
        <v>0.0</v>
      </c>
      <c r="I1169" s="22">
        <v>0.0</v>
      </c>
      <c r="J1169" s="22">
        <v>0.0</v>
      </c>
      <c r="K1169" s="22">
        <v>0.0</v>
      </c>
      <c r="L1169" s="22">
        <v>660.36</v>
      </c>
      <c r="M1169" s="22">
        <v>660.101</v>
      </c>
      <c r="N1169" s="22">
        <v>74.16</v>
      </c>
      <c r="O1169" s="17">
        <v>3.4</v>
      </c>
      <c r="P1169" s="18">
        <f t="shared" si="1"/>
        <v>660.36</v>
      </c>
    </row>
    <row r="1170" ht="15.75" customHeight="1">
      <c r="A1170" s="13" t="s">
        <v>218</v>
      </c>
      <c r="B1170" s="13" t="s">
        <v>99</v>
      </c>
      <c r="C1170" s="14" t="s">
        <v>116</v>
      </c>
      <c r="D1170" s="14" t="str">
        <f>VLOOKUP(C1170,'State Key'!$A$2:$B$210,2,False)</f>
        <v>Telangana</v>
      </c>
      <c r="E1170" s="15">
        <v>2600.0</v>
      </c>
      <c r="F1170" s="16">
        <v>0.0</v>
      </c>
      <c r="G1170" s="16">
        <v>905.56</v>
      </c>
      <c r="H1170" s="16">
        <v>0.0</v>
      </c>
      <c r="I1170" s="16">
        <v>0.0</v>
      </c>
      <c r="J1170" s="16">
        <v>0.0</v>
      </c>
      <c r="K1170" s="16">
        <v>0.0</v>
      </c>
      <c r="L1170" s="16">
        <v>905.56</v>
      </c>
      <c r="M1170" s="16">
        <v>854.584</v>
      </c>
      <c r="N1170" s="16">
        <v>208.944</v>
      </c>
      <c r="O1170" s="23">
        <v>7.3</v>
      </c>
      <c r="P1170" s="18">
        <f t="shared" si="1"/>
        <v>905.56</v>
      </c>
    </row>
    <row r="1171" ht="15.75" customHeight="1">
      <c r="A1171" s="19" t="s">
        <v>218</v>
      </c>
      <c r="B1171" s="19" t="s">
        <v>99</v>
      </c>
      <c r="C1171" s="20" t="s">
        <v>117</v>
      </c>
      <c r="D1171" s="14" t="str">
        <f>VLOOKUP(C1171,'State Key'!$A$2:$B$210,2,False)</f>
        <v>Telangana</v>
      </c>
      <c r="E1171" s="21">
        <v>62.5</v>
      </c>
      <c r="F1171" s="22">
        <v>0.0</v>
      </c>
      <c r="G1171" s="22">
        <v>0.359</v>
      </c>
      <c r="H1171" s="22">
        <v>0.0</v>
      </c>
      <c r="I1171" s="22">
        <v>0.0</v>
      </c>
      <c r="J1171" s="22">
        <v>0.0</v>
      </c>
      <c r="K1171" s="22">
        <v>0.0</v>
      </c>
      <c r="L1171" s="22">
        <v>0.359</v>
      </c>
      <c r="M1171" s="22">
        <v>1.757</v>
      </c>
      <c r="N1171" s="22">
        <v>5.258</v>
      </c>
      <c r="O1171" s="24">
        <v>89.8</v>
      </c>
      <c r="P1171" s="18">
        <f t="shared" si="1"/>
        <v>0.359</v>
      </c>
    </row>
    <row r="1172" ht="15.75" customHeight="1">
      <c r="A1172" s="13" t="s">
        <v>218</v>
      </c>
      <c r="B1172" s="13" t="s">
        <v>99</v>
      </c>
      <c r="C1172" s="14" t="s">
        <v>118</v>
      </c>
      <c r="D1172" s="14" t="str">
        <f>VLOOKUP(C1172,'State Key'!$A$2:$B$210,2,False)</f>
        <v>Andhra Pradesh</v>
      </c>
      <c r="E1172" s="15">
        <v>1650.0</v>
      </c>
      <c r="F1172" s="16">
        <v>569.902</v>
      </c>
      <c r="G1172" s="16">
        <v>126.508</v>
      </c>
      <c r="H1172" s="16">
        <v>0.0</v>
      </c>
      <c r="I1172" s="16">
        <v>0.0</v>
      </c>
      <c r="J1172" s="16">
        <v>0.0</v>
      </c>
      <c r="K1172" s="16">
        <v>0.0</v>
      </c>
      <c r="L1172" s="16">
        <v>696.41</v>
      </c>
      <c r="M1172" s="16">
        <v>688.848</v>
      </c>
      <c r="N1172" s="16">
        <v>42.26</v>
      </c>
      <c r="O1172" s="17">
        <v>1.8</v>
      </c>
      <c r="P1172" s="18">
        <f t="shared" si="1"/>
        <v>696.41</v>
      </c>
    </row>
    <row r="1173" ht="15.75" customHeight="1">
      <c r="A1173" s="19" t="s">
        <v>218</v>
      </c>
      <c r="B1173" s="19" t="s">
        <v>99</v>
      </c>
      <c r="C1173" s="20" t="s">
        <v>119</v>
      </c>
      <c r="D1173" s="14" t="str">
        <f>VLOOKUP(C1173,'State Key'!$A$2:$B$210,2,False)</f>
        <v>Andhra Pradesh</v>
      </c>
      <c r="E1173" s="21">
        <v>1320.0</v>
      </c>
      <c r="F1173" s="22">
        <v>168.449</v>
      </c>
      <c r="G1173" s="22">
        <v>0.0</v>
      </c>
      <c r="H1173" s="22">
        <v>0.0</v>
      </c>
      <c r="I1173" s="22">
        <v>553.104</v>
      </c>
      <c r="J1173" s="22">
        <v>0.0</v>
      </c>
      <c r="K1173" s="22">
        <v>0.0</v>
      </c>
      <c r="L1173" s="22">
        <v>721.553</v>
      </c>
      <c r="M1173" s="22">
        <v>535.565</v>
      </c>
      <c r="N1173" s="22">
        <v>407.06</v>
      </c>
      <c r="O1173" s="24">
        <v>22.8</v>
      </c>
      <c r="P1173" s="18">
        <f t="shared" si="1"/>
        <v>721.553</v>
      </c>
    </row>
    <row r="1174" ht="15.75" customHeight="1">
      <c r="A1174" s="13" t="s">
        <v>218</v>
      </c>
      <c r="B1174" s="13" t="s">
        <v>99</v>
      </c>
      <c r="C1174" s="14" t="s">
        <v>120</v>
      </c>
      <c r="D1174" s="14" t="str">
        <f>VLOOKUP(C1174,'State Key'!$A$2:$B$210,2,False)</f>
        <v>Andhra Pradesh</v>
      </c>
      <c r="E1174" s="15">
        <v>2000.0</v>
      </c>
      <c r="F1174" s="16">
        <v>715.74</v>
      </c>
      <c r="G1174" s="16">
        <v>0.0</v>
      </c>
      <c r="H1174" s="16">
        <v>47.21</v>
      </c>
      <c r="I1174" s="16">
        <v>72.273</v>
      </c>
      <c r="J1174" s="16">
        <v>0.0</v>
      </c>
      <c r="K1174" s="16">
        <v>0.0</v>
      </c>
      <c r="L1174" s="16">
        <v>835.223</v>
      </c>
      <c r="M1174" s="16">
        <v>897.472</v>
      </c>
      <c r="N1174" s="16">
        <v>48.816</v>
      </c>
      <c r="O1174" s="17">
        <v>1.6</v>
      </c>
      <c r="P1174" s="18">
        <f t="shared" si="1"/>
        <v>835.223</v>
      </c>
    </row>
    <row r="1175" ht="15.75" customHeight="1">
      <c r="A1175" s="19" t="s">
        <v>218</v>
      </c>
      <c r="B1175" s="19" t="s">
        <v>99</v>
      </c>
      <c r="C1175" s="20" t="s">
        <v>121</v>
      </c>
      <c r="D1175" s="14" t="str">
        <f>VLOOKUP(C1175,'State Key'!$A$2:$B$210,2,False)</f>
        <v>Andhra Pradesh</v>
      </c>
      <c r="E1175" s="21">
        <v>600.0</v>
      </c>
      <c r="F1175" s="22">
        <v>0.0</v>
      </c>
      <c r="G1175" s="22">
        <v>0.0</v>
      </c>
      <c r="H1175" s="22">
        <v>0.0</v>
      </c>
      <c r="I1175" s="22">
        <v>163.19913</v>
      </c>
      <c r="J1175" s="22">
        <v>0.0</v>
      </c>
      <c r="K1175" s="22">
        <v>0.0</v>
      </c>
      <c r="L1175" s="22">
        <v>163.19913</v>
      </c>
      <c r="M1175" s="22">
        <v>189.891</v>
      </c>
      <c r="N1175" s="22">
        <v>62.85</v>
      </c>
      <c r="O1175" s="23">
        <v>9.9</v>
      </c>
      <c r="P1175" s="18">
        <f t="shared" si="1"/>
        <v>163.19913</v>
      </c>
    </row>
    <row r="1176" ht="15.75" customHeight="1">
      <c r="A1176" s="13" t="s">
        <v>218</v>
      </c>
      <c r="B1176" s="13" t="s">
        <v>99</v>
      </c>
      <c r="C1176" s="14" t="s">
        <v>122</v>
      </c>
      <c r="D1176" s="14" t="str">
        <f>VLOOKUP(C1176,'State Key'!$A$2:$B$210,2,False)</f>
        <v>Telangana</v>
      </c>
      <c r="E1176" s="15">
        <v>1200.0</v>
      </c>
      <c r="F1176" s="16">
        <v>0.0</v>
      </c>
      <c r="G1176" s="16">
        <v>534.149</v>
      </c>
      <c r="H1176" s="16">
        <v>0.0</v>
      </c>
      <c r="I1176" s="16">
        <v>0.0</v>
      </c>
      <c r="J1176" s="16">
        <v>0.0</v>
      </c>
      <c r="K1176" s="16">
        <v>0.0</v>
      </c>
      <c r="L1176" s="16">
        <v>534.149</v>
      </c>
      <c r="M1176" s="16">
        <v>536.065</v>
      </c>
      <c r="N1176" s="16">
        <v>68.15</v>
      </c>
      <c r="O1176" s="17">
        <v>3.8</v>
      </c>
      <c r="P1176" s="18">
        <f t="shared" si="1"/>
        <v>534.149</v>
      </c>
    </row>
    <row r="1177" ht="15.75" customHeight="1">
      <c r="A1177" s="19" t="s">
        <v>218</v>
      </c>
      <c r="B1177" s="19" t="s">
        <v>99</v>
      </c>
      <c r="C1177" s="20" t="s">
        <v>220</v>
      </c>
      <c r="D1177" s="14" t="str">
        <f>VLOOKUP(C1177,'State Key'!$A$2:$B$210,2,False)</f>
        <v>Telangana</v>
      </c>
      <c r="E1177" s="21">
        <v>800.0</v>
      </c>
      <c r="F1177" s="22">
        <v>0.0</v>
      </c>
      <c r="G1177" s="22">
        <v>306.5</v>
      </c>
      <c r="H1177" s="22">
        <v>0.0</v>
      </c>
      <c r="I1177" s="22">
        <v>0.0</v>
      </c>
      <c r="J1177" s="22">
        <v>0.0</v>
      </c>
      <c r="K1177" s="22">
        <v>0.0</v>
      </c>
      <c r="L1177" s="22">
        <v>306.5</v>
      </c>
      <c r="M1177" s="22">
        <v>330.327</v>
      </c>
      <c r="N1177" s="22">
        <v>41.924</v>
      </c>
      <c r="O1177" s="17">
        <v>3.8</v>
      </c>
      <c r="P1177" s="18">
        <f t="shared" si="1"/>
        <v>306.5</v>
      </c>
    </row>
    <row r="1178" ht="15.75" customHeight="1">
      <c r="A1178" s="13" t="s">
        <v>218</v>
      </c>
      <c r="B1178" s="13" t="s">
        <v>99</v>
      </c>
      <c r="C1178" s="14" t="s">
        <v>123</v>
      </c>
      <c r="D1178" s="14" t="str">
        <f>VLOOKUP(C1178,'State Key'!$A$2:$B$210,2,False)</f>
        <v>Andhra Pradesh</v>
      </c>
      <c r="E1178" s="15">
        <v>300.0</v>
      </c>
      <c r="F1178" s="16">
        <v>0.0</v>
      </c>
      <c r="G1178" s="16">
        <v>0.0</v>
      </c>
      <c r="H1178" s="16">
        <v>0.0</v>
      </c>
      <c r="I1178" s="16">
        <v>0.0</v>
      </c>
      <c r="J1178" s="16">
        <v>0.0</v>
      </c>
      <c r="K1178" s="16">
        <v>0.0</v>
      </c>
      <c r="L1178" s="16">
        <v>0.0</v>
      </c>
      <c r="M1178" s="16">
        <v>0.0</v>
      </c>
      <c r="N1178" s="16">
        <v>0.0</v>
      </c>
      <c r="O1178" s="13" t="s">
        <v>58</v>
      </c>
      <c r="P1178" s="18">
        <f t="shared" si="1"/>
        <v>0</v>
      </c>
    </row>
    <row r="1179" ht="15.75" customHeight="1">
      <c r="A1179" s="19" t="s">
        <v>218</v>
      </c>
      <c r="B1179" s="19" t="s">
        <v>99</v>
      </c>
      <c r="C1179" s="20" t="s">
        <v>124</v>
      </c>
      <c r="D1179" s="14" t="str">
        <f>VLOOKUP(C1179,'State Key'!$A$2:$B$210,2,False)</f>
        <v>Karnataka</v>
      </c>
      <c r="E1179" s="21">
        <v>260.0</v>
      </c>
      <c r="F1179" s="22">
        <v>0.0</v>
      </c>
      <c r="G1179" s="22">
        <v>0.0</v>
      </c>
      <c r="H1179" s="22">
        <v>0.0</v>
      </c>
      <c r="I1179" s="22">
        <v>63.22</v>
      </c>
      <c r="J1179" s="22">
        <v>0.0</v>
      </c>
      <c r="K1179" s="22">
        <v>0.0</v>
      </c>
      <c r="L1179" s="22">
        <v>63.22</v>
      </c>
      <c r="M1179" s="22">
        <v>63.22</v>
      </c>
      <c r="N1179" s="22">
        <v>0.0</v>
      </c>
      <c r="O1179" s="17">
        <v>0.0</v>
      </c>
      <c r="P1179" s="18">
        <f t="shared" si="1"/>
        <v>63.22</v>
      </c>
    </row>
    <row r="1180" ht="15.75" customHeight="1">
      <c r="A1180" s="13" t="s">
        <v>218</v>
      </c>
      <c r="B1180" s="13" t="s">
        <v>99</v>
      </c>
      <c r="C1180" s="14" t="s">
        <v>125</v>
      </c>
      <c r="D1180" s="14" t="str">
        <f>VLOOKUP(C1180,'State Key'!$A$2:$B$210,2,False)</f>
        <v>Karnataka</v>
      </c>
      <c r="E1180" s="15">
        <v>600.0</v>
      </c>
      <c r="F1180" s="16">
        <v>0.0</v>
      </c>
      <c r="G1180" s="16">
        <v>0.0</v>
      </c>
      <c r="H1180" s="16">
        <v>0.0</v>
      </c>
      <c r="I1180" s="16">
        <v>153.43</v>
      </c>
      <c r="J1180" s="16">
        <v>0.0</v>
      </c>
      <c r="K1180" s="16">
        <v>0.0</v>
      </c>
      <c r="L1180" s="16">
        <v>153.43</v>
      </c>
      <c r="M1180" s="16">
        <v>151.13</v>
      </c>
      <c r="N1180" s="16">
        <v>2.4</v>
      </c>
      <c r="O1180" s="17">
        <v>0.5</v>
      </c>
      <c r="P1180" s="18">
        <f t="shared" si="1"/>
        <v>153.43</v>
      </c>
    </row>
    <row r="1181" ht="15.75" customHeight="1">
      <c r="A1181" s="19" t="s">
        <v>218</v>
      </c>
      <c r="B1181" s="19" t="s">
        <v>99</v>
      </c>
      <c r="C1181" s="20" t="s">
        <v>126</v>
      </c>
      <c r="D1181" s="14" t="str">
        <f>VLOOKUP(C1181,'State Key'!$A$2:$B$210,2,False)</f>
        <v>Tamil Nadu</v>
      </c>
      <c r="E1181" s="21">
        <v>300.0</v>
      </c>
      <c r="F1181" s="22">
        <v>0.0</v>
      </c>
      <c r="G1181" s="22">
        <v>0.0</v>
      </c>
      <c r="H1181" s="22">
        <v>0.0</v>
      </c>
      <c r="I1181" s="22">
        <v>0.0</v>
      </c>
      <c r="J1181" s="22">
        <v>0.0</v>
      </c>
      <c r="K1181" s="22">
        <v>0.0</v>
      </c>
      <c r="L1181" s="22">
        <v>0.0</v>
      </c>
      <c r="M1181" s="22">
        <v>0.0</v>
      </c>
      <c r="N1181" s="22">
        <v>0.0</v>
      </c>
      <c r="O1181" s="19" t="s">
        <v>58</v>
      </c>
      <c r="P1181" s="18">
        <f t="shared" si="1"/>
        <v>0</v>
      </c>
    </row>
    <row r="1182" ht="15.75" customHeight="1">
      <c r="A1182" s="13" t="s">
        <v>218</v>
      </c>
      <c r="B1182" s="13" t="s">
        <v>99</v>
      </c>
      <c r="C1182" s="14" t="s">
        <v>127</v>
      </c>
      <c r="D1182" s="14" t="str">
        <f>VLOOKUP(C1182,'State Key'!$A$2:$B$210,2,False)</f>
        <v>Tamil Nadu</v>
      </c>
      <c r="E1182" s="15">
        <v>525.0</v>
      </c>
      <c r="F1182" s="16">
        <v>0.0</v>
      </c>
      <c r="G1182" s="16">
        <v>0.0</v>
      </c>
      <c r="H1182" s="16">
        <v>0.0</v>
      </c>
      <c r="I1182" s="16">
        <v>153.278</v>
      </c>
      <c r="J1182" s="16">
        <v>0.0</v>
      </c>
      <c r="K1182" s="16">
        <v>0.0</v>
      </c>
      <c r="L1182" s="16">
        <v>153.278</v>
      </c>
      <c r="M1182" s="16">
        <v>164.12</v>
      </c>
      <c r="N1182" s="16">
        <v>21.11</v>
      </c>
      <c r="O1182" s="17">
        <v>3.9</v>
      </c>
      <c r="P1182" s="18">
        <f t="shared" si="1"/>
        <v>153.278</v>
      </c>
    </row>
    <row r="1183" ht="15.75" customHeight="1">
      <c r="A1183" s="19" t="s">
        <v>218</v>
      </c>
      <c r="B1183" s="19" t="s">
        <v>99</v>
      </c>
      <c r="C1183" s="20" t="s">
        <v>128</v>
      </c>
      <c r="D1183" s="14" t="str">
        <f>VLOOKUP(C1183,'State Key'!$A$2:$B$210,2,False)</f>
        <v>Tamil Nadu</v>
      </c>
      <c r="E1183" s="21">
        <v>1050.0</v>
      </c>
      <c r="F1183" s="22">
        <v>579.349</v>
      </c>
      <c r="G1183" s="22">
        <v>0.0</v>
      </c>
      <c r="H1183" s="22">
        <v>0.0</v>
      </c>
      <c r="I1183" s="22">
        <v>0.0</v>
      </c>
      <c r="J1183" s="22">
        <v>0.0</v>
      </c>
      <c r="K1183" s="22">
        <v>0.0</v>
      </c>
      <c r="L1183" s="22">
        <v>579.349</v>
      </c>
      <c r="M1183" s="22">
        <v>550.148</v>
      </c>
      <c r="N1183" s="22">
        <v>108.58</v>
      </c>
      <c r="O1183" s="17">
        <v>5.9</v>
      </c>
      <c r="P1183" s="18">
        <f t="shared" si="1"/>
        <v>579.349</v>
      </c>
    </row>
    <row r="1184" ht="15.75" customHeight="1">
      <c r="A1184" s="13" t="s">
        <v>218</v>
      </c>
      <c r="B1184" s="13" t="s">
        <v>99</v>
      </c>
      <c r="C1184" s="14" t="s">
        <v>130</v>
      </c>
      <c r="D1184" s="14" t="str">
        <f>VLOOKUP(C1184,'State Key'!$A$2:$B$210,2,False)</f>
        <v>Tamil Nadu</v>
      </c>
      <c r="E1184" s="15">
        <v>1500.0</v>
      </c>
      <c r="F1184" s="16">
        <v>281.901</v>
      </c>
      <c r="G1184" s="16">
        <v>37.073</v>
      </c>
      <c r="H1184" s="16">
        <v>0.0</v>
      </c>
      <c r="I1184" s="16">
        <v>0.0</v>
      </c>
      <c r="J1184" s="16">
        <v>0.0</v>
      </c>
      <c r="K1184" s="16">
        <v>0.0</v>
      </c>
      <c r="L1184" s="16">
        <v>318.974</v>
      </c>
      <c r="M1184" s="16">
        <v>467.358</v>
      </c>
      <c r="N1184" s="16">
        <v>122.71</v>
      </c>
      <c r="O1184" s="23">
        <v>7.9</v>
      </c>
      <c r="P1184" s="18">
        <f t="shared" si="1"/>
        <v>318.974</v>
      </c>
    </row>
    <row r="1185" ht="15.75" customHeight="1">
      <c r="A1185" s="19" t="s">
        <v>218</v>
      </c>
      <c r="B1185" s="19" t="s">
        <v>99</v>
      </c>
      <c r="C1185" s="20" t="s">
        <v>131</v>
      </c>
      <c r="D1185" s="14" t="str">
        <f>VLOOKUP(C1185,'State Key'!$A$2:$B$210,2,False)</f>
        <v>Andhra Pradesh</v>
      </c>
      <c r="E1185" s="21">
        <v>1040.0</v>
      </c>
      <c r="F1185" s="22">
        <v>377.91379</v>
      </c>
      <c r="G1185" s="22">
        <v>0.0</v>
      </c>
      <c r="H1185" s="22">
        <v>0.0</v>
      </c>
      <c r="I1185" s="22">
        <v>90.90073</v>
      </c>
      <c r="J1185" s="22">
        <v>0.0</v>
      </c>
      <c r="K1185" s="22">
        <v>0.0</v>
      </c>
      <c r="L1185" s="22">
        <v>468.81452</v>
      </c>
      <c r="M1185" s="22">
        <v>456.08</v>
      </c>
      <c r="N1185" s="22">
        <v>125.7589</v>
      </c>
      <c r="O1185" s="23">
        <v>8.3</v>
      </c>
      <c r="P1185" s="18">
        <f t="shared" si="1"/>
        <v>468.81452</v>
      </c>
    </row>
    <row r="1186" ht="15.75" customHeight="1">
      <c r="A1186" s="13" t="s">
        <v>218</v>
      </c>
      <c r="B1186" s="13" t="s">
        <v>99</v>
      </c>
      <c r="C1186" s="14" t="s">
        <v>132</v>
      </c>
      <c r="D1186" s="14" t="str">
        <f>VLOOKUP(C1186,'State Key'!$A$2:$B$210,2,False)</f>
        <v>Karnataka</v>
      </c>
      <c r="E1186" s="15">
        <v>1600.0</v>
      </c>
      <c r="F1186" s="16">
        <v>0.0</v>
      </c>
      <c r="G1186" s="16">
        <v>496.662</v>
      </c>
      <c r="H1186" s="16">
        <v>0.0</v>
      </c>
      <c r="I1186" s="16">
        <v>0.0</v>
      </c>
      <c r="J1186" s="16">
        <v>0.0</v>
      </c>
      <c r="K1186" s="16">
        <v>0.0</v>
      </c>
      <c r="L1186" s="16">
        <v>496.662</v>
      </c>
      <c r="M1186" s="16">
        <v>452.689</v>
      </c>
      <c r="N1186" s="16">
        <v>115.496</v>
      </c>
      <c r="O1186" s="23">
        <v>7.7</v>
      </c>
      <c r="P1186" s="18">
        <f t="shared" si="1"/>
        <v>496.662</v>
      </c>
    </row>
    <row r="1187" ht="15.75" customHeight="1">
      <c r="A1187" s="19" t="s">
        <v>218</v>
      </c>
      <c r="B1187" s="19" t="s">
        <v>133</v>
      </c>
      <c r="C1187" s="20" t="s">
        <v>211</v>
      </c>
      <c r="D1187" s="14" t="str">
        <f>VLOOKUP(C1187,'State Key'!$A$2:$B$210,2,False)</f>
        <v>Gujarat</v>
      </c>
      <c r="E1187" s="21">
        <v>2640.0</v>
      </c>
      <c r="F1187" s="22">
        <v>0.0</v>
      </c>
      <c r="G1187" s="22">
        <v>0.0</v>
      </c>
      <c r="H1187" s="22">
        <v>0.0</v>
      </c>
      <c r="I1187" s="22">
        <v>858.399</v>
      </c>
      <c r="J1187" s="22">
        <v>0.0</v>
      </c>
      <c r="K1187" s="22">
        <v>0.0</v>
      </c>
      <c r="L1187" s="22">
        <v>858.399</v>
      </c>
      <c r="M1187" s="22">
        <v>852.712</v>
      </c>
      <c r="N1187" s="22">
        <v>32.429</v>
      </c>
      <c r="O1187" s="17">
        <v>1.1</v>
      </c>
      <c r="P1187" s="18">
        <f t="shared" si="1"/>
        <v>858.399</v>
      </c>
    </row>
    <row r="1188" ht="15.75" customHeight="1">
      <c r="A1188" s="13" t="s">
        <v>218</v>
      </c>
      <c r="B1188" s="13" t="s">
        <v>133</v>
      </c>
      <c r="C1188" s="14" t="s">
        <v>212</v>
      </c>
      <c r="D1188" s="14" t="str">
        <f>VLOOKUP(C1188,'State Key'!$A$2:$B$210,2,False)</f>
        <v>Gujarat</v>
      </c>
      <c r="E1188" s="15">
        <v>1980.0</v>
      </c>
      <c r="F1188" s="16">
        <v>0.0</v>
      </c>
      <c r="G1188" s="16">
        <v>0.0</v>
      </c>
      <c r="H1188" s="16">
        <v>0.0</v>
      </c>
      <c r="I1188" s="16">
        <v>691.097</v>
      </c>
      <c r="J1188" s="16">
        <v>0.0</v>
      </c>
      <c r="K1188" s="16">
        <v>0.0</v>
      </c>
      <c r="L1188" s="16">
        <v>691.097</v>
      </c>
      <c r="M1188" s="16">
        <v>676.872</v>
      </c>
      <c r="N1188" s="16">
        <v>71.458</v>
      </c>
      <c r="O1188" s="17">
        <v>3.2</v>
      </c>
      <c r="P1188" s="18">
        <f t="shared" si="1"/>
        <v>691.097</v>
      </c>
    </row>
    <row r="1189" ht="15.75" customHeight="1">
      <c r="A1189" s="19" t="s">
        <v>218</v>
      </c>
      <c r="B1189" s="19" t="s">
        <v>133</v>
      </c>
      <c r="C1189" s="20" t="s">
        <v>213</v>
      </c>
      <c r="D1189" s="14" t="str">
        <f>VLOOKUP(C1189,'State Key'!$A$2:$B$210,2,False)</f>
        <v>Chhattisgarh</v>
      </c>
      <c r="E1189" s="21">
        <v>600.0</v>
      </c>
      <c r="F1189" s="22">
        <v>84.251</v>
      </c>
      <c r="G1189" s="22">
        <v>0.0</v>
      </c>
      <c r="H1189" s="22">
        <v>0.0</v>
      </c>
      <c r="I1189" s="22">
        <v>25.827</v>
      </c>
      <c r="J1189" s="22">
        <v>0.0</v>
      </c>
      <c r="K1189" s="22">
        <v>212.907</v>
      </c>
      <c r="L1189" s="22">
        <v>322.985</v>
      </c>
      <c r="M1189" s="22">
        <v>255.382</v>
      </c>
      <c r="N1189" s="22">
        <v>312.94</v>
      </c>
      <c r="O1189" s="24">
        <v>36.8</v>
      </c>
      <c r="P1189" s="18">
        <f t="shared" si="1"/>
        <v>322.985</v>
      </c>
    </row>
    <row r="1190" ht="15.75" customHeight="1">
      <c r="A1190" s="13" t="s">
        <v>218</v>
      </c>
      <c r="B1190" s="13" t="s">
        <v>133</v>
      </c>
      <c r="C1190" s="14" t="s">
        <v>214</v>
      </c>
      <c r="D1190" s="14" t="str">
        <f>VLOOKUP(C1190,'State Key'!$A$2:$B$210,2,False)</f>
        <v>Chhattisgarh</v>
      </c>
      <c r="E1190" s="15">
        <v>1370.0</v>
      </c>
      <c r="F1190" s="16">
        <v>298.689</v>
      </c>
      <c r="G1190" s="16">
        <v>0.0</v>
      </c>
      <c r="H1190" s="16">
        <v>0.0</v>
      </c>
      <c r="I1190" s="16">
        <v>172.684</v>
      </c>
      <c r="J1190" s="16">
        <v>53.075</v>
      </c>
      <c r="K1190" s="16">
        <v>62.635</v>
      </c>
      <c r="L1190" s="16">
        <v>587.083</v>
      </c>
      <c r="M1190" s="16">
        <v>552.8329</v>
      </c>
      <c r="N1190" s="16">
        <v>122.09</v>
      </c>
      <c r="O1190" s="17">
        <v>6.6</v>
      </c>
      <c r="P1190" s="18">
        <f t="shared" si="1"/>
        <v>587.083</v>
      </c>
    </row>
    <row r="1191" ht="15.75" customHeight="1">
      <c r="A1191" s="19" t="s">
        <v>218</v>
      </c>
      <c r="B1191" s="19" t="s">
        <v>133</v>
      </c>
      <c r="C1191" s="20" t="s">
        <v>215</v>
      </c>
      <c r="D1191" s="14" t="str">
        <f>VLOOKUP(C1191,'State Key'!$A$2:$B$210,2,False)</f>
        <v>Maharashtra</v>
      </c>
      <c r="E1191" s="21">
        <v>3300.0</v>
      </c>
      <c r="F1191" s="22">
        <v>1111.181</v>
      </c>
      <c r="G1191" s="22">
        <v>0.0</v>
      </c>
      <c r="H1191" s="22">
        <v>0.0</v>
      </c>
      <c r="I1191" s="22">
        <v>0.0</v>
      </c>
      <c r="J1191" s="22">
        <v>0.0</v>
      </c>
      <c r="K1191" s="22">
        <v>0.0</v>
      </c>
      <c r="L1191" s="22">
        <v>1111.181</v>
      </c>
      <c r="M1191" s="22">
        <v>1237.739</v>
      </c>
      <c r="N1191" s="22">
        <v>130.66</v>
      </c>
      <c r="O1191" s="17">
        <v>3.2</v>
      </c>
      <c r="P1191" s="18">
        <f t="shared" si="1"/>
        <v>1111.181</v>
      </c>
    </row>
    <row r="1192" ht="15.75" customHeight="1">
      <c r="A1192" s="13" t="s">
        <v>218</v>
      </c>
      <c r="B1192" s="13" t="s">
        <v>133</v>
      </c>
      <c r="C1192" s="14" t="s">
        <v>134</v>
      </c>
      <c r="D1192" s="14" t="str">
        <f>VLOOKUP(C1192,'State Key'!$A$2:$B$210,2,False)</f>
        <v>Chhattisgarh</v>
      </c>
      <c r="E1192" s="15">
        <v>1800.0</v>
      </c>
      <c r="F1192" s="16">
        <v>482.127</v>
      </c>
      <c r="G1192" s="16">
        <v>0.0</v>
      </c>
      <c r="H1192" s="16">
        <v>0.0</v>
      </c>
      <c r="I1192" s="16">
        <v>0.0</v>
      </c>
      <c r="J1192" s="16">
        <v>0.0</v>
      </c>
      <c r="K1192" s="16">
        <v>0.0</v>
      </c>
      <c r="L1192" s="16">
        <v>482.127</v>
      </c>
      <c r="M1192" s="16">
        <v>458.277</v>
      </c>
      <c r="N1192" s="16">
        <v>381.02</v>
      </c>
      <c r="O1192" s="24">
        <v>24.9</v>
      </c>
      <c r="P1192" s="18">
        <f t="shared" si="1"/>
        <v>482.127</v>
      </c>
    </row>
    <row r="1193" ht="15.75" customHeight="1">
      <c r="A1193" s="19" t="s">
        <v>218</v>
      </c>
      <c r="B1193" s="19" t="s">
        <v>133</v>
      </c>
      <c r="C1193" s="20" t="s">
        <v>135</v>
      </c>
      <c r="D1193" s="14" t="str">
        <f>VLOOKUP(C1193,'State Key'!$A$2:$B$210,2,False)</f>
        <v>Madhya Pradesh</v>
      </c>
      <c r="E1193" s="21">
        <v>210.0</v>
      </c>
      <c r="F1193" s="22">
        <v>101.089</v>
      </c>
      <c r="G1193" s="22">
        <v>0.0</v>
      </c>
      <c r="H1193" s="22">
        <v>0.0</v>
      </c>
      <c r="I1193" s="22">
        <v>0.0</v>
      </c>
      <c r="J1193" s="22">
        <v>0.0</v>
      </c>
      <c r="K1193" s="22">
        <v>0.0</v>
      </c>
      <c r="L1193" s="22">
        <v>101.089</v>
      </c>
      <c r="M1193" s="22">
        <v>91.938</v>
      </c>
      <c r="N1193" s="22">
        <v>33.32</v>
      </c>
      <c r="O1193" s="23">
        <v>10.9</v>
      </c>
      <c r="P1193" s="18">
        <f t="shared" si="1"/>
        <v>101.089</v>
      </c>
    </row>
    <row r="1194" ht="15.75" customHeight="1">
      <c r="A1194" s="13" t="s">
        <v>218</v>
      </c>
      <c r="B1194" s="13" t="s">
        <v>133</v>
      </c>
      <c r="C1194" s="14" t="s">
        <v>136</v>
      </c>
      <c r="D1194" s="14" t="str">
        <f>VLOOKUP(C1194,'State Key'!$A$2:$B$210,2,False)</f>
        <v>Maharashtra</v>
      </c>
      <c r="E1194" s="15">
        <v>1350.0</v>
      </c>
      <c r="F1194" s="16">
        <v>463.139</v>
      </c>
      <c r="G1194" s="16">
        <v>0.0</v>
      </c>
      <c r="H1194" s="16">
        <v>0.0</v>
      </c>
      <c r="I1194" s="16">
        <v>0.0</v>
      </c>
      <c r="J1194" s="16">
        <v>0.0</v>
      </c>
      <c r="K1194" s="16">
        <v>0.0</v>
      </c>
      <c r="L1194" s="16">
        <v>463.139</v>
      </c>
      <c r="M1194" s="16">
        <v>532.188</v>
      </c>
      <c r="N1194" s="16">
        <v>181.7</v>
      </c>
      <c r="O1194" s="23">
        <v>10.2</v>
      </c>
      <c r="P1194" s="18">
        <f t="shared" si="1"/>
        <v>463.139</v>
      </c>
    </row>
    <row r="1195" ht="15.75" customHeight="1">
      <c r="A1195" s="19" t="s">
        <v>218</v>
      </c>
      <c r="B1195" s="19" t="s">
        <v>133</v>
      </c>
      <c r="C1195" s="20" t="s">
        <v>137</v>
      </c>
      <c r="D1195" s="14" t="str">
        <f>VLOOKUP(C1195,'State Key'!$A$2:$B$210,2,False)</f>
        <v>Madhya Pradesh</v>
      </c>
      <c r="E1195" s="21">
        <v>1250.0</v>
      </c>
      <c r="F1195" s="22">
        <v>403.92</v>
      </c>
      <c r="G1195" s="22">
        <v>0.0</v>
      </c>
      <c r="H1195" s="22">
        <v>0.0</v>
      </c>
      <c r="I1195" s="22">
        <v>0.0</v>
      </c>
      <c r="J1195" s="22">
        <v>0.0</v>
      </c>
      <c r="K1195" s="22">
        <v>107.87</v>
      </c>
      <c r="L1195" s="22">
        <v>511.79</v>
      </c>
      <c r="M1195" s="22">
        <v>490.39</v>
      </c>
      <c r="N1195" s="22">
        <v>220.59</v>
      </c>
      <c r="O1195" s="23">
        <v>13.5</v>
      </c>
      <c r="P1195" s="18">
        <f t="shared" si="1"/>
        <v>511.79</v>
      </c>
    </row>
    <row r="1196" ht="15.75" customHeight="1">
      <c r="A1196" s="13" t="s">
        <v>218</v>
      </c>
      <c r="B1196" s="13" t="s">
        <v>133</v>
      </c>
      <c r="C1196" s="14" t="s">
        <v>139</v>
      </c>
      <c r="D1196" s="14" t="str">
        <f>VLOOKUP(C1196,'State Key'!$A$2:$B$210,2,False)</f>
        <v>Chhattisgarh</v>
      </c>
      <c r="E1196" s="15">
        <v>600.0</v>
      </c>
      <c r="F1196" s="16">
        <v>222.872</v>
      </c>
      <c r="G1196" s="16">
        <v>0.0</v>
      </c>
      <c r="H1196" s="16">
        <v>0.0</v>
      </c>
      <c r="I1196" s="16">
        <v>0.0</v>
      </c>
      <c r="J1196" s="16">
        <v>0.0</v>
      </c>
      <c r="K1196" s="16">
        <v>101.498</v>
      </c>
      <c r="L1196" s="16">
        <v>324.37</v>
      </c>
      <c r="M1196" s="16">
        <v>251.936</v>
      </c>
      <c r="N1196" s="16">
        <v>81.13</v>
      </c>
      <c r="O1196" s="23">
        <v>9.7</v>
      </c>
      <c r="P1196" s="18">
        <f t="shared" si="1"/>
        <v>324.37</v>
      </c>
    </row>
    <row r="1197" ht="15.75" customHeight="1">
      <c r="A1197" s="19" t="s">
        <v>218</v>
      </c>
      <c r="B1197" s="19" t="s">
        <v>133</v>
      </c>
      <c r="C1197" s="20" t="s">
        <v>140</v>
      </c>
      <c r="D1197" s="14" t="str">
        <f>VLOOKUP(C1197,'State Key'!$A$2:$B$210,2,False)</f>
        <v>Chhattisgarh</v>
      </c>
      <c r="E1197" s="21">
        <v>300.0</v>
      </c>
      <c r="F1197" s="22">
        <v>104.039</v>
      </c>
      <c r="G1197" s="22">
        <v>0.0</v>
      </c>
      <c r="H1197" s="22">
        <v>0.0</v>
      </c>
      <c r="I1197" s="22">
        <v>0.0</v>
      </c>
      <c r="J1197" s="22">
        <v>4.189</v>
      </c>
      <c r="K1197" s="22">
        <v>45.863</v>
      </c>
      <c r="L1197" s="22">
        <v>154.091</v>
      </c>
      <c r="M1197" s="22">
        <v>144.134</v>
      </c>
      <c r="N1197" s="22">
        <v>42.36</v>
      </c>
      <c r="O1197" s="23">
        <v>8.8</v>
      </c>
      <c r="P1197" s="18">
        <f t="shared" si="1"/>
        <v>154.091</v>
      </c>
    </row>
    <row r="1198" ht="15.75" customHeight="1">
      <c r="A1198" s="13" t="s">
        <v>218</v>
      </c>
      <c r="B1198" s="13" t="s">
        <v>133</v>
      </c>
      <c r="C1198" s="14" t="s">
        <v>141</v>
      </c>
      <c r="D1198" s="14" t="str">
        <f>VLOOKUP(C1198,'State Key'!$A$2:$B$210,2,False)</f>
        <v>Chhattisgarh</v>
      </c>
      <c r="E1198" s="15">
        <v>1200.0</v>
      </c>
      <c r="F1198" s="16">
        <v>240.088</v>
      </c>
      <c r="G1198" s="16">
        <v>0.0</v>
      </c>
      <c r="H1198" s="16">
        <v>0.0</v>
      </c>
      <c r="I1198" s="16">
        <v>0.0</v>
      </c>
      <c r="J1198" s="16">
        <v>0.0</v>
      </c>
      <c r="K1198" s="16">
        <v>265.197</v>
      </c>
      <c r="L1198" s="16">
        <v>505.285</v>
      </c>
      <c r="M1198" s="16">
        <v>511.74</v>
      </c>
      <c r="N1198" s="16">
        <v>157.83</v>
      </c>
      <c r="O1198" s="23">
        <v>9.3</v>
      </c>
      <c r="P1198" s="18">
        <f t="shared" si="1"/>
        <v>505.285</v>
      </c>
    </row>
    <row r="1199" ht="15.75" customHeight="1">
      <c r="A1199" s="19" t="s">
        <v>218</v>
      </c>
      <c r="B1199" s="19" t="s">
        <v>133</v>
      </c>
      <c r="C1199" s="20" t="s">
        <v>142</v>
      </c>
      <c r="D1199" s="14" t="str">
        <f>VLOOKUP(C1199,'State Key'!$A$2:$B$210,2,False)</f>
        <v>Maharashtra</v>
      </c>
      <c r="E1199" s="21">
        <v>270.0</v>
      </c>
      <c r="F1199" s="22">
        <v>115.202</v>
      </c>
      <c r="G1199" s="22">
        <v>0.0</v>
      </c>
      <c r="H1199" s="22">
        <v>0.0</v>
      </c>
      <c r="I1199" s="22">
        <v>0.0</v>
      </c>
      <c r="J1199" s="22">
        <v>0.0</v>
      </c>
      <c r="K1199" s="22">
        <v>0.215</v>
      </c>
      <c r="L1199" s="22">
        <v>115.417</v>
      </c>
      <c r="M1199" s="22">
        <v>70.993</v>
      </c>
      <c r="N1199" s="22">
        <v>44.56</v>
      </c>
      <c r="O1199" s="24">
        <v>18.8</v>
      </c>
      <c r="P1199" s="18">
        <f t="shared" si="1"/>
        <v>115.417</v>
      </c>
    </row>
    <row r="1200" ht="15.75" customHeight="1">
      <c r="A1200" s="13" t="s">
        <v>218</v>
      </c>
      <c r="B1200" s="13" t="s">
        <v>133</v>
      </c>
      <c r="C1200" s="14" t="s">
        <v>143</v>
      </c>
      <c r="D1200" s="14" t="str">
        <f>VLOOKUP(C1200,'State Key'!$A$2:$B$210,2,False)</f>
        <v>Chhattisgarh</v>
      </c>
      <c r="E1200" s="15">
        <v>500.0</v>
      </c>
      <c r="F1200" s="16">
        <v>243.99</v>
      </c>
      <c r="G1200" s="16">
        <v>0.0</v>
      </c>
      <c r="H1200" s="16">
        <v>0.0</v>
      </c>
      <c r="I1200" s="16">
        <v>0.0</v>
      </c>
      <c r="J1200" s="16">
        <v>0.0</v>
      </c>
      <c r="K1200" s="16">
        <v>0.0</v>
      </c>
      <c r="L1200" s="16">
        <v>243.99</v>
      </c>
      <c r="M1200" s="16">
        <v>252.631</v>
      </c>
      <c r="N1200" s="16">
        <v>68.37</v>
      </c>
      <c r="O1200" s="23">
        <v>8.1</v>
      </c>
      <c r="P1200" s="18">
        <f t="shared" si="1"/>
        <v>243.99</v>
      </c>
    </row>
    <row r="1201" ht="15.75" customHeight="1">
      <c r="A1201" s="19" t="s">
        <v>218</v>
      </c>
      <c r="B1201" s="19" t="s">
        <v>133</v>
      </c>
      <c r="C1201" s="20" t="s">
        <v>144</v>
      </c>
      <c r="D1201" s="14" t="str">
        <f>VLOOKUP(C1201,'State Key'!$A$2:$B$210,2,False)</f>
        <v>Maharashtra</v>
      </c>
      <c r="E1201" s="21">
        <v>1210.0</v>
      </c>
      <c r="F1201" s="22">
        <v>523.937</v>
      </c>
      <c r="G1201" s="22">
        <v>0.0</v>
      </c>
      <c r="H1201" s="22">
        <v>0.0</v>
      </c>
      <c r="I1201" s="22">
        <v>57.689</v>
      </c>
      <c r="J1201" s="22">
        <v>0.0</v>
      </c>
      <c r="K1201" s="22">
        <v>0.0</v>
      </c>
      <c r="L1201" s="22">
        <v>581.626</v>
      </c>
      <c r="M1201" s="22">
        <v>514.654</v>
      </c>
      <c r="N1201" s="22">
        <v>95.6698</v>
      </c>
      <c r="O1201" s="17">
        <v>5.6</v>
      </c>
      <c r="P1201" s="18">
        <f t="shared" si="1"/>
        <v>581.626</v>
      </c>
    </row>
    <row r="1202" ht="15.75" customHeight="1">
      <c r="A1202" s="13" t="s">
        <v>218</v>
      </c>
      <c r="B1202" s="13" t="s">
        <v>133</v>
      </c>
      <c r="C1202" s="14" t="s">
        <v>145</v>
      </c>
      <c r="D1202" s="14" t="str">
        <f>VLOOKUP(C1202,'State Key'!$A$2:$B$210,2,False)</f>
        <v>Madhya Pradesh</v>
      </c>
      <c r="E1202" s="15">
        <v>500.0</v>
      </c>
      <c r="F1202" s="16">
        <v>139.39</v>
      </c>
      <c r="G1202" s="16">
        <v>0.0</v>
      </c>
      <c r="H1202" s="16">
        <v>0.0</v>
      </c>
      <c r="I1202" s="16">
        <v>0.0</v>
      </c>
      <c r="J1202" s="16">
        <v>0.0</v>
      </c>
      <c r="K1202" s="16">
        <v>69.52</v>
      </c>
      <c r="L1202" s="16">
        <v>208.91</v>
      </c>
      <c r="M1202" s="16">
        <v>236.1999</v>
      </c>
      <c r="N1202" s="16">
        <v>75.35</v>
      </c>
      <c r="O1202" s="23">
        <v>9.6</v>
      </c>
      <c r="P1202" s="18">
        <f t="shared" si="1"/>
        <v>208.91</v>
      </c>
    </row>
    <row r="1203" ht="15.75" customHeight="1">
      <c r="A1203" s="19" t="s">
        <v>218</v>
      </c>
      <c r="B1203" s="19" t="s">
        <v>133</v>
      </c>
      <c r="C1203" s="20" t="s">
        <v>146</v>
      </c>
      <c r="D1203" s="14" t="str">
        <f>VLOOKUP(C1203,'State Key'!$A$2:$B$210,2,False)</f>
        <v>Chhattisgarh</v>
      </c>
      <c r="E1203" s="21">
        <v>600.0</v>
      </c>
      <c r="F1203" s="22">
        <v>58.229</v>
      </c>
      <c r="G1203" s="22">
        <v>0.0</v>
      </c>
      <c r="H1203" s="22">
        <v>0.0</v>
      </c>
      <c r="I1203" s="22">
        <v>0.0</v>
      </c>
      <c r="J1203" s="22">
        <v>0.0</v>
      </c>
      <c r="K1203" s="22">
        <v>62.627</v>
      </c>
      <c r="L1203" s="22">
        <v>120.856</v>
      </c>
      <c r="M1203" s="22">
        <v>157.613</v>
      </c>
      <c r="N1203" s="22">
        <v>191.61</v>
      </c>
      <c r="O1203" s="24">
        <v>36.5</v>
      </c>
      <c r="P1203" s="18">
        <f t="shared" si="1"/>
        <v>120.856</v>
      </c>
    </row>
    <row r="1204" ht="15.75" customHeight="1">
      <c r="A1204" s="13" t="s">
        <v>218</v>
      </c>
      <c r="B1204" s="13" t="s">
        <v>133</v>
      </c>
      <c r="C1204" s="14" t="s">
        <v>147</v>
      </c>
      <c r="D1204" s="14" t="str">
        <f>VLOOKUP(C1204,'State Key'!$A$2:$B$210,2,False)</f>
        <v>Maharashtra</v>
      </c>
      <c r="E1204" s="15">
        <v>600.0</v>
      </c>
      <c r="F1204" s="16">
        <v>0.0</v>
      </c>
      <c r="G1204" s="16">
        <v>0.0</v>
      </c>
      <c r="H1204" s="16">
        <v>0.0</v>
      </c>
      <c r="I1204" s="16">
        <v>0.0</v>
      </c>
      <c r="J1204" s="16">
        <v>0.0</v>
      </c>
      <c r="K1204" s="16">
        <v>0.0</v>
      </c>
      <c r="L1204" s="16">
        <v>0.0</v>
      </c>
      <c r="M1204" s="16">
        <v>0.0</v>
      </c>
      <c r="N1204" s="16">
        <v>0.0</v>
      </c>
      <c r="O1204" s="13" t="s">
        <v>58</v>
      </c>
      <c r="P1204" s="18">
        <f t="shared" si="1"/>
        <v>0</v>
      </c>
    </row>
    <row r="1205" ht="15.75" customHeight="1">
      <c r="A1205" s="19" t="s">
        <v>218</v>
      </c>
      <c r="B1205" s="19" t="s">
        <v>133</v>
      </c>
      <c r="C1205" s="20" t="s">
        <v>148</v>
      </c>
      <c r="D1205" s="14" t="str">
        <f>VLOOKUP(C1205,'State Key'!$A$2:$B$210,2,False)</f>
        <v>Chhattisgarh</v>
      </c>
      <c r="E1205" s="21">
        <v>30.0</v>
      </c>
      <c r="F1205" s="22">
        <v>17.478</v>
      </c>
      <c r="G1205" s="22">
        <v>0.0</v>
      </c>
      <c r="H1205" s="22">
        <v>0.0</v>
      </c>
      <c r="I1205" s="22">
        <v>0.0</v>
      </c>
      <c r="J1205" s="22">
        <v>37.639</v>
      </c>
      <c r="K1205" s="22">
        <v>0.0</v>
      </c>
      <c r="L1205" s="22">
        <v>55.117</v>
      </c>
      <c r="M1205" s="22">
        <v>52.329</v>
      </c>
      <c r="N1205" s="22">
        <v>30.98</v>
      </c>
      <c r="O1205" s="24">
        <v>17.8</v>
      </c>
      <c r="P1205" s="18">
        <f t="shared" si="1"/>
        <v>55.117</v>
      </c>
    </row>
    <row r="1206" ht="15.75" customHeight="1">
      <c r="A1206" s="13" t="s">
        <v>218</v>
      </c>
      <c r="B1206" s="13" t="s">
        <v>133</v>
      </c>
      <c r="C1206" s="14" t="s">
        <v>149</v>
      </c>
      <c r="D1206" s="14" t="str">
        <f>VLOOKUP(C1206,'State Key'!$A$2:$B$210,2,False)</f>
        <v>Maharashtra</v>
      </c>
      <c r="E1206" s="15">
        <v>2920.0</v>
      </c>
      <c r="F1206" s="16">
        <v>1070.611</v>
      </c>
      <c r="G1206" s="16">
        <v>0.0</v>
      </c>
      <c r="H1206" s="16">
        <v>0.0</v>
      </c>
      <c r="I1206" s="16">
        <v>117.63</v>
      </c>
      <c r="J1206" s="16">
        <v>0.0</v>
      </c>
      <c r="K1206" s="16">
        <v>0.0</v>
      </c>
      <c r="L1206" s="16">
        <v>1188.241</v>
      </c>
      <c r="M1206" s="16">
        <v>1118.139</v>
      </c>
      <c r="N1206" s="16">
        <v>140.48</v>
      </c>
      <c r="O1206" s="17">
        <v>3.8</v>
      </c>
      <c r="P1206" s="18">
        <f t="shared" si="1"/>
        <v>1188.241</v>
      </c>
    </row>
    <row r="1207" ht="15.75" customHeight="1">
      <c r="A1207" s="19" t="s">
        <v>218</v>
      </c>
      <c r="B1207" s="19" t="s">
        <v>133</v>
      </c>
      <c r="C1207" s="20" t="s">
        <v>150</v>
      </c>
      <c r="D1207" s="14" t="str">
        <f>VLOOKUP(C1207,'State Key'!$A$2:$B$210,2,False)</f>
        <v>Maharashtra</v>
      </c>
      <c r="E1207" s="21">
        <v>500.0</v>
      </c>
      <c r="F1207" s="22">
        <v>164.132</v>
      </c>
      <c r="G1207" s="22">
        <v>0.0</v>
      </c>
      <c r="H1207" s="22">
        <v>0.0</v>
      </c>
      <c r="I1207" s="22">
        <v>71.524</v>
      </c>
      <c r="J1207" s="22">
        <v>0.0</v>
      </c>
      <c r="K1207" s="22">
        <v>0.0</v>
      </c>
      <c r="L1207" s="22">
        <v>235.656</v>
      </c>
      <c r="M1207" s="22">
        <v>195.935</v>
      </c>
      <c r="N1207" s="22">
        <v>41.267</v>
      </c>
      <c r="O1207" s="17">
        <v>6.3</v>
      </c>
      <c r="P1207" s="18">
        <f t="shared" si="1"/>
        <v>235.656</v>
      </c>
    </row>
    <row r="1208" ht="15.75" customHeight="1">
      <c r="A1208" s="13" t="s">
        <v>218</v>
      </c>
      <c r="B1208" s="13" t="s">
        <v>133</v>
      </c>
      <c r="C1208" s="14" t="s">
        <v>151</v>
      </c>
      <c r="D1208" s="14" t="str">
        <f>VLOOKUP(C1208,'State Key'!$A$2:$B$210,2,False)</f>
        <v>Maharashtra</v>
      </c>
      <c r="E1208" s="15">
        <v>600.0</v>
      </c>
      <c r="F1208" s="16">
        <v>209.294</v>
      </c>
      <c r="G1208" s="16">
        <v>0.0</v>
      </c>
      <c r="H1208" s="16">
        <v>0.0</v>
      </c>
      <c r="I1208" s="16">
        <v>0.0</v>
      </c>
      <c r="J1208" s="16">
        <v>0.0</v>
      </c>
      <c r="K1208" s="16">
        <v>11.606</v>
      </c>
      <c r="L1208" s="16">
        <v>220.9</v>
      </c>
      <c r="M1208" s="16">
        <v>197.889</v>
      </c>
      <c r="N1208" s="16">
        <v>51.22</v>
      </c>
      <c r="O1208" s="23">
        <v>7.8</v>
      </c>
      <c r="P1208" s="18">
        <f t="shared" si="1"/>
        <v>220.9</v>
      </c>
    </row>
    <row r="1209" ht="15.75" customHeight="1">
      <c r="A1209" s="19" t="s">
        <v>218</v>
      </c>
      <c r="B1209" s="19" t="s">
        <v>133</v>
      </c>
      <c r="C1209" s="20" t="s">
        <v>152</v>
      </c>
      <c r="D1209" s="14" t="str">
        <f>VLOOKUP(C1209,'State Key'!$A$2:$B$210,2,False)</f>
        <v>Chhattisgarh</v>
      </c>
      <c r="E1209" s="21">
        <v>500.0</v>
      </c>
      <c r="F1209" s="22">
        <v>232.39733</v>
      </c>
      <c r="G1209" s="22">
        <v>0.0</v>
      </c>
      <c r="H1209" s="22">
        <v>0.0</v>
      </c>
      <c r="I1209" s="22">
        <v>0.0</v>
      </c>
      <c r="J1209" s="22">
        <v>0.0</v>
      </c>
      <c r="K1209" s="22">
        <v>0.0</v>
      </c>
      <c r="L1209" s="22">
        <v>232.39733</v>
      </c>
      <c r="M1209" s="22">
        <v>259.35</v>
      </c>
      <c r="N1209" s="22">
        <v>194.51</v>
      </c>
      <c r="O1209" s="24">
        <v>22.5</v>
      </c>
      <c r="P1209" s="18">
        <f t="shared" si="1"/>
        <v>232.39733</v>
      </c>
    </row>
    <row r="1210" ht="15.75" customHeight="1">
      <c r="A1210" s="13" t="s">
        <v>218</v>
      </c>
      <c r="B1210" s="13" t="s">
        <v>133</v>
      </c>
      <c r="C1210" s="14" t="s">
        <v>153</v>
      </c>
      <c r="D1210" s="14" t="str">
        <f>VLOOKUP(C1210,'State Key'!$A$2:$B$210,2,False)</f>
        <v>Madhya Pradesh</v>
      </c>
      <c r="E1210" s="15">
        <v>1600.0</v>
      </c>
      <c r="F1210" s="16">
        <v>224.23</v>
      </c>
      <c r="G1210" s="16">
        <v>0.0</v>
      </c>
      <c r="H1210" s="16">
        <v>179.49</v>
      </c>
      <c r="I1210" s="16">
        <v>64.65</v>
      </c>
      <c r="J1210" s="16">
        <v>0.0</v>
      </c>
      <c r="K1210" s="16">
        <v>0.0</v>
      </c>
      <c r="L1210" s="16">
        <v>468.37</v>
      </c>
      <c r="M1210" s="16">
        <v>517.924</v>
      </c>
      <c r="N1210" s="16">
        <v>51.99</v>
      </c>
      <c r="O1210" s="17">
        <v>3.0</v>
      </c>
      <c r="P1210" s="18">
        <f t="shared" si="1"/>
        <v>468.37</v>
      </c>
    </row>
    <row r="1211" ht="15.75" customHeight="1">
      <c r="A1211" s="19" t="s">
        <v>218</v>
      </c>
      <c r="B1211" s="19" t="s">
        <v>133</v>
      </c>
      <c r="C1211" s="20" t="s">
        <v>154</v>
      </c>
      <c r="D1211" s="14" t="str">
        <f>VLOOKUP(C1211,'State Key'!$A$2:$B$210,2,False)</f>
        <v>Gujarat</v>
      </c>
      <c r="E1211" s="21">
        <v>630.0</v>
      </c>
      <c r="F1211" s="22">
        <v>137.715</v>
      </c>
      <c r="G1211" s="22">
        <v>0.0</v>
      </c>
      <c r="H1211" s="22">
        <v>0.0</v>
      </c>
      <c r="I1211" s="22">
        <v>0.0</v>
      </c>
      <c r="J1211" s="22">
        <v>0.0</v>
      </c>
      <c r="K1211" s="22">
        <v>0.0</v>
      </c>
      <c r="L1211" s="22">
        <v>137.715</v>
      </c>
      <c r="M1211" s="22">
        <v>191.166</v>
      </c>
      <c r="N1211" s="22">
        <v>63.5</v>
      </c>
      <c r="O1211" s="23">
        <v>10.0</v>
      </c>
      <c r="P1211" s="18">
        <f t="shared" si="1"/>
        <v>137.715</v>
      </c>
    </row>
    <row r="1212" ht="15.75" customHeight="1">
      <c r="A1212" s="13" t="s">
        <v>218</v>
      </c>
      <c r="B1212" s="13" t="s">
        <v>133</v>
      </c>
      <c r="C1212" s="14" t="s">
        <v>155</v>
      </c>
      <c r="D1212" s="14" t="str">
        <f>VLOOKUP(C1212,'State Key'!$A$2:$B$210,2,False)</f>
        <v>Maharashtra</v>
      </c>
      <c r="E1212" s="15">
        <v>120.0</v>
      </c>
      <c r="F1212" s="16">
        <v>0.0</v>
      </c>
      <c r="G1212" s="16">
        <v>0.0</v>
      </c>
      <c r="H1212" s="16">
        <v>0.0</v>
      </c>
      <c r="I1212" s="16">
        <v>0.0</v>
      </c>
      <c r="J1212" s="16">
        <v>0.0</v>
      </c>
      <c r="K1212" s="16">
        <v>0.0</v>
      </c>
      <c r="L1212" s="16">
        <v>0.0</v>
      </c>
      <c r="M1212" s="16">
        <v>0.0</v>
      </c>
      <c r="N1212" s="16">
        <v>0.0</v>
      </c>
      <c r="O1212" s="13" t="s">
        <v>58</v>
      </c>
      <c r="P1212" s="18">
        <f t="shared" si="1"/>
        <v>0</v>
      </c>
    </row>
    <row r="1213" ht="15.75" customHeight="1">
      <c r="A1213" s="19" t="s">
        <v>218</v>
      </c>
      <c r="B1213" s="19" t="s">
        <v>133</v>
      </c>
      <c r="C1213" s="20" t="s">
        <v>156</v>
      </c>
      <c r="D1213" s="14" t="str">
        <f>VLOOKUP(C1213,'State Key'!$A$2:$B$210,2,False)</f>
        <v>Maharashtra</v>
      </c>
      <c r="E1213" s="21">
        <v>600.0</v>
      </c>
      <c r="F1213" s="22">
        <v>244.928</v>
      </c>
      <c r="G1213" s="22">
        <v>0.0</v>
      </c>
      <c r="H1213" s="22">
        <v>0.0</v>
      </c>
      <c r="I1213" s="22">
        <v>0.0</v>
      </c>
      <c r="J1213" s="22">
        <v>0.0</v>
      </c>
      <c r="K1213" s="22">
        <v>30.909</v>
      </c>
      <c r="L1213" s="22">
        <v>275.837</v>
      </c>
      <c r="M1213" s="22">
        <v>259.418</v>
      </c>
      <c r="N1213" s="22">
        <v>29.44</v>
      </c>
      <c r="O1213" s="17">
        <v>3.4</v>
      </c>
      <c r="P1213" s="18">
        <f t="shared" si="1"/>
        <v>275.837</v>
      </c>
    </row>
    <row r="1214" ht="15.75" customHeight="1">
      <c r="A1214" s="13" t="s">
        <v>218</v>
      </c>
      <c r="B1214" s="13" t="s">
        <v>133</v>
      </c>
      <c r="C1214" s="14" t="s">
        <v>157</v>
      </c>
      <c r="D1214" s="14" t="str">
        <f>VLOOKUP(C1214,'State Key'!$A$2:$B$210,2,False)</f>
        <v>Maharashtra</v>
      </c>
      <c r="E1214" s="15">
        <v>300.0</v>
      </c>
      <c r="F1214" s="16">
        <v>0.0</v>
      </c>
      <c r="G1214" s="16">
        <v>0.0</v>
      </c>
      <c r="H1214" s="16">
        <v>0.0</v>
      </c>
      <c r="I1214" s="16">
        <v>100.0</v>
      </c>
      <c r="J1214" s="16">
        <v>0.0</v>
      </c>
      <c r="K1214" s="16">
        <v>0.0</v>
      </c>
      <c r="L1214" s="16">
        <v>100.0</v>
      </c>
      <c r="M1214" s="16">
        <v>86.759</v>
      </c>
      <c r="N1214" s="16">
        <v>23.47</v>
      </c>
      <c r="O1214" s="23">
        <v>8.1</v>
      </c>
      <c r="P1214" s="18">
        <f t="shared" si="1"/>
        <v>100</v>
      </c>
    </row>
    <row r="1215" ht="15.75" customHeight="1">
      <c r="A1215" s="19" t="s">
        <v>218</v>
      </c>
      <c r="B1215" s="19" t="s">
        <v>133</v>
      </c>
      <c r="C1215" s="20" t="s">
        <v>158</v>
      </c>
      <c r="D1215" s="14" t="str">
        <f>VLOOKUP(C1215,'State Key'!$A$2:$B$210,2,False)</f>
        <v>Chhattisgarh</v>
      </c>
      <c r="E1215" s="21">
        <v>270.0</v>
      </c>
      <c r="F1215" s="22">
        <v>41.7581</v>
      </c>
      <c r="G1215" s="22">
        <v>0.0</v>
      </c>
      <c r="H1215" s="22">
        <v>0.0</v>
      </c>
      <c r="I1215" s="22">
        <v>0.0</v>
      </c>
      <c r="J1215" s="22">
        <v>147.0414</v>
      </c>
      <c r="K1215" s="22">
        <v>0.0</v>
      </c>
      <c r="L1215" s="22">
        <v>188.7995</v>
      </c>
      <c r="M1215" s="22">
        <v>154.91</v>
      </c>
      <c r="N1215" s="22">
        <v>28.45</v>
      </c>
      <c r="O1215" s="17">
        <v>5.5</v>
      </c>
      <c r="P1215" s="18">
        <f t="shared" si="1"/>
        <v>188.7995</v>
      </c>
    </row>
    <row r="1216" ht="15.75" customHeight="1">
      <c r="A1216" s="13" t="s">
        <v>218</v>
      </c>
      <c r="B1216" s="13" t="s">
        <v>133</v>
      </c>
      <c r="C1216" s="14" t="s">
        <v>159</v>
      </c>
      <c r="D1216" s="14" t="str">
        <f>VLOOKUP(C1216,'State Key'!$A$2:$B$210,2,False)</f>
        <v>Chhattisgarh</v>
      </c>
      <c r="E1216" s="15">
        <v>35.0</v>
      </c>
      <c r="F1216" s="16">
        <v>0.0</v>
      </c>
      <c r="G1216" s="16">
        <v>0.0</v>
      </c>
      <c r="H1216" s="16">
        <v>0.0</v>
      </c>
      <c r="I1216" s="16">
        <v>0.0</v>
      </c>
      <c r="J1216" s="16">
        <v>0.0</v>
      </c>
      <c r="K1216" s="16">
        <v>0.0</v>
      </c>
      <c r="L1216" s="16">
        <v>0.0</v>
      </c>
      <c r="M1216" s="16">
        <v>0.0</v>
      </c>
      <c r="N1216" s="16">
        <v>0.0</v>
      </c>
      <c r="O1216" s="13" t="s">
        <v>58</v>
      </c>
      <c r="P1216" s="18">
        <f t="shared" si="1"/>
        <v>0</v>
      </c>
    </row>
    <row r="1217" ht="15.75" customHeight="1">
      <c r="A1217" s="19" t="s">
        <v>218</v>
      </c>
      <c r="B1217" s="19" t="s">
        <v>133</v>
      </c>
      <c r="C1217" s="20" t="s">
        <v>160</v>
      </c>
      <c r="D1217" s="14" t="str">
        <f>VLOOKUP(C1217,'State Key'!$A$2:$B$210,2,False)</f>
        <v>Maharashtra</v>
      </c>
      <c r="E1217" s="21">
        <v>1340.0</v>
      </c>
      <c r="F1217" s="22">
        <v>577.183</v>
      </c>
      <c r="G1217" s="22">
        <v>0.0</v>
      </c>
      <c r="H1217" s="22">
        <v>0.0</v>
      </c>
      <c r="I1217" s="22">
        <v>65.62</v>
      </c>
      <c r="J1217" s="22">
        <v>0.0</v>
      </c>
      <c r="K1217" s="22">
        <v>0.0</v>
      </c>
      <c r="L1217" s="22">
        <v>642.803</v>
      </c>
      <c r="M1217" s="22">
        <v>614.915</v>
      </c>
      <c r="N1217" s="22">
        <v>63.3</v>
      </c>
      <c r="O1217" s="17">
        <v>3.1</v>
      </c>
      <c r="P1217" s="18">
        <f t="shared" si="1"/>
        <v>642.803</v>
      </c>
    </row>
    <row r="1218" ht="15.75" customHeight="1">
      <c r="A1218" s="13" t="s">
        <v>218</v>
      </c>
      <c r="B1218" s="13" t="s">
        <v>133</v>
      </c>
      <c r="C1218" s="14" t="s">
        <v>161</v>
      </c>
      <c r="D1218" s="14" t="str">
        <f>VLOOKUP(C1218,'State Key'!$A$2:$B$210,2,False)</f>
        <v>Madhya Pradesh</v>
      </c>
      <c r="E1218" s="15">
        <v>1320.0</v>
      </c>
      <c r="F1218" s="16">
        <v>388.66</v>
      </c>
      <c r="G1218" s="16">
        <v>0.0</v>
      </c>
      <c r="H1218" s="16">
        <v>80.43</v>
      </c>
      <c r="I1218" s="16">
        <v>64.6</v>
      </c>
      <c r="J1218" s="16">
        <v>0.0</v>
      </c>
      <c r="K1218" s="16">
        <v>0.0</v>
      </c>
      <c r="L1218" s="16">
        <v>533.69</v>
      </c>
      <c r="M1218" s="16">
        <v>519.103</v>
      </c>
      <c r="N1218" s="16">
        <v>84.604</v>
      </c>
      <c r="O1218" s="17">
        <v>4.9</v>
      </c>
      <c r="P1218" s="18">
        <f t="shared" si="1"/>
        <v>533.69</v>
      </c>
    </row>
    <row r="1219" ht="15.75" customHeight="1">
      <c r="A1219" s="19" t="s">
        <v>218</v>
      </c>
      <c r="B1219" s="19" t="s">
        <v>133</v>
      </c>
      <c r="C1219" s="20" t="s">
        <v>162</v>
      </c>
      <c r="D1219" s="14" t="str">
        <f>VLOOKUP(C1219,'State Key'!$A$2:$B$210,2,False)</f>
        <v>Maharashtra</v>
      </c>
      <c r="E1219" s="21">
        <v>2190.0</v>
      </c>
      <c r="F1219" s="22">
        <v>928.31</v>
      </c>
      <c r="G1219" s="22">
        <v>0.0</v>
      </c>
      <c r="H1219" s="22">
        <v>0.0</v>
      </c>
      <c r="I1219" s="22">
        <v>0.0</v>
      </c>
      <c r="J1219" s="22">
        <v>0.0</v>
      </c>
      <c r="K1219" s="22">
        <v>0.0</v>
      </c>
      <c r="L1219" s="22">
        <v>928.31</v>
      </c>
      <c r="M1219" s="22">
        <v>823.517</v>
      </c>
      <c r="N1219" s="22">
        <v>450.539</v>
      </c>
      <c r="O1219" s="24">
        <v>16.4</v>
      </c>
      <c r="P1219" s="18">
        <f t="shared" si="1"/>
        <v>928.31</v>
      </c>
    </row>
    <row r="1220" ht="15.75" customHeight="1">
      <c r="A1220" s="13" t="s">
        <v>218</v>
      </c>
      <c r="B1220" s="13" t="s">
        <v>133</v>
      </c>
      <c r="C1220" s="14" t="s">
        <v>163</v>
      </c>
      <c r="D1220" s="14" t="str">
        <f>VLOOKUP(C1220,'State Key'!$A$2:$B$210,2,False)</f>
        <v>Chhattisgarh</v>
      </c>
      <c r="E1220" s="15">
        <v>2600.0</v>
      </c>
      <c r="F1220" s="16">
        <v>1131.74</v>
      </c>
      <c r="G1220" s="16">
        <v>0.0</v>
      </c>
      <c r="H1220" s="16">
        <v>0.0</v>
      </c>
      <c r="I1220" s="16">
        <v>0.0</v>
      </c>
      <c r="J1220" s="16">
        <v>0.0</v>
      </c>
      <c r="K1220" s="16">
        <v>0.0</v>
      </c>
      <c r="L1220" s="16">
        <v>1131.74</v>
      </c>
      <c r="M1220" s="16">
        <v>1166.945</v>
      </c>
      <c r="N1220" s="16">
        <v>357.789</v>
      </c>
      <c r="O1220" s="23">
        <v>9.2</v>
      </c>
      <c r="P1220" s="18">
        <f t="shared" si="1"/>
        <v>1131.74</v>
      </c>
    </row>
    <row r="1221" ht="15.75" customHeight="1">
      <c r="A1221" s="19" t="s">
        <v>218</v>
      </c>
      <c r="B1221" s="19" t="s">
        <v>133</v>
      </c>
      <c r="C1221" s="20" t="s">
        <v>164</v>
      </c>
      <c r="D1221" s="14" t="str">
        <f>VLOOKUP(C1221,'State Key'!$A$2:$B$210,2,False)</f>
        <v>Chhattisgarh</v>
      </c>
      <c r="E1221" s="21">
        <v>1340.0</v>
      </c>
      <c r="F1221" s="22">
        <v>501.759</v>
      </c>
      <c r="G1221" s="22">
        <v>0.0</v>
      </c>
      <c r="H1221" s="22">
        <v>0.0</v>
      </c>
      <c r="I1221" s="22">
        <v>0.0</v>
      </c>
      <c r="J1221" s="22">
        <v>0.0</v>
      </c>
      <c r="K1221" s="22">
        <v>0.0</v>
      </c>
      <c r="L1221" s="22">
        <v>501.759</v>
      </c>
      <c r="M1221" s="22">
        <v>539.42</v>
      </c>
      <c r="N1221" s="22">
        <v>133.69</v>
      </c>
      <c r="O1221" s="23">
        <v>7.4</v>
      </c>
      <c r="P1221" s="18">
        <f t="shared" si="1"/>
        <v>501.759</v>
      </c>
    </row>
    <row r="1222" ht="15.75" customHeight="1">
      <c r="A1222" s="13" t="s">
        <v>218</v>
      </c>
      <c r="B1222" s="13" t="s">
        <v>133</v>
      </c>
      <c r="C1222" s="14" t="s">
        <v>165</v>
      </c>
      <c r="D1222" s="14" t="str">
        <f>VLOOKUP(C1222,'State Key'!$A$2:$B$210,2,False)</f>
        <v>Chhattisgarh</v>
      </c>
      <c r="E1222" s="15">
        <v>1600.0</v>
      </c>
      <c r="F1222" s="16">
        <v>0.0</v>
      </c>
      <c r="G1222" s="16">
        <v>0.0</v>
      </c>
      <c r="H1222" s="16">
        <v>783.23</v>
      </c>
      <c r="I1222" s="16">
        <v>0.0</v>
      </c>
      <c r="J1222" s="16">
        <v>0.0</v>
      </c>
      <c r="K1222" s="16">
        <v>0.0</v>
      </c>
      <c r="L1222" s="16">
        <v>783.23</v>
      </c>
      <c r="M1222" s="16">
        <v>766.372</v>
      </c>
      <c r="N1222" s="16">
        <v>280.435</v>
      </c>
      <c r="O1222" s="23">
        <v>11.0</v>
      </c>
      <c r="P1222" s="18">
        <f t="shared" si="1"/>
        <v>783.23</v>
      </c>
    </row>
    <row r="1223" ht="15.75" customHeight="1">
      <c r="A1223" s="19" t="s">
        <v>218</v>
      </c>
      <c r="B1223" s="19" t="s">
        <v>133</v>
      </c>
      <c r="C1223" s="20" t="s">
        <v>166</v>
      </c>
      <c r="D1223" s="14" t="str">
        <f>VLOOKUP(C1223,'State Key'!$A$2:$B$210,2,False)</f>
        <v>Madhya Pradesh</v>
      </c>
      <c r="E1223" s="21">
        <v>1200.0</v>
      </c>
      <c r="F1223" s="22">
        <v>343.934</v>
      </c>
      <c r="G1223" s="22">
        <v>0.0</v>
      </c>
      <c r="H1223" s="22">
        <v>0.0</v>
      </c>
      <c r="I1223" s="22">
        <v>29.764</v>
      </c>
      <c r="J1223" s="22">
        <v>23.978</v>
      </c>
      <c r="K1223" s="22">
        <v>0.0</v>
      </c>
      <c r="L1223" s="22">
        <v>397.676</v>
      </c>
      <c r="M1223" s="22">
        <v>418.437</v>
      </c>
      <c r="N1223" s="22">
        <v>104.15</v>
      </c>
      <c r="O1223" s="23">
        <v>7.5</v>
      </c>
      <c r="P1223" s="18">
        <f t="shared" si="1"/>
        <v>397.676</v>
      </c>
    </row>
    <row r="1224" ht="15.75" customHeight="1">
      <c r="A1224" s="13" t="s">
        <v>218</v>
      </c>
      <c r="B1224" s="13" t="s">
        <v>133</v>
      </c>
      <c r="C1224" s="14" t="s">
        <v>167</v>
      </c>
      <c r="D1224" s="14" t="str">
        <f>VLOOKUP(C1224,'State Key'!$A$2:$B$210,2,False)</f>
        <v>Chhattisgarh</v>
      </c>
      <c r="E1224" s="15">
        <v>1000.0</v>
      </c>
      <c r="F1224" s="16">
        <v>121.324</v>
      </c>
      <c r="G1224" s="16">
        <v>0.0</v>
      </c>
      <c r="H1224" s="16">
        <v>212.404</v>
      </c>
      <c r="I1224" s="16">
        <v>0.0</v>
      </c>
      <c r="J1224" s="16">
        <v>0.0</v>
      </c>
      <c r="K1224" s="16">
        <v>0.0</v>
      </c>
      <c r="L1224" s="16">
        <v>333.728</v>
      </c>
      <c r="M1224" s="16">
        <v>487.92</v>
      </c>
      <c r="N1224" s="16">
        <v>90.72</v>
      </c>
      <c r="O1224" s="17">
        <v>5.6</v>
      </c>
      <c r="P1224" s="18">
        <f t="shared" si="1"/>
        <v>333.728</v>
      </c>
    </row>
    <row r="1225" ht="15.75" customHeight="1">
      <c r="A1225" s="19" t="s">
        <v>218</v>
      </c>
      <c r="B1225" s="19" t="s">
        <v>133</v>
      </c>
      <c r="C1225" s="20" t="s">
        <v>168</v>
      </c>
      <c r="D1225" s="14" t="str">
        <f>VLOOKUP(C1225,'State Key'!$A$2:$B$210,2,False)</f>
        <v>Maharashtra</v>
      </c>
      <c r="E1225" s="21">
        <v>2320.0</v>
      </c>
      <c r="F1225" s="22">
        <v>714.5</v>
      </c>
      <c r="G1225" s="22">
        <v>0.2</v>
      </c>
      <c r="H1225" s="22">
        <v>0.0</v>
      </c>
      <c r="I1225" s="22">
        <v>35.041</v>
      </c>
      <c r="J1225" s="22">
        <v>0.0</v>
      </c>
      <c r="K1225" s="22">
        <v>0.0</v>
      </c>
      <c r="L1225" s="22">
        <v>749.741</v>
      </c>
      <c r="M1225" s="22">
        <v>788.622</v>
      </c>
      <c r="N1225" s="22">
        <v>138.277</v>
      </c>
      <c r="O1225" s="17">
        <v>5.3</v>
      </c>
      <c r="P1225" s="18">
        <f t="shared" si="1"/>
        <v>749.741</v>
      </c>
    </row>
    <row r="1226" ht="15.75" customHeight="1">
      <c r="A1226" s="13" t="s">
        <v>218</v>
      </c>
      <c r="B1226" s="13" t="s">
        <v>133</v>
      </c>
      <c r="C1226" s="14" t="s">
        <v>169</v>
      </c>
      <c r="D1226" s="14" t="str">
        <f>VLOOKUP(C1226,'State Key'!$A$2:$B$210,2,False)</f>
        <v>Madhya Pradesh</v>
      </c>
      <c r="E1226" s="15">
        <v>246.0</v>
      </c>
      <c r="F1226" s="16">
        <v>0.0</v>
      </c>
      <c r="G1226" s="16">
        <v>0.0</v>
      </c>
      <c r="H1226" s="16">
        <v>0.0</v>
      </c>
      <c r="I1226" s="16">
        <v>0.0</v>
      </c>
      <c r="J1226" s="16">
        <v>0.0</v>
      </c>
      <c r="K1226" s="16">
        <v>0.0</v>
      </c>
      <c r="L1226" s="16">
        <v>0.0</v>
      </c>
      <c r="M1226" s="16">
        <v>0.0</v>
      </c>
      <c r="N1226" s="16">
        <v>0.0</v>
      </c>
      <c r="O1226" s="13" t="s">
        <v>58</v>
      </c>
      <c r="P1226" s="18">
        <f t="shared" si="1"/>
        <v>0</v>
      </c>
    </row>
    <row r="1227" ht="15.75" customHeight="1">
      <c r="A1227" s="19" t="s">
        <v>218</v>
      </c>
      <c r="B1227" s="19" t="s">
        <v>133</v>
      </c>
      <c r="C1227" s="20" t="s">
        <v>172</v>
      </c>
      <c r="D1227" s="14" t="str">
        <f>VLOOKUP(C1227,'State Key'!$A$2:$B$210,2,False)</f>
        <v>Gujarat</v>
      </c>
      <c r="E1227" s="21">
        <v>4000.0</v>
      </c>
      <c r="F1227" s="22">
        <v>0.0</v>
      </c>
      <c r="G1227" s="22">
        <v>0.0</v>
      </c>
      <c r="H1227" s="22">
        <v>0.0</v>
      </c>
      <c r="I1227" s="22">
        <v>988.665</v>
      </c>
      <c r="J1227" s="22">
        <v>0.0</v>
      </c>
      <c r="K1227" s="22">
        <v>0.0</v>
      </c>
      <c r="L1227" s="22">
        <v>988.665</v>
      </c>
      <c r="M1227" s="22">
        <v>867.784</v>
      </c>
      <c r="N1227" s="22">
        <v>473.877</v>
      </c>
      <c r="O1227" s="24">
        <v>16.4</v>
      </c>
      <c r="P1227" s="18">
        <f t="shared" si="1"/>
        <v>988.665</v>
      </c>
    </row>
    <row r="1228" ht="15.75" customHeight="1">
      <c r="A1228" s="13" t="s">
        <v>218</v>
      </c>
      <c r="B1228" s="13" t="s">
        <v>133</v>
      </c>
      <c r="C1228" s="14" t="s">
        <v>173</v>
      </c>
      <c r="D1228" s="14" t="str">
        <f>VLOOKUP(C1228,'State Key'!$A$2:$B$210,2,False)</f>
        <v>Maharashtra</v>
      </c>
      <c r="E1228" s="15">
        <v>1350.0</v>
      </c>
      <c r="F1228" s="16">
        <v>0.0</v>
      </c>
      <c r="G1228" s="16">
        <v>0.0</v>
      </c>
      <c r="H1228" s="16">
        <v>0.0</v>
      </c>
      <c r="I1228" s="16">
        <v>0.0</v>
      </c>
      <c r="J1228" s="16">
        <v>0.0</v>
      </c>
      <c r="K1228" s="16">
        <v>0.0</v>
      </c>
      <c r="L1228" s="16">
        <v>0.0</v>
      </c>
      <c r="M1228" s="16">
        <v>0.0</v>
      </c>
      <c r="N1228" s="16">
        <v>0.0</v>
      </c>
      <c r="O1228" s="13" t="s">
        <v>58</v>
      </c>
      <c r="P1228" s="18">
        <f t="shared" si="1"/>
        <v>0</v>
      </c>
    </row>
    <row r="1229" ht="15.75" customHeight="1">
      <c r="A1229" s="19" t="s">
        <v>218</v>
      </c>
      <c r="B1229" s="19" t="s">
        <v>133</v>
      </c>
      <c r="C1229" s="20" t="s">
        <v>174</v>
      </c>
      <c r="D1229" s="14" t="str">
        <f>VLOOKUP(C1229,'State Key'!$A$2:$B$210,2,False)</f>
        <v>Maharashtra</v>
      </c>
      <c r="E1229" s="21">
        <v>630.0</v>
      </c>
      <c r="F1229" s="22">
        <v>258.65</v>
      </c>
      <c r="G1229" s="22">
        <v>0.0</v>
      </c>
      <c r="H1229" s="22">
        <v>0.0</v>
      </c>
      <c r="I1229" s="22">
        <v>23.03135</v>
      </c>
      <c r="J1229" s="22">
        <v>0.0</v>
      </c>
      <c r="K1229" s="22">
        <v>0.0</v>
      </c>
      <c r="L1229" s="22">
        <v>281.68135</v>
      </c>
      <c r="M1229" s="22">
        <v>274.356</v>
      </c>
      <c r="N1229" s="22">
        <v>32.62</v>
      </c>
      <c r="O1229" s="17">
        <v>3.6</v>
      </c>
      <c r="P1229" s="18">
        <f t="shared" si="1"/>
        <v>281.68135</v>
      </c>
    </row>
    <row r="1230" ht="15.75" customHeight="1">
      <c r="A1230" s="13" t="s">
        <v>218</v>
      </c>
      <c r="B1230" s="13" t="s">
        <v>133</v>
      </c>
      <c r="C1230" s="14" t="s">
        <v>175</v>
      </c>
      <c r="D1230" s="14" t="str">
        <f>VLOOKUP(C1230,'State Key'!$A$2:$B$210,2,False)</f>
        <v>Chhattisgarh</v>
      </c>
      <c r="E1230" s="15">
        <v>600.0</v>
      </c>
      <c r="F1230" s="16">
        <v>229.021</v>
      </c>
      <c r="G1230" s="16">
        <v>0.0</v>
      </c>
      <c r="H1230" s="16">
        <v>0.0</v>
      </c>
      <c r="I1230" s="16">
        <v>0.0</v>
      </c>
      <c r="J1230" s="16">
        <v>0.0</v>
      </c>
      <c r="K1230" s="16">
        <v>0.0</v>
      </c>
      <c r="L1230" s="16">
        <v>229.021</v>
      </c>
      <c r="M1230" s="16">
        <v>209.75</v>
      </c>
      <c r="N1230" s="16">
        <v>60.55</v>
      </c>
      <c r="O1230" s="23">
        <v>8.7</v>
      </c>
      <c r="P1230" s="18">
        <f t="shared" si="1"/>
        <v>229.021</v>
      </c>
    </row>
    <row r="1231" ht="15.75" customHeight="1">
      <c r="A1231" s="19" t="s">
        <v>218</v>
      </c>
      <c r="B1231" s="19" t="s">
        <v>133</v>
      </c>
      <c r="C1231" s="20" t="s">
        <v>176</v>
      </c>
      <c r="D1231" s="14" t="str">
        <f>VLOOKUP(C1231,'State Key'!$A$2:$B$210,2,False)</f>
        <v>Madhya Pradesh</v>
      </c>
      <c r="E1231" s="21">
        <v>1320.0</v>
      </c>
      <c r="F1231" s="22">
        <v>0.0</v>
      </c>
      <c r="G1231" s="22">
        <v>0.0</v>
      </c>
      <c r="H1231" s="22">
        <v>409.01376</v>
      </c>
      <c r="I1231" s="22">
        <v>0.0</v>
      </c>
      <c r="J1231" s="22">
        <v>0.0</v>
      </c>
      <c r="K1231" s="22">
        <v>56.33479</v>
      </c>
      <c r="L1231" s="22">
        <v>465.34855</v>
      </c>
      <c r="M1231" s="22">
        <v>559.736</v>
      </c>
      <c r="N1231" s="22">
        <v>207.46</v>
      </c>
      <c r="O1231" s="23">
        <v>11.1</v>
      </c>
      <c r="P1231" s="18">
        <f t="shared" si="1"/>
        <v>465.34855</v>
      </c>
    </row>
    <row r="1232" ht="15.75" customHeight="1">
      <c r="A1232" s="13" t="s">
        <v>218</v>
      </c>
      <c r="B1232" s="13" t="s">
        <v>133</v>
      </c>
      <c r="C1232" s="14" t="s">
        <v>177</v>
      </c>
      <c r="D1232" s="14" t="str">
        <f>VLOOKUP(C1232,'State Key'!$A$2:$B$210,2,False)</f>
        <v>Madhya Pradesh</v>
      </c>
      <c r="E1232" s="15">
        <v>90.0</v>
      </c>
      <c r="F1232" s="16">
        <v>17.13</v>
      </c>
      <c r="G1232" s="16">
        <v>0.0</v>
      </c>
      <c r="H1232" s="16">
        <v>0.0</v>
      </c>
      <c r="I1232" s="16">
        <v>0.0</v>
      </c>
      <c r="J1232" s="16">
        <v>15.97</v>
      </c>
      <c r="K1232" s="16">
        <v>0.0</v>
      </c>
      <c r="L1232" s="16">
        <v>33.1</v>
      </c>
      <c r="M1232" s="16">
        <v>31.42</v>
      </c>
      <c r="N1232" s="16">
        <v>75.76</v>
      </c>
      <c r="O1232" s="24">
        <v>72.3</v>
      </c>
      <c r="P1232" s="18">
        <f t="shared" si="1"/>
        <v>33.1</v>
      </c>
    </row>
    <row r="1233" ht="15.75" customHeight="1">
      <c r="A1233" s="19" t="s">
        <v>218</v>
      </c>
      <c r="B1233" s="19" t="s">
        <v>133</v>
      </c>
      <c r="C1233" s="20" t="s">
        <v>178</v>
      </c>
      <c r="D1233" s="14" t="str">
        <f>VLOOKUP(C1233,'State Key'!$A$2:$B$210,2,False)</f>
        <v>Chhattisgarh</v>
      </c>
      <c r="E1233" s="21">
        <v>1000.0</v>
      </c>
      <c r="F1233" s="22">
        <v>0.0</v>
      </c>
      <c r="G1233" s="22">
        <v>0.0</v>
      </c>
      <c r="H1233" s="22">
        <v>0.0</v>
      </c>
      <c r="I1233" s="22">
        <v>0.0</v>
      </c>
      <c r="J1233" s="22">
        <v>42.336</v>
      </c>
      <c r="K1233" s="22">
        <v>322.207</v>
      </c>
      <c r="L1233" s="22">
        <v>364.543</v>
      </c>
      <c r="M1233" s="22">
        <v>446.351</v>
      </c>
      <c r="N1233" s="22">
        <v>152.704</v>
      </c>
      <c r="O1233" s="23">
        <v>10.3</v>
      </c>
      <c r="P1233" s="18">
        <f t="shared" si="1"/>
        <v>364.543</v>
      </c>
    </row>
    <row r="1234" ht="15.75" customHeight="1">
      <c r="A1234" s="13" t="s">
        <v>218</v>
      </c>
      <c r="B1234" s="13" t="s">
        <v>133</v>
      </c>
      <c r="C1234" s="14" t="s">
        <v>179</v>
      </c>
      <c r="D1234" s="14" t="str">
        <f>VLOOKUP(C1234,'State Key'!$A$2:$B$210,2,False)</f>
        <v>Maharashtra</v>
      </c>
      <c r="E1234" s="15">
        <v>500.0</v>
      </c>
      <c r="F1234" s="16">
        <v>231.825</v>
      </c>
      <c r="G1234" s="16">
        <v>0.0</v>
      </c>
      <c r="H1234" s="16">
        <v>0.0</v>
      </c>
      <c r="I1234" s="16">
        <v>0.0</v>
      </c>
      <c r="J1234" s="16">
        <v>0.0</v>
      </c>
      <c r="K1234" s="16">
        <v>0.0</v>
      </c>
      <c r="L1234" s="16">
        <v>231.825</v>
      </c>
      <c r="M1234" s="16">
        <v>236.83</v>
      </c>
      <c r="N1234" s="16">
        <v>21.42</v>
      </c>
      <c r="O1234" s="17">
        <v>2.7</v>
      </c>
      <c r="P1234" s="18">
        <f t="shared" si="1"/>
        <v>231.825</v>
      </c>
    </row>
    <row r="1235" ht="15.75" customHeight="1">
      <c r="A1235" s="19" t="s">
        <v>218</v>
      </c>
      <c r="B1235" s="19" t="s">
        <v>133</v>
      </c>
      <c r="C1235" s="20" t="s">
        <v>180</v>
      </c>
      <c r="D1235" s="14" t="str">
        <f>VLOOKUP(C1235,'State Key'!$A$2:$B$210,2,False)</f>
        <v>Maharashtra</v>
      </c>
      <c r="E1235" s="21">
        <v>750.0</v>
      </c>
      <c r="F1235" s="22">
        <v>78.305</v>
      </c>
      <c r="G1235" s="22">
        <v>237.275</v>
      </c>
      <c r="H1235" s="22">
        <v>0.0</v>
      </c>
      <c r="I1235" s="22">
        <v>0.0</v>
      </c>
      <c r="J1235" s="22">
        <v>0.0</v>
      </c>
      <c r="K1235" s="22">
        <v>0.0</v>
      </c>
      <c r="L1235" s="22">
        <v>315.58</v>
      </c>
      <c r="M1235" s="22">
        <v>315.267</v>
      </c>
      <c r="N1235" s="22">
        <v>13.82</v>
      </c>
      <c r="O1235" s="17">
        <v>1.3</v>
      </c>
      <c r="P1235" s="18">
        <f t="shared" si="1"/>
        <v>315.58</v>
      </c>
    </row>
    <row r="1236" ht="15.75" customHeight="1">
      <c r="A1236" s="13" t="s">
        <v>218</v>
      </c>
      <c r="B1236" s="13" t="s">
        <v>133</v>
      </c>
      <c r="C1236" s="14" t="s">
        <v>181</v>
      </c>
      <c r="D1236" s="14" t="str">
        <f>VLOOKUP(C1236,'State Key'!$A$2:$B$210,2,False)</f>
        <v>Chhattisgarh</v>
      </c>
      <c r="E1236" s="15">
        <v>600.0</v>
      </c>
      <c r="F1236" s="16">
        <v>212.11</v>
      </c>
      <c r="G1236" s="16">
        <v>0.0</v>
      </c>
      <c r="H1236" s="16">
        <v>0.0</v>
      </c>
      <c r="I1236" s="16">
        <v>0.0</v>
      </c>
      <c r="J1236" s="16">
        <v>0.0</v>
      </c>
      <c r="K1236" s="16">
        <v>0.0</v>
      </c>
      <c r="L1236" s="16">
        <v>212.11</v>
      </c>
      <c r="M1236" s="16">
        <v>240.46</v>
      </c>
      <c r="N1236" s="16">
        <v>249.91</v>
      </c>
      <c r="O1236" s="24">
        <v>31.2</v>
      </c>
      <c r="P1236" s="18">
        <f t="shared" si="1"/>
        <v>212.11</v>
      </c>
    </row>
    <row r="1237" ht="15.75" customHeight="1">
      <c r="A1237" s="19" t="s">
        <v>218</v>
      </c>
      <c r="B1237" s="19" t="s">
        <v>133</v>
      </c>
      <c r="C1237" s="20" t="s">
        <v>183</v>
      </c>
      <c r="D1237" s="14" t="str">
        <f>VLOOKUP(C1237,'State Key'!$A$2:$B$210,2,False)</f>
        <v>Chhattisgarh</v>
      </c>
      <c r="E1237" s="21">
        <v>100.0</v>
      </c>
      <c r="F1237" s="22">
        <v>2.563</v>
      </c>
      <c r="G1237" s="22">
        <v>0.0</v>
      </c>
      <c r="H1237" s="22">
        <v>0.0</v>
      </c>
      <c r="I1237" s="22">
        <v>0.0</v>
      </c>
      <c r="J1237" s="22">
        <v>79.266</v>
      </c>
      <c r="K1237" s="22">
        <v>0.0</v>
      </c>
      <c r="L1237" s="22">
        <v>81.829</v>
      </c>
      <c r="M1237" s="22">
        <v>80.294</v>
      </c>
      <c r="N1237" s="22">
        <v>21.44</v>
      </c>
      <c r="O1237" s="23">
        <v>8.0</v>
      </c>
      <c r="P1237" s="18">
        <f t="shared" si="1"/>
        <v>81.829</v>
      </c>
    </row>
    <row r="1238" ht="15.75" customHeight="1">
      <c r="A1238" s="13" t="s">
        <v>218</v>
      </c>
      <c r="B1238" s="13" t="s">
        <v>133</v>
      </c>
      <c r="C1238" s="14" t="s">
        <v>184</v>
      </c>
      <c r="D1238" s="14" t="str">
        <f>VLOOKUP(C1238,'State Key'!$A$2:$B$210,2,False)</f>
        <v>Gujarat</v>
      </c>
      <c r="E1238" s="15">
        <v>362.0</v>
      </c>
      <c r="F1238" s="16">
        <v>90.278</v>
      </c>
      <c r="G1238" s="16">
        <v>0.0</v>
      </c>
      <c r="H1238" s="16">
        <v>0.0</v>
      </c>
      <c r="I1238" s="16">
        <v>31.34</v>
      </c>
      <c r="J1238" s="16">
        <v>0.0</v>
      </c>
      <c r="K1238" s="16">
        <v>0.0</v>
      </c>
      <c r="L1238" s="16">
        <v>121.618</v>
      </c>
      <c r="M1238" s="16">
        <v>147.489</v>
      </c>
      <c r="N1238" s="16">
        <v>81.32</v>
      </c>
      <c r="O1238" s="24">
        <v>16.5</v>
      </c>
      <c r="P1238" s="18">
        <f t="shared" si="1"/>
        <v>121.618</v>
      </c>
    </row>
    <row r="1239" ht="15.75" customHeight="1">
      <c r="A1239" s="19" t="s">
        <v>218</v>
      </c>
      <c r="B1239" s="19" t="s">
        <v>133</v>
      </c>
      <c r="C1239" s="20" t="s">
        <v>185</v>
      </c>
      <c r="D1239" s="14" t="str">
        <f>VLOOKUP(C1239,'State Key'!$A$2:$B$210,2,False)</f>
        <v>Gujarat</v>
      </c>
      <c r="E1239" s="21">
        <v>1200.0</v>
      </c>
      <c r="F1239" s="22">
        <v>0.0</v>
      </c>
      <c r="G1239" s="22">
        <v>0.0</v>
      </c>
      <c r="H1239" s="22">
        <v>0.0</v>
      </c>
      <c r="I1239" s="22">
        <v>176.95</v>
      </c>
      <c r="J1239" s="22">
        <v>0.0</v>
      </c>
      <c r="K1239" s="22">
        <v>0.0</v>
      </c>
      <c r="L1239" s="22">
        <v>176.95</v>
      </c>
      <c r="M1239" s="22">
        <v>218.757</v>
      </c>
      <c r="N1239" s="22">
        <v>27.533</v>
      </c>
      <c r="O1239" s="17">
        <v>3.8</v>
      </c>
      <c r="P1239" s="18">
        <f t="shared" si="1"/>
        <v>176.95</v>
      </c>
    </row>
    <row r="1240" ht="15.75" customHeight="1">
      <c r="A1240" s="13" t="s">
        <v>218</v>
      </c>
      <c r="B1240" s="13" t="s">
        <v>133</v>
      </c>
      <c r="C1240" s="14" t="s">
        <v>186</v>
      </c>
      <c r="D1240" s="14" t="str">
        <f>VLOOKUP(C1240,'State Key'!$A$2:$B$210,2,False)</f>
        <v>Chhattisgarh</v>
      </c>
      <c r="E1240" s="15">
        <v>135.0</v>
      </c>
      <c r="F1240" s="16">
        <v>0.0</v>
      </c>
      <c r="G1240" s="16">
        <v>0.0</v>
      </c>
      <c r="H1240" s="16">
        <v>0.0</v>
      </c>
      <c r="I1240" s="16">
        <v>0.0</v>
      </c>
      <c r="J1240" s="16">
        <v>0.0</v>
      </c>
      <c r="K1240" s="16">
        <v>0.0</v>
      </c>
      <c r="L1240" s="16">
        <v>0.0</v>
      </c>
      <c r="M1240" s="16">
        <v>0.0</v>
      </c>
      <c r="N1240" s="16">
        <v>0.0</v>
      </c>
      <c r="O1240" s="13" t="s">
        <v>58</v>
      </c>
      <c r="P1240" s="18">
        <f t="shared" si="1"/>
        <v>0</v>
      </c>
    </row>
    <row r="1241" ht="15.75" customHeight="1">
      <c r="A1241" s="19" t="s">
        <v>218</v>
      </c>
      <c r="B1241" s="19" t="s">
        <v>133</v>
      </c>
      <c r="C1241" s="20" t="s">
        <v>187</v>
      </c>
      <c r="D1241" s="14" t="str">
        <f>VLOOKUP(C1241,'State Key'!$A$2:$B$210,2,False)</f>
        <v>Madhya Pradesh</v>
      </c>
      <c r="E1241" s="21">
        <v>1340.0</v>
      </c>
      <c r="F1241" s="22">
        <v>422.774</v>
      </c>
      <c r="G1241" s="22">
        <v>0.0</v>
      </c>
      <c r="H1241" s="22">
        <v>0.0</v>
      </c>
      <c r="I1241" s="22">
        <v>0.0</v>
      </c>
      <c r="J1241" s="22">
        <v>0.0</v>
      </c>
      <c r="K1241" s="22">
        <v>0.0</v>
      </c>
      <c r="L1241" s="22">
        <v>422.774</v>
      </c>
      <c r="M1241" s="22">
        <v>462.368</v>
      </c>
      <c r="N1241" s="22">
        <v>130.209</v>
      </c>
      <c r="O1241" s="23">
        <v>8.4</v>
      </c>
      <c r="P1241" s="18">
        <f t="shared" si="1"/>
        <v>422.774</v>
      </c>
    </row>
    <row r="1242" ht="15.75" customHeight="1">
      <c r="A1242" s="13" t="s">
        <v>218</v>
      </c>
      <c r="B1242" s="13" t="s">
        <v>133</v>
      </c>
      <c r="C1242" s="14" t="s">
        <v>188</v>
      </c>
      <c r="D1242" s="14" t="str">
        <f>VLOOKUP(C1242,'State Key'!$A$2:$B$210,2,False)</f>
        <v>Madhya Pradesh</v>
      </c>
      <c r="E1242" s="15">
        <v>3960.0</v>
      </c>
      <c r="F1242" s="16">
        <v>0.0</v>
      </c>
      <c r="G1242" s="16">
        <v>0.0</v>
      </c>
      <c r="H1242" s="16">
        <v>1354.367</v>
      </c>
      <c r="I1242" s="16">
        <v>0.0</v>
      </c>
      <c r="J1242" s="16">
        <v>0.0</v>
      </c>
      <c r="K1242" s="16">
        <v>0.0</v>
      </c>
      <c r="L1242" s="16">
        <v>1354.367</v>
      </c>
      <c r="M1242" s="16">
        <v>1440.018</v>
      </c>
      <c r="N1242" s="16">
        <v>59.87</v>
      </c>
      <c r="O1242" s="17">
        <v>1.2</v>
      </c>
      <c r="P1242" s="18">
        <f t="shared" si="1"/>
        <v>1354.367</v>
      </c>
    </row>
    <row r="1243" ht="15.75" customHeight="1">
      <c r="A1243" s="19" t="s">
        <v>218</v>
      </c>
      <c r="B1243" s="19" t="s">
        <v>133</v>
      </c>
      <c r="C1243" s="20" t="s">
        <v>189</v>
      </c>
      <c r="D1243" s="14" t="str">
        <f>VLOOKUP(C1243,'State Key'!$A$2:$B$210,2,False)</f>
        <v>Madhya Pradesh</v>
      </c>
      <c r="E1243" s="21">
        <v>1330.0</v>
      </c>
      <c r="F1243" s="22">
        <v>236.886</v>
      </c>
      <c r="G1243" s="22">
        <v>0.0</v>
      </c>
      <c r="H1243" s="22">
        <v>0.0</v>
      </c>
      <c r="I1243" s="22">
        <v>0.0</v>
      </c>
      <c r="J1243" s="22">
        <v>0.0</v>
      </c>
      <c r="K1243" s="22">
        <v>0.0</v>
      </c>
      <c r="L1243" s="22">
        <v>236.886</v>
      </c>
      <c r="M1243" s="22">
        <v>221.429</v>
      </c>
      <c r="N1243" s="22">
        <v>69.51</v>
      </c>
      <c r="O1243" s="23">
        <v>9.4</v>
      </c>
      <c r="P1243" s="18">
        <f t="shared" si="1"/>
        <v>236.886</v>
      </c>
    </row>
    <row r="1244" ht="15.75" customHeight="1">
      <c r="A1244" s="13" t="s">
        <v>218</v>
      </c>
      <c r="B1244" s="13" t="s">
        <v>133</v>
      </c>
      <c r="C1244" s="14" t="s">
        <v>190</v>
      </c>
      <c r="D1244" s="14" t="str">
        <f>VLOOKUP(C1244,'State Key'!$A$2:$B$210,2,False)</f>
        <v>Madhya Pradesh</v>
      </c>
      <c r="E1244" s="15">
        <v>600.0</v>
      </c>
      <c r="F1244" s="16">
        <v>173.955</v>
      </c>
      <c r="G1244" s="16">
        <v>0.0</v>
      </c>
      <c r="H1244" s="16">
        <v>0.0</v>
      </c>
      <c r="I1244" s="16">
        <v>0.0</v>
      </c>
      <c r="J1244" s="16">
        <v>0.0</v>
      </c>
      <c r="K1244" s="16">
        <v>20.5</v>
      </c>
      <c r="L1244" s="16">
        <v>194.455</v>
      </c>
      <c r="M1244" s="16">
        <v>295.318</v>
      </c>
      <c r="N1244" s="16">
        <v>15.84</v>
      </c>
      <c r="O1244" s="17">
        <v>1.6</v>
      </c>
      <c r="P1244" s="18">
        <f t="shared" si="1"/>
        <v>194.455</v>
      </c>
    </row>
    <row r="1245" ht="15.75" customHeight="1">
      <c r="A1245" s="19" t="s">
        <v>218</v>
      </c>
      <c r="B1245" s="19" t="s">
        <v>133</v>
      </c>
      <c r="C1245" s="20" t="s">
        <v>191</v>
      </c>
      <c r="D1245" s="14" t="str">
        <f>VLOOKUP(C1245,'State Key'!$A$2:$B$210,2,False)</f>
        <v>Maharashtra</v>
      </c>
      <c r="E1245" s="21">
        <v>150.0</v>
      </c>
      <c r="F1245" s="22">
        <v>0.0</v>
      </c>
      <c r="G1245" s="22">
        <v>0.0</v>
      </c>
      <c r="H1245" s="22">
        <v>0.0</v>
      </c>
      <c r="I1245" s="22">
        <v>0.0</v>
      </c>
      <c r="J1245" s="22">
        <v>0.0</v>
      </c>
      <c r="K1245" s="22">
        <v>0.0</v>
      </c>
      <c r="L1245" s="22">
        <v>0.0</v>
      </c>
      <c r="M1245" s="22">
        <v>0.0</v>
      </c>
      <c r="N1245" s="22">
        <v>0.0</v>
      </c>
      <c r="O1245" s="19" t="s">
        <v>58</v>
      </c>
      <c r="P1245" s="18">
        <f t="shared" si="1"/>
        <v>0</v>
      </c>
    </row>
    <row r="1246" ht="15.75" customHeight="1">
      <c r="A1246" s="13" t="s">
        <v>218</v>
      </c>
      <c r="B1246" s="13" t="s">
        <v>133</v>
      </c>
      <c r="C1246" s="14" t="s">
        <v>192</v>
      </c>
      <c r="D1246" s="14" t="str">
        <f>VLOOKUP(C1246,'State Key'!$A$2:$B$210,2,False)</f>
        <v>Madhya Pradesh</v>
      </c>
      <c r="E1246" s="15">
        <v>2520.0</v>
      </c>
      <c r="F1246" s="16">
        <v>851.671</v>
      </c>
      <c r="G1246" s="16">
        <v>0.0</v>
      </c>
      <c r="H1246" s="16">
        <v>0.0</v>
      </c>
      <c r="I1246" s="16">
        <v>0.0</v>
      </c>
      <c r="J1246" s="16">
        <v>0.0</v>
      </c>
      <c r="K1246" s="16">
        <v>0.0</v>
      </c>
      <c r="L1246" s="16">
        <v>851.671</v>
      </c>
      <c r="M1246" s="16">
        <v>872.22</v>
      </c>
      <c r="N1246" s="16">
        <v>119.85</v>
      </c>
      <c r="O1246" s="17">
        <v>4.1</v>
      </c>
      <c r="P1246" s="18">
        <f t="shared" si="1"/>
        <v>851.671</v>
      </c>
    </row>
    <row r="1247" ht="15.75" customHeight="1">
      <c r="A1247" s="19" t="s">
        <v>218</v>
      </c>
      <c r="B1247" s="19" t="s">
        <v>133</v>
      </c>
      <c r="C1247" s="20" t="s">
        <v>193</v>
      </c>
      <c r="D1247" s="14" t="str">
        <f>VLOOKUP(C1247,'State Key'!$A$2:$B$210,2,False)</f>
        <v>Gujarat</v>
      </c>
      <c r="E1247" s="21">
        <v>500.0</v>
      </c>
      <c r="F1247" s="22">
        <v>0.0</v>
      </c>
      <c r="G1247" s="22">
        <v>0.0</v>
      </c>
      <c r="H1247" s="22">
        <v>0.0</v>
      </c>
      <c r="I1247" s="22">
        <v>64.773</v>
      </c>
      <c r="J1247" s="22">
        <v>0.0</v>
      </c>
      <c r="K1247" s="22">
        <v>0.0</v>
      </c>
      <c r="L1247" s="22">
        <v>64.773</v>
      </c>
      <c r="M1247" s="22">
        <v>102.109</v>
      </c>
      <c r="N1247" s="22">
        <v>59.76</v>
      </c>
      <c r="O1247" s="24">
        <v>17.6</v>
      </c>
      <c r="P1247" s="18">
        <f t="shared" si="1"/>
        <v>64.773</v>
      </c>
    </row>
    <row r="1248" ht="15.75" customHeight="1">
      <c r="A1248" s="13" t="s">
        <v>218</v>
      </c>
      <c r="B1248" s="13" t="s">
        <v>133</v>
      </c>
      <c r="C1248" s="14" t="s">
        <v>194</v>
      </c>
      <c r="D1248" s="14" t="str">
        <f>VLOOKUP(C1248,'State Key'!$A$2:$B$210,2,False)</f>
        <v>Chhattisgarh</v>
      </c>
      <c r="E1248" s="15">
        <v>2980.0</v>
      </c>
      <c r="F1248" s="16">
        <v>1169.94</v>
      </c>
      <c r="G1248" s="16">
        <v>0.0</v>
      </c>
      <c r="H1248" s="16">
        <v>0.0</v>
      </c>
      <c r="I1248" s="16">
        <v>0.0</v>
      </c>
      <c r="J1248" s="16">
        <v>0.0</v>
      </c>
      <c r="K1248" s="16">
        <v>0.0</v>
      </c>
      <c r="L1248" s="16">
        <v>1169.94</v>
      </c>
      <c r="M1248" s="16">
        <v>1329.653</v>
      </c>
      <c r="N1248" s="16">
        <v>542.028</v>
      </c>
      <c r="O1248" s="23">
        <v>12.2</v>
      </c>
      <c r="P1248" s="18">
        <f t="shared" si="1"/>
        <v>1169.94</v>
      </c>
    </row>
    <row r="1249" ht="15.75" customHeight="1">
      <c r="A1249" s="19" t="s">
        <v>218</v>
      </c>
      <c r="B1249" s="19" t="s">
        <v>133</v>
      </c>
      <c r="C1249" s="20" t="s">
        <v>195</v>
      </c>
      <c r="D1249" s="14" t="str">
        <f>VLOOKUP(C1249,'State Key'!$A$2:$B$210,2,False)</f>
        <v>Maharashtra</v>
      </c>
      <c r="E1249" s="21">
        <v>1320.0</v>
      </c>
      <c r="F1249" s="22">
        <v>318.54</v>
      </c>
      <c r="G1249" s="22">
        <v>60.98</v>
      </c>
      <c r="H1249" s="22">
        <v>19.68</v>
      </c>
      <c r="I1249" s="22">
        <v>75.44</v>
      </c>
      <c r="J1249" s="22">
        <v>0.0</v>
      </c>
      <c r="K1249" s="22">
        <v>0.0</v>
      </c>
      <c r="L1249" s="22">
        <v>474.64</v>
      </c>
      <c r="M1249" s="22">
        <v>485.356</v>
      </c>
      <c r="N1249" s="22">
        <v>55.724</v>
      </c>
      <c r="O1249" s="17">
        <v>3.4</v>
      </c>
      <c r="P1249" s="18">
        <f t="shared" si="1"/>
        <v>474.64</v>
      </c>
    </row>
    <row r="1250" ht="15.75" customHeight="1">
      <c r="A1250" s="13" t="s">
        <v>218</v>
      </c>
      <c r="B1250" s="13" t="s">
        <v>133</v>
      </c>
      <c r="C1250" s="14" t="s">
        <v>196</v>
      </c>
      <c r="D1250" s="14" t="str">
        <f>VLOOKUP(C1250,'State Key'!$A$2:$B$210,2,False)</f>
        <v>Chhattisgarh</v>
      </c>
      <c r="E1250" s="15">
        <v>63.0</v>
      </c>
      <c r="F1250" s="16">
        <v>10.0</v>
      </c>
      <c r="G1250" s="16">
        <v>0.0</v>
      </c>
      <c r="H1250" s="16">
        <v>0.0</v>
      </c>
      <c r="I1250" s="16">
        <v>0.0</v>
      </c>
      <c r="J1250" s="16">
        <v>0.0</v>
      </c>
      <c r="K1250" s="16">
        <v>0.0</v>
      </c>
      <c r="L1250" s="16">
        <v>10.0</v>
      </c>
      <c r="M1250" s="16">
        <v>10.0</v>
      </c>
      <c r="N1250" s="16">
        <v>0.0</v>
      </c>
      <c r="O1250" s="17">
        <v>0.0</v>
      </c>
      <c r="P1250" s="18">
        <f t="shared" si="1"/>
        <v>10</v>
      </c>
    </row>
    <row r="1251" ht="15.75" customHeight="1">
      <c r="A1251" s="19" t="s">
        <v>218</v>
      </c>
      <c r="B1251" s="19" t="s">
        <v>133</v>
      </c>
      <c r="C1251" s="20" t="s">
        <v>197</v>
      </c>
      <c r="D1251" s="14" t="str">
        <f>VLOOKUP(C1251,'State Key'!$A$2:$B$210,2,False)</f>
        <v>Chhattisgarh</v>
      </c>
      <c r="E1251" s="21">
        <v>25.0</v>
      </c>
      <c r="F1251" s="22">
        <v>0.0</v>
      </c>
      <c r="G1251" s="22">
        <v>0.0</v>
      </c>
      <c r="H1251" s="22">
        <v>0.0</v>
      </c>
      <c r="I1251" s="22">
        <v>0.0</v>
      </c>
      <c r="J1251" s="22">
        <v>0.0</v>
      </c>
      <c r="K1251" s="22">
        <v>0.0</v>
      </c>
      <c r="L1251" s="22">
        <v>0.0</v>
      </c>
      <c r="M1251" s="22">
        <v>0.0</v>
      </c>
      <c r="N1251" s="22">
        <v>0.0</v>
      </c>
      <c r="O1251" s="19" t="s">
        <v>58</v>
      </c>
      <c r="P1251" s="18">
        <f t="shared" si="1"/>
        <v>0</v>
      </c>
    </row>
    <row r="1252" ht="15.75" customHeight="1">
      <c r="A1252" s="13" t="s">
        <v>218</v>
      </c>
      <c r="B1252" s="13" t="s">
        <v>133</v>
      </c>
      <c r="C1252" s="14" t="s">
        <v>198</v>
      </c>
      <c r="D1252" s="14" t="str">
        <f>VLOOKUP(C1252,'State Key'!$A$2:$B$210,2,False)</f>
        <v>Chhattisgarh</v>
      </c>
      <c r="E1252" s="15">
        <v>2400.0</v>
      </c>
      <c r="F1252" s="16">
        <v>315.124</v>
      </c>
      <c r="G1252" s="16">
        <v>0.0</v>
      </c>
      <c r="H1252" s="16">
        <v>0.0</v>
      </c>
      <c r="I1252" s="16">
        <v>7.527</v>
      </c>
      <c r="J1252" s="16">
        <v>56.885</v>
      </c>
      <c r="K1252" s="16">
        <v>944.478</v>
      </c>
      <c r="L1252" s="16">
        <v>1324.014</v>
      </c>
      <c r="M1252" s="16">
        <v>1239.646</v>
      </c>
      <c r="N1252" s="16">
        <v>137.936</v>
      </c>
      <c r="O1252" s="17">
        <v>3.3</v>
      </c>
      <c r="P1252" s="18">
        <f t="shared" si="1"/>
        <v>1324.014</v>
      </c>
    </row>
    <row r="1253" ht="15.75" customHeight="1">
      <c r="A1253" s="19" t="s">
        <v>218</v>
      </c>
      <c r="B1253" s="19" t="s">
        <v>133</v>
      </c>
      <c r="C1253" s="20" t="s">
        <v>200</v>
      </c>
      <c r="D1253" s="14" t="str">
        <f>VLOOKUP(C1253,'State Key'!$A$2:$B$210,2,False)</f>
        <v>Maharashtra</v>
      </c>
      <c r="E1253" s="21">
        <v>750.0</v>
      </c>
      <c r="F1253" s="22">
        <v>0.0</v>
      </c>
      <c r="G1253" s="22">
        <v>0.0</v>
      </c>
      <c r="H1253" s="22">
        <v>0.0</v>
      </c>
      <c r="I1253" s="22">
        <v>164.6932</v>
      </c>
      <c r="J1253" s="22">
        <v>0.0</v>
      </c>
      <c r="K1253" s="22">
        <v>0.0</v>
      </c>
      <c r="L1253" s="22">
        <v>164.6932</v>
      </c>
      <c r="M1253" s="22">
        <v>249.64</v>
      </c>
      <c r="N1253" s="22">
        <v>82.23</v>
      </c>
      <c r="O1253" s="23">
        <v>9.9</v>
      </c>
      <c r="P1253" s="18">
        <f t="shared" si="1"/>
        <v>164.6932</v>
      </c>
    </row>
    <row r="1254" ht="15.75" customHeight="1">
      <c r="A1254" s="13" t="s">
        <v>218</v>
      </c>
      <c r="B1254" s="13" t="s">
        <v>133</v>
      </c>
      <c r="C1254" s="14" t="s">
        <v>201</v>
      </c>
      <c r="D1254" s="14" t="str">
        <f>VLOOKUP(C1254,'State Key'!$A$2:$B$210,2,False)</f>
        <v>Chhattisgarh</v>
      </c>
      <c r="E1254" s="15">
        <v>1440.0</v>
      </c>
      <c r="F1254" s="16">
        <v>212.617</v>
      </c>
      <c r="G1254" s="16">
        <v>0.0</v>
      </c>
      <c r="H1254" s="16">
        <v>0.0</v>
      </c>
      <c r="I1254" s="16">
        <v>0.0</v>
      </c>
      <c r="J1254" s="16">
        <v>0.0</v>
      </c>
      <c r="K1254" s="16">
        <v>259.28</v>
      </c>
      <c r="L1254" s="16">
        <v>471.897</v>
      </c>
      <c r="M1254" s="16">
        <v>485.28</v>
      </c>
      <c r="N1254" s="16">
        <v>43.61</v>
      </c>
      <c r="O1254" s="17">
        <v>2.7</v>
      </c>
      <c r="P1254" s="18">
        <f t="shared" si="1"/>
        <v>471.897</v>
      </c>
    </row>
    <row r="1255" ht="15.75" customHeight="1">
      <c r="A1255" s="19" t="s">
        <v>218</v>
      </c>
      <c r="B1255" s="19" t="s">
        <v>133</v>
      </c>
      <c r="C1255" s="20" t="s">
        <v>202</v>
      </c>
      <c r="D1255" s="14" t="str">
        <f>VLOOKUP(C1255,'State Key'!$A$2:$B$210,2,False)</f>
        <v>Gujarat</v>
      </c>
      <c r="E1255" s="21">
        <v>1110.0</v>
      </c>
      <c r="F1255" s="22">
        <v>343.367</v>
      </c>
      <c r="G1255" s="22">
        <v>0.0</v>
      </c>
      <c r="H1255" s="22">
        <v>0.0</v>
      </c>
      <c r="I1255" s="22">
        <v>0.0</v>
      </c>
      <c r="J1255" s="22">
        <v>0.0</v>
      </c>
      <c r="K1255" s="22">
        <v>0.0</v>
      </c>
      <c r="L1255" s="22">
        <v>343.367</v>
      </c>
      <c r="M1255" s="22">
        <v>394.47</v>
      </c>
      <c r="N1255" s="22">
        <v>222.12</v>
      </c>
      <c r="O1255" s="24">
        <v>16.9</v>
      </c>
      <c r="P1255" s="18">
        <f t="shared" si="1"/>
        <v>343.367</v>
      </c>
    </row>
    <row r="1256" ht="15.75" customHeight="1">
      <c r="A1256" s="13" t="s">
        <v>218</v>
      </c>
      <c r="B1256" s="13" t="s">
        <v>133</v>
      </c>
      <c r="C1256" s="14" t="s">
        <v>203</v>
      </c>
      <c r="D1256" s="14" t="str">
        <f>VLOOKUP(C1256,'State Key'!$A$2:$B$210,2,False)</f>
        <v>Madhya Pradesh</v>
      </c>
      <c r="E1256" s="15">
        <v>4760.0</v>
      </c>
      <c r="F1256" s="16">
        <v>1792.81</v>
      </c>
      <c r="G1256" s="16">
        <v>0.0</v>
      </c>
      <c r="H1256" s="16">
        <v>0.0</v>
      </c>
      <c r="I1256" s="16">
        <v>0.0</v>
      </c>
      <c r="J1256" s="16">
        <v>0.0</v>
      </c>
      <c r="K1256" s="16">
        <v>0.0</v>
      </c>
      <c r="L1256" s="16">
        <v>1792.81</v>
      </c>
      <c r="M1256" s="16">
        <v>1934.482</v>
      </c>
      <c r="N1256" s="16">
        <v>1144.92</v>
      </c>
      <c r="O1256" s="24">
        <v>17.8</v>
      </c>
      <c r="P1256" s="18">
        <f t="shared" si="1"/>
        <v>1792.81</v>
      </c>
    </row>
    <row r="1257" ht="15.75" customHeight="1">
      <c r="A1257" s="19" t="s">
        <v>218</v>
      </c>
      <c r="B1257" s="19" t="s">
        <v>133</v>
      </c>
      <c r="C1257" s="20" t="s">
        <v>204</v>
      </c>
      <c r="D1257" s="14" t="str">
        <f>VLOOKUP(C1257,'State Key'!$A$2:$B$210,2,False)</f>
        <v>Gujarat</v>
      </c>
      <c r="E1257" s="21">
        <v>2270.0</v>
      </c>
      <c r="F1257" s="22">
        <v>839.055</v>
      </c>
      <c r="G1257" s="22">
        <v>0.0</v>
      </c>
      <c r="H1257" s="22">
        <v>0.0</v>
      </c>
      <c r="I1257" s="22">
        <v>0.0</v>
      </c>
      <c r="J1257" s="22">
        <v>0.0</v>
      </c>
      <c r="K1257" s="22">
        <v>0.0</v>
      </c>
      <c r="L1257" s="22">
        <v>839.055</v>
      </c>
      <c r="M1257" s="22">
        <v>791.365</v>
      </c>
      <c r="N1257" s="22">
        <v>175.8</v>
      </c>
      <c r="O1257" s="17">
        <v>6.7</v>
      </c>
      <c r="P1257" s="18">
        <f t="shared" si="1"/>
        <v>839.055</v>
      </c>
    </row>
    <row r="1258" ht="15.75" customHeight="1">
      <c r="A1258" s="13" t="s">
        <v>218</v>
      </c>
      <c r="B1258" s="13" t="s">
        <v>133</v>
      </c>
      <c r="C1258" s="14" t="s">
        <v>205</v>
      </c>
      <c r="D1258" s="14" t="str">
        <f>VLOOKUP(C1258,'State Key'!$A$2:$B$210,2,False)</f>
        <v>Maharashtra</v>
      </c>
      <c r="E1258" s="15">
        <v>540.0</v>
      </c>
      <c r="F1258" s="16">
        <v>204.28</v>
      </c>
      <c r="G1258" s="16">
        <v>0.0</v>
      </c>
      <c r="H1258" s="16">
        <v>0.0</v>
      </c>
      <c r="I1258" s="16">
        <v>0.0</v>
      </c>
      <c r="J1258" s="16">
        <v>0.0</v>
      </c>
      <c r="K1258" s="16">
        <v>0.0</v>
      </c>
      <c r="L1258" s="16">
        <v>204.28</v>
      </c>
      <c r="M1258" s="16">
        <v>143.78</v>
      </c>
      <c r="N1258" s="16">
        <v>198.62</v>
      </c>
      <c r="O1258" s="24">
        <v>41.4</v>
      </c>
      <c r="P1258" s="18">
        <f t="shared" si="1"/>
        <v>204.28</v>
      </c>
    </row>
    <row r="1259" ht="15.75" customHeight="1">
      <c r="A1259" s="19" t="s">
        <v>221</v>
      </c>
      <c r="B1259" s="19" t="s">
        <v>22</v>
      </c>
      <c r="C1259" s="20" t="s">
        <v>23</v>
      </c>
      <c r="D1259" s="14" t="str">
        <f>VLOOKUP(C1259,'State Key'!$A$2:$B$210,2,False)</f>
        <v>West Bengal</v>
      </c>
      <c r="E1259" s="21">
        <v>1050.0</v>
      </c>
      <c r="F1259" s="22">
        <v>52.084</v>
      </c>
      <c r="G1259" s="22">
        <v>0.0</v>
      </c>
      <c r="H1259" s="22">
        <v>397.659</v>
      </c>
      <c r="I1259" s="22">
        <v>0.0</v>
      </c>
      <c r="J1259" s="22">
        <v>0.0</v>
      </c>
      <c r="K1259" s="22">
        <v>0.0</v>
      </c>
      <c r="L1259" s="22">
        <v>449.743</v>
      </c>
      <c r="M1259" s="22">
        <v>479.672</v>
      </c>
      <c r="N1259" s="22">
        <v>64.45</v>
      </c>
      <c r="O1259" s="17">
        <v>4.0</v>
      </c>
      <c r="P1259" s="18">
        <f t="shared" si="1"/>
        <v>449.743</v>
      </c>
    </row>
    <row r="1260" ht="15.75" customHeight="1">
      <c r="A1260" s="13" t="s">
        <v>221</v>
      </c>
      <c r="B1260" s="13" t="s">
        <v>22</v>
      </c>
      <c r="C1260" s="14" t="s">
        <v>24</v>
      </c>
      <c r="D1260" s="14" t="str">
        <f>VLOOKUP(C1260,'State Key'!$A$2:$B$210,2,False)</f>
        <v>West Bengal</v>
      </c>
      <c r="E1260" s="15">
        <v>270.0</v>
      </c>
      <c r="F1260" s="16">
        <v>16.059</v>
      </c>
      <c r="G1260" s="16">
        <v>0.0</v>
      </c>
      <c r="H1260" s="16">
        <v>120.992</v>
      </c>
      <c r="I1260" s="16">
        <v>0.0</v>
      </c>
      <c r="J1260" s="16">
        <v>0.0</v>
      </c>
      <c r="K1260" s="16">
        <v>0.0</v>
      </c>
      <c r="L1260" s="16">
        <v>137.051</v>
      </c>
      <c r="M1260" s="16">
        <v>119.917</v>
      </c>
      <c r="N1260" s="16">
        <v>27.94</v>
      </c>
      <c r="O1260" s="23">
        <v>7.0</v>
      </c>
      <c r="P1260" s="18">
        <f t="shared" si="1"/>
        <v>137.051</v>
      </c>
    </row>
    <row r="1261" ht="15.75" customHeight="1">
      <c r="A1261" s="19" t="s">
        <v>221</v>
      </c>
      <c r="B1261" s="19" t="s">
        <v>22</v>
      </c>
      <c r="C1261" s="20" t="s">
        <v>25</v>
      </c>
      <c r="D1261" s="14" t="str">
        <f>VLOOKUP(C1261,'State Key'!$A$2:$B$210,2,False)</f>
        <v>Bihar</v>
      </c>
      <c r="E1261" s="21">
        <v>710.0</v>
      </c>
      <c r="F1261" s="22">
        <v>0.0</v>
      </c>
      <c r="G1261" s="22">
        <v>0.0</v>
      </c>
      <c r="H1261" s="22">
        <v>208.16</v>
      </c>
      <c r="I1261" s="22">
        <v>0.0</v>
      </c>
      <c r="J1261" s="22">
        <v>0.0</v>
      </c>
      <c r="K1261" s="22">
        <v>0.0</v>
      </c>
      <c r="L1261" s="22">
        <v>208.16</v>
      </c>
      <c r="M1261" s="22">
        <v>174.454</v>
      </c>
      <c r="N1261" s="22">
        <v>59.455</v>
      </c>
      <c r="O1261" s="23">
        <v>10.2</v>
      </c>
      <c r="P1261" s="18">
        <f t="shared" si="1"/>
        <v>208.16</v>
      </c>
    </row>
    <row r="1262" ht="15.75" customHeight="1">
      <c r="A1262" s="13" t="s">
        <v>221</v>
      </c>
      <c r="B1262" s="13" t="s">
        <v>22</v>
      </c>
      <c r="C1262" s="14" t="s">
        <v>26</v>
      </c>
      <c r="D1262" s="14" t="str">
        <f>VLOOKUP(C1262,'State Key'!$A$2:$B$210,2,False)</f>
        <v>Bihar</v>
      </c>
      <c r="E1262" s="15">
        <v>2640.0</v>
      </c>
      <c r="F1262" s="16">
        <v>412.49</v>
      </c>
      <c r="G1262" s="16">
        <v>0.0</v>
      </c>
      <c r="H1262" s="16">
        <v>332.92</v>
      </c>
      <c r="I1262" s="16">
        <v>14.983</v>
      </c>
      <c r="J1262" s="16">
        <v>0.0</v>
      </c>
      <c r="K1262" s="16">
        <v>0.0</v>
      </c>
      <c r="L1262" s="16">
        <v>760.393</v>
      </c>
      <c r="M1262" s="16">
        <v>679.914</v>
      </c>
      <c r="N1262" s="16">
        <v>223.686</v>
      </c>
      <c r="O1262" s="23">
        <v>9.9</v>
      </c>
      <c r="P1262" s="18">
        <f t="shared" si="1"/>
        <v>760.393</v>
      </c>
    </row>
    <row r="1263" ht="15.75" customHeight="1">
      <c r="A1263" s="19" t="s">
        <v>221</v>
      </c>
      <c r="B1263" s="19" t="s">
        <v>22</v>
      </c>
      <c r="C1263" s="20" t="s">
        <v>27</v>
      </c>
      <c r="D1263" s="14" t="str">
        <f>VLOOKUP(C1263,'State Key'!$A$2:$B$210,2,False)</f>
        <v>Jharkhand</v>
      </c>
      <c r="E1263" s="21">
        <v>500.0</v>
      </c>
      <c r="F1263" s="22">
        <v>184.036</v>
      </c>
      <c r="G1263" s="22">
        <v>0.0</v>
      </c>
      <c r="H1263" s="22">
        <v>0.0</v>
      </c>
      <c r="I1263" s="22">
        <v>0.0</v>
      </c>
      <c r="J1263" s="22">
        <v>0.0</v>
      </c>
      <c r="K1263" s="22">
        <v>0.0</v>
      </c>
      <c r="L1263" s="22">
        <v>184.036</v>
      </c>
      <c r="M1263" s="22">
        <v>190.748</v>
      </c>
      <c r="N1263" s="22">
        <v>33.07</v>
      </c>
      <c r="O1263" s="17">
        <v>5.2</v>
      </c>
      <c r="P1263" s="18">
        <f t="shared" si="1"/>
        <v>184.036</v>
      </c>
    </row>
    <row r="1264" ht="15.75" customHeight="1">
      <c r="A1264" s="13" t="s">
        <v>221</v>
      </c>
      <c r="B1264" s="13" t="s">
        <v>22</v>
      </c>
      <c r="C1264" s="14" t="s">
        <v>28</v>
      </c>
      <c r="D1264" s="14" t="str">
        <f>VLOOKUP(C1264,'State Key'!$A$2:$B$210,2,False)</f>
        <v>West Bengal</v>
      </c>
      <c r="E1264" s="15">
        <v>750.0</v>
      </c>
      <c r="F1264" s="16">
        <v>116.638</v>
      </c>
      <c r="G1264" s="16">
        <v>0.0</v>
      </c>
      <c r="H1264" s="16">
        <v>69.845</v>
      </c>
      <c r="I1264" s="16">
        <v>0.0</v>
      </c>
      <c r="J1264" s="16">
        <v>0.0</v>
      </c>
      <c r="K1264" s="16">
        <v>91.903</v>
      </c>
      <c r="L1264" s="16">
        <v>278.386</v>
      </c>
      <c r="M1264" s="16">
        <v>296.697</v>
      </c>
      <c r="N1264" s="16">
        <v>49.87</v>
      </c>
      <c r="O1264" s="17">
        <v>5.0</v>
      </c>
      <c r="P1264" s="18">
        <f t="shared" si="1"/>
        <v>278.386</v>
      </c>
    </row>
    <row r="1265" ht="15.75" customHeight="1">
      <c r="A1265" s="19" t="s">
        <v>221</v>
      </c>
      <c r="B1265" s="19" t="s">
        <v>22</v>
      </c>
      <c r="C1265" s="20" t="s">
        <v>29</v>
      </c>
      <c r="D1265" s="14" t="str">
        <f>VLOOKUP(C1265,'State Key'!$A$2:$B$210,2,False)</f>
        <v>Jharkhand</v>
      </c>
      <c r="E1265" s="21">
        <v>500.0</v>
      </c>
      <c r="F1265" s="22">
        <v>212.519</v>
      </c>
      <c r="G1265" s="22">
        <v>0.0</v>
      </c>
      <c r="H1265" s="22">
        <v>32.702</v>
      </c>
      <c r="I1265" s="22">
        <v>3.815</v>
      </c>
      <c r="J1265" s="22">
        <v>0.0</v>
      </c>
      <c r="K1265" s="22">
        <v>0.0</v>
      </c>
      <c r="L1265" s="22">
        <v>249.036</v>
      </c>
      <c r="M1265" s="22">
        <v>214.025</v>
      </c>
      <c r="N1265" s="22">
        <v>52.884</v>
      </c>
      <c r="O1265" s="23">
        <v>7.4</v>
      </c>
      <c r="P1265" s="18">
        <f t="shared" si="1"/>
        <v>249.036</v>
      </c>
    </row>
    <row r="1266" ht="15.75" customHeight="1">
      <c r="A1266" s="13" t="s">
        <v>221</v>
      </c>
      <c r="B1266" s="13" t="s">
        <v>22</v>
      </c>
      <c r="C1266" s="14" t="s">
        <v>30</v>
      </c>
      <c r="D1266" s="14" t="str">
        <f>VLOOKUP(C1266,'State Key'!$A$2:$B$210,2,False)</f>
        <v>West Bengal</v>
      </c>
      <c r="E1266" s="15">
        <v>550.0</v>
      </c>
      <c r="F1266" s="16">
        <v>74.053</v>
      </c>
      <c r="G1266" s="16">
        <v>0.0</v>
      </c>
      <c r="H1266" s="16">
        <v>63.055</v>
      </c>
      <c r="I1266" s="16">
        <v>0.0</v>
      </c>
      <c r="J1266" s="16">
        <v>0.0</v>
      </c>
      <c r="K1266" s="16">
        <v>0.0</v>
      </c>
      <c r="L1266" s="16">
        <v>137.108</v>
      </c>
      <c r="M1266" s="16">
        <v>105.336</v>
      </c>
      <c r="N1266" s="16">
        <v>34.68</v>
      </c>
      <c r="O1266" s="23">
        <v>9.9</v>
      </c>
      <c r="P1266" s="18">
        <f t="shared" si="1"/>
        <v>137.108</v>
      </c>
    </row>
    <row r="1267" ht="15.75" customHeight="1">
      <c r="A1267" s="19" t="s">
        <v>221</v>
      </c>
      <c r="B1267" s="19" t="s">
        <v>22</v>
      </c>
      <c r="C1267" s="20" t="s">
        <v>31</v>
      </c>
      <c r="D1267" s="14" t="str">
        <f>VLOOKUP(C1267,'State Key'!$A$2:$B$210,2,False)</f>
        <v>Odisha</v>
      </c>
      <c r="E1267" s="21">
        <v>1600.0</v>
      </c>
      <c r="F1267" s="22">
        <v>0.0</v>
      </c>
      <c r="G1267" s="22">
        <v>0.0</v>
      </c>
      <c r="H1267" s="22">
        <v>806.55</v>
      </c>
      <c r="I1267" s="22">
        <v>0.0</v>
      </c>
      <c r="J1267" s="22">
        <v>0.0</v>
      </c>
      <c r="K1267" s="22">
        <v>0.0</v>
      </c>
      <c r="L1267" s="22">
        <v>806.55</v>
      </c>
      <c r="M1267" s="22">
        <v>817.472</v>
      </c>
      <c r="N1267" s="22">
        <v>393.66</v>
      </c>
      <c r="O1267" s="24">
        <v>14.4</v>
      </c>
      <c r="P1267" s="18">
        <f t="shared" si="1"/>
        <v>806.55</v>
      </c>
    </row>
    <row r="1268" ht="15.75" customHeight="1">
      <c r="A1268" s="13" t="s">
        <v>221</v>
      </c>
      <c r="B1268" s="13" t="s">
        <v>22</v>
      </c>
      <c r="C1268" s="14" t="s">
        <v>32</v>
      </c>
      <c r="D1268" s="14" t="str">
        <f>VLOOKUP(C1268,'State Key'!$A$2:$B$210,2,False)</f>
        <v>Odisha</v>
      </c>
      <c r="E1268" s="15">
        <v>1200.0</v>
      </c>
      <c r="F1268" s="16">
        <v>297.0</v>
      </c>
      <c r="G1268" s="16">
        <v>0.0</v>
      </c>
      <c r="H1268" s="16">
        <v>0.0</v>
      </c>
      <c r="I1268" s="16">
        <v>0.0</v>
      </c>
      <c r="J1268" s="16">
        <v>0.0</v>
      </c>
      <c r="K1268" s="16">
        <v>187.0</v>
      </c>
      <c r="L1268" s="16">
        <v>484.0</v>
      </c>
      <c r="M1268" s="16">
        <v>528.0</v>
      </c>
      <c r="N1268" s="16">
        <v>569.96</v>
      </c>
      <c r="O1268" s="24">
        <v>32.4</v>
      </c>
      <c r="P1268" s="18">
        <f t="shared" si="1"/>
        <v>484</v>
      </c>
    </row>
    <row r="1269" ht="15.75" customHeight="1">
      <c r="A1269" s="19" t="s">
        <v>221</v>
      </c>
      <c r="B1269" s="19" t="s">
        <v>22</v>
      </c>
      <c r="C1269" s="20" t="s">
        <v>33</v>
      </c>
      <c r="D1269" s="14" t="str">
        <f>VLOOKUP(C1269,'State Key'!$A$2:$B$210,2,False)</f>
        <v>West Bengal</v>
      </c>
      <c r="E1269" s="21">
        <v>12.0</v>
      </c>
      <c r="F1269" s="22">
        <v>8.16</v>
      </c>
      <c r="G1269" s="22">
        <v>0.0</v>
      </c>
      <c r="H1269" s="22">
        <v>0.0</v>
      </c>
      <c r="I1269" s="22">
        <v>0.0</v>
      </c>
      <c r="J1269" s="22">
        <v>0.0</v>
      </c>
      <c r="K1269" s="22">
        <v>0.0</v>
      </c>
      <c r="L1269" s="22">
        <v>8.16</v>
      </c>
      <c r="M1269" s="22">
        <v>0.0</v>
      </c>
      <c r="N1269" s="22">
        <v>8.17</v>
      </c>
      <c r="O1269" s="19" t="s">
        <v>58</v>
      </c>
      <c r="P1269" s="18">
        <f t="shared" si="1"/>
        <v>8.16</v>
      </c>
    </row>
    <row r="1270" ht="15.75" customHeight="1">
      <c r="A1270" s="13" t="s">
        <v>221</v>
      </c>
      <c r="B1270" s="13" t="s">
        <v>22</v>
      </c>
      <c r="C1270" s="14" t="s">
        <v>34</v>
      </c>
      <c r="D1270" s="14" t="str">
        <f>VLOOKUP(C1270,'State Key'!$A$2:$B$210,2,False)</f>
        <v>West Bengal</v>
      </c>
      <c r="E1270" s="15">
        <v>1000.0</v>
      </c>
      <c r="F1270" s="16">
        <v>418.838</v>
      </c>
      <c r="G1270" s="16">
        <v>0.0</v>
      </c>
      <c r="H1270" s="16">
        <v>0.0</v>
      </c>
      <c r="I1270" s="16">
        <v>0.0</v>
      </c>
      <c r="J1270" s="16">
        <v>0.0</v>
      </c>
      <c r="K1270" s="16">
        <v>0.0</v>
      </c>
      <c r="L1270" s="16">
        <v>418.838</v>
      </c>
      <c r="M1270" s="16">
        <v>376.054</v>
      </c>
      <c r="N1270" s="16">
        <v>128.715</v>
      </c>
      <c r="O1270" s="23">
        <v>10.3</v>
      </c>
      <c r="P1270" s="18">
        <f t="shared" si="1"/>
        <v>418.838</v>
      </c>
    </row>
    <row r="1271" ht="15.75" customHeight="1">
      <c r="A1271" s="19" t="s">
        <v>221</v>
      </c>
      <c r="B1271" s="19" t="s">
        <v>22</v>
      </c>
      <c r="C1271" s="20" t="s">
        <v>35</v>
      </c>
      <c r="D1271" s="14" t="str">
        <f>VLOOKUP(C1271,'State Key'!$A$2:$B$210,2,False)</f>
        <v>West Bengal</v>
      </c>
      <c r="E1271" s="21">
        <v>2100.0</v>
      </c>
      <c r="F1271" s="22">
        <v>759.53</v>
      </c>
      <c r="G1271" s="22">
        <v>0.0</v>
      </c>
      <c r="H1271" s="22">
        <v>27.05</v>
      </c>
      <c r="I1271" s="22">
        <v>62.45</v>
      </c>
      <c r="J1271" s="22">
        <v>0.0</v>
      </c>
      <c r="K1271" s="22">
        <v>0.0</v>
      </c>
      <c r="L1271" s="22">
        <v>849.03</v>
      </c>
      <c r="M1271" s="22">
        <v>688.626</v>
      </c>
      <c r="N1271" s="22">
        <v>202.86</v>
      </c>
      <c r="O1271" s="23">
        <v>8.8</v>
      </c>
      <c r="P1271" s="18">
        <f t="shared" si="1"/>
        <v>849.03</v>
      </c>
    </row>
    <row r="1272" ht="15.75" customHeight="1">
      <c r="A1272" s="13" t="s">
        <v>221</v>
      </c>
      <c r="B1272" s="13" t="s">
        <v>22</v>
      </c>
      <c r="C1272" s="14" t="s">
        <v>36</v>
      </c>
      <c r="D1272" s="14" t="str">
        <f>VLOOKUP(C1272,'State Key'!$A$2:$B$210,2,False)</f>
        <v>West Bengal</v>
      </c>
      <c r="E1272" s="15">
        <v>600.0</v>
      </c>
      <c r="F1272" s="16">
        <v>213.71</v>
      </c>
      <c r="G1272" s="16">
        <v>0.0</v>
      </c>
      <c r="H1272" s="16">
        <v>0.0</v>
      </c>
      <c r="I1272" s="16">
        <v>0.0</v>
      </c>
      <c r="J1272" s="16">
        <v>0.0</v>
      </c>
      <c r="K1272" s="16">
        <v>11.604</v>
      </c>
      <c r="L1272" s="16">
        <v>225.314</v>
      </c>
      <c r="M1272" s="16">
        <v>202.82</v>
      </c>
      <c r="N1272" s="16">
        <v>187.24</v>
      </c>
      <c r="O1272" s="24">
        <v>27.7</v>
      </c>
      <c r="P1272" s="18">
        <f t="shared" si="1"/>
        <v>225.314</v>
      </c>
    </row>
    <row r="1273" ht="15.75" customHeight="1">
      <c r="A1273" s="19" t="s">
        <v>221</v>
      </c>
      <c r="B1273" s="19" t="s">
        <v>22</v>
      </c>
      <c r="C1273" s="20" t="s">
        <v>37</v>
      </c>
      <c r="D1273" s="14" t="str">
        <f>VLOOKUP(C1273,'State Key'!$A$2:$B$210,2,False)</f>
        <v>West Bengal</v>
      </c>
      <c r="E1273" s="21">
        <v>300.0</v>
      </c>
      <c r="F1273" s="22">
        <v>102.93</v>
      </c>
      <c r="G1273" s="22">
        <v>0.0</v>
      </c>
      <c r="H1273" s="22">
        <v>0.0</v>
      </c>
      <c r="I1273" s="22">
        <v>0.0</v>
      </c>
      <c r="J1273" s="22">
        <v>0.0</v>
      </c>
      <c r="K1273" s="22">
        <v>0.0</v>
      </c>
      <c r="L1273" s="22">
        <v>102.93</v>
      </c>
      <c r="M1273" s="22">
        <v>116.243</v>
      </c>
      <c r="N1273" s="22">
        <v>2.84</v>
      </c>
      <c r="O1273" s="17">
        <v>0.7</v>
      </c>
      <c r="P1273" s="18">
        <f t="shared" si="1"/>
        <v>102.93</v>
      </c>
    </row>
    <row r="1274" ht="15.75" customHeight="1">
      <c r="A1274" s="13" t="s">
        <v>221</v>
      </c>
      <c r="B1274" s="13" t="s">
        <v>22</v>
      </c>
      <c r="C1274" s="14" t="s">
        <v>38</v>
      </c>
      <c r="D1274" s="14" t="str">
        <f>VLOOKUP(C1274,'State Key'!$A$2:$B$210,2,False)</f>
        <v>Odisha</v>
      </c>
      <c r="E1274" s="15">
        <v>1740.0</v>
      </c>
      <c r="F1274" s="16">
        <v>243.813</v>
      </c>
      <c r="G1274" s="16">
        <v>0.0</v>
      </c>
      <c r="H1274" s="16">
        <v>525.0</v>
      </c>
      <c r="I1274" s="16">
        <v>0.0</v>
      </c>
      <c r="J1274" s="16">
        <v>0.0</v>
      </c>
      <c r="K1274" s="16">
        <v>0.0</v>
      </c>
      <c r="L1274" s="16">
        <v>768.813</v>
      </c>
      <c r="M1274" s="16">
        <v>781.759</v>
      </c>
      <c r="N1274" s="16">
        <v>232.0</v>
      </c>
      <c r="O1274" s="23">
        <v>8.9</v>
      </c>
      <c r="P1274" s="18">
        <f t="shared" si="1"/>
        <v>768.813</v>
      </c>
    </row>
    <row r="1275" ht="15.75" customHeight="1">
      <c r="A1275" s="19" t="s">
        <v>221</v>
      </c>
      <c r="B1275" s="19" t="s">
        <v>22</v>
      </c>
      <c r="C1275" s="20" t="s">
        <v>39</v>
      </c>
      <c r="D1275" s="14" t="str">
        <f>VLOOKUP(C1275,'State Key'!$A$2:$B$210,2,False)</f>
        <v>Jharkhand</v>
      </c>
      <c r="E1275" s="21">
        <v>240.0</v>
      </c>
      <c r="F1275" s="22">
        <v>86.135</v>
      </c>
      <c r="G1275" s="22">
        <v>0.0</v>
      </c>
      <c r="H1275" s="22">
        <v>0.0</v>
      </c>
      <c r="I1275" s="22">
        <v>0.0</v>
      </c>
      <c r="J1275" s="22">
        <v>7.759</v>
      </c>
      <c r="K1275" s="22">
        <v>0.0</v>
      </c>
      <c r="L1275" s="22">
        <v>93.894</v>
      </c>
      <c r="M1275" s="22">
        <v>97.125</v>
      </c>
      <c r="N1275" s="22">
        <v>42.88</v>
      </c>
      <c r="O1275" s="23">
        <v>13.2</v>
      </c>
      <c r="P1275" s="18">
        <f t="shared" si="1"/>
        <v>93.894</v>
      </c>
    </row>
    <row r="1276" ht="15.75" customHeight="1">
      <c r="A1276" s="13" t="s">
        <v>221</v>
      </c>
      <c r="B1276" s="13" t="s">
        <v>22</v>
      </c>
      <c r="C1276" s="14" t="s">
        <v>40</v>
      </c>
      <c r="D1276" s="14" t="str">
        <f>VLOOKUP(C1276,'State Key'!$A$2:$B$210,2,False)</f>
        <v>Bihar</v>
      </c>
      <c r="E1276" s="15">
        <v>2340.0</v>
      </c>
      <c r="F1276" s="16">
        <v>1086.79</v>
      </c>
      <c r="G1276" s="16">
        <v>0.0</v>
      </c>
      <c r="H1276" s="16">
        <v>0.0</v>
      </c>
      <c r="I1276" s="16">
        <v>34.411</v>
      </c>
      <c r="J1276" s="16">
        <v>0.0</v>
      </c>
      <c r="K1276" s="16">
        <v>0.0</v>
      </c>
      <c r="L1276" s="16">
        <v>1121.201</v>
      </c>
      <c r="M1276" s="16">
        <v>978.192</v>
      </c>
      <c r="N1276" s="16">
        <v>234.125</v>
      </c>
      <c r="O1276" s="23">
        <v>7.2</v>
      </c>
      <c r="P1276" s="18">
        <f t="shared" si="1"/>
        <v>1121.201</v>
      </c>
    </row>
    <row r="1277" ht="15.75" customHeight="1">
      <c r="A1277" s="19" t="s">
        <v>221</v>
      </c>
      <c r="B1277" s="19" t="s">
        <v>22</v>
      </c>
      <c r="C1277" s="20" t="s">
        <v>41</v>
      </c>
      <c r="D1277" s="14" t="str">
        <f>VLOOKUP(C1277,'State Key'!$A$2:$B$210,2,False)</f>
        <v>Odisha</v>
      </c>
      <c r="E1277" s="21">
        <v>1050.0</v>
      </c>
      <c r="F1277" s="22">
        <v>406.9785</v>
      </c>
      <c r="G1277" s="22">
        <v>0.0</v>
      </c>
      <c r="H1277" s="22">
        <v>0.0</v>
      </c>
      <c r="I1277" s="22">
        <v>2.772</v>
      </c>
      <c r="J1277" s="22">
        <v>0.0</v>
      </c>
      <c r="K1277" s="22">
        <v>70.956</v>
      </c>
      <c r="L1277" s="22">
        <v>480.7065</v>
      </c>
      <c r="M1277" s="22">
        <v>493.722</v>
      </c>
      <c r="N1277" s="22">
        <v>76.081</v>
      </c>
      <c r="O1277" s="17">
        <v>4.6</v>
      </c>
      <c r="P1277" s="18">
        <f t="shared" si="1"/>
        <v>480.7065</v>
      </c>
    </row>
    <row r="1278" ht="15.75" customHeight="1">
      <c r="A1278" s="13" t="s">
        <v>221</v>
      </c>
      <c r="B1278" s="13" t="s">
        <v>22</v>
      </c>
      <c r="C1278" s="14" t="s">
        <v>42</v>
      </c>
      <c r="D1278" s="14" t="str">
        <f>VLOOKUP(C1278,'State Key'!$A$2:$B$210,2,False)</f>
        <v>Jharkhand</v>
      </c>
      <c r="E1278" s="15">
        <v>1000.0</v>
      </c>
      <c r="F1278" s="16">
        <v>268.78</v>
      </c>
      <c r="G1278" s="16">
        <v>0.0</v>
      </c>
      <c r="H1278" s="16">
        <v>0.0</v>
      </c>
      <c r="I1278" s="16">
        <v>11.791</v>
      </c>
      <c r="J1278" s="16">
        <v>0.0</v>
      </c>
      <c r="K1278" s="16">
        <v>0.0</v>
      </c>
      <c r="L1278" s="16">
        <v>280.571</v>
      </c>
      <c r="M1278" s="16">
        <v>212.749</v>
      </c>
      <c r="N1278" s="16">
        <v>113.45</v>
      </c>
      <c r="O1278" s="24">
        <v>16.0</v>
      </c>
      <c r="P1278" s="18">
        <f t="shared" si="1"/>
        <v>280.571</v>
      </c>
    </row>
    <row r="1279" ht="15.75" customHeight="1">
      <c r="A1279" s="19" t="s">
        <v>221</v>
      </c>
      <c r="B1279" s="19" t="s">
        <v>22</v>
      </c>
      <c r="C1279" s="20" t="s">
        <v>43</v>
      </c>
      <c r="D1279" s="14" t="str">
        <f>VLOOKUP(C1279,'State Key'!$A$2:$B$210,2,False)</f>
        <v>West Bengal</v>
      </c>
      <c r="E1279" s="21">
        <v>840.0</v>
      </c>
      <c r="F1279" s="22">
        <v>101.016</v>
      </c>
      <c r="G1279" s="22">
        <v>0.0</v>
      </c>
      <c r="H1279" s="22">
        <v>249.272</v>
      </c>
      <c r="I1279" s="22">
        <v>0.0</v>
      </c>
      <c r="J1279" s="22">
        <v>0.0</v>
      </c>
      <c r="K1279" s="22">
        <v>0.0</v>
      </c>
      <c r="L1279" s="22">
        <v>350.288</v>
      </c>
      <c r="M1279" s="22">
        <v>381.173</v>
      </c>
      <c r="N1279" s="22">
        <v>10.35</v>
      </c>
      <c r="O1279" s="17">
        <v>0.8</v>
      </c>
      <c r="P1279" s="18">
        <f t="shared" si="1"/>
        <v>350.288</v>
      </c>
    </row>
    <row r="1280" ht="15.75" customHeight="1">
      <c r="A1280" s="13" t="s">
        <v>221</v>
      </c>
      <c r="B1280" s="13" t="s">
        <v>22</v>
      </c>
      <c r="C1280" s="14" t="s">
        <v>44</v>
      </c>
      <c r="D1280" s="14" t="str">
        <f>VLOOKUP(C1280,'State Key'!$A$2:$B$210,2,False)</f>
        <v>Jharkhand</v>
      </c>
      <c r="E1280" s="15">
        <v>540.0</v>
      </c>
      <c r="F1280" s="16">
        <v>169.884</v>
      </c>
      <c r="G1280" s="16">
        <v>0.0</v>
      </c>
      <c r="H1280" s="16">
        <v>0.0</v>
      </c>
      <c r="I1280" s="16">
        <v>0.0</v>
      </c>
      <c r="J1280" s="16">
        <v>53.772</v>
      </c>
      <c r="K1280" s="16">
        <v>0.0</v>
      </c>
      <c r="L1280" s="16">
        <v>223.656</v>
      </c>
      <c r="M1280" s="16">
        <v>209.834</v>
      </c>
      <c r="N1280" s="16">
        <v>42.72</v>
      </c>
      <c r="O1280" s="17">
        <v>6.1</v>
      </c>
      <c r="P1280" s="18">
        <f t="shared" si="1"/>
        <v>223.656</v>
      </c>
    </row>
    <row r="1281" ht="15.75" customHeight="1">
      <c r="A1281" s="19" t="s">
        <v>221</v>
      </c>
      <c r="B1281" s="19" t="s">
        <v>22</v>
      </c>
      <c r="C1281" s="20" t="s">
        <v>45</v>
      </c>
      <c r="D1281" s="14" t="str">
        <f>VLOOKUP(C1281,'State Key'!$A$2:$B$210,2,False)</f>
        <v>Jharkhand</v>
      </c>
      <c r="E1281" s="21">
        <v>1050.0</v>
      </c>
      <c r="F1281" s="22">
        <v>493.69</v>
      </c>
      <c r="G1281" s="22">
        <v>0.0</v>
      </c>
      <c r="H1281" s="22">
        <v>0.0</v>
      </c>
      <c r="I1281" s="22">
        <v>0.0</v>
      </c>
      <c r="J1281" s="22">
        <v>0.0</v>
      </c>
      <c r="K1281" s="22">
        <v>0.0</v>
      </c>
      <c r="L1281" s="22">
        <v>493.69</v>
      </c>
      <c r="M1281" s="22">
        <v>421.299</v>
      </c>
      <c r="N1281" s="22">
        <v>372.67</v>
      </c>
      <c r="O1281" s="24">
        <v>26.5</v>
      </c>
      <c r="P1281" s="18">
        <f t="shared" si="1"/>
        <v>493.69</v>
      </c>
    </row>
    <row r="1282" ht="15.75" customHeight="1">
      <c r="A1282" s="13" t="s">
        <v>221</v>
      </c>
      <c r="B1282" s="13" t="s">
        <v>22</v>
      </c>
      <c r="C1282" s="14" t="s">
        <v>46</v>
      </c>
      <c r="D1282" s="14" t="str">
        <f>VLOOKUP(C1282,'State Key'!$A$2:$B$210,2,False)</f>
        <v>West Bengal</v>
      </c>
      <c r="E1282" s="15">
        <v>2340.0</v>
      </c>
      <c r="F1282" s="16">
        <v>903.3</v>
      </c>
      <c r="G1282" s="16">
        <v>0.0</v>
      </c>
      <c r="H1282" s="16">
        <v>49.876</v>
      </c>
      <c r="I1282" s="16">
        <v>50.348</v>
      </c>
      <c r="J1282" s="16">
        <v>0.0</v>
      </c>
      <c r="K1282" s="16">
        <v>0.0</v>
      </c>
      <c r="L1282" s="16">
        <v>1003.524</v>
      </c>
      <c r="M1282" s="16">
        <v>903.742</v>
      </c>
      <c r="N1282" s="16">
        <v>226.588</v>
      </c>
      <c r="O1282" s="23">
        <v>7.5</v>
      </c>
      <c r="P1282" s="18">
        <f t="shared" si="1"/>
        <v>1003.524</v>
      </c>
    </row>
    <row r="1283" ht="15.75" customHeight="1">
      <c r="A1283" s="19" t="s">
        <v>221</v>
      </c>
      <c r="B1283" s="19" t="s">
        <v>22</v>
      </c>
      <c r="C1283" s="20" t="s">
        <v>47</v>
      </c>
      <c r="D1283" s="14" t="str">
        <f>VLOOKUP(C1283,'State Key'!$A$2:$B$210,2,False)</f>
        <v>Bihar</v>
      </c>
      <c r="E1283" s="21">
        <v>390.0</v>
      </c>
      <c r="F1283" s="22">
        <v>44.013</v>
      </c>
      <c r="G1283" s="22">
        <v>0.0</v>
      </c>
      <c r="H1283" s="22">
        <v>138.11</v>
      </c>
      <c r="I1283" s="22">
        <v>0.0</v>
      </c>
      <c r="J1283" s="22">
        <v>0.0</v>
      </c>
      <c r="K1283" s="22">
        <v>0.0</v>
      </c>
      <c r="L1283" s="22">
        <v>182.123</v>
      </c>
      <c r="M1283" s="22">
        <v>157.794</v>
      </c>
      <c r="N1283" s="22">
        <v>48.45</v>
      </c>
      <c r="O1283" s="23">
        <v>9.2</v>
      </c>
      <c r="P1283" s="18">
        <f t="shared" si="1"/>
        <v>182.123</v>
      </c>
    </row>
    <row r="1284" ht="15.75" customHeight="1">
      <c r="A1284" s="13" t="s">
        <v>221</v>
      </c>
      <c r="B1284" s="13" t="s">
        <v>22</v>
      </c>
      <c r="C1284" s="14" t="s">
        <v>48</v>
      </c>
      <c r="D1284" s="14" t="str">
        <f>VLOOKUP(C1284,'State Key'!$A$2:$B$210,2,False)</f>
        <v>Bihar</v>
      </c>
      <c r="E1284" s="15">
        <v>1980.0</v>
      </c>
      <c r="F1284" s="16">
        <v>532.97</v>
      </c>
      <c r="G1284" s="16">
        <v>0.0</v>
      </c>
      <c r="H1284" s="16">
        <v>222.9</v>
      </c>
      <c r="I1284" s="16">
        <v>62.59</v>
      </c>
      <c r="J1284" s="16">
        <v>0.0</v>
      </c>
      <c r="K1284" s="16">
        <v>0.0</v>
      </c>
      <c r="L1284" s="16">
        <v>818.46</v>
      </c>
      <c r="M1284" s="16">
        <v>786.67</v>
      </c>
      <c r="N1284" s="16">
        <v>119.59</v>
      </c>
      <c r="O1284" s="17">
        <v>4.6</v>
      </c>
      <c r="P1284" s="18">
        <f t="shared" si="1"/>
        <v>818.46</v>
      </c>
    </row>
    <row r="1285" ht="15.75" customHeight="1">
      <c r="A1285" s="19" t="s">
        <v>221</v>
      </c>
      <c r="B1285" s="19" t="s">
        <v>22</v>
      </c>
      <c r="C1285" s="20" t="s">
        <v>49</v>
      </c>
      <c r="D1285" s="14" t="str">
        <f>VLOOKUP(C1285,'State Key'!$A$2:$B$210,2,False)</f>
        <v>Bihar</v>
      </c>
      <c r="E1285" s="21">
        <v>1000.0</v>
      </c>
      <c r="F1285" s="22">
        <v>428.647</v>
      </c>
      <c r="G1285" s="22">
        <v>0.0</v>
      </c>
      <c r="H1285" s="22">
        <v>0.0</v>
      </c>
      <c r="I1285" s="22">
        <v>23.5324</v>
      </c>
      <c r="J1285" s="22">
        <v>0.0</v>
      </c>
      <c r="K1285" s="22">
        <v>0.0</v>
      </c>
      <c r="L1285" s="22">
        <v>452.1794</v>
      </c>
      <c r="M1285" s="22">
        <v>402.632</v>
      </c>
      <c r="N1285" s="22">
        <v>68.79</v>
      </c>
      <c r="O1285" s="17">
        <v>5.1</v>
      </c>
      <c r="P1285" s="18">
        <f t="shared" si="1"/>
        <v>452.1794</v>
      </c>
    </row>
    <row r="1286" ht="15.75" customHeight="1">
      <c r="A1286" s="13" t="s">
        <v>221</v>
      </c>
      <c r="B1286" s="13" t="s">
        <v>22</v>
      </c>
      <c r="C1286" s="14" t="s">
        <v>50</v>
      </c>
      <c r="D1286" s="14" t="str">
        <f>VLOOKUP(C1286,'State Key'!$A$2:$B$210,2,False)</f>
        <v>Jharkhand</v>
      </c>
      <c r="E1286" s="15">
        <v>660.0</v>
      </c>
      <c r="F1286" s="16">
        <v>288.03</v>
      </c>
      <c r="G1286" s="16">
        <v>0.0</v>
      </c>
      <c r="H1286" s="16">
        <v>44.12</v>
      </c>
      <c r="I1286" s="16">
        <v>0.0</v>
      </c>
      <c r="J1286" s="16">
        <v>0.0</v>
      </c>
      <c r="K1286" s="16">
        <v>0.0</v>
      </c>
      <c r="L1286" s="16">
        <v>332.15</v>
      </c>
      <c r="M1286" s="16">
        <v>330.531</v>
      </c>
      <c r="N1286" s="16">
        <v>211.171</v>
      </c>
      <c r="O1286" s="24">
        <v>19.2</v>
      </c>
      <c r="P1286" s="18">
        <f t="shared" si="1"/>
        <v>332.15</v>
      </c>
    </row>
    <row r="1287" ht="15.75" customHeight="1">
      <c r="A1287" s="19" t="s">
        <v>221</v>
      </c>
      <c r="B1287" s="19" t="s">
        <v>22</v>
      </c>
      <c r="C1287" s="20" t="s">
        <v>51</v>
      </c>
      <c r="D1287" s="14" t="str">
        <f>VLOOKUP(C1287,'State Key'!$A$2:$B$210,2,False)</f>
        <v>West Bengal</v>
      </c>
      <c r="E1287" s="21">
        <v>1200.0</v>
      </c>
      <c r="F1287" s="22">
        <v>373.102</v>
      </c>
      <c r="G1287" s="22">
        <v>0.0</v>
      </c>
      <c r="H1287" s="22">
        <v>0.0</v>
      </c>
      <c r="I1287" s="22">
        <v>16.173</v>
      </c>
      <c r="J1287" s="22">
        <v>0.0</v>
      </c>
      <c r="K1287" s="22">
        <v>0.0</v>
      </c>
      <c r="L1287" s="22">
        <v>389.275</v>
      </c>
      <c r="M1287" s="22">
        <v>359.427</v>
      </c>
      <c r="N1287" s="22">
        <v>145.14</v>
      </c>
      <c r="O1287" s="23">
        <v>12.1</v>
      </c>
      <c r="P1287" s="18">
        <f t="shared" si="1"/>
        <v>389.275</v>
      </c>
    </row>
    <row r="1288" ht="15.75" customHeight="1">
      <c r="A1288" s="13" t="s">
        <v>221</v>
      </c>
      <c r="B1288" s="13" t="s">
        <v>22</v>
      </c>
      <c r="C1288" s="14" t="s">
        <v>52</v>
      </c>
      <c r="D1288" s="14" t="str">
        <f>VLOOKUP(C1288,'State Key'!$A$2:$B$210,2,False)</f>
        <v>West Bengal</v>
      </c>
      <c r="E1288" s="15">
        <v>1600.0</v>
      </c>
      <c r="F1288" s="16">
        <v>95.315</v>
      </c>
      <c r="G1288" s="16">
        <v>0.0</v>
      </c>
      <c r="H1288" s="16">
        <v>600.856</v>
      </c>
      <c r="I1288" s="16">
        <v>0.0</v>
      </c>
      <c r="J1288" s="16">
        <v>0.0</v>
      </c>
      <c r="K1288" s="16">
        <v>0.0</v>
      </c>
      <c r="L1288" s="16">
        <v>696.171</v>
      </c>
      <c r="M1288" s="16">
        <v>634.722</v>
      </c>
      <c r="N1288" s="16">
        <v>76.49</v>
      </c>
      <c r="O1288" s="17">
        <v>3.6</v>
      </c>
      <c r="P1288" s="18">
        <f t="shared" si="1"/>
        <v>696.171</v>
      </c>
    </row>
    <row r="1289" ht="15.75" customHeight="1">
      <c r="A1289" s="19" t="s">
        <v>221</v>
      </c>
      <c r="B1289" s="19" t="s">
        <v>22</v>
      </c>
      <c r="C1289" s="20" t="s">
        <v>53</v>
      </c>
      <c r="D1289" s="14" t="str">
        <f>VLOOKUP(C1289,'State Key'!$A$2:$B$210,2,False)</f>
        <v>West Bengal</v>
      </c>
      <c r="E1289" s="21">
        <v>500.0</v>
      </c>
      <c r="F1289" s="22">
        <v>130.0668</v>
      </c>
      <c r="G1289" s="22">
        <v>0.0</v>
      </c>
      <c r="H1289" s="22">
        <v>95.53</v>
      </c>
      <c r="I1289" s="22">
        <v>0.0</v>
      </c>
      <c r="J1289" s="22">
        <v>0.0</v>
      </c>
      <c r="K1289" s="22">
        <v>0.0</v>
      </c>
      <c r="L1289" s="22">
        <v>225.5968</v>
      </c>
      <c r="M1289" s="22">
        <v>228.733</v>
      </c>
      <c r="N1289" s="22">
        <v>51.85</v>
      </c>
      <c r="O1289" s="17">
        <v>6.8</v>
      </c>
      <c r="P1289" s="18">
        <f t="shared" si="1"/>
        <v>225.5968</v>
      </c>
    </row>
    <row r="1290" ht="15.75" customHeight="1">
      <c r="A1290" s="13" t="s">
        <v>221</v>
      </c>
      <c r="B1290" s="13" t="s">
        <v>22</v>
      </c>
      <c r="C1290" s="14" t="s">
        <v>54</v>
      </c>
      <c r="D1290" s="14" t="str">
        <f>VLOOKUP(C1290,'State Key'!$A$2:$B$210,2,False)</f>
        <v>West Bengal</v>
      </c>
      <c r="E1290" s="15">
        <v>135.0</v>
      </c>
      <c r="F1290" s="16">
        <v>11.052</v>
      </c>
      <c r="G1290" s="16">
        <v>0.0</v>
      </c>
      <c r="H1290" s="16">
        <v>0.0</v>
      </c>
      <c r="I1290" s="16">
        <v>0.0</v>
      </c>
      <c r="J1290" s="16">
        <v>0.0</v>
      </c>
      <c r="K1290" s="16">
        <v>0.0</v>
      </c>
      <c r="L1290" s="16">
        <v>11.052</v>
      </c>
      <c r="M1290" s="16">
        <v>7.783</v>
      </c>
      <c r="N1290" s="16">
        <v>27.56</v>
      </c>
      <c r="O1290" s="24">
        <v>106.2</v>
      </c>
      <c r="P1290" s="18">
        <f t="shared" si="1"/>
        <v>11.052</v>
      </c>
    </row>
    <row r="1291" ht="15.75" customHeight="1">
      <c r="A1291" s="19" t="s">
        <v>221</v>
      </c>
      <c r="B1291" s="19" t="s">
        <v>22</v>
      </c>
      <c r="C1291" s="20" t="s">
        <v>55</v>
      </c>
      <c r="D1291" s="14" t="str">
        <f>VLOOKUP(C1291,'State Key'!$A$2:$B$210,2,False)</f>
        <v>Odisha</v>
      </c>
      <c r="E1291" s="21">
        <v>3000.0</v>
      </c>
      <c r="F1291" s="22">
        <v>1514.42</v>
      </c>
      <c r="G1291" s="22">
        <v>0.0</v>
      </c>
      <c r="H1291" s="22">
        <v>0.0</v>
      </c>
      <c r="I1291" s="22">
        <v>0.0</v>
      </c>
      <c r="J1291" s="22">
        <v>0.0</v>
      </c>
      <c r="K1291" s="22">
        <v>0.0</v>
      </c>
      <c r="L1291" s="22">
        <v>1514.42</v>
      </c>
      <c r="M1291" s="22">
        <v>1402.794</v>
      </c>
      <c r="N1291" s="22">
        <v>441.85</v>
      </c>
      <c r="O1291" s="23">
        <v>9.4</v>
      </c>
      <c r="P1291" s="18">
        <f t="shared" si="1"/>
        <v>1514.42</v>
      </c>
    </row>
    <row r="1292" ht="15.75" customHeight="1">
      <c r="A1292" s="13" t="s">
        <v>221</v>
      </c>
      <c r="B1292" s="13" t="s">
        <v>22</v>
      </c>
      <c r="C1292" s="14" t="s">
        <v>56</v>
      </c>
      <c r="D1292" s="14" t="str">
        <f>VLOOKUP(C1292,'State Key'!$A$2:$B$210,2,False)</f>
        <v>Jharkhand</v>
      </c>
      <c r="E1292" s="15">
        <v>420.0</v>
      </c>
      <c r="F1292" s="16">
        <v>164.22</v>
      </c>
      <c r="G1292" s="16">
        <v>0.0</v>
      </c>
      <c r="H1292" s="16">
        <v>0.0</v>
      </c>
      <c r="I1292" s="16">
        <v>0.0</v>
      </c>
      <c r="J1292" s="16">
        <v>0.0</v>
      </c>
      <c r="K1292" s="16">
        <v>0.0</v>
      </c>
      <c r="L1292" s="16">
        <v>164.22</v>
      </c>
      <c r="M1292" s="16">
        <v>175.44</v>
      </c>
      <c r="N1292" s="16">
        <v>8.16</v>
      </c>
      <c r="O1292" s="17">
        <v>1.4</v>
      </c>
      <c r="P1292" s="18">
        <f t="shared" si="1"/>
        <v>164.22</v>
      </c>
    </row>
    <row r="1293" ht="15.75" customHeight="1">
      <c r="A1293" s="19" t="s">
        <v>221</v>
      </c>
      <c r="B1293" s="19" t="s">
        <v>22</v>
      </c>
      <c r="C1293" s="20" t="s">
        <v>57</v>
      </c>
      <c r="D1293" s="14" t="str">
        <f>VLOOKUP(C1293,'State Key'!$A$2:$B$210,2,False)</f>
        <v>West Bengal</v>
      </c>
      <c r="E1293" s="21">
        <v>240.0</v>
      </c>
      <c r="F1293" s="22">
        <v>0.0</v>
      </c>
      <c r="G1293" s="22">
        <v>0.0</v>
      </c>
      <c r="H1293" s="22">
        <v>0.0</v>
      </c>
      <c r="I1293" s="22">
        <v>0.0</v>
      </c>
      <c r="J1293" s="22">
        <v>0.0</v>
      </c>
      <c r="K1293" s="22">
        <v>0.0</v>
      </c>
      <c r="L1293" s="22">
        <v>0.0</v>
      </c>
      <c r="M1293" s="22">
        <v>0.0</v>
      </c>
      <c r="N1293" s="22">
        <v>0.0</v>
      </c>
      <c r="O1293" s="19" t="s">
        <v>58</v>
      </c>
      <c r="P1293" s="18">
        <f t="shared" si="1"/>
        <v>0</v>
      </c>
    </row>
    <row r="1294" ht="15.75" customHeight="1">
      <c r="A1294" s="13" t="s">
        <v>221</v>
      </c>
      <c r="B1294" s="13" t="s">
        <v>22</v>
      </c>
      <c r="C1294" s="14" t="s">
        <v>59</v>
      </c>
      <c r="D1294" s="14" t="str">
        <f>VLOOKUP(C1294,'State Key'!$A$2:$B$210,2,False)</f>
        <v>Odisha</v>
      </c>
      <c r="E1294" s="15">
        <v>350.0</v>
      </c>
      <c r="F1294" s="16">
        <v>0.0</v>
      </c>
      <c r="G1294" s="16">
        <v>0.0</v>
      </c>
      <c r="H1294" s="16">
        <v>0.0</v>
      </c>
      <c r="I1294" s="16">
        <v>0.0</v>
      </c>
      <c r="J1294" s="16">
        <v>0.0</v>
      </c>
      <c r="K1294" s="16">
        <v>0.0</v>
      </c>
      <c r="L1294" s="16">
        <v>0.0</v>
      </c>
      <c r="M1294" s="16">
        <v>0.0</v>
      </c>
      <c r="N1294" s="16">
        <v>0.0</v>
      </c>
      <c r="O1294" s="13" t="s">
        <v>58</v>
      </c>
      <c r="P1294" s="18">
        <f t="shared" si="1"/>
        <v>0</v>
      </c>
    </row>
    <row r="1295" ht="15.75" customHeight="1">
      <c r="A1295" s="19" t="s">
        <v>221</v>
      </c>
      <c r="B1295" s="19" t="s">
        <v>22</v>
      </c>
      <c r="C1295" s="20" t="s">
        <v>60</v>
      </c>
      <c r="D1295" s="14" t="str">
        <f>VLOOKUP(C1295,'State Key'!$A$2:$B$210,2,False)</f>
        <v>Odisha</v>
      </c>
      <c r="E1295" s="21">
        <v>600.0</v>
      </c>
      <c r="F1295" s="22">
        <v>173.73</v>
      </c>
      <c r="G1295" s="22">
        <v>0.0</v>
      </c>
      <c r="H1295" s="22">
        <v>0.0</v>
      </c>
      <c r="I1295" s="22">
        <v>0.0</v>
      </c>
      <c r="J1295" s="22">
        <v>0.0</v>
      </c>
      <c r="K1295" s="22">
        <v>0.0</v>
      </c>
      <c r="L1295" s="22">
        <v>173.73</v>
      </c>
      <c r="M1295" s="22">
        <v>199.421</v>
      </c>
      <c r="N1295" s="22">
        <v>135.54</v>
      </c>
      <c r="O1295" s="24">
        <v>20.4</v>
      </c>
      <c r="P1295" s="18">
        <f t="shared" si="1"/>
        <v>173.73</v>
      </c>
    </row>
    <row r="1296" ht="15.75" customHeight="1">
      <c r="A1296" s="13" t="s">
        <v>221</v>
      </c>
      <c r="B1296" s="13" t="s">
        <v>61</v>
      </c>
      <c r="C1296" s="14" t="s">
        <v>209</v>
      </c>
      <c r="D1296" s="14" t="str">
        <f>VLOOKUP(C1296,'State Key'!$A$2:$B$210,2,False)</f>
        <v>Rajasthan</v>
      </c>
      <c r="E1296" s="15">
        <v>1320.0</v>
      </c>
      <c r="F1296" s="16">
        <v>408.819</v>
      </c>
      <c r="G1296" s="16">
        <v>0.0</v>
      </c>
      <c r="H1296" s="16">
        <v>0.0</v>
      </c>
      <c r="I1296" s="16">
        <v>190.899</v>
      </c>
      <c r="J1296" s="16">
        <v>0.0</v>
      </c>
      <c r="K1296" s="16">
        <v>0.0</v>
      </c>
      <c r="L1296" s="16">
        <v>599.718</v>
      </c>
      <c r="M1296" s="16">
        <v>464.373</v>
      </c>
      <c r="N1296" s="16">
        <v>229.7</v>
      </c>
      <c r="O1296" s="24">
        <v>14.8</v>
      </c>
      <c r="P1296" s="18">
        <f t="shared" si="1"/>
        <v>599.718</v>
      </c>
    </row>
    <row r="1297" ht="15.75" customHeight="1">
      <c r="A1297" s="19" t="s">
        <v>221</v>
      </c>
      <c r="B1297" s="19" t="s">
        <v>61</v>
      </c>
      <c r="C1297" s="20" t="s">
        <v>62</v>
      </c>
      <c r="D1297" s="14" t="str">
        <f>VLOOKUP(C1297,'State Key'!$A$2:$B$210,2,False)</f>
        <v>Uttar Pradesh</v>
      </c>
      <c r="E1297" s="21">
        <v>1200.0</v>
      </c>
      <c r="F1297" s="22">
        <v>459.74</v>
      </c>
      <c r="G1297" s="22">
        <v>0.0</v>
      </c>
      <c r="H1297" s="22">
        <v>0.0</v>
      </c>
      <c r="I1297" s="22">
        <v>0.0</v>
      </c>
      <c r="J1297" s="22">
        <v>0.0</v>
      </c>
      <c r="K1297" s="22">
        <v>0.0</v>
      </c>
      <c r="L1297" s="22">
        <v>459.74</v>
      </c>
      <c r="M1297" s="22">
        <v>295.94</v>
      </c>
      <c r="N1297" s="22">
        <v>278.0</v>
      </c>
      <c r="O1297" s="24">
        <v>28.2</v>
      </c>
      <c r="P1297" s="18">
        <f t="shared" si="1"/>
        <v>459.74</v>
      </c>
    </row>
    <row r="1298" ht="15.75" customHeight="1">
      <c r="A1298" s="13" t="s">
        <v>221</v>
      </c>
      <c r="B1298" s="13" t="s">
        <v>61</v>
      </c>
      <c r="C1298" s="14" t="s">
        <v>63</v>
      </c>
      <c r="D1298" s="14" t="str">
        <f>VLOOKUP(C1298,'State Key'!$A$2:$B$210,2,False)</f>
        <v>Uttar Pradesh</v>
      </c>
      <c r="E1298" s="15">
        <v>2630.0</v>
      </c>
      <c r="F1298" s="16">
        <v>996.771</v>
      </c>
      <c r="G1298" s="16">
        <v>0.0</v>
      </c>
      <c r="H1298" s="16">
        <v>0.0</v>
      </c>
      <c r="I1298" s="16">
        <v>0.0</v>
      </c>
      <c r="J1298" s="16">
        <v>0.0</v>
      </c>
      <c r="K1298" s="16">
        <v>0.0</v>
      </c>
      <c r="L1298" s="16">
        <v>996.771</v>
      </c>
      <c r="M1298" s="16">
        <v>852.411</v>
      </c>
      <c r="N1298" s="16">
        <v>435.27</v>
      </c>
      <c r="O1298" s="24">
        <v>15.3</v>
      </c>
      <c r="P1298" s="18">
        <f t="shared" si="1"/>
        <v>996.771</v>
      </c>
    </row>
    <row r="1299" ht="15.75" customHeight="1">
      <c r="A1299" s="19" t="s">
        <v>221</v>
      </c>
      <c r="B1299" s="19" t="s">
        <v>61</v>
      </c>
      <c r="C1299" s="20" t="s">
        <v>64</v>
      </c>
      <c r="D1299" s="14" t="str">
        <f>VLOOKUP(C1299,'State Key'!$A$2:$B$210,2,False)</f>
        <v>Uttar Pradesh</v>
      </c>
      <c r="E1299" s="21">
        <v>90.0</v>
      </c>
      <c r="F1299" s="22">
        <v>15.6</v>
      </c>
      <c r="G1299" s="22">
        <v>0.0</v>
      </c>
      <c r="H1299" s="22">
        <v>0.0</v>
      </c>
      <c r="I1299" s="22">
        <v>0.0</v>
      </c>
      <c r="J1299" s="22">
        <v>0.0</v>
      </c>
      <c r="K1299" s="22">
        <v>0.0</v>
      </c>
      <c r="L1299" s="22">
        <v>15.6</v>
      </c>
      <c r="M1299" s="22">
        <v>11.39</v>
      </c>
      <c r="N1299" s="22">
        <v>19.91</v>
      </c>
      <c r="O1299" s="24">
        <v>52.4</v>
      </c>
      <c r="P1299" s="18">
        <f t="shared" si="1"/>
        <v>15.6</v>
      </c>
    </row>
    <row r="1300" ht="15.75" customHeight="1">
      <c r="A1300" s="13" t="s">
        <v>221</v>
      </c>
      <c r="B1300" s="13" t="s">
        <v>61</v>
      </c>
      <c r="C1300" s="14" t="s">
        <v>65</v>
      </c>
      <c r="D1300" s="14" t="str">
        <f>VLOOKUP(C1300,'State Key'!$A$2:$B$210,2,False)</f>
        <v>Rajasthan</v>
      </c>
      <c r="E1300" s="15">
        <v>500.0</v>
      </c>
      <c r="F1300" s="16">
        <v>334.1</v>
      </c>
      <c r="G1300" s="16">
        <v>0.0</v>
      </c>
      <c r="H1300" s="16">
        <v>0.0</v>
      </c>
      <c r="I1300" s="16">
        <v>0.0</v>
      </c>
      <c r="J1300" s="16">
        <v>0.0</v>
      </c>
      <c r="K1300" s="16">
        <v>0.0</v>
      </c>
      <c r="L1300" s="16">
        <v>334.1</v>
      </c>
      <c r="M1300" s="16">
        <v>178.57</v>
      </c>
      <c r="N1300" s="16">
        <v>311.7</v>
      </c>
      <c r="O1300" s="24">
        <v>52.4</v>
      </c>
      <c r="P1300" s="18">
        <f t="shared" si="1"/>
        <v>334.1</v>
      </c>
    </row>
    <row r="1301" ht="15.75" customHeight="1">
      <c r="A1301" s="19" t="s">
        <v>221</v>
      </c>
      <c r="B1301" s="19" t="s">
        <v>61</v>
      </c>
      <c r="C1301" s="20" t="s">
        <v>66</v>
      </c>
      <c r="D1301" s="14" t="str">
        <f>VLOOKUP(C1301,'State Key'!$A$2:$B$210,2,False)</f>
        <v>Rajasthan</v>
      </c>
      <c r="E1301" s="21">
        <v>500.0</v>
      </c>
      <c r="F1301" s="22">
        <v>34.61</v>
      </c>
      <c r="G1301" s="22">
        <v>0.0</v>
      </c>
      <c r="H1301" s="22">
        <v>0.07</v>
      </c>
      <c r="I1301" s="22">
        <v>0.0</v>
      </c>
      <c r="J1301" s="22">
        <v>0.0</v>
      </c>
      <c r="K1301" s="22">
        <v>0.0</v>
      </c>
      <c r="L1301" s="22">
        <v>34.68</v>
      </c>
      <c r="M1301" s="22">
        <v>192.59</v>
      </c>
      <c r="N1301" s="22">
        <v>0.0</v>
      </c>
      <c r="O1301" s="17">
        <v>0.0</v>
      </c>
      <c r="P1301" s="18">
        <f t="shared" si="1"/>
        <v>34.68</v>
      </c>
    </row>
    <row r="1302" ht="15.75" customHeight="1">
      <c r="A1302" s="13" t="s">
        <v>221</v>
      </c>
      <c r="B1302" s="13" t="s">
        <v>61</v>
      </c>
      <c r="C1302" s="14" t="s">
        <v>67</v>
      </c>
      <c r="D1302" s="14" t="str">
        <f>VLOOKUP(C1302,'State Key'!$A$2:$B$210,2,False)</f>
        <v>Rajasthan</v>
      </c>
      <c r="E1302" s="15">
        <v>1320.0</v>
      </c>
      <c r="F1302" s="16">
        <v>391.31298</v>
      </c>
      <c r="G1302" s="16">
        <v>0.0</v>
      </c>
      <c r="H1302" s="16">
        <v>0.0</v>
      </c>
      <c r="I1302" s="16">
        <v>0.0</v>
      </c>
      <c r="J1302" s="16">
        <v>0.0</v>
      </c>
      <c r="K1302" s="16">
        <v>0.0</v>
      </c>
      <c r="L1302" s="16">
        <v>391.31298</v>
      </c>
      <c r="M1302" s="16">
        <v>423.969</v>
      </c>
      <c r="N1302" s="16">
        <v>8.46</v>
      </c>
      <c r="O1302" s="17">
        <v>0.6</v>
      </c>
      <c r="P1302" s="18">
        <f t="shared" si="1"/>
        <v>391.31298</v>
      </c>
    </row>
    <row r="1303" ht="15.75" customHeight="1">
      <c r="A1303" s="19" t="s">
        <v>221</v>
      </c>
      <c r="B1303" s="19" t="s">
        <v>61</v>
      </c>
      <c r="C1303" s="20" t="s">
        <v>68</v>
      </c>
      <c r="D1303" s="14" t="str">
        <f>VLOOKUP(C1303,'State Key'!$A$2:$B$210,2,False)</f>
        <v>Uttar Pradesh</v>
      </c>
      <c r="E1303" s="21">
        <v>1820.0</v>
      </c>
      <c r="F1303" s="22">
        <v>485.74</v>
      </c>
      <c r="G1303" s="22">
        <v>0.0</v>
      </c>
      <c r="H1303" s="22">
        <v>44.03</v>
      </c>
      <c r="I1303" s="22">
        <v>52.997</v>
      </c>
      <c r="J1303" s="22">
        <v>0.0</v>
      </c>
      <c r="K1303" s="22">
        <v>0.0</v>
      </c>
      <c r="L1303" s="22">
        <v>582.767</v>
      </c>
      <c r="M1303" s="22">
        <v>469.949</v>
      </c>
      <c r="N1303" s="22">
        <v>187.146</v>
      </c>
      <c r="O1303" s="23">
        <v>11.9</v>
      </c>
      <c r="P1303" s="18">
        <f t="shared" si="1"/>
        <v>582.767</v>
      </c>
    </row>
    <row r="1304" ht="15.75" customHeight="1">
      <c r="A1304" s="13" t="s">
        <v>221</v>
      </c>
      <c r="B1304" s="13" t="s">
        <v>61</v>
      </c>
      <c r="C1304" s="14" t="s">
        <v>69</v>
      </c>
      <c r="D1304" s="14" t="str">
        <f>VLOOKUP(C1304,'State Key'!$A$2:$B$210,2,False)</f>
        <v>Punjab</v>
      </c>
      <c r="E1304" s="15">
        <v>920.0</v>
      </c>
      <c r="F1304" s="16">
        <v>55.852</v>
      </c>
      <c r="G1304" s="16">
        <v>0.0</v>
      </c>
      <c r="H1304" s="16">
        <v>212.612</v>
      </c>
      <c r="I1304" s="16">
        <v>0.0</v>
      </c>
      <c r="J1304" s="16">
        <v>0.0</v>
      </c>
      <c r="K1304" s="16">
        <v>0.0</v>
      </c>
      <c r="L1304" s="16">
        <v>268.464</v>
      </c>
      <c r="M1304" s="16">
        <v>167.253</v>
      </c>
      <c r="N1304" s="16">
        <v>254.698</v>
      </c>
      <c r="O1304" s="24">
        <v>45.7</v>
      </c>
      <c r="P1304" s="18">
        <f t="shared" si="1"/>
        <v>268.464</v>
      </c>
    </row>
    <row r="1305" ht="15.75" customHeight="1">
      <c r="A1305" s="19" t="s">
        <v>221</v>
      </c>
      <c r="B1305" s="19" t="s">
        <v>61</v>
      </c>
      <c r="C1305" s="20" t="s">
        <v>70</v>
      </c>
      <c r="D1305" s="14" t="str">
        <f>VLOOKUP(C1305,'State Key'!$A$2:$B$210,2,False)</f>
        <v>Punjab</v>
      </c>
      <c r="E1305" s="21">
        <v>540.0</v>
      </c>
      <c r="F1305" s="22">
        <v>123.8236</v>
      </c>
      <c r="G1305" s="22">
        <v>0.0</v>
      </c>
      <c r="H1305" s="22">
        <v>0.0</v>
      </c>
      <c r="I1305" s="22">
        <v>0.0</v>
      </c>
      <c r="J1305" s="22">
        <v>0.0</v>
      </c>
      <c r="K1305" s="22">
        <v>0.0</v>
      </c>
      <c r="L1305" s="22">
        <v>123.8236</v>
      </c>
      <c r="M1305" s="22">
        <v>136.8671</v>
      </c>
      <c r="N1305" s="22">
        <v>33.41</v>
      </c>
      <c r="O1305" s="23">
        <v>7.3</v>
      </c>
      <c r="P1305" s="18">
        <f t="shared" si="1"/>
        <v>123.8236</v>
      </c>
    </row>
    <row r="1306" ht="15.75" customHeight="1">
      <c r="A1306" s="13" t="s">
        <v>221</v>
      </c>
      <c r="B1306" s="13" t="s">
        <v>61</v>
      </c>
      <c r="C1306" s="14" t="s">
        <v>71</v>
      </c>
      <c r="D1306" s="14" t="str">
        <f>VLOOKUP(C1306,'State Key'!$A$2:$B$210,2,False)</f>
        <v>Uttar Pradesh</v>
      </c>
      <c r="E1306" s="15">
        <v>1265.0</v>
      </c>
      <c r="F1306" s="16">
        <v>399.027</v>
      </c>
      <c r="G1306" s="16">
        <v>0.0</v>
      </c>
      <c r="H1306" s="16">
        <v>0.0</v>
      </c>
      <c r="I1306" s="16">
        <v>0.0</v>
      </c>
      <c r="J1306" s="16">
        <v>0.0</v>
      </c>
      <c r="K1306" s="16">
        <v>0.0</v>
      </c>
      <c r="L1306" s="16">
        <v>399.027</v>
      </c>
      <c r="M1306" s="16">
        <v>370.177</v>
      </c>
      <c r="N1306" s="16">
        <v>108.799</v>
      </c>
      <c r="O1306" s="23">
        <v>8.8</v>
      </c>
      <c r="P1306" s="18">
        <f t="shared" si="1"/>
        <v>399.027</v>
      </c>
    </row>
    <row r="1307" ht="15.75" customHeight="1">
      <c r="A1307" s="19" t="s">
        <v>221</v>
      </c>
      <c r="B1307" s="19" t="s">
        <v>61</v>
      </c>
      <c r="C1307" s="20" t="s">
        <v>72</v>
      </c>
      <c r="D1307" s="14" t="str">
        <f>VLOOKUP(C1307,'State Key'!$A$2:$B$210,2,False)</f>
        <v>Haryana</v>
      </c>
      <c r="E1307" s="21">
        <v>1500.0</v>
      </c>
      <c r="F1307" s="22">
        <v>381.958</v>
      </c>
      <c r="G1307" s="22">
        <v>0.0</v>
      </c>
      <c r="H1307" s="22">
        <v>0.0</v>
      </c>
      <c r="I1307" s="22">
        <v>35.706</v>
      </c>
      <c r="J1307" s="22">
        <v>0.552</v>
      </c>
      <c r="K1307" s="22">
        <v>0.0</v>
      </c>
      <c r="L1307" s="22">
        <v>418.216</v>
      </c>
      <c r="M1307" s="22">
        <v>453.393</v>
      </c>
      <c r="N1307" s="22">
        <v>69.552</v>
      </c>
      <c r="O1307" s="17">
        <v>4.6</v>
      </c>
      <c r="P1307" s="18">
        <f t="shared" si="1"/>
        <v>418.216</v>
      </c>
    </row>
    <row r="1308" ht="15.75" customHeight="1">
      <c r="A1308" s="13" t="s">
        <v>221</v>
      </c>
      <c r="B1308" s="13" t="s">
        <v>61</v>
      </c>
      <c r="C1308" s="14" t="s">
        <v>73</v>
      </c>
      <c r="D1308" s="14" t="str">
        <f>VLOOKUP(C1308,'State Key'!$A$2:$B$210,2,False)</f>
        <v>Rajasthan</v>
      </c>
      <c r="E1308" s="15">
        <v>1200.0</v>
      </c>
      <c r="F1308" s="16">
        <v>338.558</v>
      </c>
      <c r="G1308" s="16">
        <v>0.0</v>
      </c>
      <c r="H1308" s="16">
        <v>0.067</v>
      </c>
      <c r="I1308" s="16">
        <v>0.0</v>
      </c>
      <c r="J1308" s="16">
        <v>0.0</v>
      </c>
      <c r="K1308" s="16">
        <v>0.0</v>
      </c>
      <c r="L1308" s="16">
        <v>338.625</v>
      </c>
      <c r="M1308" s="16">
        <v>349.712</v>
      </c>
      <c r="N1308" s="16">
        <v>102.07</v>
      </c>
      <c r="O1308" s="23">
        <v>8.8</v>
      </c>
      <c r="P1308" s="18">
        <f t="shared" si="1"/>
        <v>338.625</v>
      </c>
    </row>
    <row r="1309" ht="15.75" customHeight="1">
      <c r="A1309" s="19" t="s">
        <v>221</v>
      </c>
      <c r="B1309" s="19" t="s">
        <v>61</v>
      </c>
      <c r="C1309" s="20" t="s">
        <v>75</v>
      </c>
      <c r="D1309" s="14" t="str">
        <f>VLOOKUP(C1309,'State Key'!$A$2:$B$210,2,False)</f>
        <v>Uttar Pradesh</v>
      </c>
      <c r="E1309" s="21">
        <v>90.0</v>
      </c>
      <c r="F1309" s="22">
        <v>19.83</v>
      </c>
      <c r="G1309" s="22">
        <v>0.0</v>
      </c>
      <c r="H1309" s="22">
        <v>0.0</v>
      </c>
      <c r="I1309" s="22">
        <v>0.0</v>
      </c>
      <c r="J1309" s="22">
        <v>0.0</v>
      </c>
      <c r="K1309" s="22">
        <v>0.0</v>
      </c>
      <c r="L1309" s="22">
        <v>19.83</v>
      </c>
      <c r="M1309" s="22">
        <v>12.43</v>
      </c>
      <c r="N1309" s="22">
        <v>12.8</v>
      </c>
      <c r="O1309" s="24">
        <v>30.9</v>
      </c>
      <c r="P1309" s="18">
        <f t="shared" si="1"/>
        <v>19.83</v>
      </c>
    </row>
    <row r="1310" ht="15.75" customHeight="1">
      <c r="A1310" s="13" t="s">
        <v>221</v>
      </c>
      <c r="B1310" s="13" t="s">
        <v>61</v>
      </c>
      <c r="C1310" s="14" t="s">
        <v>76</v>
      </c>
      <c r="D1310" s="14" t="str">
        <f>VLOOKUP(C1310,'State Key'!$A$2:$B$210,2,False)</f>
        <v>Rajasthan</v>
      </c>
      <c r="E1310" s="15">
        <v>1240.0</v>
      </c>
      <c r="F1310" s="16">
        <v>447.45443</v>
      </c>
      <c r="G1310" s="16">
        <v>0.0</v>
      </c>
      <c r="H1310" s="16">
        <v>0.0</v>
      </c>
      <c r="I1310" s="16">
        <v>0.0</v>
      </c>
      <c r="J1310" s="16">
        <v>0.0</v>
      </c>
      <c r="K1310" s="16">
        <v>0.0</v>
      </c>
      <c r="L1310" s="16">
        <v>447.45443</v>
      </c>
      <c r="M1310" s="16">
        <v>380.406</v>
      </c>
      <c r="N1310" s="16">
        <v>147.02</v>
      </c>
      <c r="O1310" s="23">
        <v>11.6</v>
      </c>
      <c r="P1310" s="18">
        <f t="shared" si="1"/>
        <v>447.45443</v>
      </c>
    </row>
    <row r="1311" ht="15.75" customHeight="1">
      <c r="A1311" s="19" t="s">
        <v>221</v>
      </c>
      <c r="B1311" s="19" t="s">
        <v>61</v>
      </c>
      <c r="C1311" s="20" t="s">
        <v>77</v>
      </c>
      <c r="D1311" s="14" t="str">
        <f>VLOOKUP(C1311,'State Key'!$A$2:$B$210,2,False)</f>
        <v>Uttar Pradesh</v>
      </c>
      <c r="E1311" s="21">
        <v>90.0</v>
      </c>
      <c r="F1311" s="22">
        <v>30.86</v>
      </c>
      <c r="G1311" s="22">
        <v>0.0</v>
      </c>
      <c r="H1311" s="22">
        <v>0.0</v>
      </c>
      <c r="I1311" s="22">
        <v>0.0</v>
      </c>
      <c r="J1311" s="22">
        <v>0.0</v>
      </c>
      <c r="K1311" s="22">
        <v>0.0</v>
      </c>
      <c r="L1311" s="22">
        <v>30.86</v>
      </c>
      <c r="M1311" s="22">
        <v>10.74</v>
      </c>
      <c r="N1311" s="22">
        <v>25.99</v>
      </c>
      <c r="O1311" s="24">
        <v>72.6</v>
      </c>
      <c r="P1311" s="18">
        <f t="shared" si="1"/>
        <v>30.86</v>
      </c>
    </row>
    <row r="1312" ht="15.75" customHeight="1">
      <c r="A1312" s="13" t="s">
        <v>221</v>
      </c>
      <c r="B1312" s="13" t="s">
        <v>61</v>
      </c>
      <c r="C1312" s="14" t="s">
        <v>78</v>
      </c>
      <c r="D1312" s="14" t="str">
        <f>VLOOKUP(C1312,'State Key'!$A$2:$B$210,2,False)</f>
        <v>Uttar Pradesh</v>
      </c>
      <c r="E1312" s="15">
        <v>1980.0</v>
      </c>
      <c r="F1312" s="16">
        <v>684.025</v>
      </c>
      <c r="G1312" s="16">
        <v>0.0</v>
      </c>
      <c r="H1312" s="16">
        <v>0.0</v>
      </c>
      <c r="I1312" s="16">
        <v>0.0</v>
      </c>
      <c r="J1312" s="16">
        <v>0.0</v>
      </c>
      <c r="K1312" s="16">
        <v>0.0</v>
      </c>
      <c r="L1312" s="16">
        <v>684.025</v>
      </c>
      <c r="M1312" s="16">
        <v>544.962</v>
      </c>
      <c r="N1312" s="16">
        <v>230.24</v>
      </c>
      <c r="O1312" s="23">
        <v>12.7</v>
      </c>
      <c r="P1312" s="18">
        <f t="shared" si="1"/>
        <v>684.025</v>
      </c>
    </row>
    <row r="1313" ht="15.75" customHeight="1">
      <c r="A1313" s="19" t="s">
        <v>221</v>
      </c>
      <c r="B1313" s="19" t="s">
        <v>61</v>
      </c>
      <c r="C1313" s="20" t="s">
        <v>79</v>
      </c>
      <c r="D1313" s="14" t="str">
        <f>VLOOKUP(C1313,'State Key'!$A$2:$B$210,2,False)</f>
        <v>Haryana</v>
      </c>
      <c r="E1313" s="21">
        <v>1320.0</v>
      </c>
      <c r="F1313" s="22">
        <v>568.087</v>
      </c>
      <c r="G1313" s="22">
        <v>0.0</v>
      </c>
      <c r="H1313" s="22">
        <v>0.0</v>
      </c>
      <c r="I1313" s="22">
        <v>0.0</v>
      </c>
      <c r="J1313" s="22">
        <v>0.0</v>
      </c>
      <c r="K1313" s="22">
        <v>0.0</v>
      </c>
      <c r="L1313" s="22">
        <v>568.087</v>
      </c>
      <c r="M1313" s="22">
        <v>493.811</v>
      </c>
      <c r="N1313" s="22">
        <v>105.91</v>
      </c>
      <c r="O1313" s="17">
        <v>6.4</v>
      </c>
      <c r="P1313" s="18">
        <f t="shared" si="1"/>
        <v>568.087</v>
      </c>
    </row>
    <row r="1314" ht="15.75" customHeight="1">
      <c r="A1314" s="13" t="s">
        <v>221</v>
      </c>
      <c r="B1314" s="13" t="s">
        <v>61</v>
      </c>
      <c r="C1314" s="14" t="s">
        <v>80</v>
      </c>
      <c r="D1314" s="14" t="str">
        <f>VLOOKUP(C1314,'State Key'!$A$2:$B$210,2,False)</f>
        <v>Uttar Pradesh</v>
      </c>
      <c r="E1314" s="15">
        <v>90.0</v>
      </c>
      <c r="F1314" s="16">
        <v>19.35</v>
      </c>
      <c r="G1314" s="16">
        <v>0.0</v>
      </c>
      <c r="H1314" s="16">
        <v>0.0</v>
      </c>
      <c r="I1314" s="16">
        <v>0.0</v>
      </c>
      <c r="J1314" s="16">
        <v>0.0</v>
      </c>
      <c r="K1314" s="16">
        <v>0.0</v>
      </c>
      <c r="L1314" s="16">
        <v>19.35</v>
      </c>
      <c r="M1314" s="16">
        <v>11.9</v>
      </c>
      <c r="N1314" s="16">
        <v>20.11</v>
      </c>
      <c r="O1314" s="24">
        <v>50.7</v>
      </c>
      <c r="P1314" s="18">
        <f t="shared" si="1"/>
        <v>19.35</v>
      </c>
    </row>
    <row r="1315" ht="15.75" customHeight="1">
      <c r="A1315" s="19" t="s">
        <v>221</v>
      </c>
      <c r="B1315" s="19" t="s">
        <v>61</v>
      </c>
      <c r="C1315" s="20" t="s">
        <v>81</v>
      </c>
      <c r="D1315" s="14" t="str">
        <f>VLOOKUP(C1315,'State Key'!$A$2:$B$210,2,False)</f>
        <v>Uttar Pradesh</v>
      </c>
      <c r="E1315" s="21">
        <v>1320.0</v>
      </c>
      <c r="F1315" s="22">
        <v>254.5</v>
      </c>
      <c r="G1315" s="22">
        <v>0.0</v>
      </c>
      <c r="H1315" s="22">
        <v>0.0</v>
      </c>
      <c r="I1315" s="22">
        <v>0.0</v>
      </c>
      <c r="J1315" s="22">
        <v>0.0</v>
      </c>
      <c r="K1315" s="22">
        <v>0.0</v>
      </c>
      <c r="L1315" s="22">
        <v>254.5</v>
      </c>
      <c r="M1315" s="22">
        <v>223.31</v>
      </c>
      <c r="N1315" s="22">
        <v>87.31</v>
      </c>
      <c r="O1315" s="23">
        <v>11.7</v>
      </c>
      <c r="P1315" s="18">
        <f t="shared" si="1"/>
        <v>254.5</v>
      </c>
    </row>
    <row r="1316" ht="15.75" customHeight="1">
      <c r="A1316" s="13" t="s">
        <v>221</v>
      </c>
      <c r="B1316" s="13" t="s">
        <v>61</v>
      </c>
      <c r="C1316" s="14" t="s">
        <v>82</v>
      </c>
      <c r="D1316" s="14" t="str">
        <f>VLOOKUP(C1316,'State Key'!$A$2:$B$210,2,False)</f>
        <v>Uttar Pradesh</v>
      </c>
      <c r="E1316" s="15">
        <v>1000.0</v>
      </c>
      <c r="F1316" s="16">
        <v>356.425</v>
      </c>
      <c r="G1316" s="16">
        <v>0.0</v>
      </c>
      <c r="H1316" s="16">
        <v>0.0</v>
      </c>
      <c r="I1316" s="16">
        <v>0.0</v>
      </c>
      <c r="J1316" s="16">
        <v>0.0</v>
      </c>
      <c r="K1316" s="16">
        <v>0.0</v>
      </c>
      <c r="L1316" s="16">
        <v>356.425</v>
      </c>
      <c r="M1316" s="16">
        <v>324.344</v>
      </c>
      <c r="N1316" s="16">
        <v>84.48</v>
      </c>
      <c r="O1316" s="23">
        <v>7.8</v>
      </c>
      <c r="P1316" s="18">
        <f t="shared" si="1"/>
        <v>356.425</v>
      </c>
    </row>
    <row r="1317" ht="15.75" customHeight="1">
      <c r="A1317" s="19" t="s">
        <v>221</v>
      </c>
      <c r="B1317" s="19" t="s">
        <v>61</v>
      </c>
      <c r="C1317" s="20" t="s">
        <v>83</v>
      </c>
      <c r="D1317" s="14" t="str">
        <f>VLOOKUP(C1317,'State Key'!$A$2:$B$210,2,False)</f>
        <v>Haryana</v>
      </c>
      <c r="E1317" s="21">
        <v>710.0</v>
      </c>
      <c r="F1317" s="22">
        <v>218.506</v>
      </c>
      <c r="G1317" s="22">
        <v>0.0</v>
      </c>
      <c r="H1317" s="22">
        <v>0.0</v>
      </c>
      <c r="I1317" s="22">
        <v>0.0</v>
      </c>
      <c r="J1317" s="22">
        <v>0.0</v>
      </c>
      <c r="K1317" s="22">
        <v>0.0</v>
      </c>
      <c r="L1317" s="22">
        <v>218.506</v>
      </c>
      <c r="M1317" s="22">
        <v>100.495</v>
      </c>
      <c r="N1317" s="22">
        <v>179.67</v>
      </c>
      <c r="O1317" s="24">
        <v>53.6</v>
      </c>
      <c r="P1317" s="18">
        <f t="shared" si="1"/>
        <v>218.506</v>
      </c>
    </row>
    <row r="1318" ht="15.75" customHeight="1">
      <c r="A1318" s="13" t="s">
        <v>221</v>
      </c>
      <c r="B1318" s="13" t="s">
        <v>61</v>
      </c>
      <c r="C1318" s="14" t="s">
        <v>84</v>
      </c>
      <c r="D1318" s="14" t="str">
        <f>VLOOKUP(C1318,'State Key'!$A$2:$B$210,2,False)</f>
        <v>Uttar Pradesh</v>
      </c>
      <c r="E1318" s="15">
        <v>920.0</v>
      </c>
      <c r="F1318" s="16">
        <v>331.94</v>
      </c>
      <c r="G1318" s="16">
        <v>0.0</v>
      </c>
      <c r="H1318" s="16">
        <v>0.0</v>
      </c>
      <c r="I1318" s="16">
        <v>0.0</v>
      </c>
      <c r="J1318" s="16">
        <v>0.0</v>
      </c>
      <c r="K1318" s="16">
        <v>0.0</v>
      </c>
      <c r="L1318" s="16">
        <v>331.94</v>
      </c>
      <c r="M1318" s="16">
        <v>243.65</v>
      </c>
      <c r="N1318" s="16">
        <v>164.208</v>
      </c>
      <c r="O1318" s="24">
        <v>20.2</v>
      </c>
      <c r="P1318" s="18">
        <f t="shared" si="1"/>
        <v>331.94</v>
      </c>
    </row>
    <row r="1319" ht="15.75" customHeight="1">
      <c r="A1319" s="19" t="s">
        <v>221</v>
      </c>
      <c r="B1319" s="19" t="s">
        <v>61</v>
      </c>
      <c r="C1319" s="20" t="s">
        <v>85</v>
      </c>
      <c r="D1319" s="14" t="str">
        <f>VLOOKUP(C1319,'State Key'!$A$2:$B$210,2,False)</f>
        <v>Uttar Pradesh</v>
      </c>
      <c r="E1319" s="21">
        <v>1980.0</v>
      </c>
      <c r="F1319" s="22">
        <v>613.919</v>
      </c>
      <c r="G1319" s="22">
        <v>0.0</v>
      </c>
      <c r="H1319" s="22">
        <v>0.0</v>
      </c>
      <c r="I1319" s="22">
        <v>0.0</v>
      </c>
      <c r="J1319" s="22">
        <v>0.0</v>
      </c>
      <c r="K1319" s="22">
        <v>0.0</v>
      </c>
      <c r="L1319" s="22">
        <v>613.919</v>
      </c>
      <c r="M1319" s="22">
        <v>636.2293</v>
      </c>
      <c r="N1319" s="22">
        <v>146.725</v>
      </c>
      <c r="O1319" s="17">
        <v>6.9</v>
      </c>
      <c r="P1319" s="18">
        <f t="shared" si="1"/>
        <v>613.919</v>
      </c>
    </row>
    <row r="1320" ht="15.75" customHeight="1">
      <c r="A1320" s="13" t="s">
        <v>221</v>
      </c>
      <c r="B1320" s="13" t="s">
        <v>61</v>
      </c>
      <c r="C1320" s="14" t="s">
        <v>86</v>
      </c>
      <c r="D1320" s="14" t="str">
        <f>VLOOKUP(C1320,'State Key'!$A$2:$B$210,2,False)</f>
        <v>Haryana</v>
      </c>
      <c r="E1320" s="15">
        <v>1200.0</v>
      </c>
      <c r="F1320" s="16">
        <v>313.824</v>
      </c>
      <c r="G1320" s="16">
        <v>0.0</v>
      </c>
      <c r="H1320" s="16">
        <v>0.0</v>
      </c>
      <c r="I1320" s="16">
        <v>0.0</v>
      </c>
      <c r="J1320" s="16">
        <v>0.0</v>
      </c>
      <c r="K1320" s="16">
        <v>0.0</v>
      </c>
      <c r="L1320" s="16">
        <v>313.824</v>
      </c>
      <c r="M1320" s="16">
        <v>229.72</v>
      </c>
      <c r="N1320" s="16">
        <v>98.867</v>
      </c>
      <c r="O1320" s="23">
        <v>12.9</v>
      </c>
      <c r="P1320" s="18">
        <f t="shared" si="1"/>
        <v>313.824</v>
      </c>
    </row>
    <row r="1321" ht="15.75" customHeight="1">
      <c r="A1321" s="19" t="s">
        <v>221</v>
      </c>
      <c r="B1321" s="19" t="s">
        <v>61</v>
      </c>
      <c r="C1321" s="20" t="s">
        <v>87</v>
      </c>
      <c r="D1321" s="14" t="str">
        <f>VLOOKUP(C1321,'State Key'!$A$2:$B$210,2,False)</f>
        <v>Punjab</v>
      </c>
      <c r="E1321" s="21">
        <v>1400.0</v>
      </c>
      <c r="F1321" s="22">
        <v>495.5706</v>
      </c>
      <c r="G1321" s="22">
        <v>0.0</v>
      </c>
      <c r="H1321" s="22">
        <v>0.0</v>
      </c>
      <c r="I1321" s="22">
        <v>0.0</v>
      </c>
      <c r="J1321" s="22">
        <v>0.0</v>
      </c>
      <c r="K1321" s="22">
        <v>0.0</v>
      </c>
      <c r="L1321" s="22">
        <v>495.5706</v>
      </c>
      <c r="M1321" s="22">
        <v>430.8121</v>
      </c>
      <c r="N1321" s="22">
        <v>260.56</v>
      </c>
      <c r="O1321" s="24">
        <v>18.1</v>
      </c>
      <c r="P1321" s="18">
        <f t="shared" si="1"/>
        <v>495.5706</v>
      </c>
    </row>
    <row r="1322" ht="15.75" customHeight="1">
      <c r="A1322" s="13" t="s">
        <v>221</v>
      </c>
      <c r="B1322" s="13" t="s">
        <v>61</v>
      </c>
      <c r="C1322" s="14" t="s">
        <v>88</v>
      </c>
      <c r="D1322" s="14" t="str">
        <f>VLOOKUP(C1322,'State Key'!$A$2:$B$210,2,False)</f>
        <v>Uttar Pradesh</v>
      </c>
      <c r="E1322" s="15">
        <v>3000.0</v>
      </c>
      <c r="F1322" s="16">
        <v>1233.26</v>
      </c>
      <c r="G1322" s="16">
        <v>0.0</v>
      </c>
      <c r="H1322" s="16">
        <v>0.0</v>
      </c>
      <c r="I1322" s="16">
        <v>0.0</v>
      </c>
      <c r="J1322" s="16">
        <v>0.0</v>
      </c>
      <c r="K1322" s="16">
        <v>0.0</v>
      </c>
      <c r="L1322" s="16">
        <v>1233.26</v>
      </c>
      <c r="M1322" s="16">
        <v>1227.723</v>
      </c>
      <c r="N1322" s="16">
        <v>1064.816</v>
      </c>
      <c r="O1322" s="24">
        <v>26.0</v>
      </c>
      <c r="P1322" s="18">
        <f t="shared" si="1"/>
        <v>1233.26</v>
      </c>
    </row>
    <row r="1323" ht="15.75" customHeight="1">
      <c r="A1323" s="19" t="s">
        <v>221</v>
      </c>
      <c r="B1323" s="19" t="s">
        <v>61</v>
      </c>
      <c r="C1323" s="20" t="s">
        <v>89</v>
      </c>
      <c r="D1323" s="14" t="str">
        <f>VLOOKUP(C1323,'State Key'!$A$2:$B$210,2,False)</f>
        <v>Punjab</v>
      </c>
      <c r="E1323" s="21">
        <v>840.0</v>
      </c>
      <c r="F1323" s="22">
        <v>94.79</v>
      </c>
      <c r="G1323" s="22">
        <v>0.0</v>
      </c>
      <c r="H1323" s="22">
        <v>101.24</v>
      </c>
      <c r="I1323" s="22">
        <v>0.0</v>
      </c>
      <c r="J1323" s="22">
        <v>0.0</v>
      </c>
      <c r="K1323" s="22">
        <v>0.0</v>
      </c>
      <c r="L1323" s="22">
        <v>196.03</v>
      </c>
      <c r="M1323" s="22">
        <v>166.1</v>
      </c>
      <c r="N1323" s="22">
        <v>259.23</v>
      </c>
      <c r="O1323" s="24">
        <v>46.8</v>
      </c>
      <c r="P1323" s="18">
        <f t="shared" si="1"/>
        <v>196.03</v>
      </c>
    </row>
    <row r="1324" ht="15.75" customHeight="1">
      <c r="A1324" s="13" t="s">
        <v>221</v>
      </c>
      <c r="B1324" s="13" t="s">
        <v>61</v>
      </c>
      <c r="C1324" s="14" t="s">
        <v>90</v>
      </c>
      <c r="D1324" s="14" t="str">
        <f>VLOOKUP(C1324,'State Key'!$A$2:$B$210,2,False)</f>
        <v>Uttar Pradesh</v>
      </c>
      <c r="E1324" s="15">
        <v>1200.0</v>
      </c>
      <c r="F1324" s="16">
        <v>383.09</v>
      </c>
      <c r="G1324" s="16">
        <v>0.0</v>
      </c>
      <c r="H1324" s="16">
        <v>0.0</v>
      </c>
      <c r="I1324" s="16">
        <v>0.0</v>
      </c>
      <c r="J1324" s="16">
        <v>0.0</v>
      </c>
      <c r="K1324" s="16">
        <v>0.0</v>
      </c>
      <c r="L1324" s="16">
        <v>383.09</v>
      </c>
      <c r="M1324" s="16">
        <v>332.89</v>
      </c>
      <c r="N1324" s="16">
        <v>59.02</v>
      </c>
      <c r="O1324" s="17">
        <v>5.3</v>
      </c>
      <c r="P1324" s="18">
        <f t="shared" si="1"/>
        <v>383.09</v>
      </c>
    </row>
    <row r="1325" ht="15.75" customHeight="1">
      <c r="A1325" s="19" t="s">
        <v>221</v>
      </c>
      <c r="B1325" s="19" t="s">
        <v>61</v>
      </c>
      <c r="C1325" s="20" t="s">
        <v>219</v>
      </c>
      <c r="D1325" s="14" t="str">
        <f>VLOOKUP(C1325,'State Key'!$A$2:$B$210,2,False)</f>
        <v>Rajasthan</v>
      </c>
      <c r="E1325" s="21">
        <v>300.0</v>
      </c>
      <c r="F1325" s="22">
        <v>0.0</v>
      </c>
      <c r="G1325" s="22">
        <v>0.0</v>
      </c>
      <c r="H1325" s="22">
        <v>0.0</v>
      </c>
      <c r="I1325" s="22">
        <v>0.0</v>
      </c>
      <c r="J1325" s="22">
        <v>0.0</v>
      </c>
      <c r="K1325" s="22">
        <v>0.0</v>
      </c>
      <c r="L1325" s="22">
        <v>0.0</v>
      </c>
      <c r="M1325" s="22">
        <v>0.0</v>
      </c>
      <c r="N1325" s="22">
        <v>27.8</v>
      </c>
      <c r="O1325" s="19" t="s">
        <v>58</v>
      </c>
      <c r="P1325" s="18">
        <f t="shared" si="1"/>
        <v>0</v>
      </c>
    </row>
    <row r="1326" ht="15.75" customHeight="1">
      <c r="A1326" s="13" t="s">
        <v>221</v>
      </c>
      <c r="B1326" s="13" t="s">
        <v>61</v>
      </c>
      <c r="C1326" s="14" t="s">
        <v>91</v>
      </c>
      <c r="D1326" s="14" t="str">
        <f>VLOOKUP(C1326,'State Key'!$A$2:$B$210,2,False)</f>
        <v>Uttar Pradesh</v>
      </c>
      <c r="E1326" s="15">
        <v>2000.0</v>
      </c>
      <c r="F1326" s="16">
        <v>754.11</v>
      </c>
      <c r="G1326" s="16">
        <v>0.0</v>
      </c>
      <c r="H1326" s="16">
        <v>0.0</v>
      </c>
      <c r="I1326" s="16">
        <v>0.0</v>
      </c>
      <c r="J1326" s="16">
        <v>0.0</v>
      </c>
      <c r="K1326" s="16">
        <v>0.0</v>
      </c>
      <c r="L1326" s="16">
        <v>754.11</v>
      </c>
      <c r="M1326" s="16">
        <v>775.549</v>
      </c>
      <c r="N1326" s="16">
        <v>364.44</v>
      </c>
      <c r="O1326" s="24">
        <v>14.1</v>
      </c>
      <c r="P1326" s="18">
        <f t="shared" si="1"/>
        <v>754.11</v>
      </c>
    </row>
    <row r="1327" ht="15.75" customHeight="1">
      <c r="A1327" s="19" t="s">
        <v>221</v>
      </c>
      <c r="B1327" s="19" t="s">
        <v>61</v>
      </c>
      <c r="C1327" s="20" t="s">
        <v>92</v>
      </c>
      <c r="D1327" s="14" t="str">
        <f>VLOOKUP(C1327,'State Key'!$A$2:$B$210,2,False)</f>
        <v>Rajasthan</v>
      </c>
      <c r="E1327" s="21">
        <v>1320.0</v>
      </c>
      <c r="F1327" s="22">
        <v>331.9</v>
      </c>
      <c r="G1327" s="22">
        <v>0.0</v>
      </c>
      <c r="H1327" s="22">
        <v>0.0</v>
      </c>
      <c r="I1327" s="22">
        <v>51.93835</v>
      </c>
      <c r="J1327" s="22">
        <v>0.0</v>
      </c>
      <c r="K1327" s="22">
        <v>0.0</v>
      </c>
      <c r="L1327" s="22">
        <v>383.83835</v>
      </c>
      <c r="M1327" s="22">
        <v>358.775</v>
      </c>
      <c r="N1327" s="22">
        <v>124.17</v>
      </c>
      <c r="O1327" s="23">
        <v>10.4</v>
      </c>
      <c r="P1327" s="18">
        <f t="shared" si="1"/>
        <v>383.83835</v>
      </c>
    </row>
    <row r="1328" ht="15.75" customHeight="1">
      <c r="A1328" s="13" t="s">
        <v>221</v>
      </c>
      <c r="B1328" s="13" t="s">
        <v>61</v>
      </c>
      <c r="C1328" s="14" t="s">
        <v>93</v>
      </c>
      <c r="D1328" s="14" t="str">
        <f>VLOOKUP(C1328,'State Key'!$A$2:$B$210,2,False)</f>
        <v>Rajasthan</v>
      </c>
      <c r="E1328" s="15">
        <v>1500.0</v>
      </c>
      <c r="F1328" s="16">
        <v>322.357</v>
      </c>
      <c r="G1328" s="16">
        <v>0.0</v>
      </c>
      <c r="H1328" s="16">
        <v>0.0</v>
      </c>
      <c r="I1328" s="16">
        <v>0.0</v>
      </c>
      <c r="J1328" s="16">
        <v>0.0</v>
      </c>
      <c r="K1328" s="16">
        <v>0.0</v>
      </c>
      <c r="L1328" s="16">
        <v>322.357</v>
      </c>
      <c r="M1328" s="16">
        <v>224.36</v>
      </c>
      <c r="N1328" s="16">
        <v>151.15</v>
      </c>
      <c r="O1328" s="24">
        <v>20.2</v>
      </c>
      <c r="P1328" s="18">
        <f t="shared" si="1"/>
        <v>322.357</v>
      </c>
    </row>
    <row r="1329" ht="15.75" customHeight="1">
      <c r="A1329" s="19" t="s">
        <v>221</v>
      </c>
      <c r="B1329" s="19" t="s">
        <v>61</v>
      </c>
      <c r="C1329" s="20" t="s">
        <v>94</v>
      </c>
      <c r="D1329" s="14" t="str">
        <f>VLOOKUP(C1329,'State Key'!$A$2:$B$210,2,False)</f>
        <v>Punjab</v>
      </c>
      <c r="E1329" s="21">
        <v>1980.0</v>
      </c>
      <c r="F1329" s="22">
        <v>659.755</v>
      </c>
      <c r="G1329" s="22">
        <v>0.0</v>
      </c>
      <c r="H1329" s="22">
        <v>0.0</v>
      </c>
      <c r="I1329" s="22">
        <v>0.0</v>
      </c>
      <c r="J1329" s="22">
        <v>0.0</v>
      </c>
      <c r="K1329" s="22">
        <v>0.0</v>
      </c>
      <c r="L1329" s="22">
        <v>659.755</v>
      </c>
      <c r="M1329" s="22">
        <v>602.78</v>
      </c>
      <c r="N1329" s="22">
        <v>180.5</v>
      </c>
      <c r="O1329" s="23">
        <v>9.0</v>
      </c>
      <c r="P1329" s="18">
        <f t="shared" si="1"/>
        <v>659.755</v>
      </c>
    </row>
    <row r="1330" ht="15.75" customHeight="1">
      <c r="A1330" s="13" t="s">
        <v>221</v>
      </c>
      <c r="B1330" s="13" t="s">
        <v>61</v>
      </c>
      <c r="C1330" s="14" t="s">
        <v>95</v>
      </c>
      <c r="D1330" s="14" t="str">
        <f>VLOOKUP(C1330,'State Key'!$A$2:$B$210,2,False)</f>
        <v>Uttar Pradesh</v>
      </c>
      <c r="E1330" s="15">
        <v>1760.0</v>
      </c>
      <c r="F1330" s="16">
        <v>386.13</v>
      </c>
      <c r="G1330" s="16">
        <v>0.0</v>
      </c>
      <c r="H1330" s="16">
        <v>122.19</v>
      </c>
      <c r="I1330" s="16">
        <v>72.275</v>
      </c>
      <c r="J1330" s="16">
        <v>0.0</v>
      </c>
      <c r="K1330" s="16">
        <v>0.0</v>
      </c>
      <c r="L1330" s="16">
        <v>580.595</v>
      </c>
      <c r="M1330" s="16">
        <v>559.128</v>
      </c>
      <c r="N1330" s="16">
        <v>111.21</v>
      </c>
      <c r="O1330" s="17">
        <v>6.0</v>
      </c>
      <c r="P1330" s="18">
        <f t="shared" si="1"/>
        <v>580.595</v>
      </c>
    </row>
    <row r="1331" ht="15.75" customHeight="1">
      <c r="A1331" s="19" t="s">
        <v>221</v>
      </c>
      <c r="B1331" s="19" t="s">
        <v>61</v>
      </c>
      <c r="C1331" s="20" t="s">
        <v>96</v>
      </c>
      <c r="D1331" s="14" t="str">
        <f>VLOOKUP(C1331,'State Key'!$A$2:$B$210,2,False)</f>
        <v>Uttar Pradesh</v>
      </c>
      <c r="E1331" s="21">
        <v>1550.0</v>
      </c>
      <c r="F1331" s="22">
        <v>292.24</v>
      </c>
      <c r="G1331" s="22">
        <v>0.0</v>
      </c>
      <c r="H1331" s="22">
        <v>161.83</v>
      </c>
      <c r="I1331" s="22">
        <v>0.0</v>
      </c>
      <c r="J1331" s="22">
        <v>0.0</v>
      </c>
      <c r="K1331" s="22">
        <v>0.0</v>
      </c>
      <c r="L1331" s="22">
        <v>454.07</v>
      </c>
      <c r="M1331" s="22">
        <v>417.863</v>
      </c>
      <c r="N1331" s="22">
        <v>124.54</v>
      </c>
      <c r="O1331" s="23">
        <v>8.9</v>
      </c>
      <c r="P1331" s="18">
        <f t="shared" si="1"/>
        <v>454.07</v>
      </c>
    </row>
    <row r="1332" ht="15.75" customHeight="1">
      <c r="A1332" s="13" t="s">
        <v>221</v>
      </c>
      <c r="B1332" s="13" t="s">
        <v>61</v>
      </c>
      <c r="C1332" s="14" t="s">
        <v>97</v>
      </c>
      <c r="D1332" s="14" t="str">
        <f>VLOOKUP(C1332,'State Key'!$A$2:$B$210,2,False)</f>
        <v>Uttar Pradesh</v>
      </c>
      <c r="E1332" s="15">
        <v>90.0</v>
      </c>
      <c r="F1332" s="16">
        <v>31.34</v>
      </c>
      <c r="G1332" s="16">
        <v>0.0</v>
      </c>
      <c r="H1332" s="16">
        <v>0.0</v>
      </c>
      <c r="I1332" s="16">
        <v>0.0</v>
      </c>
      <c r="J1332" s="16">
        <v>0.0</v>
      </c>
      <c r="K1332" s="16">
        <v>0.0</v>
      </c>
      <c r="L1332" s="16">
        <v>31.34</v>
      </c>
      <c r="M1332" s="16">
        <v>12.74</v>
      </c>
      <c r="N1332" s="16">
        <v>20.53</v>
      </c>
      <c r="O1332" s="24">
        <v>48.3</v>
      </c>
      <c r="P1332" s="18">
        <f t="shared" si="1"/>
        <v>31.34</v>
      </c>
    </row>
    <row r="1333" ht="15.75" customHeight="1">
      <c r="A1333" s="19" t="s">
        <v>221</v>
      </c>
      <c r="B1333" s="19" t="s">
        <v>61</v>
      </c>
      <c r="C1333" s="20" t="s">
        <v>98</v>
      </c>
      <c r="D1333" s="14" t="str">
        <f>VLOOKUP(C1333,'State Key'!$A$2:$B$210,2,False)</f>
        <v>Haryana</v>
      </c>
      <c r="E1333" s="21">
        <v>600.0</v>
      </c>
      <c r="F1333" s="22">
        <v>287.535</v>
      </c>
      <c r="G1333" s="22">
        <v>0.0</v>
      </c>
      <c r="H1333" s="22">
        <v>0.0</v>
      </c>
      <c r="I1333" s="22">
        <v>0.0</v>
      </c>
      <c r="J1333" s="22">
        <v>0.0</v>
      </c>
      <c r="K1333" s="22">
        <v>0.0</v>
      </c>
      <c r="L1333" s="22">
        <v>287.535</v>
      </c>
      <c r="M1333" s="22">
        <v>52.156</v>
      </c>
      <c r="N1333" s="22">
        <v>286.27</v>
      </c>
      <c r="O1333" s="24">
        <v>164.7</v>
      </c>
      <c r="P1333" s="18">
        <f t="shared" si="1"/>
        <v>287.535</v>
      </c>
    </row>
    <row r="1334" ht="15.75" customHeight="1">
      <c r="A1334" s="13" t="s">
        <v>221</v>
      </c>
      <c r="B1334" s="13" t="s">
        <v>99</v>
      </c>
      <c r="C1334" s="14" t="s">
        <v>210</v>
      </c>
      <c r="D1334" s="14" t="str">
        <f>VLOOKUP(C1334,'State Key'!$A$2:$B$210,2,False)</f>
        <v>Karnataka</v>
      </c>
      <c r="E1334" s="15">
        <v>1200.0</v>
      </c>
      <c r="F1334" s="16">
        <v>0.0</v>
      </c>
      <c r="G1334" s="16">
        <v>0.0</v>
      </c>
      <c r="H1334" s="16">
        <v>0.0</v>
      </c>
      <c r="I1334" s="16">
        <v>236.213</v>
      </c>
      <c r="J1334" s="16">
        <v>0.0</v>
      </c>
      <c r="K1334" s="16">
        <v>0.0</v>
      </c>
      <c r="L1334" s="16">
        <v>236.213</v>
      </c>
      <c r="M1334" s="16">
        <v>293.336</v>
      </c>
      <c r="N1334" s="16">
        <v>26.93</v>
      </c>
      <c r="O1334" s="17">
        <v>2.8</v>
      </c>
      <c r="P1334" s="18">
        <f t="shared" si="1"/>
        <v>236.213</v>
      </c>
    </row>
    <row r="1335" ht="15.75" customHeight="1">
      <c r="A1335" s="19" t="s">
        <v>221</v>
      </c>
      <c r="B1335" s="19" t="s">
        <v>99</v>
      </c>
      <c r="C1335" s="20" t="s">
        <v>100</v>
      </c>
      <c r="D1335" s="14" t="str">
        <f>VLOOKUP(C1335,'State Key'!$A$2:$B$210,2,False)</f>
        <v>Karnataka</v>
      </c>
      <c r="E1335" s="21">
        <v>1700.0</v>
      </c>
      <c r="F1335" s="22">
        <v>202.69808</v>
      </c>
      <c r="G1335" s="22">
        <v>215.18886</v>
      </c>
      <c r="H1335" s="22">
        <v>198.39691</v>
      </c>
      <c r="I1335" s="22">
        <v>0.0</v>
      </c>
      <c r="J1335" s="22">
        <v>0.0</v>
      </c>
      <c r="K1335" s="22">
        <v>0.0</v>
      </c>
      <c r="L1335" s="22">
        <v>616.28385</v>
      </c>
      <c r="M1335" s="22">
        <v>513.089</v>
      </c>
      <c r="N1335" s="22">
        <v>173.89</v>
      </c>
      <c r="O1335" s="23">
        <v>10.2</v>
      </c>
      <c r="P1335" s="18">
        <f t="shared" si="1"/>
        <v>616.28385</v>
      </c>
    </row>
    <row r="1336" ht="15.75" customHeight="1">
      <c r="A1336" s="13" t="s">
        <v>221</v>
      </c>
      <c r="B1336" s="13" t="s">
        <v>99</v>
      </c>
      <c r="C1336" s="14" t="s">
        <v>101</v>
      </c>
      <c r="D1336" s="14" t="str">
        <f>VLOOKUP(C1336,'State Key'!$A$2:$B$210,2,False)</f>
        <v>Telangana</v>
      </c>
      <c r="E1336" s="15">
        <v>1080.0</v>
      </c>
      <c r="F1336" s="16">
        <v>0.0</v>
      </c>
      <c r="G1336" s="16">
        <v>448.378</v>
      </c>
      <c r="H1336" s="16">
        <v>0.0</v>
      </c>
      <c r="I1336" s="16">
        <v>0.0</v>
      </c>
      <c r="J1336" s="16">
        <v>0.0</v>
      </c>
      <c r="K1336" s="16">
        <v>0.0</v>
      </c>
      <c r="L1336" s="16">
        <v>448.378</v>
      </c>
      <c r="M1336" s="16">
        <v>457.426</v>
      </c>
      <c r="N1336" s="16">
        <v>136.075</v>
      </c>
      <c r="O1336" s="23">
        <v>8.9</v>
      </c>
      <c r="P1336" s="18">
        <f t="shared" si="1"/>
        <v>448.378</v>
      </c>
    </row>
    <row r="1337" ht="15.75" customHeight="1">
      <c r="A1337" s="19" t="s">
        <v>221</v>
      </c>
      <c r="B1337" s="19" t="s">
        <v>99</v>
      </c>
      <c r="C1337" s="20" t="s">
        <v>102</v>
      </c>
      <c r="D1337" s="14" t="str">
        <f>VLOOKUP(C1337,'State Key'!$A$2:$B$210,2,False)</f>
        <v>Andhra Pradesh</v>
      </c>
      <c r="E1337" s="21">
        <v>2400.0</v>
      </c>
      <c r="F1337" s="22">
        <v>494.861</v>
      </c>
      <c r="G1337" s="22">
        <v>0.0</v>
      </c>
      <c r="H1337" s="22">
        <v>0.0</v>
      </c>
      <c r="I1337" s="22">
        <v>0.0</v>
      </c>
      <c r="J1337" s="22">
        <v>0.0</v>
      </c>
      <c r="K1337" s="22">
        <v>0.0</v>
      </c>
      <c r="L1337" s="22">
        <v>494.861</v>
      </c>
      <c r="M1337" s="22">
        <v>433.02</v>
      </c>
      <c r="N1337" s="22">
        <v>80.51</v>
      </c>
      <c r="O1337" s="17">
        <v>5.6</v>
      </c>
      <c r="P1337" s="18">
        <f t="shared" si="1"/>
        <v>494.861</v>
      </c>
    </row>
    <row r="1338" ht="15.75" customHeight="1">
      <c r="A1338" s="13" t="s">
        <v>221</v>
      </c>
      <c r="B1338" s="13" t="s">
        <v>99</v>
      </c>
      <c r="C1338" s="14" t="s">
        <v>103</v>
      </c>
      <c r="D1338" s="14" t="str">
        <f>VLOOKUP(C1338,'State Key'!$A$2:$B$210,2,False)</f>
        <v>Andhra Pradesh</v>
      </c>
      <c r="E1338" s="15">
        <v>1760.0</v>
      </c>
      <c r="F1338" s="16">
        <v>528.919</v>
      </c>
      <c r="G1338" s="16">
        <v>331.33</v>
      </c>
      <c r="H1338" s="16">
        <v>0.0</v>
      </c>
      <c r="I1338" s="16">
        <v>0.0</v>
      </c>
      <c r="J1338" s="16">
        <v>0.0</v>
      </c>
      <c r="K1338" s="16">
        <v>0.0</v>
      </c>
      <c r="L1338" s="16">
        <v>860.249</v>
      </c>
      <c r="M1338" s="16">
        <v>850.52</v>
      </c>
      <c r="N1338" s="16">
        <v>28.51</v>
      </c>
      <c r="O1338" s="17">
        <v>1.0</v>
      </c>
      <c r="P1338" s="18">
        <f t="shared" si="1"/>
        <v>860.249</v>
      </c>
    </row>
    <row r="1339" ht="15.75" customHeight="1">
      <c r="A1339" s="19" t="s">
        <v>221</v>
      </c>
      <c r="B1339" s="19" t="s">
        <v>99</v>
      </c>
      <c r="C1339" s="20" t="s">
        <v>104</v>
      </c>
      <c r="D1339" s="14" t="str">
        <f>VLOOKUP(C1339,'State Key'!$A$2:$B$210,2,False)</f>
        <v>Tamil Nadu</v>
      </c>
      <c r="E1339" s="21">
        <v>1200.0</v>
      </c>
      <c r="F1339" s="22">
        <v>0.0</v>
      </c>
      <c r="G1339" s="22">
        <v>0.0</v>
      </c>
      <c r="H1339" s="22">
        <v>0.0</v>
      </c>
      <c r="I1339" s="22">
        <v>317.89</v>
      </c>
      <c r="J1339" s="22">
        <v>0.0</v>
      </c>
      <c r="K1339" s="22">
        <v>0.0</v>
      </c>
      <c r="L1339" s="22">
        <v>317.89</v>
      </c>
      <c r="M1339" s="22">
        <v>341.671</v>
      </c>
      <c r="N1339" s="22">
        <v>109.356</v>
      </c>
      <c r="O1339" s="23">
        <v>9.6</v>
      </c>
      <c r="P1339" s="18">
        <f t="shared" si="1"/>
        <v>317.89</v>
      </c>
    </row>
    <row r="1340" ht="15.75" customHeight="1">
      <c r="A1340" s="13" t="s">
        <v>221</v>
      </c>
      <c r="B1340" s="13" t="s">
        <v>99</v>
      </c>
      <c r="C1340" s="14" t="s">
        <v>105</v>
      </c>
      <c r="D1340" s="14" t="str">
        <f>VLOOKUP(C1340,'State Key'!$A$2:$B$210,2,False)</f>
        <v>Telangana</v>
      </c>
      <c r="E1340" s="15">
        <v>1100.0</v>
      </c>
      <c r="F1340" s="16">
        <v>0.0</v>
      </c>
      <c r="G1340" s="16">
        <v>456.599</v>
      </c>
      <c r="H1340" s="16">
        <v>0.0</v>
      </c>
      <c r="I1340" s="16">
        <v>0.0</v>
      </c>
      <c r="J1340" s="16">
        <v>0.0</v>
      </c>
      <c r="K1340" s="16">
        <v>0.0</v>
      </c>
      <c r="L1340" s="16">
        <v>456.599</v>
      </c>
      <c r="M1340" s="16">
        <v>399.817</v>
      </c>
      <c r="N1340" s="16">
        <v>305.082</v>
      </c>
      <c r="O1340" s="24">
        <v>22.9</v>
      </c>
      <c r="P1340" s="18">
        <f t="shared" si="1"/>
        <v>456.599</v>
      </c>
    </row>
    <row r="1341" ht="15.75" customHeight="1">
      <c r="A1341" s="19" t="s">
        <v>221</v>
      </c>
      <c r="B1341" s="19" t="s">
        <v>99</v>
      </c>
      <c r="C1341" s="20" t="s">
        <v>106</v>
      </c>
      <c r="D1341" s="14" t="str">
        <f>VLOOKUP(C1341,'State Key'!$A$2:$B$210,2,False)</f>
        <v>Telangana</v>
      </c>
      <c r="E1341" s="21">
        <v>1000.0</v>
      </c>
      <c r="F1341" s="22">
        <v>0.0</v>
      </c>
      <c r="G1341" s="22">
        <v>338.094</v>
      </c>
      <c r="H1341" s="22">
        <v>0.0</v>
      </c>
      <c r="I1341" s="22">
        <v>0.0</v>
      </c>
      <c r="J1341" s="22">
        <v>0.0</v>
      </c>
      <c r="K1341" s="22">
        <v>0.0</v>
      </c>
      <c r="L1341" s="22">
        <v>338.094</v>
      </c>
      <c r="M1341" s="22">
        <v>308.91</v>
      </c>
      <c r="N1341" s="22">
        <v>172.654</v>
      </c>
      <c r="O1341" s="24">
        <v>16.8</v>
      </c>
      <c r="P1341" s="18">
        <f t="shared" si="1"/>
        <v>338.094</v>
      </c>
    </row>
    <row r="1342" ht="15.75" customHeight="1">
      <c r="A1342" s="13" t="s">
        <v>221</v>
      </c>
      <c r="B1342" s="13" t="s">
        <v>99</v>
      </c>
      <c r="C1342" s="14" t="s">
        <v>107</v>
      </c>
      <c r="D1342" s="14" t="str">
        <f>VLOOKUP(C1342,'State Key'!$A$2:$B$210,2,False)</f>
        <v>Telangana</v>
      </c>
      <c r="E1342" s="15">
        <v>800.0</v>
      </c>
      <c r="F1342" s="16">
        <v>0.0</v>
      </c>
      <c r="G1342" s="16">
        <v>223.978</v>
      </c>
      <c r="H1342" s="16">
        <v>0.0</v>
      </c>
      <c r="I1342" s="16">
        <v>0.0</v>
      </c>
      <c r="J1342" s="16">
        <v>0.0</v>
      </c>
      <c r="K1342" s="16">
        <v>0.0</v>
      </c>
      <c r="L1342" s="16">
        <v>223.978</v>
      </c>
      <c r="M1342" s="16">
        <v>157.11</v>
      </c>
      <c r="N1342" s="16">
        <v>147.004</v>
      </c>
      <c r="O1342" s="24">
        <v>28.1</v>
      </c>
      <c r="P1342" s="18">
        <f t="shared" si="1"/>
        <v>223.978</v>
      </c>
    </row>
    <row r="1343" ht="15.75" customHeight="1">
      <c r="A1343" s="19" t="s">
        <v>221</v>
      </c>
      <c r="B1343" s="19" t="s">
        <v>99</v>
      </c>
      <c r="C1343" s="20" t="s">
        <v>108</v>
      </c>
      <c r="D1343" s="14" t="str">
        <f>VLOOKUP(C1343,'State Key'!$A$2:$B$210,2,False)</f>
        <v>Karnataka</v>
      </c>
      <c r="E1343" s="21">
        <v>2400.0</v>
      </c>
      <c r="F1343" s="22">
        <v>213.98</v>
      </c>
      <c r="G1343" s="22">
        <v>232.35</v>
      </c>
      <c r="H1343" s="22">
        <v>182.25</v>
      </c>
      <c r="I1343" s="22">
        <v>92.457</v>
      </c>
      <c r="J1343" s="22">
        <v>0.0</v>
      </c>
      <c r="K1343" s="22">
        <v>0.0</v>
      </c>
      <c r="L1343" s="22">
        <v>721.037</v>
      </c>
      <c r="M1343" s="22">
        <v>595.317</v>
      </c>
      <c r="N1343" s="22">
        <v>192.565</v>
      </c>
      <c r="O1343" s="23">
        <v>9.7</v>
      </c>
      <c r="P1343" s="18">
        <f t="shared" si="1"/>
        <v>721.037</v>
      </c>
    </row>
    <row r="1344" ht="15.75" customHeight="1">
      <c r="A1344" s="13" t="s">
        <v>221</v>
      </c>
      <c r="B1344" s="13" t="s">
        <v>99</v>
      </c>
      <c r="C1344" s="14" t="s">
        <v>109</v>
      </c>
      <c r="D1344" s="14" t="str">
        <f>VLOOKUP(C1344,'State Key'!$A$2:$B$210,2,False)</f>
        <v>Tamil Nadu</v>
      </c>
      <c r="E1344" s="15">
        <v>840.0</v>
      </c>
      <c r="F1344" s="16">
        <v>334.4019</v>
      </c>
      <c r="G1344" s="16">
        <v>19.3203</v>
      </c>
      <c r="H1344" s="16">
        <v>0.0</v>
      </c>
      <c r="I1344" s="16">
        <v>0.0</v>
      </c>
      <c r="J1344" s="16">
        <v>0.0</v>
      </c>
      <c r="K1344" s="16">
        <v>0.0</v>
      </c>
      <c r="L1344" s="16">
        <v>353.7222</v>
      </c>
      <c r="M1344" s="16">
        <v>347.1372</v>
      </c>
      <c r="N1344" s="16">
        <v>31.027</v>
      </c>
      <c r="O1344" s="17">
        <v>2.7</v>
      </c>
      <c r="P1344" s="18">
        <f t="shared" si="1"/>
        <v>353.7222</v>
      </c>
    </row>
    <row r="1345" ht="15.75" customHeight="1">
      <c r="A1345" s="19" t="s">
        <v>221</v>
      </c>
      <c r="B1345" s="19" t="s">
        <v>99</v>
      </c>
      <c r="C1345" s="20" t="s">
        <v>110</v>
      </c>
      <c r="D1345" s="14" t="str">
        <f>VLOOKUP(C1345,'State Key'!$A$2:$B$210,2,False)</f>
        <v>Tamil Nadu</v>
      </c>
      <c r="E1345" s="21">
        <v>600.0</v>
      </c>
      <c r="F1345" s="22">
        <v>171.788</v>
      </c>
      <c r="G1345" s="22">
        <v>13.2</v>
      </c>
      <c r="H1345" s="22">
        <v>0.0</v>
      </c>
      <c r="I1345" s="22">
        <v>0.0</v>
      </c>
      <c r="J1345" s="22">
        <v>0.0</v>
      </c>
      <c r="K1345" s="22">
        <v>0.0</v>
      </c>
      <c r="L1345" s="22">
        <v>184.988</v>
      </c>
      <c r="M1345" s="22">
        <v>183.35</v>
      </c>
      <c r="N1345" s="22">
        <v>59.39</v>
      </c>
      <c r="O1345" s="23">
        <v>9.7</v>
      </c>
      <c r="P1345" s="18">
        <f t="shared" si="1"/>
        <v>184.988</v>
      </c>
    </row>
    <row r="1346" ht="15.75" customHeight="1">
      <c r="A1346" s="13" t="s">
        <v>221</v>
      </c>
      <c r="B1346" s="13" t="s">
        <v>99</v>
      </c>
      <c r="C1346" s="14" t="s">
        <v>111</v>
      </c>
      <c r="D1346" s="14" t="str">
        <f>VLOOKUP(C1346,'State Key'!$A$2:$B$210,2,False)</f>
        <v>Tamil Nadu</v>
      </c>
      <c r="E1346" s="15">
        <v>1200.0</v>
      </c>
      <c r="F1346" s="16">
        <v>0.0</v>
      </c>
      <c r="G1346" s="16">
        <v>0.0</v>
      </c>
      <c r="H1346" s="16">
        <v>0.0</v>
      </c>
      <c r="I1346" s="16">
        <v>334.602</v>
      </c>
      <c r="J1346" s="16">
        <v>0.0</v>
      </c>
      <c r="K1346" s="16">
        <v>0.0</v>
      </c>
      <c r="L1346" s="16">
        <v>334.602</v>
      </c>
      <c r="M1346" s="16">
        <v>222.639</v>
      </c>
      <c r="N1346" s="16">
        <v>163.553</v>
      </c>
      <c r="O1346" s="24">
        <v>22.0</v>
      </c>
      <c r="P1346" s="18">
        <f t="shared" si="1"/>
        <v>334.602</v>
      </c>
    </row>
    <row r="1347" ht="15.75" customHeight="1">
      <c r="A1347" s="19" t="s">
        <v>221</v>
      </c>
      <c r="B1347" s="19" t="s">
        <v>99</v>
      </c>
      <c r="C1347" s="20" t="s">
        <v>112</v>
      </c>
      <c r="D1347" s="14" t="str">
        <f>VLOOKUP(C1347,'State Key'!$A$2:$B$210,2,False)</f>
        <v>Tamil Nadu</v>
      </c>
      <c r="E1347" s="21">
        <v>1830.0</v>
      </c>
      <c r="F1347" s="22">
        <v>797.48</v>
      </c>
      <c r="G1347" s="22">
        <v>0.0</v>
      </c>
      <c r="H1347" s="22">
        <v>0.0</v>
      </c>
      <c r="I1347" s="22">
        <v>0.0</v>
      </c>
      <c r="J1347" s="22">
        <v>0.0</v>
      </c>
      <c r="K1347" s="22">
        <v>0.0</v>
      </c>
      <c r="L1347" s="22">
        <v>797.48</v>
      </c>
      <c r="M1347" s="22">
        <v>873.654</v>
      </c>
      <c r="N1347" s="22">
        <v>40.209</v>
      </c>
      <c r="O1347" s="17">
        <v>1.4</v>
      </c>
      <c r="P1347" s="18">
        <f t="shared" si="1"/>
        <v>797.48</v>
      </c>
    </row>
    <row r="1348" ht="15.75" customHeight="1">
      <c r="A1348" s="13" t="s">
        <v>221</v>
      </c>
      <c r="B1348" s="13" t="s">
        <v>99</v>
      </c>
      <c r="C1348" s="14" t="s">
        <v>113</v>
      </c>
      <c r="D1348" s="14" t="str">
        <f>VLOOKUP(C1348,'State Key'!$A$2:$B$210,2,False)</f>
        <v>Tamil Nadu</v>
      </c>
      <c r="E1348" s="15">
        <v>1000.0</v>
      </c>
      <c r="F1348" s="16">
        <v>145.784</v>
      </c>
      <c r="G1348" s="16">
        <v>0.0</v>
      </c>
      <c r="H1348" s="16">
        <v>276.131</v>
      </c>
      <c r="I1348" s="16">
        <v>0.0</v>
      </c>
      <c r="J1348" s="16">
        <v>0.0</v>
      </c>
      <c r="K1348" s="16">
        <v>0.0</v>
      </c>
      <c r="L1348" s="16">
        <v>421.915</v>
      </c>
      <c r="M1348" s="16">
        <v>386.7</v>
      </c>
      <c r="N1348" s="16">
        <v>232.5</v>
      </c>
      <c r="O1348" s="24">
        <v>18.0</v>
      </c>
      <c r="P1348" s="18">
        <f t="shared" si="1"/>
        <v>421.915</v>
      </c>
    </row>
    <row r="1349" ht="15.75" customHeight="1">
      <c r="A1349" s="19" t="s">
        <v>221</v>
      </c>
      <c r="B1349" s="19" t="s">
        <v>99</v>
      </c>
      <c r="C1349" s="20" t="s">
        <v>114</v>
      </c>
      <c r="D1349" s="14" t="str">
        <f>VLOOKUP(C1349,'State Key'!$A$2:$B$210,2,False)</f>
        <v>Andhra Pradesh</v>
      </c>
      <c r="E1349" s="21">
        <v>1320.0</v>
      </c>
      <c r="F1349" s="22">
        <v>263.05</v>
      </c>
      <c r="G1349" s="22">
        <v>0.0</v>
      </c>
      <c r="H1349" s="22">
        <v>0.0</v>
      </c>
      <c r="I1349" s="22">
        <v>16.653</v>
      </c>
      <c r="J1349" s="22">
        <v>0.0</v>
      </c>
      <c r="K1349" s="22">
        <v>0.0</v>
      </c>
      <c r="L1349" s="22">
        <v>279.703</v>
      </c>
      <c r="M1349" s="22">
        <v>396.956</v>
      </c>
      <c r="N1349" s="22">
        <v>251.01</v>
      </c>
      <c r="O1349" s="24">
        <v>19.0</v>
      </c>
      <c r="P1349" s="18">
        <f t="shared" si="1"/>
        <v>279.703</v>
      </c>
    </row>
    <row r="1350" ht="15.75" customHeight="1">
      <c r="A1350" s="13" t="s">
        <v>221</v>
      </c>
      <c r="B1350" s="13" t="s">
        <v>99</v>
      </c>
      <c r="C1350" s="14" t="s">
        <v>115</v>
      </c>
      <c r="D1350" s="14" t="str">
        <f>VLOOKUP(C1350,'State Key'!$A$2:$B$210,2,False)</f>
        <v>Karnataka</v>
      </c>
      <c r="E1350" s="15">
        <v>1720.0</v>
      </c>
      <c r="F1350" s="16">
        <v>399.832</v>
      </c>
      <c r="G1350" s="16">
        <v>271.061</v>
      </c>
      <c r="H1350" s="16">
        <v>0.0</v>
      </c>
      <c r="I1350" s="16">
        <v>0.0</v>
      </c>
      <c r="J1350" s="16">
        <v>0.0</v>
      </c>
      <c r="K1350" s="16">
        <v>0.0</v>
      </c>
      <c r="L1350" s="16">
        <v>670.893</v>
      </c>
      <c r="M1350" s="16">
        <v>511.618</v>
      </c>
      <c r="N1350" s="16">
        <v>233.43</v>
      </c>
      <c r="O1350" s="23">
        <v>13.7</v>
      </c>
      <c r="P1350" s="18">
        <f t="shared" si="1"/>
        <v>670.893</v>
      </c>
    </row>
    <row r="1351" ht="15.75" customHeight="1">
      <c r="A1351" s="19" t="s">
        <v>221</v>
      </c>
      <c r="B1351" s="19" t="s">
        <v>99</v>
      </c>
      <c r="C1351" s="20" t="s">
        <v>116</v>
      </c>
      <c r="D1351" s="14" t="str">
        <f>VLOOKUP(C1351,'State Key'!$A$2:$B$210,2,False)</f>
        <v>Telangana</v>
      </c>
      <c r="E1351" s="21">
        <v>2600.0</v>
      </c>
      <c r="F1351" s="22">
        <v>0.0</v>
      </c>
      <c r="G1351" s="22">
        <v>1012.27</v>
      </c>
      <c r="H1351" s="22">
        <v>0.0</v>
      </c>
      <c r="I1351" s="22">
        <v>0.0</v>
      </c>
      <c r="J1351" s="22">
        <v>0.0</v>
      </c>
      <c r="K1351" s="22">
        <v>0.0</v>
      </c>
      <c r="L1351" s="22">
        <v>1012.27</v>
      </c>
      <c r="M1351" s="22">
        <v>875.287</v>
      </c>
      <c r="N1351" s="22">
        <v>347.876</v>
      </c>
      <c r="O1351" s="23">
        <v>11.9</v>
      </c>
      <c r="P1351" s="18">
        <f t="shared" si="1"/>
        <v>1012.27</v>
      </c>
    </row>
    <row r="1352" ht="15.75" customHeight="1">
      <c r="A1352" s="13" t="s">
        <v>221</v>
      </c>
      <c r="B1352" s="13" t="s">
        <v>99</v>
      </c>
      <c r="C1352" s="14" t="s">
        <v>117</v>
      </c>
      <c r="D1352" s="14" t="str">
        <f>VLOOKUP(C1352,'State Key'!$A$2:$B$210,2,False)</f>
        <v>Telangana</v>
      </c>
      <c r="E1352" s="15">
        <v>62.5</v>
      </c>
      <c r="F1352" s="16">
        <v>0.0</v>
      </c>
      <c r="G1352" s="16">
        <v>18.779</v>
      </c>
      <c r="H1352" s="16">
        <v>0.0</v>
      </c>
      <c r="I1352" s="16">
        <v>0.0</v>
      </c>
      <c r="J1352" s="16">
        <v>0.0</v>
      </c>
      <c r="K1352" s="16">
        <v>0.0</v>
      </c>
      <c r="L1352" s="16">
        <v>18.779</v>
      </c>
      <c r="M1352" s="16">
        <v>19.952</v>
      </c>
      <c r="N1352" s="16">
        <v>4.085</v>
      </c>
      <c r="O1352" s="17">
        <v>6.1</v>
      </c>
      <c r="P1352" s="18">
        <f t="shared" si="1"/>
        <v>18.779</v>
      </c>
    </row>
    <row r="1353" ht="15.75" customHeight="1">
      <c r="A1353" s="19" t="s">
        <v>221</v>
      </c>
      <c r="B1353" s="19" t="s">
        <v>99</v>
      </c>
      <c r="C1353" s="20" t="s">
        <v>118</v>
      </c>
      <c r="D1353" s="14" t="str">
        <f>VLOOKUP(C1353,'State Key'!$A$2:$B$210,2,False)</f>
        <v>Andhra Pradesh</v>
      </c>
      <c r="E1353" s="21">
        <v>1650.0</v>
      </c>
      <c r="F1353" s="22">
        <v>605.128</v>
      </c>
      <c r="G1353" s="22">
        <v>69.611</v>
      </c>
      <c r="H1353" s="22">
        <v>0.0</v>
      </c>
      <c r="I1353" s="22">
        <v>0.0</v>
      </c>
      <c r="J1353" s="22">
        <v>0.0</v>
      </c>
      <c r="K1353" s="22">
        <v>0.0</v>
      </c>
      <c r="L1353" s="22">
        <v>674.739</v>
      </c>
      <c r="M1353" s="22">
        <v>706.532</v>
      </c>
      <c r="N1353" s="22">
        <v>10.47</v>
      </c>
      <c r="O1353" s="17">
        <v>0.4</v>
      </c>
      <c r="P1353" s="18">
        <f t="shared" si="1"/>
        <v>674.739</v>
      </c>
    </row>
    <row r="1354" ht="15.75" customHeight="1">
      <c r="A1354" s="13" t="s">
        <v>221</v>
      </c>
      <c r="B1354" s="13" t="s">
        <v>99</v>
      </c>
      <c r="C1354" s="14" t="s">
        <v>119</v>
      </c>
      <c r="D1354" s="14" t="str">
        <f>VLOOKUP(C1354,'State Key'!$A$2:$B$210,2,False)</f>
        <v>Andhra Pradesh</v>
      </c>
      <c r="E1354" s="15">
        <v>1320.0</v>
      </c>
      <c r="F1354" s="16">
        <v>147.988</v>
      </c>
      <c r="G1354" s="16">
        <v>0.0</v>
      </c>
      <c r="H1354" s="16">
        <v>0.0</v>
      </c>
      <c r="I1354" s="16">
        <v>188.326</v>
      </c>
      <c r="J1354" s="16">
        <v>0.0</v>
      </c>
      <c r="K1354" s="16">
        <v>0.0</v>
      </c>
      <c r="L1354" s="16">
        <v>336.314</v>
      </c>
      <c r="M1354" s="16">
        <v>366.6819</v>
      </c>
      <c r="N1354" s="16">
        <v>376.69</v>
      </c>
      <c r="O1354" s="24">
        <v>30.8</v>
      </c>
      <c r="P1354" s="18">
        <f t="shared" si="1"/>
        <v>336.314</v>
      </c>
    </row>
    <row r="1355" ht="15.75" customHeight="1">
      <c r="A1355" s="19" t="s">
        <v>221</v>
      </c>
      <c r="B1355" s="19" t="s">
        <v>99</v>
      </c>
      <c r="C1355" s="20" t="s">
        <v>120</v>
      </c>
      <c r="D1355" s="14" t="str">
        <f>VLOOKUP(C1355,'State Key'!$A$2:$B$210,2,False)</f>
        <v>Andhra Pradesh</v>
      </c>
      <c r="E1355" s="21">
        <v>2000.0</v>
      </c>
      <c r="F1355" s="22">
        <v>661.77</v>
      </c>
      <c r="G1355" s="22">
        <v>28.22</v>
      </c>
      <c r="H1355" s="22">
        <v>63.74</v>
      </c>
      <c r="I1355" s="22">
        <v>54.6</v>
      </c>
      <c r="J1355" s="22">
        <v>0.0</v>
      </c>
      <c r="K1355" s="22">
        <v>0.0</v>
      </c>
      <c r="L1355" s="22">
        <v>808.33</v>
      </c>
      <c r="M1355" s="22">
        <v>746.007</v>
      </c>
      <c r="N1355" s="22">
        <v>138.041</v>
      </c>
      <c r="O1355" s="17">
        <v>5.6</v>
      </c>
      <c r="P1355" s="18">
        <f t="shared" si="1"/>
        <v>808.33</v>
      </c>
    </row>
    <row r="1356" ht="15.75" customHeight="1">
      <c r="A1356" s="13" t="s">
        <v>221</v>
      </c>
      <c r="B1356" s="13" t="s">
        <v>99</v>
      </c>
      <c r="C1356" s="14" t="s">
        <v>121</v>
      </c>
      <c r="D1356" s="14" t="str">
        <f>VLOOKUP(C1356,'State Key'!$A$2:$B$210,2,False)</f>
        <v>Andhra Pradesh</v>
      </c>
      <c r="E1356" s="15">
        <v>600.0</v>
      </c>
      <c r="F1356" s="16">
        <v>0.0</v>
      </c>
      <c r="G1356" s="16">
        <v>0.0</v>
      </c>
      <c r="H1356" s="16">
        <v>0.0</v>
      </c>
      <c r="I1356" s="16">
        <v>204.16</v>
      </c>
      <c r="J1356" s="16">
        <v>0.0</v>
      </c>
      <c r="K1356" s="16">
        <v>0.0</v>
      </c>
      <c r="L1356" s="16">
        <v>204.16</v>
      </c>
      <c r="M1356" s="16">
        <v>165.54</v>
      </c>
      <c r="N1356" s="16">
        <v>101.38</v>
      </c>
      <c r="O1356" s="24">
        <v>18.4</v>
      </c>
      <c r="P1356" s="18">
        <f t="shared" si="1"/>
        <v>204.16</v>
      </c>
    </row>
    <row r="1357" ht="15.75" customHeight="1">
      <c r="A1357" s="19" t="s">
        <v>221</v>
      </c>
      <c r="B1357" s="19" t="s">
        <v>99</v>
      </c>
      <c r="C1357" s="20" t="s">
        <v>122</v>
      </c>
      <c r="D1357" s="14" t="str">
        <f>VLOOKUP(C1357,'State Key'!$A$2:$B$210,2,False)</f>
        <v>Telangana</v>
      </c>
      <c r="E1357" s="21">
        <v>1200.0</v>
      </c>
      <c r="F1357" s="22">
        <v>0.0</v>
      </c>
      <c r="G1357" s="22">
        <v>457.761</v>
      </c>
      <c r="H1357" s="22">
        <v>0.0</v>
      </c>
      <c r="I1357" s="22">
        <v>0.0</v>
      </c>
      <c r="J1357" s="22">
        <v>0.0</v>
      </c>
      <c r="K1357" s="22">
        <v>0.0</v>
      </c>
      <c r="L1357" s="22">
        <v>457.761</v>
      </c>
      <c r="M1357" s="22">
        <v>373.922</v>
      </c>
      <c r="N1357" s="22">
        <v>151.99</v>
      </c>
      <c r="O1357" s="23">
        <v>12.2</v>
      </c>
      <c r="P1357" s="18">
        <f t="shared" si="1"/>
        <v>457.761</v>
      </c>
    </row>
    <row r="1358" ht="15.75" customHeight="1">
      <c r="A1358" s="13" t="s">
        <v>221</v>
      </c>
      <c r="B1358" s="13" t="s">
        <v>99</v>
      </c>
      <c r="C1358" s="14" t="s">
        <v>220</v>
      </c>
      <c r="D1358" s="14" t="str">
        <f>VLOOKUP(C1358,'State Key'!$A$2:$B$210,2,False)</f>
        <v>Telangana</v>
      </c>
      <c r="E1358" s="15">
        <v>800.0</v>
      </c>
      <c r="F1358" s="16">
        <v>0.0</v>
      </c>
      <c r="G1358" s="16">
        <v>253.12</v>
      </c>
      <c r="H1358" s="16">
        <v>0.0</v>
      </c>
      <c r="I1358" s="16">
        <v>0.0</v>
      </c>
      <c r="J1358" s="16">
        <v>0.0</v>
      </c>
      <c r="K1358" s="16">
        <v>0.0</v>
      </c>
      <c r="L1358" s="16">
        <v>253.12</v>
      </c>
      <c r="M1358" s="16">
        <v>330.327</v>
      </c>
      <c r="N1358" s="16">
        <v>41.93</v>
      </c>
      <c r="O1358" s="17">
        <v>3.8</v>
      </c>
      <c r="P1358" s="18">
        <f t="shared" si="1"/>
        <v>253.12</v>
      </c>
    </row>
    <row r="1359" ht="15.75" customHeight="1">
      <c r="A1359" s="19" t="s">
        <v>221</v>
      </c>
      <c r="B1359" s="19" t="s">
        <v>99</v>
      </c>
      <c r="C1359" s="20" t="s">
        <v>123</v>
      </c>
      <c r="D1359" s="14" t="str">
        <f>VLOOKUP(C1359,'State Key'!$A$2:$B$210,2,False)</f>
        <v>Andhra Pradesh</v>
      </c>
      <c r="E1359" s="21">
        <v>300.0</v>
      </c>
      <c r="F1359" s="22">
        <v>0.0</v>
      </c>
      <c r="G1359" s="22">
        <v>0.0</v>
      </c>
      <c r="H1359" s="22">
        <v>0.0</v>
      </c>
      <c r="I1359" s="22">
        <v>0.0</v>
      </c>
      <c r="J1359" s="22">
        <v>0.0</v>
      </c>
      <c r="K1359" s="22">
        <v>0.0</v>
      </c>
      <c r="L1359" s="22">
        <v>0.0</v>
      </c>
      <c r="M1359" s="22">
        <v>0.0</v>
      </c>
      <c r="N1359" s="22">
        <v>0.0</v>
      </c>
      <c r="O1359" s="19" t="s">
        <v>58</v>
      </c>
      <c r="P1359" s="18">
        <f t="shared" si="1"/>
        <v>0</v>
      </c>
    </row>
    <row r="1360" ht="15.75" customHeight="1">
      <c r="A1360" s="13" t="s">
        <v>221</v>
      </c>
      <c r="B1360" s="13" t="s">
        <v>99</v>
      </c>
      <c r="C1360" s="14" t="s">
        <v>124</v>
      </c>
      <c r="D1360" s="14" t="str">
        <f>VLOOKUP(C1360,'State Key'!$A$2:$B$210,2,False)</f>
        <v>Karnataka</v>
      </c>
      <c r="E1360" s="15">
        <v>260.0</v>
      </c>
      <c r="F1360" s="16">
        <v>0.0</v>
      </c>
      <c r="G1360" s="16">
        <v>0.0</v>
      </c>
      <c r="H1360" s="16">
        <v>0.0</v>
      </c>
      <c r="I1360" s="16">
        <v>45.68</v>
      </c>
      <c r="J1360" s="16">
        <v>0.0</v>
      </c>
      <c r="K1360" s="16">
        <v>0.0</v>
      </c>
      <c r="L1360" s="16">
        <v>45.68</v>
      </c>
      <c r="M1360" s="16">
        <v>45.68</v>
      </c>
      <c r="N1360" s="16">
        <v>0.0</v>
      </c>
      <c r="O1360" s="17">
        <v>0.0</v>
      </c>
      <c r="P1360" s="18">
        <f t="shared" si="1"/>
        <v>45.68</v>
      </c>
    </row>
    <row r="1361" ht="15.75" customHeight="1">
      <c r="A1361" s="19" t="s">
        <v>221</v>
      </c>
      <c r="B1361" s="19" t="s">
        <v>99</v>
      </c>
      <c r="C1361" s="20" t="s">
        <v>125</v>
      </c>
      <c r="D1361" s="14" t="str">
        <f>VLOOKUP(C1361,'State Key'!$A$2:$B$210,2,False)</f>
        <v>Karnataka</v>
      </c>
      <c r="E1361" s="21">
        <v>600.0</v>
      </c>
      <c r="F1361" s="22">
        <v>0.0</v>
      </c>
      <c r="G1361" s="22">
        <v>0.0</v>
      </c>
      <c r="H1361" s="22">
        <v>0.0</v>
      </c>
      <c r="I1361" s="22">
        <v>97.72</v>
      </c>
      <c r="J1361" s="22">
        <v>0.0</v>
      </c>
      <c r="K1361" s="22">
        <v>0.0</v>
      </c>
      <c r="L1361" s="22">
        <v>97.72</v>
      </c>
      <c r="M1361" s="22">
        <v>66.49</v>
      </c>
      <c r="N1361" s="22">
        <v>33.62</v>
      </c>
      <c r="O1361" s="24">
        <v>15.2</v>
      </c>
      <c r="P1361" s="18">
        <f t="shared" si="1"/>
        <v>97.72</v>
      </c>
    </row>
    <row r="1362" ht="15.75" customHeight="1">
      <c r="A1362" s="13" t="s">
        <v>221</v>
      </c>
      <c r="B1362" s="13" t="s">
        <v>99</v>
      </c>
      <c r="C1362" s="14" t="s">
        <v>126</v>
      </c>
      <c r="D1362" s="14" t="str">
        <f>VLOOKUP(C1362,'State Key'!$A$2:$B$210,2,False)</f>
        <v>Tamil Nadu</v>
      </c>
      <c r="E1362" s="15">
        <v>300.0</v>
      </c>
      <c r="F1362" s="16">
        <v>0.0</v>
      </c>
      <c r="G1362" s="16">
        <v>0.0</v>
      </c>
      <c r="H1362" s="16">
        <v>0.0</v>
      </c>
      <c r="I1362" s="16">
        <v>0.0</v>
      </c>
      <c r="J1362" s="16">
        <v>0.0</v>
      </c>
      <c r="K1362" s="16">
        <v>0.0</v>
      </c>
      <c r="L1362" s="16">
        <v>0.0</v>
      </c>
      <c r="M1362" s="16">
        <v>0.0</v>
      </c>
      <c r="N1362" s="16">
        <v>0.0</v>
      </c>
      <c r="O1362" s="13" t="s">
        <v>58</v>
      </c>
      <c r="P1362" s="18">
        <f t="shared" si="1"/>
        <v>0</v>
      </c>
    </row>
    <row r="1363" ht="15.75" customHeight="1">
      <c r="A1363" s="19" t="s">
        <v>221</v>
      </c>
      <c r="B1363" s="19" t="s">
        <v>99</v>
      </c>
      <c r="C1363" s="20" t="s">
        <v>127</v>
      </c>
      <c r="D1363" s="14" t="str">
        <f>VLOOKUP(C1363,'State Key'!$A$2:$B$210,2,False)</f>
        <v>Tamil Nadu</v>
      </c>
      <c r="E1363" s="21">
        <v>525.0</v>
      </c>
      <c r="F1363" s="22">
        <v>0.0</v>
      </c>
      <c r="G1363" s="22">
        <v>0.0</v>
      </c>
      <c r="H1363" s="22">
        <v>0.0</v>
      </c>
      <c r="I1363" s="22">
        <v>128.41</v>
      </c>
      <c r="J1363" s="22">
        <v>0.0</v>
      </c>
      <c r="K1363" s="22">
        <v>0.0</v>
      </c>
      <c r="L1363" s="22">
        <v>128.41</v>
      </c>
      <c r="M1363" s="22">
        <v>129.622</v>
      </c>
      <c r="N1363" s="22">
        <v>19.9</v>
      </c>
      <c r="O1363" s="17">
        <v>4.6</v>
      </c>
      <c r="P1363" s="18">
        <f t="shared" si="1"/>
        <v>128.41</v>
      </c>
    </row>
    <row r="1364" ht="15.75" customHeight="1">
      <c r="A1364" s="13" t="s">
        <v>221</v>
      </c>
      <c r="B1364" s="13" t="s">
        <v>99</v>
      </c>
      <c r="C1364" s="14" t="s">
        <v>128</v>
      </c>
      <c r="D1364" s="14" t="str">
        <f>VLOOKUP(C1364,'State Key'!$A$2:$B$210,2,False)</f>
        <v>Tamil Nadu</v>
      </c>
      <c r="E1364" s="15">
        <v>1050.0</v>
      </c>
      <c r="F1364" s="16">
        <v>426.371</v>
      </c>
      <c r="G1364" s="16">
        <v>0.0</v>
      </c>
      <c r="H1364" s="16">
        <v>0.0</v>
      </c>
      <c r="I1364" s="16">
        <v>0.0</v>
      </c>
      <c r="J1364" s="16">
        <v>0.0</v>
      </c>
      <c r="K1364" s="16">
        <v>0.0</v>
      </c>
      <c r="L1364" s="16">
        <v>426.371</v>
      </c>
      <c r="M1364" s="16">
        <v>467.301</v>
      </c>
      <c r="N1364" s="16">
        <v>63.01</v>
      </c>
      <c r="O1364" s="17">
        <v>4.0</v>
      </c>
      <c r="P1364" s="18">
        <f t="shared" si="1"/>
        <v>426.371</v>
      </c>
    </row>
    <row r="1365" ht="15.75" customHeight="1">
      <c r="A1365" s="19" t="s">
        <v>221</v>
      </c>
      <c r="B1365" s="19" t="s">
        <v>99</v>
      </c>
      <c r="C1365" s="20" t="s">
        <v>130</v>
      </c>
      <c r="D1365" s="14" t="str">
        <f>VLOOKUP(C1365,'State Key'!$A$2:$B$210,2,False)</f>
        <v>Tamil Nadu</v>
      </c>
      <c r="E1365" s="21">
        <v>1500.0</v>
      </c>
      <c r="F1365" s="22">
        <v>238.668</v>
      </c>
      <c r="G1365" s="22">
        <v>74.6</v>
      </c>
      <c r="H1365" s="22">
        <v>0.0</v>
      </c>
      <c r="I1365" s="22">
        <v>0.0</v>
      </c>
      <c r="J1365" s="22">
        <v>0.0</v>
      </c>
      <c r="K1365" s="22">
        <v>0.0</v>
      </c>
      <c r="L1365" s="22">
        <v>313.268</v>
      </c>
      <c r="M1365" s="22">
        <v>352.548</v>
      </c>
      <c r="N1365" s="22">
        <v>83.43</v>
      </c>
      <c r="O1365" s="23">
        <v>7.1</v>
      </c>
      <c r="P1365" s="18">
        <f t="shared" si="1"/>
        <v>313.268</v>
      </c>
    </row>
    <row r="1366" ht="15.75" customHeight="1">
      <c r="A1366" s="13" t="s">
        <v>221</v>
      </c>
      <c r="B1366" s="13" t="s">
        <v>99</v>
      </c>
      <c r="C1366" s="14" t="s">
        <v>131</v>
      </c>
      <c r="D1366" s="14" t="str">
        <f>VLOOKUP(C1366,'State Key'!$A$2:$B$210,2,False)</f>
        <v>Andhra Pradesh</v>
      </c>
      <c r="E1366" s="15">
        <v>1040.0</v>
      </c>
      <c r="F1366" s="16">
        <v>274.0357</v>
      </c>
      <c r="G1366" s="16">
        <v>0.0</v>
      </c>
      <c r="H1366" s="16">
        <v>0.0</v>
      </c>
      <c r="I1366" s="16">
        <v>0.097</v>
      </c>
      <c r="J1366" s="16">
        <v>0.0</v>
      </c>
      <c r="K1366" s="16">
        <v>0.0</v>
      </c>
      <c r="L1366" s="16">
        <v>274.1327</v>
      </c>
      <c r="M1366" s="16">
        <v>294.766</v>
      </c>
      <c r="N1366" s="16">
        <v>105.26</v>
      </c>
      <c r="O1366" s="23">
        <v>10.7</v>
      </c>
      <c r="P1366" s="18">
        <f t="shared" si="1"/>
        <v>274.1327</v>
      </c>
    </row>
    <row r="1367" ht="15.75" customHeight="1">
      <c r="A1367" s="19" t="s">
        <v>221</v>
      </c>
      <c r="B1367" s="19" t="s">
        <v>99</v>
      </c>
      <c r="C1367" s="20" t="s">
        <v>132</v>
      </c>
      <c r="D1367" s="14" t="str">
        <f>VLOOKUP(C1367,'State Key'!$A$2:$B$210,2,False)</f>
        <v>Karnataka</v>
      </c>
      <c r="E1367" s="21">
        <v>1600.0</v>
      </c>
      <c r="F1367" s="22">
        <v>0.0</v>
      </c>
      <c r="G1367" s="22">
        <v>345.763</v>
      </c>
      <c r="H1367" s="22">
        <v>0.0</v>
      </c>
      <c r="I1367" s="22">
        <v>0.0</v>
      </c>
      <c r="J1367" s="22">
        <v>0.0</v>
      </c>
      <c r="K1367" s="22">
        <v>0.0</v>
      </c>
      <c r="L1367" s="22">
        <v>345.763</v>
      </c>
      <c r="M1367" s="22">
        <v>281.284</v>
      </c>
      <c r="N1367" s="22">
        <v>179.35</v>
      </c>
      <c r="O1367" s="24">
        <v>19.1</v>
      </c>
      <c r="P1367" s="18">
        <f t="shared" si="1"/>
        <v>345.763</v>
      </c>
    </row>
    <row r="1368" ht="15.75" customHeight="1">
      <c r="A1368" s="13" t="s">
        <v>221</v>
      </c>
      <c r="B1368" s="13" t="s">
        <v>133</v>
      </c>
      <c r="C1368" s="14" t="s">
        <v>211</v>
      </c>
      <c r="D1368" s="14" t="str">
        <f>VLOOKUP(C1368,'State Key'!$A$2:$B$210,2,False)</f>
        <v>Gujarat</v>
      </c>
      <c r="E1368" s="15">
        <v>2640.0</v>
      </c>
      <c r="F1368" s="16">
        <v>0.0</v>
      </c>
      <c r="G1368" s="16">
        <v>0.0</v>
      </c>
      <c r="H1368" s="16">
        <v>0.0</v>
      </c>
      <c r="I1368" s="16">
        <v>755.481</v>
      </c>
      <c r="J1368" s="16">
        <v>0.0</v>
      </c>
      <c r="K1368" s="16">
        <v>0.0</v>
      </c>
      <c r="L1368" s="16">
        <v>755.481</v>
      </c>
      <c r="M1368" s="16">
        <v>686.802</v>
      </c>
      <c r="N1368" s="16">
        <v>101.11</v>
      </c>
      <c r="O1368" s="17">
        <v>4.4</v>
      </c>
      <c r="P1368" s="18">
        <f t="shared" si="1"/>
        <v>755.481</v>
      </c>
    </row>
    <row r="1369" ht="15.75" customHeight="1">
      <c r="A1369" s="19" t="s">
        <v>221</v>
      </c>
      <c r="B1369" s="19" t="s">
        <v>133</v>
      </c>
      <c r="C1369" s="20" t="s">
        <v>212</v>
      </c>
      <c r="D1369" s="14" t="str">
        <f>VLOOKUP(C1369,'State Key'!$A$2:$B$210,2,False)</f>
        <v>Gujarat</v>
      </c>
      <c r="E1369" s="21">
        <v>1980.0</v>
      </c>
      <c r="F1369" s="22">
        <v>0.0</v>
      </c>
      <c r="G1369" s="22">
        <v>0.0</v>
      </c>
      <c r="H1369" s="22">
        <v>0.0</v>
      </c>
      <c r="I1369" s="22">
        <v>452.727</v>
      </c>
      <c r="J1369" s="22">
        <v>0.0</v>
      </c>
      <c r="K1369" s="22">
        <v>0.0</v>
      </c>
      <c r="L1369" s="22">
        <v>452.727</v>
      </c>
      <c r="M1369" s="22">
        <v>415.899</v>
      </c>
      <c r="N1369" s="22">
        <v>108.29</v>
      </c>
      <c r="O1369" s="23">
        <v>7.8</v>
      </c>
      <c r="P1369" s="18">
        <f t="shared" si="1"/>
        <v>452.727</v>
      </c>
    </row>
    <row r="1370" ht="15.75" customHeight="1">
      <c r="A1370" s="13" t="s">
        <v>221</v>
      </c>
      <c r="B1370" s="13" t="s">
        <v>133</v>
      </c>
      <c r="C1370" s="14" t="s">
        <v>213</v>
      </c>
      <c r="D1370" s="14" t="str">
        <f>VLOOKUP(C1370,'State Key'!$A$2:$B$210,2,False)</f>
        <v>Chhattisgarh</v>
      </c>
      <c r="E1370" s="15">
        <v>600.0</v>
      </c>
      <c r="F1370" s="16">
        <v>63.743</v>
      </c>
      <c r="G1370" s="16">
        <v>0.0</v>
      </c>
      <c r="H1370" s="16">
        <v>0.0</v>
      </c>
      <c r="I1370" s="16">
        <v>14.655</v>
      </c>
      <c r="J1370" s="16">
        <v>2.592</v>
      </c>
      <c r="K1370" s="16">
        <v>116.441</v>
      </c>
      <c r="L1370" s="16">
        <v>197.431</v>
      </c>
      <c r="M1370" s="16">
        <v>242.953</v>
      </c>
      <c r="N1370" s="16">
        <v>267.41</v>
      </c>
      <c r="O1370" s="24">
        <v>33.0</v>
      </c>
      <c r="P1370" s="18">
        <f t="shared" si="1"/>
        <v>197.431</v>
      </c>
    </row>
    <row r="1371" ht="15.75" customHeight="1">
      <c r="A1371" s="19" t="s">
        <v>221</v>
      </c>
      <c r="B1371" s="19" t="s">
        <v>133</v>
      </c>
      <c r="C1371" s="20" t="s">
        <v>214</v>
      </c>
      <c r="D1371" s="14" t="str">
        <f>VLOOKUP(C1371,'State Key'!$A$2:$B$210,2,False)</f>
        <v>Chhattisgarh</v>
      </c>
      <c r="E1371" s="21">
        <v>1370.0</v>
      </c>
      <c r="F1371" s="22">
        <v>258.526</v>
      </c>
      <c r="G1371" s="22">
        <v>0.0</v>
      </c>
      <c r="H1371" s="22">
        <v>0.0</v>
      </c>
      <c r="I1371" s="22">
        <v>11.189</v>
      </c>
      <c r="J1371" s="22">
        <v>215.695</v>
      </c>
      <c r="K1371" s="22">
        <v>110.272</v>
      </c>
      <c r="L1371" s="22">
        <v>595.682</v>
      </c>
      <c r="M1371" s="22">
        <v>449.428</v>
      </c>
      <c r="N1371" s="22">
        <v>268.35</v>
      </c>
      <c r="O1371" s="24">
        <v>17.9</v>
      </c>
      <c r="P1371" s="18">
        <f t="shared" si="1"/>
        <v>595.682</v>
      </c>
    </row>
    <row r="1372" ht="15.75" customHeight="1">
      <c r="A1372" s="13" t="s">
        <v>221</v>
      </c>
      <c r="B1372" s="13" t="s">
        <v>133</v>
      </c>
      <c r="C1372" s="14" t="s">
        <v>215</v>
      </c>
      <c r="D1372" s="14" t="str">
        <f>VLOOKUP(C1372,'State Key'!$A$2:$B$210,2,False)</f>
        <v>Maharashtra</v>
      </c>
      <c r="E1372" s="15">
        <v>3300.0</v>
      </c>
      <c r="F1372" s="16">
        <v>1316.133</v>
      </c>
      <c r="G1372" s="16">
        <v>0.0</v>
      </c>
      <c r="H1372" s="16">
        <v>0.0</v>
      </c>
      <c r="I1372" s="16">
        <v>0.0</v>
      </c>
      <c r="J1372" s="16">
        <v>0.0</v>
      </c>
      <c r="K1372" s="16">
        <v>0.0</v>
      </c>
      <c r="L1372" s="16">
        <v>1316.133</v>
      </c>
      <c r="M1372" s="16">
        <v>848.679</v>
      </c>
      <c r="N1372" s="16">
        <v>598.11</v>
      </c>
      <c r="O1372" s="24">
        <v>21.1</v>
      </c>
      <c r="P1372" s="18">
        <f t="shared" si="1"/>
        <v>1316.133</v>
      </c>
    </row>
    <row r="1373" ht="15.75" customHeight="1">
      <c r="A1373" s="19" t="s">
        <v>221</v>
      </c>
      <c r="B1373" s="19" t="s">
        <v>133</v>
      </c>
      <c r="C1373" s="20" t="s">
        <v>134</v>
      </c>
      <c r="D1373" s="14" t="str">
        <f>VLOOKUP(C1373,'State Key'!$A$2:$B$210,2,False)</f>
        <v>Chhattisgarh</v>
      </c>
      <c r="E1373" s="21">
        <v>1800.0</v>
      </c>
      <c r="F1373" s="22">
        <v>471.8326</v>
      </c>
      <c r="G1373" s="22">
        <v>0.0</v>
      </c>
      <c r="H1373" s="22">
        <v>0.0</v>
      </c>
      <c r="I1373" s="22">
        <v>0.0</v>
      </c>
      <c r="J1373" s="22">
        <v>0.0</v>
      </c>
      <c r="K1373" s="22">
        <v>0.0</v>
      </c>
      <c r="L1373" s="22">
        <v>471.8326</v>
      </c>
      <c r="M1373" s="22">
        <v>501.645</v>
      </c>
      <c r="N1373" s="22">
        <v>353.03</v>
      </c>
      <c r="O1373" s="24">
        <v>21.1</v>
      </c>
      <c r="P1373" s="18">
        <f t="shared" si="1"/>
        <v>471.8326</v>
      </c>
    </row>
    <row r="1374" ht="15.75" customHeight="1">
      <c r="A1374" s="13" t="s">
        <v>221</v>
      </c>
      <c r="B1374" s="13" t="s">
        <v>133</v>
      </c>
      <c r="C1374" s="14" t="s">
        <v>135</v>
      </c>
      <c r="D1374" s="14" t="str">
        <f>VLOOKUP(C1374,'State Key'!$A$2:$B$210,2,False)</f>
        <v>Madhya Pradesh</v>
      </c>
      <c r="E1374" s="15">
        <v>210.0</v>
      </c>
      <c r="F1374" s="16">
        <v>86.572</v>
      </c>
      <c r="G1374" s="16">
        <v>0.0</v>
      </c>
      <c r="H1374" s="16">
        <v>0.0</v>
      </c>
      <c r="I1374" s="16">
        <v>0.0</v>
      </c>
      <c r="J1374" s="16">
        <v>0.0</v>
      </c>
      <c r="K1374" s="16">
        <v>0.0</v>
      </c>
      <c r="L1374" s="16">
        <v>86.572</v>
      </c>
      <c r="M1374" s="16">
        <v>89.316</v>
      </c>
      <c r="N1374" s="16">
        <v>30.303</v>
      </c>
      <c r="O1374" s="23">
        <v>10.2</v>
      </c>
      <c r="P1374" s="18">
        <f t="shared" si="1"/>
        <v>86.572</v>
      </c>
    </row>
    <row r="1375" ht="15.75" customHeight="1">
      <c r="A1375" s="19" t="s">
        <v>221</v>
      </c>
      <c r="B1375" s="19" t="s">
        <v>133</v>
      </c>
      <c r="C1375" s="20" t="s">
        <v>136</v>
      </c>
      <c r="D1375" s="14" t="str">
        <f>VLOOKUP(C1375,'State Key'!$A$2:$B$210,2,False)</f>
        <v>Maharashtra</v>
      </c>
      <c r="E1375" s="21">
        <v>1350.0</v>
      </c>
      <c r="F1375" s="22">
        <v>519.684</v>
      </c>
      <c r="G1375" s="22">
        <v>0.0</v>
      </c>
      <c r="H1375" s="22">
        <v>0.0</v>
      </c>
      <c r="I1375" s="22">
        <v>0.0</v>
      </c>
      <c r="J1375" s="22">
        <v>0.0</v>
      </c>
      <c r="K1375" s="22">
        <v>0.0</v>
      </c>
      <c r="L1375" s="22">
        <v>519.684</v>
      </c>
      <c r="M1375" s="22">
        <v>498.522</v>
      </c>
      <c r="N1375" s="22">
        <v>202.86</v>
      </c>
      <c r="O1375" s="23">
        <v>12.2</v>
      </c>
      <c r="P1375" s="18">
        <f t="shared" si="1"/>
        <v>519.684</v>
      </c>
    </row>
    <row r="1376" ht="15.75" customHeight="1">
      <c r="A1376" s="13" t="s">
        <v>221</v>
      </c>
      <c r="B1376" s="13" t="s">
        <v>133</v>
      </c>
      <c r="C1376" s="14" t="s">
        <v>137</v>
      </c>
      <c r="D1376" s="14" t="str">
        <f>VLOOKUP(C1376,'State Key'!$A$2:$B$210,2,False)</f>
        <v>Madhya Pradesh</v>
      </c>
      <c r="E1376" s="15">
        <v>1250.0</v>
      </c>
      <c r="F1376" s="16">
        <v>332.69</v>
      </c>
      <c r="G1376" s="16">
        <v>0.0</v>
      </c>
      <c r="H1376" s="16">
        <v>0.0</v>
      </c>
      <c r="I1376" s="16">
        <v>0.0</v>
      </c>
      <c r="J1376" s="16">
        <v>0.0</v>
      </c>
      <c r="K1376" s="16">
        <v>148.97</v>
      </c>
      <c r="L1376" s="16">
        <v>481.66</v>
      </c>
      <c r="M1376" s="16">
        <v>444.38</v>
      </c>
      <c r="N1376" s="16">
        <v>257.87</v>
      </c>
      <c r="O1376" s="24">
        <v>17.4</v>
      </c>
      <c r="P1376" s="18">
        <f t="shared" si="1"/>
        <v>481.66</v>
      </c>
    </row>
    <row r="1377" ht="15.75" customHeight="1">
      <c r="A1377" s="19" t="s">
        <v>221</v>
      </c>
      <c r="B1377" s="19" t="s">
        <v>133</v>
      </c>
      <c r="C1377" s="20" t="s">
        <v>139</v>
      </c>
      <c r="D1377" s="14" t="str">
        <f>VLOOKUP(C1377,'State Key'!$A$2:$B$210,2,False)</f>
        <v>Chhattisgarh</v>
      </c>
      <c r="E1377" s="21">
        <v>600.0</v>
      </c>
      <c r="F1377" s="22">
        <v>138.0</v>
      </c>
      <c r="G1377" s="22">
        <v>0.0</v>
      </c>
      <c r="H1377" s="22">
        <v>0.0</v>
      </c>
      <c r="I1377" s="22">
        <v>0.0</v>
      </c>
      <c r="J1377" s="22">
        <v>0.0</v>
      </c>
      <c r="K1377" s="22">
        <v>78.3</v>
      </c>
      <c r="L1377" s="22">
        <v>216.3</v>
      </c>
      <c r="M1377" s="22">
        <v>225.0</v>
      </c>
      <c r="N1377" s="22">
        <v>72.43</v>
      </c>
      <c r="O1377" s="23">
        <v>9.7</v>
      </c>
      <c r="P1377" s="18">
        <f t="shared" si="1"/>
        <v>216.3</v>
      </c>
    </row>
    <row r="1378" ht="15.75" customHeight="1">
      <c r="A1378" s="13" t="s">
        <v>221</v>
      </c>
      <c r="B1378" s="13" t="s">
        <v>133</v>
      </c>
      <c r="C1378" s="14" t="s">
        <v>140</v>
      </c>
      <c r="D1378" s="14" t="str">
        <f>VLOOKUP(C1378,'State Key'!$A$2:$B$210,2,False)</f>
        <v>Chhattisgarh</v>
      </c>
      <c r="E1378" s="15">
        <v>300.0</v>
      </c>
      <c r="F1378" s="16">
        <v>92.152</v>
      </c>
      <c r="G1378" s="16">
        <v>0.0</v>
      </c>
      <c r="H1378" s="16">
        <v>0.0</v>
      </c>
      <c r="I1378" s="16">
        <v>0.0</v>
      </c>
      <c r="J1378" s="16">
        <v>4.503</v>
      </c>
      <c r="K1378" s="16">
        <v>29.664</v>
      </c>
      <c r="L1378" s="16">
        <v>126.319</v>
      </c>
      <c r="M1378" s="16">
        <v>116.117</v>
      </c>
      <c r="N1378" s="16">
        <v>51.585</v>
      </c>
      <c r="O1378" s="23">
        <v>13.3</v>
      </c>
      <c r="P1378" s="18">
        <f t="shared" si="1"/>
        <v>126.319</v>
      </c>
    </row>
    <row r="1379" ht="15.75" customHeight="1">
      <c r="A1379" s="19" t="s">
        <v>221</v>
      </c>
      <c r="B1379" s="19" t="s">
        <v>133</v>
      </c>
      <c r="C1379" s="20" t="s">
        <v>141</v>
      </c>
      <c r="D1379" s="14" t="str">
        <f>VLOOKUP(C1379,'State Key'!$A$2:$B$210,2,False)</f>
        <v>Chhattisgarh</v>
      </c>
      <c r="E1379" s="21">
        <v>1200.0</v>
      </c>
      <c r="F1379" s="22">
        <v>262.206</v>
      </c>
      <c r="G1379" s="22">
        <v>0.0</v>
      </c>
      <c r="H1379" s="22">
        <v>0.0</v>
      </c>
      <c r="I1379" s="22">
        <v>0.0</v>
      </c>
      <c r="J1379" s="22">
        <v>0.0</v>
      </c>
      <c r="K1379" s="22">
        <v>254.74</v>
      </c>
      <c r="L1379" s="22">
        <v>516.946</v>
      </c>
      <c r="M1379" s="22">
        <v>522.602</v>
      </c>
      <c r="N1379" s="22">
        <v>152.17</v>
      </c>
      <c r="O1379" s="23">
        <v>8.7</v>
      </c>
      <c r="P1379" s="18">
        <f t="shared" si="1"/>
        <v>516.946</v>
      </c>
    </row>
    <row r="1380" ht="15.75" customHeight="1">
      <c r="A1380" s="13" t="s">
        <v>221</v>
      </c>
      <c r="B1380" s="13" t="s">
        <v>133</v>
      </c>
      <c r="C1380" s="14" t="s">
        <v>142</v>
      </c>
      <c r="D1380" s="14" t="str">
        <f>VLOOKUP(C1380,'State Key'!$A$2:$B$210,2,False)</f>
        <v>Maharashtra</v>
      </c>
      <c r="E1380" s="15">
        <v>270.0</v>
      </c>
      <c r="F1380" s="16">
        <v>97.631</v>
      </c>
      <c r="G1380" s="16">
        <v>0.0</v>
      </c>
      <c r="H1380" s="16">
        <v>0.0</v>
      </c>
      <c r="I1380" s="16">
        <v>0.0</v>
      </c>
      <c r="J1380" s="16">
        <v>0.0</v>
      </c>
      <c r="K1380" s="16">
        <v>2.477</v>
      </c>
      <c r="L1380" s="16">
        <v>100.108</v>
      </c>
      <c r="M1380" s="16">
        <v>106.827</v>
      </c>
      <c r="N1380" s="16">
        <v>37.84</v>
      </c>
      <c r="O1380" s="23">
        <v>10.6</v>
      </c>
      <c r="P1380" s="18">
        <f t="shared" si="1"/>
        <v>100.108</v>
      </c>
    </row>
    <row r="1381" ht="15.75" customHeight="1">
      <c r="A1381" s="19" t="s">
        <v>221</v>
      </c>
      <c r="B1381" s="19" t="s">
        <v>133</v>
      </c>
      <c r="C1381" s="20" t="s">
        <v>143</v>
      </c>
      <c r="D1381" s="14" t="str">
        <f>VLOOKUP(C1381,'State Key'!$A$2:$B$210,2,False)</f>
        <v>Chhattisgarh</v>
      </c>
      <c r="E1381" s="21">
        <v>500.0</v>
      </c>
      <c r="F1381" s="22">
        <v>218.074</v>
      </c>
      <c r="G1381" s="22">
        <v>16.362</v>
      </c>
      <c r="H1381" s="22">
        <v>0.0</v>
      </c>
      <c r="I1381" s="22">
        <v>11.687</v>
      </c>
      <c r="J1381" s="22">
        <v>0.0</v>
      </c>
      <c r="K1381" s="22">
        <v>0.0</v>
      </c>
      <c r="L1381" s="22">
        <v>246.123</v>
      </c>
      <c r="M1381" s="22">
        <v>236.58</v>
      </c>
      <c r="N1381" s="22">
        <v>77.91</v>
      </c>
      <c r="O1381" s="23">
        <v>9.9</v>
      </c>
      <c r="P1381" s="18">
        <f t="shared" si="1"/>
        <v>246.123</v>
      </c>
    </row>
    <row r="1382" ht="15.75" customHeight="1">
      <c r="A1382" s="13" t="s">
        <v>221</v>
      </c>
      <c r="B1382" s="13" t="s">
        <v>133</v>
      </c>
      <c r="C1382" s="14" t="s">
        <v>144</v>
      </c>
      <c r="D1382" s="14" t="str">
        <f>VLOOKUP(C1382,'State Key'!$A$2:$B$210,2,False)</f>
        <v>Maharashtra</v>
      </c>
      <c r="E1382" s="15">
        <v>1210.0</v>
      </c>
      <c r="F1382" s="16">
        <v>451.281</v>
      </c>
      <c r="G1382" s="16">
        <v>0.0</v>
      </c>
      <c r="H1382" s="16">
        <v>0.0</v>
      </c>
      <c r="I1382" s="16">
        <v>68.45</v>
      </c>
      <c r="J1382" s="16">
        <v>0.0</v>
      </c>
      <c r="K1382" s="16">
        <v>0.0</v>
      </c>
      <c r="L1382" s="16">
        <v>519.731</v>
      </c>
      <c r="M1382" s="16">
        <v>441.113</v>
      </c>
      <c r="N1382" s="16">
        <v>170.929</v>
      </c>
      <c r="O1382" s="23">
        <v>11.6</v>
      </c>
      <c r="P1382" s="18">
        <f t="shared" si="1"/>
        <v>519.731</v>
      </c>
    </row>
    <row r="1383" ht="15.75" customHeight="1">
      <c r="A1383" s="19" t="s">
        <v>221</v>
      </c>
      <c r="B1383" s="19" t="s">
        <v>133</v>
      </c>
      <c r="C1383" s="20" t="s">
        <v>145</v>
      </c>
      <c r="D1383" s="14" t="str">
        <f>VLOOKUP(C1383,'State Key'!$A$2:$B$210,2,False)</f>
        <v>Madhya Pradesh</v>
      </c>
      <c r="E1383" s="21">
        <v>500.0</v>
      </c>
      <c r="F1383" s="22">
        <v>129.01</v>
      </c>
      <c r="G1383" s="22">
        <v>0.0</v>
      </c>
      <c r="H1383" s="22">
        <v>0.0</v>
      </c>
      <c r="I1383" s="22">
        <v>0.0</v>
      </c>
      <c r="J1383" s="22">
        <v>0.0</v>
      </c>
      <c r="K1383" s="22">
        <v>67.66</v>
      </c>
      <c r="L1383" s="22">
        <v>196.67</v>
      </c>
      <c r="M1383" s="22">
        <v>187.05</v>
      </c>
      <c r="N1383" s="22">
        <v>84.97</v>
      </c>
      <c r="O1383" s="23">
        <v>13.6</v>
      </c>
      <c r="P1383" s="18">
        <f t="shared" si="1"/>
        <v>196.67</v>
      </c>
    </row>
    <row r="1384" ht="15.75" customHeight="1">
      <c r="A1384" s="13" t="s">
        <v>221</v>
      </c>
      <c r="B1384" s="13" t="s">
        <v>133</v>
      </c>
      <c r="C1384" s="14" t="s">
        <v>146</v>
      </c>
      <c r="D1384" s="14" t="str">
        <f>VLOOKUP(C1384,'State Key'!$A$2:$B$210,2,False)</f>
        <v>Chhattisgarh</v>
      </c>
      <c r="E1384" s="15">
        <v>600.0</v>
      </c>
      <c r="F1384" s="16">
        <v>58.034</v>
      </c>
      <c r="G1384" s="16">
        <v>0.0</v>
      </c>
      <c r="H1384" s="16">
        <v>0.0</v>
      </c>
      <c r="I1384" s="16">
        <v>0.0</v>
      </c>
      <c r="J1384" s="16">
        <v>0.0</v>
      </c>
      <c r="K1384" s="16">
        <v>115.529</v>
      </c>
      <c r="L1384" s="16">
        <v>173.563</v>
      </c>
      <c r="M1384" s="16">
        <v>216.115</v>
      </c>
      <c r="N1384" s="16">
        <v>146.56</v>
      </c>
      <c r="O1384" s="24">
        <v>20.3</v>
      </c>
      <c r="P1384" s="18">
        <f t="shared" si="1"/>
        <v>173.563</v>
      </c>
    </row>
    <row r="1385" ht="15.75" customHeight="1">
      <c r="A1385" s="19" t="s">
        <v>221</v>
      </c>
      <c r="B1385" s="19" t="s">
        <v>133</v>
      </c>
      <c r="C1385" s="20" t="s">
        <v>147</v>
      </c>
      <c r="D1385" s="14" t="str">
        <f>VLOOKUP(C1385,'State Key'!$A$2:$B$210,2,False)</f>
        <v>Maharashtra</v>
      </c>
      <c r="E1385" s="21">
        <v>600.0</v>
      </c>
      <c r="F1385" s="22">
        <v>0.0</v>
      </c>
      <c r="G1385" s="22">
        <v>0.0</v>
      </c>
      <c r="H1385" s="22">
        <v>0.0</v>
      </c>
      <c r="I1385" s="22">
        <v>0.0</v>
      </c>
      <c r="J1385" s="22">
        <v>0.0</v>
      </c>
      <c r="K1385" s="22">
        <v>0.0</v>
      </c>
      <c r="L1385" s="22">
        <v>0.0</v>
      </c>
      <c r="M1385" s="22">
        <v>0.0</v>
      </c>
      <c r="N1385" s="22">
        <v>0.0</v>
      </c>
      <c r="O1385" s="19" t="s">
        <v>58</v>
      </c>
      <c r="P1385" s="18">
        <f t="shared" si="1"/>
        <v>0</v>
      </c>
    </row>
    <row r="1386" ht="15.75" customHeight="1">
      <c r="A1386" s="13" t="s">
        <v>221</v>
      </c>
      <c r="B1386" s="13" t="s">
        <v>133</v>
      </c>
      <c r="C1386" s="14" t="s">
        <v>148</v>
      </c>
      <c r="D1386" s="14" t="str">
        <f>VLOOKUP(C1386,'State Key'!$A$2:$B$210,2,False)</f>
        <v>Chhattisgarh</v>
      </c>
      <c r="E1386" s="15">
        <v>30.0</v>
      </c>
      <c r="F1386" s="16">
        <v>7.104</v>
      </c>
      <c r="G1386" s="16">
        <v>0.0</v>
      </c>
      <c r="H1386" s="16">
        <v>0.0</v>
      </c>
      <c r="I1386" s="16">
        <v>0.0</v>
      </c>
      <c r="J1386" s="16">
        <v>53.56</v>
      </c>
      <c r="K1386" s="16">
        <v>0.0</v>
      </c>
      <c r="L1386" s="16">
        <v>60.664</v>
      </c>
      <c r="M1386" s="16">
        <v>62.762</v>
      </c>
      <c r="N1386" s="16">
        <v>28.88</v>
      </c>
      <c r="O1386" s="23">
        <v>13.8</v>
      </c>
      <c r="P1386" s="18">
        <f t="shared" si="1"/>
        <v>60.664</v>
      </c>
    </row>
    <row r="1387" ht="15.75" customHeight="1">
      <c r="A1387" s="19" t="s">
        <v>221</v>
      </c>
      <c r="B1387" s="19" t="s">
        <v>133</v>
      </c>
      <c r="C1387" s="20" t="s">
        <v>149</v>
      </c>
      <c r="D1387" s="14" t="str">
        <f>VLOOKUP(C1387,'State Key'!$A$2:$B$210,2,False)</f>
        <v>Maharashtra</v>
      </c>
      <c r="E1387" s="21">
        <v>2920.0</v>
      </c>
      <c r="F1387" s="22">
        <v>1133.107</v>
      </c>
      <c r="G1387" s="22">
        <v>22.41</v>
      </c>
      <c r="H1387" s="22">
        <v>0.0</v>
      </c>
      <c r="I1387" s="22">
        <v>124.81</v>
      </c>
      <c r="J1387" s="22">
        <v>0.0</v>
      </c>
      <c r="K1387" s="22">
        <v>0.0</v>
      </c>
      <c r="L1387" s="22">
        <v>1280.327</v>
      </c>
      <c r="M1387" s="22">
        <v>1220.0699</v>
      </c>
      <c r="N1387" s="22">
        <v>200.74</v>
      </c>
      <c r="O1387" s="17">
        <v>4.9</v>
      </c>
      <c r="P1387" s="18">
        <f t="shared" si="1"/>
        <v>1280.327</v>
      </c>
    </row>
    <row r="1388" ht="15.75" customHeight="1">
      <c r="A1388" s="13" t="s">
        <v>221</v>
      </c>
      <c r="B1388" s="13" t="s">
        <v>133</v>
      </c>
      <c r="C1388" s="14" t="s">
        <v>150</v>
      </c>
      <c r="D1388" s="14" t="str">
        <f>VLOOKUP(C1388,'State Key'!$A$2:$B$210,2,False)</f>
        <v>Maharashtra</v>
      </c>
      <c r="E1388" s="15">
        <v>500.0</v>
      </c>
      <c r="F1388" s="16">
        <v>141.752</v>
      </c>
      <c r="G1388" s="16">
        <v>0.0</v>
      </c>
      <c r="H1388" s="16">
        <v>0.0</v>
      </c>
      <c r="I1388" s="16">
        <v>0.0</v>
      </c>
      <c r="J1388" s="16">
        <v>0.0</v>
      </c>
      <c r="K1388" s="16">
        <v>0.0</v>
      </c>
      <c r="L1388" s="16">
        <v>141.752</v>
      </c>
      <c r="M1388" s="16">
        <v>164.9209</v>
      </c>
      <c r="N1388" s="16">
        <v>18.1</v>
      </c>
      <c r="O1388" s="17">
        <v>3.3</v>
      </c>
      <c r="P1388" s="18">
        <f t="shared" si="1"/>
        <v>141.752</v>
      </c>
    </row>
    <row r="1389" ht="15.75" customHeight="1">
      <c r="A1389" s="19" t="s">
        <v>221</v>
      </c>
      <c r="B1389" s="19" t="s">
        <v>133</v>
      </c>
      <c r="C1389" s="20" t="s">
        <v>151</v>
      </c>
      <c r="D1389" s="14" t="str">
        <f>VLOOKUP(C1389,'State Key'!$A$2:$B$210,2,False)</f>
        <v>Maharashtra</v>
      </c>
      <c r="E1389" s="21">
        <v>600.0</v>
      </c>
      <c r="F1389" s="22">
        <v>186.363</v>
      </c>
      <c r="G1389" s="22">
        <v>0.0</v>
      </c>
      <c r="H1389" s="22">
        <v>0.0</v>
      </c>
      <c r="I1389" s="22">
        <v>0.0</v>
      </c>
      <c r="J1389" s="22">
        <v>0.0</v>
      </c>
      <c r="K1389" s="22">
        <v>16.193</v>
      </c>
      <c r="L1389" s="22">
        <v>202.556</v>
      </c>
      <c r="M1389" s="22">
        <v>230.735</v>
      </c>
      <c r="N1389" s="22">
        <v>43.04</v>
      </c>
      <c r="O1389" s="17">
        <v>5.6</v>
      </c>
      <c r="P1389" s="18">
        <f t="shared" si="1"/>
        <v>202.556</v>
      </c>
    </row>
    <row r="1390" ht="15.75" customHeight="1">
      <c r="A1390" s="13" t="s">
        <v>221</v>
      </c>
      <c r="B1390" s="13" t="s">
        <v>133</v>
      </c>
      <c r="C1390" s="14" t="s">
        <v>152</v>
      </c>
      <c r="D1390" s="14" t="str">
        <f>VLOOKUP(C1390,'State Key'!$A$2:$B$210,2,False)</f>
        <v>Chhattisgarh</v>
      </c>
      <c r="E1390" s="15">
        <v>500.0</v>
      </c>
      <c r="F1390" s="16">
        <v>299.493</v>
      </c>
      <c r="G1390" s="16">
        <v>0.0</v>
      </c>
      <c r="H1390" s="16">
        <v>0.0</v>
      </c>
      <c r="I1390" s="16">
        <v>0.0</v>
      </c>
      <c r="J1390" s="16">
        <v>0.0</v>
      </c>
      <c r="K1390" s="16">
        <v>0.0</v>
      </c>
      <c r="L1390" s="16">
        <v>299.493</v>
      </c>
      <c r="M1390" s="16">
        <v>256.121</v>
      </c>
      <c r="N1390" s="16">
        <v>237.3</v>
      </c>
      <c r="O1390" s="24">
        <v>27.8</v>
      </c>
      <c r="P1390" s="18">
        <f t="shared" si="1"/>
        <v>299.493</v>
      </c>
    </row>
    <row r="1391" ht="15.75" customHeight="1">
      <c r="A1391" s="19" t="s">
        <v>221</v>
      </c>
      <c r="B1391" s="19" t="s">
        <v>133</v>
      </c>
      <c r="C1391" s="20" t="s">
        <v>153</v>
      </c>
      <c r="D1391" s="14" t="str">
        <f>VLOOKUP(C1391,'State Key'!$A$2:$B$210,2,False)</f>
        <v>Madhya Pradesh</v>
      </c>
      <c r="E1391" s="21">
        <v>1600.0</v>
      </c>
      <c r="F1391" s="22">
        <v>314.55</v>
      </c>
      <c r="G1391" s="22">
        <v>0.0</v>
      </c>
      <c r="H1391" s="22">
        <v>274.79</v>
      </c>
      <c r="I1391" s="22">
        <v>44.3</v>
      </c>
      <c r="J1391" s="22">
        <v>0.0</v>
      </c>
      <c r="K1391" s="22">
        <v>0.0</v>
      </c>
      <c r="L1391" s="22">
        <v>633.64</v>
      </c>
      <c r="M1391" s="22">
        <v>484.965</v>
      </c>
      <c r="N1391" s="22">
        <v>204.677</v>
      </c>
      <c r="O1391" s="23">
        <v>12.7</v>
      </c>
      <c r="P1391" s="18">
        <f t="shared" si="1"/>
        <v>633.64</v>
      </c>
    </row>
    <row r="1392" ht="15.75" customHeight="1">
      <c r="A1392" s="13" t="s">
        <v>221</v>
      </c>
      <c r="B1392" s="13" t="s">
        <v>133</v>
      </c>
      <c r="C1392" s="14" t="s">
        <v>154</v>
      </c>
      <c r="D1392" s="14" t="str">
        <f>VLOOKUP(C1392,'State Key'!$A$2:$B$210,2,False)</f>
        <v>Gujarat</v>
      </c>
      <c r="E1392" s="15">
        <v>630.0</v>
      </c>
      <c r="F1392" s="16">
        <v>187.494</v>
      </c>
      <c r="G1392" s="16">
        <v>0.0</v>
      </c>
      <c r="H1392" s="16">
        <v>0.0</v>
      </c>
      <c r="I1392" s="16">
        <v>0.0</v>
      </c>
      <c r="J1392" s="16">
        <v>0.0</v>
      </c>
      <c r="K1392" s="16">
        <v>0.0</v>
      </c>
      <c r="L1392" s="16">
        <v>187.494</v>
      </c>
      <c r="M1392" s="16">
        <v>75.763</v>
      </c>
      <c r="N1392" s="16">
        <v>175.23</v>
      </c>
      <c r="O1392" s="24">
        <v>69.4</v>
      </c>
      <c r="P1392" s="18">
        <f t="shared" si="1"/>
        <v>187.494</v>
      </c>
    </row>
    <row r="1393" ht="15.75" customHeight="1">
      <c r="A1393" s="19" t="s">
        <v>221</v>
      </c>
      <c r="B1393" s="19" t="s">
        <v>133</v>
      </c>
      <c r="C1393" s="20" t="s">
        <v>155</v>
      </c>
      <c r="D1393" s="14" t="str">
        <f>VLOOKUP(C1393,'State Key'!$A$2:$B$210,2,False)</f>
        <v>Maharashtra</v>
      </c>
      <c r="E1393" s="21">
        <v>120.0</v>
      </c>
      <c r="F1393" s="22">
        <v>0.0</v>
      </c>
      <c r="G1393" s="22">
        <v>0.0</v>
      </c>
      <c r="H1393" s="22">
        <v>0.0</v>
      </c>
      <c r="I1393" s="22">
        <v>0.0</v>
      </c>
      <c r="J1393" s="22">
        <v>0.0</v>
      </c>
      <c r="K1393" s="22">
        <v>0.0</v>
      </c>
      <c r="L1393" s="22">
        <v>0.0</v>
      </c>
      <c r="M1393" s="22">
        <v>0.0</v>
      </c>
      <c r="N1393" s="22">
        <v>0.0</v>
      </c>
      <c r="O1393" s="19" t="s">
        <v>58</v>
      </c>
      <c r="P1393" s="18">
        <f t="shared" si="1"/>
        <v>0</v>
      </c>
    </row>
    <row r="1394" ht="15.75" customHeight="1">
      <c r="A1394" s="13" t="s">
        <v>221</v>
      </c>
      <c r="B1394" s="13" t="s">
        <v>133</v>
      </c>
      <c r="C1394" s="14" t="s">
        <v>156</v>
      </c>
      <c r="D1394" s="14" t="str">
        <f>VLOOKUP(C1394,'State Key'!$A$2:$B$210,2,False)</f>
        <v>Maharashtra</v>
      </c>
      <c r="E1394" s="15">
        <v>600.0</v>
      </c>
      <c r="F1394" s="16">
        <v>146.881</v>
      </c>
      <c r="G1394" s="16">
        <v>0.0</v>
      </c>
      <c r="H1394" s="16">
        <v>0.0</v>
      </c>
      <c r="I1394" s="16">
        <v>0.0</v>
      </c>
      <c r="J1394" s="16">
        <v>0.0</v>
      </c>
      <c r="K1394" s="16">
        <v>65.604</v>
      </c>
      <c r="L1394" s="16">
        <v>212.485</v>
      </c>
      <c r="M1394" s="16">
        <v>231.822</v>
      </c>
      <c r="N1394" s="16">
        <v>10.1</v>
      </c>
      <c r="O1394" s="17">
        <v>1.3</v>
      </c>
      <c r="P1394" s="18">
        <f t="shared" si="1"/>
        <v>212.485</v>
      </c>
    </row>
    <row r="1395" ht="15.75" customHeight="1">
      <c r="A1395" s="19" t="s">
        <v>221</v>
      </c>
      <c r="B1395" s="19" t="s">
        <v>133</v>
      </c>
      <c r="C1395" s="20" t="s">
        <v>157</v>
      </c>
      <c r="D1395" s="14" t="str">
        <f>VLOOKUP(C1395,'State Key'!$A$2:$B$210,2,False)</f>
        <v>Maharashtra</v>
      </c>
      <c r="E1395" s="21">
        <v>300.0</v>
      </c>
      <c r="F1395" s="22">
        <v>0.0</v>
      </c>
      <c r="G1395" s="22">
        <v>0.0</v>
      </c>
      <c r="H1395" s="22">
        <v>0.0</v>
      </c>
      <c r="I1395" s="22">
        <v>80.0</v>
      </c>
      <c r="J1395" s="22">
        <v>0.0</v>
      </c>
      <c r="K1395" s="22">
        <v>0.0</v>
      </c>
      <c r="L1395" s="22">
        <v>80.0</v>
      </c>
      <c r="M1395" s="22">
        <v>67.769</v>
      </c>
      <c r="N1395" s="22">
        <v>35.7</v>
      </c>
      <c r="O1395" s="24">
        <v>15.8</v>
      </c>
      <c r="P1395" s="18">
        <f t="shared" si="1"/>
        <v>80</v>
      </c>
    </row>
    <row r="1396" ht="15.75" customHeight="1">
      <c r="A1396" s="13" t="s">
        <v>221</v>
      </c>
      <c r="B1396" s="13" t="s">
        <v>133</v>
      </c>
      <c r="C1396" s="14" t="s">
        <v>158</v>
      </c>
      <c r="D1396" s="14" t="str">
        <f>VLOOKUP(C1396,'State Key'!$A$2:$B$210,2,False)</f>
        <v>Chhattisgarh</v>
      </c>
      <c r="E1396" s="15">
        <v>270.0</v>
      </c>
      <c r="F1396" s="16">
        <v>54.7597</v>
      </c>
      <c r="G1396" s="16">
        <v>0.0</v>
      </c>
      <c r="H1396" s="16">
        <v>0.0</v>
      </c>
      <c r="I1396" s="16">
        <v>0.0</v>
      </c>
      <c r="J1396" s="16">
        <v>146.6522</v>
      </c>
      <c r="K1396" s="16">
        <v>0.0</v>
      </c>
      <c r="L1396" s="16">
        <v>201.4119</v>
      </c>
      <c r="M1396" s="16">
        <v>180.36</v>
      </c>
      <c r="N1396" s="16">
        <v>19.75</v>
      </c>
      <c r="O1396" s="17">
        <v>3.3</v>
      </c>
      <c r="P1396" s="18">
        <f t="shared" si="1"/>
        <v>201.4119</v>
      </c>
    </row>
    <row r="1397" ht="15.75" customHeight="1">
      <c r="A1397" s="19" t="s">
        <v>221</v>
      </c>
      <c r="B1397" s="19" t="s">
        <v>133</v>
      </c>
      <c r="C1397" s="20" t="s">
        <v>159</v>
      </c>
      <c r="D1397" s="14" t="str">
        <f>VLOOKUP(C1397,'State Key'!$A$2:$B$210,2,False)</f>
        <v>Chhattisgarh</v>
      </c>
      <c r="E1397" s="21">
        <v>35.0</v>
      </c>
      <c r="F1397" s="22">
        <v>0.0</v>
      </c>
      <c r="G1397" s="22">
        <v>0.0</v>
      </c>
      <c r="H1397" s="22">
        <v>0.0</v>
      </c>
      <c r="I1397" s="22">
        <v>0.0</v>
      </c>
      <c r="J1397" s="22">
        <v>0.0</v>
      </c>
      <c r="K1397" s="22">
        <v>0.0</v>
      </c>
      <c r="L1397" s="22">
        <v>0.0</v>
      </c>
      <c r="M1397" s="22">
        <v>0.0</v>
      </c>
      <c r="N1397" s="22">
        <v>0.0</v>
      </c>
      <c r="O1397" s="19" t="s">
        <v>58</v>
      </c>
      <c r="P1397" s="18">
        <f t="shared" si="1"/>
        <v>0</v>
      </c>
    </row>
    <row r="1398" ht="15.75" customHeight="1">
      <c r="A1398" s="13" t="s">
        <v>221</v>
      </c>
      <c r="B1398" s="13" t="s">
        <v>133</v>
      </c>
      <c r="C1398" s="14" t="s">
        <v>160</v>
      </c>
      <c r="D1398" s="14" t="str">
        <f>VLOOKUP(C1398,'State Key'!$A$2:$B$210,2,False)</f>
        <v>Maharashtra</v>
      </c>
      <c r="E1398" s="15">
        <v>1340.0</v>
      </c>
      <c r="F1398" s="16">
        <v>559.166</v>
      </c>
      <c r="G1398" s="16">
        <v>0.0</v>
      </c>
      <c r="H1398" s="16">
        <v>0.0</v>
      </c>
      <c r="I1398" s="16">
        <v>62.425</v>
      </c>
      <c r="J1398" s="16">
        <v>0.0</v>
      </c>
      <c r="K1398" s="16">
        <v>0.0</v>
      </c>
      <c r="L1398" s="16">
        <v>621.591</v>
      </c>
      <c r="M1398" s="16">
        <v>577.366</v>
      </c>
      <c r="N1398" s="16">
        <v>107.52</v>
      </c>
      <c r="O1398" s="17">
        <v>5.6</v>
      </c>
      <c r="P1398" s="18">
        <f t="shared" si="1"/>
        <v>621.591</v>
      </c>
    </row>
    <row r="1399" ht="15.75" customHeight="1">
      <c r="A1399" s="19" t="s">
        <v>221</v>
      </c>
      <c r="B1399" s="19" t="s">
        <v>133</v>
      </c>
      <c r="C1399" s="20" t="s">
        <v>161</v>
      </c>
      <c r="D1399" s="14" t="str">
        <f>VLOOKUP(C1399,'State Key'!$A$2:$B$210,2,False)</f>
        <v>Madhya Pradesh</v>
      </c>
      <c r="E1399" s="21">
        <v>1320.0</v>
      </c>
      <c r="F1399" s="22">
        <v>295.58</v>
      </c>
      <c r="G1399" s="22">
        <v>0.0</v>
      </c>
      <c r="H1399" s="22">
        <v>177.83</v>
      </c>
      <c r="I1399" s="22">
        <v>32.01</v>
      </c>
      <c r="J1399" s="22">
        <v>0.0</v>
      </c>
      <c r="K1399" s="22">
        <v>0.0</v>
      </c>
      <c r="L1399" s="22">
        <v>505.42</v>
      </c>
      <c r="M1399" s="22">
        <v>422.161</v>
      </c>
      <c r="N1399" s="22">
        <v>163.925</v>
      </c>
      <c r="O1399" s="23">
        <v>11.6</v>
      </c>
      <c r="P1399" s="18">
        <f t="shared" si="1"/>
        <v>505.42</v>
      </c>
    </row>
    <row r="1400" ht="15.75" customHeight="1">
      <c r="A1400" s="13" t="s">
        <v>221</v>
      </c>
      <c r="B1400" s="13" t="s">
        <v>133</v>
      </c>
      <c r="C1400" s="14" t="s">
        <v>162</v>
      </c>
      <c r="D1400" s="14" t="str">
        <f>VLOOKUP(C1400,'State Key'!$A$2:$B$210,2,False)</f>
        <v>Maharashtra</v>
      </c>
      <c r="E1400" s="15">
        <v>2190.0</v>
      </c>
      <c r="F1400" s="16">
        <v>702.933</v>
      </c>
      <c r="G1400" s="16">
        <v>0.0</v>
      </c>
      <c r="H1400" s="16">
        <v>0.0</v>
      </c>
      <c r="I1400" s="16">
        <v>0.0</v>
      </c>
      <c r="J1400" s="16">
        <v>0.0</v>
      </c>
      <c r="K1400" s="16">
        <v>0.0</v>
      </c>
      <c r="L1400" s="16">
        <v>702.933</v>
      </c>
      <c r="M1400" s="16">
        <v>863.555</v>
      </c>
      <c r="N1400" s="16">
        <v>289.917</v>
      </c>
      <c r="O1400" s="23">
        <v>10.1</v>
      </c>
      <c r="P1400" s="18">
        <f t="shared" si="1"/>
        <v>702.933</v>
      </c>
    </row>
    <row r="1401" ht="15.75" customHeight="1">
      <c r="A1401" s="19" t="s">
        <v>221</v>
      </c>
      <c r="B1401" s="19" t="s">
        <v>133</v>
      </c>
      <c r="C1401" s="20" t="s">
        <v>163</v>
      </c>
      <c r="D1401" s="14" t="str">
        <f>VLOOKUP(C1401,'State Key'!$A$2:$B$210,2,False)</f>
        <v>Chhattisgarh</v>
      </c>
      <c r="E1401" s="21">
        <v>2600.0</v>
      </c>
      <c r="F1401" s="22">
        <v>1122.13</v>
      </c>
      <c r="G1401" s="22">
        <v>0.0</v>
      </c>
      <c r="H1401" s="22">
        <v>0.0</v>
      </c>
      <c r="I1401" s="22">
        <v>0.0</v>
      </c>
      <c r="J1401" s="22">
        <v>0.0</v>
      </c>
      <c r="K1401" s="22">
        <v>0.0</v>
      </c>
      <c r="L1401" s="22">
        <v>1122.13</v>
      </c>
      <c r="M1401" s="22">
        <v>1175.917</v>
      </c>
      <c r="N1401" s="22">
        <v>306.829</v>
      </c>
      <c r="O1401" s="23">
        <v>7.8</v>
      </c>
      <c r="P1401" s="18">
        <f t="shared" si="1"/>
        <v>1122.13</v>
      </c>
    </row>
    <row r="1402" ht="15.75" customHeight="1">
      <c r="A1402" s="13" t="s">
        <v>221</v>
      </c>
      <c r="B1402" s="13" t="s">
        <v>133</v>
      </c>
      <c r="C1402" s="14" t="s">
        <v>164</v>
      </c>
      <c r="D1402" s="14" t="str">
        <f>VLOOKUP(C1402,'State Key'!$A$2:$B$210,2,False)</f>
        <v>Chhattisgarh</v>
      </c>
      <c r="E1402" s="15">
        <v>1340.0</v>
      </c>
      <c r="F1402" s="16">
        <v>589.974</v>
      </c>
      <c r="G1402" s="16">
        <v>0.0</v>
      </c>
      <c r="H1402" s="16">
        <v>0.0</v>
      </c>
      <c r="I1402" s="16">
        <v>0.0</v>
      </c>
      <c r="J1402" s="16">
        <v>0.0</v>
      </c>
      <c r="K1402" s="16">
        <v>0.0</v>
      </c>
      <c r="L1402" s="16">
        <v>589.974</v>
      </c>
      <c r="M1402" s="16">
        <v>589.603</v>
      </c>
      <c r="N1402" s="16">
        <v>134.06</v>
      </c>
      <c r="O1402" s="17">
        <v>6.8</v>
      </c>
      <c r="P1402" s="18">
        <f t="shared" si="1"/>
        <v>589.974</v>
      </c>
    </row>
    <row r="1403" ht="15.75" customHeight="1">
      <c r="A1403" s="19" t="s">
        <v>221</v>
      </c>
      <c r="B1403" s="19" t="s">
        <v>133</v>
      </c>
      <c r="C1403" s="20" t="s">
        <v>165</v>
      </c>
      <c r="D1403" s="14" t="str">
        <f>VLOOKUP(C1403,'State Key'!$A$2:$B$210,2,False)</f>
        <v>Chhattisgarh</v>
      </c>
      <c r="E1403" s="21">
        <v>1600.0</v>
      </c>
      <c r="F1403" s="22">
        <v>0.0</v>
      </c>
      <c r="G1403" s="22">
        <v>0.0</v>
      </c>
      <c r="H1403" s="22">
        <v>590.24</v>
      </c>
      <c r="I1403" s="22">
        <v>0.0</v>
      </c>
      <c r="J1403" s="22">
        <v>0.0</v>
      </c>
      <c r="K1403" s="22">
        <v>0.0</v>
      </c>
      <c r="L1403" s="22">
        <v>590.24</v>
      </c>
      <c r="M1403" s="22">
        <v>399.861</v>
      </c>
      <c r="N1403" s="22">
        <v>467.64</v>
      </c>
      <c r="O1403" s="24">
        <v>35.1</v>
      </c>
      <c r="P1403" s="18">
        <f t="shared" si="1"/>
        <v>590.24</v>
      </c>
    </row>
    <row r="1404" ht="15.75" customHeight="1">
      <c r="A1404" s="13" t="s">
        <v>221</v>
      </c>
      <c r="B1404" s="13" t="s">
        <v>133</v>
      </c>
      <c r="C1404" s="14" t="s">
        <v>166</v>
      </c>
      <c r="D1404" s="14" t="str">
        <f>VLOOKUP(C1404,'State Key'!$A$2:$B$210,2,False)</f>
        <v>Madhya Pradesh</v>
      </c>
      <c r="E1404" s="15">
        <v>1200.0</v>
      </c>
      <c r="F1404" s="16">
        <v>159.36</v>
      </c>
      <c r="G1404" s="16">
        <v>0.0</v>
      </c>
      <c r="H1404" s="16">
        <v>0.0</v>
      </c>
      <c r="I1404" s="16">
        <v>12.152</v>
      </c>
      <c r="J1404" s="16">
        <v>388.702</v>
      </c>
      <c r="K1404" s="16">
        <v>0.0</v>
      </c>
      <c r="L1404" s="16">
        <v>560.214</v>
      </c>
      <c r="M1404" s="16">
        <v>313.585</v>
      </c>
      <c r="N1404" s="16">
        <v>350.77</v>
      </c>
      <c r="O1404" s="24">
        <v>33.6</v>
      </c>
      <c r="P1404" s="18">
        <f t="shared" si="1"/>
        <v>560.214</v>
      </c>
    </row>
    <row r="1405" ht="15.75" customHeight="1">
      <c r="A1405" s="19" t="s">
        <v>221</v>
      </c>
      <c r="B1405" s="19" t="s">
        <v>133</v>
      </c>
      <c r="C1405" s="20" t="s">
        <v>167</v>
      </c>
      <c r="D1405" s="14" t="str">
        <f>VLOOKUP(C1405,'State Key'!$A$2:$B$210,2,False)</f>
        <v>Chhattisgarh</v>
      </c>
      <c r="E1405" s="21">
        <v>1000.0</v>
      </c>
      <c r="F1405" s="22">
        <v>104.342</v>
      </c>
      <c r="G1405" s="22">
        <v>0.0</v>
      </c>
      <c r="H1405" s="22">
        <v>304.777</v>
      </c>
      <c r="I1405" s="22">
        <v>0.0</v>
      </c>
      <c r="J1405" s="22">
        <v>0.0</v>
      </c>
      <c r="K1405" s="22">
        <v>0.0</v>
      </c>
      <c r="L1405" s="22">
        <v>409.119</v>
      </c>
      <c r="M1405" s="22">
        <v>366.329</v>
      </c>
      <c r="N1405" s="22">
        <v>133.51</v>
      </c>
      <c r="O1405" s="23">
        <v>10.9</v>
      </c>
      <c r="P1405" s="18">
        <f t="shared" si="1"/>
        <v>409.119</v>
      </c>
    </row>
    <row r="1406" ht="15.75" customHeight="1">
      <c r="A1406" s="13" t="s">
        <v>221</v>
      </c>
      <c r="B1406" s="13" t="s">
        <v>133</v>
      </c>
      <c r="C1406" s="14" t="s">
        <v>168</v>
      </c>
      <c r="D1406" s="14" t="str">
        <f>VLOOKUP(C1406,'State Key'!$A$2:$B$210,2,False)</f>
        <v>Maharashtra</v>
      </c>
      <c r="E1406" s="15">
        <v>2320.0</v>
      </c>
      <c r="F1406" s="16">
        <v>881.38</v>
      </c>
      <c r="G1406" s="16">
        <v>8.08</v>
      </c>
      <c r="H1406" s="16">
        <v>0.0</v>
      </c>
      <c r="I1406" s="16">
        <v>36.039</v>
      </c>
      <c r="J1406" s="16">
        <v>0.0</v>
      </c>
      <c r="K1406" s="16">
        <v>0.0</v>
      </c>
      <c r="L1406" s="16">
        <v>925.499</v>
      </c>
      <c r="M1406" s="16">
        <v>749.576</v>
      </c>
      <c r="N1406" s="16">
        <v>310.322</v>
      </c>
      <c r="O1406" s="23">
        <v>12.4</v>
      </c>
      <c r="P1406" s="18">
        <f t="shared" si="1"/>
        <v>925.499</v>
      </c>
    </row>
    <row r="1407" ht="15.75" customHeight="1">
      <c r="A1407" s="19" t="s">
        <v>221</v>
      </c>
      <c r="B1407" s="19" t="s">
        <v>133</v>
      </c>
      <c r="C1407" s="20" t="s">
        <v>169</v>
      </c>
      <c r="D1407" s="14" t="str">
        <f>VLOOKUP(C1407,'State Key'!$A$2:$B$210,2,False)</f>
        <v>Madhya Pradesh</v>
      </c>
      <c r="E1407" s="21">
        <v>246.0</v>
      </c>
      <c r="F1407" s="22">
        <v>0.0</v>
      </c>
      <c r="G1407" s="22">
        <v>0.0</v>
      </c>
      <c r="H1407" s="22">
        <v>0.0</v>
      </c>
      <c r="I1407" s="22">
        <v>0.0</v>
      </c>
      <c r="J1407" s="22">
        <v>0.0</v>
      </c>
      <c r="K1407" s="22">
        <v>0.0</v>
      </c>
      <c r="L1407" s="22">
        <v>0.0</v>
      </c>
      <c r="M1407" s="22">
        <v>0.0</v>
      </c>
      <c r="N1407" s="22">
        <v>0.0</v>
      </c>
      <c r="O1407" s="19" t="s">
        <v>58</v>
      </c>
      <c r="P1407" s="18">
        <f t="shared" si="1"/>
        <v>0</v>
      </c>
    </row>
    <row r="1408" ht="15.75" customHeight="1">
      <c r="A1408" s="13" t="s">
        <v>221</v>
      </c>
      <c r="B1408" s="13" t="s">
        <v>133</v>
      </c>
      <c r="C1408" s="14" t="s">
        <v>172</v>
      </c>
      <c r="D1408" s="14" t="str">
        <f>VLOOKUP(C1408,'State Key'!$A$2:$B$210,2,False)</f>
        <v>Gujarat</v>
      </c>
      <c r="E1408" s="15">
        <v>4000.0</v>
      </c>
      <c r="F1408" s="16">
        <v>0.0</v>
      </c>
      <c r="G1408" s="16">
        <v>0.0</v>
      </c>
      <c r="H1408" s="16">
        <v>0.0</v>
      </c>
      <c r="I1408" s="16">
        <v>965.263</v>
      </c>
      <c r="J1408" s="16">
        <v>0.0</v>
      </c>
      <c r="K1408" s="16">
        <v>0.0</v>
      </c>
      <c r="L1408" s="16">
        <v>965.263</v>
      </c>
      <c r="M1408" s="16">
        <v>725.039</v>
      </c>
      <c r="N1408" s="16">
        <v>714.1</v>
      </c>
      <c r="O1408" s="24">
        <v>29.5</v>
      </c>
      <c r="P1408" s="18">
        <f t="shared" si="1"/>
        <v>965.263</v>
      </c>
    </row>
    <row r="1409" ht="15.75" customHeight="1">
      <c r="A1409" s="19" t="s">
        <v>221</v>
      </c>
      <c r="B1409" s="19" t="s">
        <v>133</v>
      </c>
      <c r="C1409" s="20" t="s">
        <v>173</v>
      </c>
      <c r="D1409" s="14" t="str">
        <f>VLOOKUP(C1409,'State Key'!$A$2:$B$210,2,False)</f>
        <v>Maharashtra</v>
      </c>
      <c r="E1409" s="21">
        <v>1350.0</v>
      </c>
      <c r="F1409" s="22">
        <v>0.0</v>
      </c>
      <c r="G1409" s="22">
        <v>0.0</v>
      </c>
      <c r="H1409" s="22">
        <v>0.0</v>
      </c>
      <c r="I1409" s="22">
        <v>0.0</v>
      </c>
      <c r="J1409" s="22">
        <v>0.0</v>
      </c>
      <c r="K1409" s="22">
        <v>0.0</v>
      </c>
      <c r="L1409" s="22">
        <v>0.0</v>
      </c>
      <c r="M1409" s="22">
        <v>0.0</v>
      </c>
      <c r="N1409" s="22">
        <v>0.0</v>
      </c>
      <c r="O1409" s="19" t="s">
        <v>58</v>
      </c>
      <c r="P1409" s="18">
        <f t="shared" si="1"/>
        <v>0</v>
      </c>
    </row>
    <row r="1410" ht="15.75" customHeight="1">
      <c r="A1410" s="13" t="s">
        <v>221</v>
      </c>
      <c r="B1410" s="13" t="s">
        <v>133</v>
      </c>
      <c r="C1410" s="14" t="s">
        <v>174</v>
      </c>
      <c r="D1410" s="14" t="str">
        <f>VLOOKUP(C1410,'State Key'!$A$2:$B$210,2,False)</f>
        <v>Maharashtra</v>
      </c>
      <c r="E1410" s="15">
        <v>630.0</v>
      </c>
      <c r="F1410" s="16">
        <v>227.91</v>
      </c>
      <c r="G1410" s="16">
        <v>0.0</v>
      </c>
      <c r="H1410" s="16">
        <v>0.0</v>
      </c>
      <c r="I1410" s="16">
        <v>19.415</v>
      </c>
      <c r="J1410" s="16">
        <v>0.0</v>
      </c>
      <c r="K1410" s="16">
        <v>0.0</v>
      </c>
      <c r="L1410" s="16">
        <v>247.325</v>
      </c>
      <c r="M1410" s="16">
        <v>199.327</v>
      </c>
      <c r="N1410" s="16">
        <v>76.587</v>
      </c>
      <c r="O1410" s="23">
        <v>11.5</v>
      </c>
      <c r="P1410" s="18">
        <f t="shared" si="1"/>
        <v>247.325</v>
      </c>
    </row>
    <row r="1411" ht="15.75" customHeight="1">
      <c r="A1411" s="19" t="s">
        <v>221</v>
      </c>
      <c r="B1411" s="19" t="s">
        <v>133</v>
      </c>
      <c r="C1411" s="20" t="s">
        <v>175</v>
      </c>
      <c r="D1411" s="14" t="str">
        <f>VLOOKUP(C1411,'State Key'!$A$2:$B$210,2,False)</f>
        <v>Chhattisgarh</v>
      </c>
      <c r="E1411" s="21">
        <v>600.0</v>
      </c>
      <c r="F1411" s="22">
        <v>267.079</v>
      </c>
      <c r="G1411" s="22">
        <v>0.0</v>
      </c>
      <c r="H1411" s="22">
        <v>0.0</v>
      </c>
      <c r="I1411" s="22">
        <v>0.0</v>
      </c>
      <c r="J1411" s="22">
        <v>0.0</v>
      </c>
      <c r="K1411" s="22">
        <v>0.0</v>
      </c>
      <c r="L1411" s="22">
        <v>267.079</v>
      </c>
      <c r="M1411" s="22">
        <v>176.29</v>
      </c>
      <c r="N1411" s="22">
        <v>151.34</v>
      </c>
      <c r="O1411" s="24">
        <v>25.8</v>
      </c>
      <c r="P1411" s="18">
        <f t="shared" si="1"/>
        <v>267.079</v>
      </c>
    </row>
    <row r="1412" ht="15.75" customHeight="1">
      <c r="A1412" s="13" t="s">
        <v>221</v>
      </c>
      <c r="B1412" s="13" t="s">
        <v>133</v>
      </c>
      <c r="C1412" s="14" t="s">
        <v>176</v>
      </c>
      <c r="D1412" s="14" t="str">
        <f>VLOOKUP(C1412,'State Key'!$A$2:$B$210,2,False)</f>
        <v>Madhya Pradesh</v>
      </c>
      <c r="E1412" s="15">
        <v>1320.0</v>
      </c>
      <c r="F1412" s="16">
        <v>0.0</v>
      </c>
      <c r="G1412" s="16">
        <v>0.0</v>
      </c>
      <c r="H1412" s="16">
        <v>435.1198</v>
      </c>
      <c r="I1412" s="16">
        <v>0.0</v>
      </c>
      <c r="J1412" s="16">
        <v>0.0</v>
      </c>
      <c r="K1412" s="16">
        <v>58.7162</v>
      </c>
      <c r="L1412" s="16">
        <v>493.836</v>
      </c>
      <c r="M1412" s="16">
        <v>452.9106</v>
      </c>
      <c r="N1412" s="16">
        <v>244.44</v>
      </c>
      <c r="O1412" s="24">
        <v>16.2</v>
      </c>
      <c r="P1412" s="18">
        <f t="shared" si="1"/>
        <v>493.836</v>
      </c>
    </row>
    <row r="1413" ht="15.75" customHeight="1">
      <c r="A1413" s="19" t="s">
        <v>221</v>
      </c>
      <c r="B1413" s="19" t="s">
        <v>133</v>
      </c>
      <c r="C1413" s="20" t="s">
        <v>177</v>
      </c>
      <c r="D1413" s="14" t="str">
        <f>VLOOKUP(C1413,'State Key'!$A$2:$B$210,2,False)</f>
        <v>Madhya Pradesh</v>
      </c>
      <c r="E1413" s="21">
        <v>90.0</v>
      </c>
      <c r="F1413" s="22">
        <v>20.43</v>
      </c>
      <c r="G1413" s="22">
        <v>0.0</v>
      </c>
      <c r="H1413" s="22">
        <v>0.0</v>
      </c>
      <c r="I1413" s="22">
        <v>0.0</v>
      </c>
      <c r="J1413" s="22">
        <v>12.36</v>
      </c>
      <c r="K1413" s="22">
        <v>0.0</v>
      </c>
      <c r="L1413" s="22">
        <v>32.79</v>
      </c>
      <c r="M1413" s="22">
        <v>32.73</v>
      </c>
      <c r="N1413" s="22">
        <v>75.82</v>
      </c>
      <c r="O1413" s="24">
        <v>69.5</v>
      </c>
      <c r="P1413" s="18">
        <f t="shared" si="1"/>
        <v>32.79</v>
      </c>
    </row>
    <row r="1414" ht="15.75" customHeight="1">
      <c r="A1414" s="13" t="s">
        <v>221</v>
      </c>
      <c r="B1414" s="13" t="s">
        <v>133</v>
      </c>
      <c r="C1414" s="14" t="s">
        <v>178</v>
      </c>
      <c r="D1414" s="14" t="str">
        <f>VLOOKUP(C1414,'State Key'!$A$2:$B$210,2,False)</f>
        <v>Chhattisgarh</v>
      </c>
      <c r="E1414" s="15">
        <v>1000.0</v>
      </c>
      <c r="F1414" s="16">
        <v>0.0</v>
      </c>
      <c r="G1414" s="16">
        <v>0.0</v>
      </c>
      <c r="H1414" s="16">
        <v>0.0</v>
      </c>
      <c r="I1414" s="16">
        <v>0.0</v>
      </c>
      <c r="J1414" s="16">
        <v>10.658</v>
      </c>
      <c r="K1414" s="16">
        <v>675.752</v>
      </c>
      <c r="L1414" s="16">
        <v>686.41</v>
      </c>
      <c r="M1414" s="16">
        <v>464.563</v>
      </c>
      <c r="N1414" s="16">
        <v>374.551</v>
      </c>
      <c r="O1414" s="24">
        <v>24.2</v>
      </c>
      <c r="P1414" s="18">
        <f t="shared" si="1"/>
        <v>686.41</v>
      </c>
    </row>
    <row r="1415" ht="15.75" customHeight="1">
      <c r="A1415" s="19" t="s">
        <v>221</v>
      </c>
      <c r="B1415" s="19" t="s">
        <v>133</v>
      </c>
      <c r="C1415" s="20" t="s">
        <v>179</v>
      </c>
      <c r="D1415" s="14" t="str">
        <f>VLOOKUP(C1415,'State Key'!$A$2:$B$210,2,False)</f>
        <v>Maharashtra</v>
      </c>
      <c r="E1415" s="21">
        <v>500.0</v>
      </c>
      <c r="F1415" s="22">
        <v>262.877</v>
      </c>
      <c r="G1415" s="22">
        <v>0.0</v>
      </c>
      <c r="H1415" s="22">
        <v>0.0</v>
      </c>
      <c r="I1415" s="22">
        <v>0.0</v>
      </c>
      <c r="J1415" s="22">
        <v>0.0</v>
      </c>
      <c r="K1415" s="22">
        <v>0.0</v>
      </c>
      <c r="L1415" s="22">
        <v>262.877</v>
      </c>
      <c r="M1415" s="22">
        <v>234.247</v>
      </c>
      <c r="N1415" s="22">
        <v>50.05</v>
      </c>
      <c r="O1415" s="17">
        <v>6.4</v>
      </c>
      <c r="P1415" s="18">
        <f t="shared" si="1"/>
        <v>262.877</v>
      </c>
    </row>
    <row r="1416" ht="15.75" customHeight="1">
      <c r="A1416" s="13" t="s">
        <v>221</v>
      </c>
      <c r="B1416" s="13" t="s">
        <v>133</v>
      </c>
      <c r="C1416" s="14" t="s">
        <v>180</v>
      </c>
      <c r="D1416" s="14" t="str">
        <f>VLOOKUP(C1416,'State Key'!$A$2:$B$210,2,False)</f>
        <v>Maharashtra</v>
      </c>
      <c r="E1416" s="15">
        <v>750.0</v>
      </c>
      <c r="F1416" s="16">
        <v>97.948</v>
      </c>
      <c r="G1416" s="16">
        <v>237.64</v>
      </c>
      <c r="H1416" s="16">
        <v>0.0</v>
      </c>
      <c r="I1416" s="16">
        <v>0.0</v>
      </c>
      <c r="J1416" s="16">
        <v>0.0</v>
      </c>
      <c r="K1416" s="16">
        <v>0.0</v>
      </c>
      <c r="L1416" s="16">
        <v>335.588</v>
      </c>
      <c r="M1416" s="16">
        <v>286.39</v>
      </c>
      <c r="N1416" s="16">
        <v>63.02</v>
      </c>
      <c r="O1416" s="17">
        <v>6.6</v>
      </c>
      <c r="P1416" s="18">
        <f t="shared" si="1"/>
        <v>335.588</v>
      </c>
    </row>
    <row r="1417" ht="15.75" customHeight="1">
      <c r="A1417" s="19" t="s">
        <v>221</v>
      </c>
      <c r="B1417" s="19" t="s">
        <v>133</v>
      </c>
      <c r="C1417" s="20" t="s">
        <v>181</v>
      </c>
      <c r="D1417" s="14" t="str">
        <f>VLOOKUP(C1417,'State Key'!$A$2:$B$210,2,False)</f>
        <v>Chhattisgarh</v>
      </c>
      <c r="E1417" s="21">
        <v>600.0</v>
      </c>
      <c r="F1417" s="22">
        <v>207.77</v>
      </c>
      <c r="G1417" s="22">
        <v>0.0</v>
      </c>
      <c r="H1417" s="22">
        <v>0.0</v>
      </c>
      <c r="I1417" s="22">
        <v>0.0</v>
      </c>
      <c r="J1417" s="22">
        <v>0.0</v>
      </c>
      <c r="K1417" s="22">
        <v>0.0</v>
      </c>
      <c r="L1417" s="22">
        <v>207.77</v>
      </c>
      <c r="M1417" s="22">
        <v>237.3</v>
      </c>
      <c r="N1417" s="22">
        <v>220.38</v>
      </c>
      <c r="O1417" s="24">
        <v>27.9</v>
      </c>
      <c r="P1417" s="18">
        <f t="shared" si="1"/>
        <v>207.77</v>
      </c>
    </row>
    <row r="1418" ht="15.75" customHeight="1">
      <c r="A1418" s="13" t="s">
        <v>221</v>
      </c>
      <c r="B1418" s="13" t="s">
        <v>133</v>
      </c>
      <c r="C1418" s="14" t="s">
        <v>183</v>
      </c>
      <c r="D1418" s="14" t="str">
        <f>VLOOKUP(C1418,'State Key'!$A$2:$B$210,2,False)</f>
        <v>Chhattisgarh</v>
      </c>
      <c r="E1418" s="15">
        <v>100.0</v>
      </c>
      <c r="F1418" s="16">
        <v>3.348</v>
      </c>
      <c r="G1418" s="16">
        <v>0.0</v>
      </c>
      <c r="H1418" s="16">
        <v>0.0</v>
      </c>
      <c r="I1418" s="16">
        <v>0.0</v>
      </c>
      <c r="J1418" s="16">
        <v>57.591</v>
      </c>
      <c r="K1418" s="16">
        <v>0.0</v>
      </c>
      <c r="L1418" s="16">
        <v>60.939</v>
      </c>
      <c r="M1418" s="16">
        <v>58.244</v>
      </c>
      <c r="N1418" s="16">
        <v>24.14</v>
      </c>
      <c r="O1418" s="23">
        <v>12.4</v>
      </c>
      <c r="P1418" s="18">
        <f t="shared" si="1"/>
        <v>60.939</v>
      </c>
    </row>
    <row r="1419" ht="15.75" customHeight="1">
      <c r="A1419" s="19" t="s">
        <v>221</v>
      </c>
      <c r="B1419" s="19" t="s">
        <v>133</v>
      </c>
      <c r="C1419" s="20" t="s">
        <v>184</v>
      </c>
      <c r="D1419" s="14" t="str">
        <f>VLOOKUP(C1419,'State Key'!$A$2:$B$210,2,False)</f>
        <v>Gujarat</v>
      </c>
      <c r="E1419" s="21">
        <v>362.0</v>
      </c>
      <c r="F1419" s="22">
        <v>102.65</v>
      </c>
      <c r="G1419" s="22">
        <v>0.0</v>
      </c>
      <c r="H1419" s="22">
        <v>0.0</v>
      </c>
      <c r="I1419" s="22">
        <v>46.63</v>
      </c>
      <c r="J1419" s="22">
        <v>0.0</v>
      </c>
      <c r="K1419" s="22">
        <v>0.0</v>
      </c>
      <c r="L1419" s="22">
        <v>149.28</v>
      </c>
      <c r="M1419" s="22">
        <v>111.75</v>
      </c>
      <c r="N1419" s="22">
        <v>118.85</v>
      </c>
      <c r="O1419" s="24">
        <v>31.9</v>
      </c>
      <c r="P1419" s="18">
        <f t="shared" si="1"/>
        <v>149.28</v>
      </c>
    </row>
    <row r="1420" ht="15.75" customHeight="1">
      <c r="A1420" s="13" t="s">
        <v>221</v>
      </c>
      <c r="B1420" s="13" t="s">
        <v>133</v>
      </c>
      <c r="C1420" s="14" t="s">
        <v>185</v>
      </c>
      <c r="D1420" s="14" t="str">
        <f>VLOOKUP(C1420,'State Key'!$A$2:$B$210,2,False)</f>
        <v>Gujarat</v>
      </c>
      <c r="E1420" s="15">
        <v>1200.0</v>
      </c>
      <c r="F1420" s="16">
        <v>0.0</v>
      </c>
      <c r="G1420" s="16">
        <v>0.0</v>
      </c>
      <c r="H1420" s="16">
        <v>0.0</v>
      </c>
      <c r="I1420" s="16">
        <v>329.153</v>
      </c>
      <c r="J1420" s="16">
        <v>0.0</v>
      </c>
      <c r="K1420" s="16">
        <v>0.0</v>
      </c>
      <c r="L1420" s="16">
        <v>329.153</v>
      </c>
      <c r="M1420" s="16">
        <v>176.602</v>
      </c>
      <c r="N1420" s="16">
        <v>183.96</v>
      </c>
      <c r="O1420" s="24">
        <v>31.2</v>
      </c>
      <c r="P1420" s="18">
        <f t="shared" si="1"/>
        <v>329.153</v>
      </c>
    </row>
    <row r="1421" ht="15.75" customHeight="1">
      <c r="A1421" s="19" t="s">
        <v>221</v>
      </c>
      <c r="B1421" s="19" t="s">
        <v>133</v>
      </c>
      <c r="C1421" s="20" t="s">
        <v>186</v>
      </c>
      <c r="D1421" s="14" t="str">
        <f>VLOOKUP(C1421,'State Key'!$A$2:$B$210,2,False)</f>
        <v>Chhattisgarh</v>
      </c>
      <c r="E1421" s="21">
        <v>135.0</v>
      </c>
      <c r="F1421" s="22">
        <v>0.0</v>
      </c>
      <c r="G1421" s="22">
        <v>0.0</v>
      </c>
      <c r="H1421" s="22">
        <v>0.0</v>
      </c>
      <c r="I1421" s="22">
        <v>0.0</v>
      </c>
      <c r="J1421" s="22">
        <v>0.0</v>
      </c>
      <c r="K1421" s="22">
        <v>0.0</v>
      </c>
      <c r="L1421" s="22">
        <v>0.0</v>
      </c>
      <c r="M1421" s="22">
        <v>0.0</v>
      </c>
      <c r="N1421" s="22">
        <v>0.0</v>
      </c>
      <c r="O1421" s="19" t="s">
        <v>58</v>
      </c>
      <c r="P1421" s="18">
        <f t="shared" si="1"/>
        <v>0</v>
      </c>
    </row>
    <row r="1422" ht="15.75" customHeight="1">
      <c r="A1422" s="13" t="s">
        <v>221</v>
      </c>
      <c r="B1422" s="13" t="s">
        <v>133</v>
      </c>
      <c r="C1422" s="14" t="s">
        <v>187</v>
      </c>
      <c r="D1422" s="14" t="str">
        <f>VLOOKUP(C1422,'State Key'!$A$2:$B$210,2,False)</f>
        <v>Madhya Pradesh</v>
      </c>
      <c r="E1422" s="15">
        <v>1340.0</v>
      </c>
      <c r="F1422" s="16">
        <v>520.68</v>
      </c>
      <c r="G1422" s="16">
        <v>0.0</v>
      </c>
      <c r="H1422" s="16">
        <v>0.0</v>
      </c>
      <c r="I1422" s="16">
        <v>0.0</v>
      </c>
      <c r="J1422" s="16">
        <v>0.0</v>
      </c>
      <c r="K1422" s="16">
        <v>0.0</v>
      </c>
      <c r="L1422" s="16">
        <v>520.68</v>
      </c>
      <c r="M1422" s="16">
        <v>532.231</v>
      </c>
      <c r="N1422" s="16">
        <v>112.2</v>
      </c>
      <c r="O1422" s="17">
        <v>6.3</v>
      </c>
      <c r="P1422" s="18">
        <f t="shared" si="1"/>
        <v>520.68</v>
      </c>
    </row>
    <row r="1423" ht="15.75" customHeight="1">
      <c r="A1423" s="19" t="s">
        <v>221</v>
      </c>
      <c r="B1423" s="19" t="s">
        <v>133</v>
      </c>
      <c r="C1423" s="20" t="s">
        <v>188</v>
      </c>
      <c r="D1423" s="14" t="str">
        <f>VLOOKUP(C1423,'State Key'!$A$2:$B$210,2,False)</f>
        <v>Madhya Pradesh</v>
      </c>
      <c r="E1423" s="21">
        <v>3960.0</v>
      </c>
      <c r="F1423" s="22">
        <v>0.0</v>
      </c>
      <c r="G1423" s="22">
        <v>0.0</v>
      </c>
      <c r="H1423" s="22">
        <v>1565.213</v>
      </c>
      <c r="I1423" s="22">
        <v>0.0</v>
      </c>
      <c r="J1423" s="22">
        <v>0.0</v>
      </c>
      <c r="K1423" s="22">
        <v>0.0</v>
      </c>
      <c r="L1423" s="22">
        <v>1565.213</v>
      </c>
      <c r="M1423" s="22">
        <v>1532.65</v>
      </c>
      <c r="N1423" s="22">
        <v>92.43</v>
      </c>
      <c r="O1423" s="17">
        <v>1.8</v>
      </c>
      <c r="P1423" s="18">
        <f t="shared" si="1"/>
        <v>1565.213</v>
      </c>
    </row>
    <row r="1424" ht="15.75" customHeight="1">
      <c r="A1424" s="13" t="s">
        <v>221</v>
      </c>
      <c r="B1424" s="13" t="s">
        <v>133</v>
      </c>
      <c r="C1424" s="14" t="s">
        <v>189</v>
      </c>
      <c r="D1424" s="14" t="str">
        <f>VLOOKUP(C1424,'State Key'!$A$2:$B$210,2,False)</f>
        <v>Madhya Pradesh</v>
      </c>
      <c r="E1424" s="15">
        <v>1330.0</v>
      </c>
      <c r="F1424" s="16">
        <v>228.622</v>
      </c>
      <c r="G1424" s="16">
        <v>0.0</v>
      </c>
      <c r="H1424" s="16">
        <v>0.0</v>
      </c>
      <c r="I1424" s="16">
        <v>0.0</v>
      </c>
      <c r="J1424" s="16">
        <v>0.0</v>
      </c>
      <c r="K1424" s="16">
        <v>0.0</v>
      </c>
      <c r="L1424" s="16">
        <v>228.622</v>
      </c>
      <c r="M1424" s="16">
        <v>219.528</v>
      </c>
      <c r="N1424" s="16">
        <v>73.6</v>
      </c>
      <c r="O1424" s="23">
        <v>10.1</v>
      </c>
      <c r="P1424" s="18">
        <f t="shared" si="1"/>
        <v>228.622</v>
      </c>
    </row>
    <row r="1425" ht="15.75" customHeight="1">
      <c r="A1425" s="19" t="s">
        <v>221</v>
      </c>
      <c r="B1425" s="19" t="s">
        <v>133</v>
      </c>
      <c r="C1425" s="20" t="s">
        <v>190</v>
      </c>
      <c r="D1425" s="14" t="str">
        <f>VLOOKUP(C1425,'State Key'!$A$2:$B$210,2,False)</f>
        <v>Madhya Pradesh</v>
      </c>
      <c r="E1425" s="21">
        <v>600.0</v>
      </c>
      <c r="F1425" s="22">
        <v>151.402</v>
      </c>
      <c r="G1425" s="22">
        <v>0.0</v>
      </c>
      <c r="H1425" s="22">
        <v>0.0</v>
      </c>
      <c r="I1425" s="22">
        <v>0.0</v>
      </c>
      <c r="J1425" s="22">
        <v>0.0</v>
      </c>
      <c r="K1425" s="22">
        <v>62.732</v>
      </c>
      <c r="L1425" s="22">
        <v>214.134</v>
      </c>
      <c r="M1425" s="22">
        <v>200.495</v>
      </c>
      <c r="N1425" s="22">
        <v>29.48</v>
      </c>
      <c r="O1425" s="17">
        <v>4.4</v>
      </c>
      <c r="P1425" s="18">
        <f t="shared" si="1"/>
        <v>214.134</v>
      </c>
    </row>
    <row r="1426" ht="15.75" customHeight="1">
      <c r="A1426" s="13" t="s">
        <v>221</v>
      </c>
      <c r="B1426" s="13" t="s">
        <v>133</v>
      </c>
      <c r="C1426" s="14" t="s">
        <v>191</v>
      </c>
      <c r="D1426" s="14" t="str">
        <f>VLOOKUP(C1426,'State Key'!$A$2:$B$210,2,False)</f>
        <v>Maharashtra</v>
      </c>
      <c r="E1426" s="15">
        <v>150.0</v>
      </c>
      <c r="F1426" s="16">
        <v>0.0</v>
      </c>
      <c r="G1426" s="16">
        <v>0.0</v>
      </c>
      <c r="H1426" s="16">
        <v>0.0</v>
      </c>
      <c r="I1426" s="16">
        <v>0.0</v>
      </c>
      <c r="J1426" s="16">
        <v>0.0</v>
      </c>
      <c r="K1426" s="16">
        <v>0.0</v>
      </c>
      <c r="L1426" s="16">
        <v>0.0</v>
      </c>
      <c r="M1426" s="16">
        <v>0.0</v>
      </c>
      <c r="N1426" s="16">
        <v>0.0</v>
      </c>
      <c r="O1426" s="13" t="s">
        <v>58</v>
      </c>
      <c r="P1426" s="18">
        <f t="shared" si="1"/>
        <v>0</v>
      </c>
    </row>
    <row r="1427" ht="15.75" customHeight="1">
      <c r="A1427" s="19" t="s">
        <v>221</v>
      </c>
      <c r="B1427" s="19" t="s">
        <v>133</v>
      </c>
      <c r="C1427" s="20" t="s">
        <v>192</v>
      </c>
      <c r="D1427" s="14" t="str">
        <f>VLOOKUP(C1427,'State Key'!$A$2:$B$210,2,False)</f>
        <v>Madhya Pradesh</v>
      </c>
      <c r="E1427" s="21">
        <v>2520.0</v>
      </c>
      <c r="F1427" s="22">
        <v>1030.804</v>
      </c>
      <c r="G1427" s="22">
        <v>0.0</v>
      </c>
      <c r="H1427" s="22">
        <v>0.0</v>
      </c>
      <c r="I1427" s="22">
        <v>0.0</v>
      </c>
      <c r="J1427" s="22">
        <v>0.0</v>
      </c>
      <c r="K1427" s="22">
        <v>0.0</v>
      </c>
      <c r="L1427" s="22">
        <v>1030.804</v>
      </c>
      <c r="M1427" s="22">
        <v>1017.801</v>
      </c>
      <c r="N1427" s="22">
        <v>132.38</v>
      </c>
      <c r="O1427" s="17">
        <v>3.9</v>
      </c>
      <c r="P1427" s="18">
        <f t="shared" si="1"/>
        <v>1030.804</v>
      </c>
    </row>
    <row r="1428" ht="15.75" customHeight="1">
      <c r="A1428" s="13" t="s">
        <v>221</v>
      </c>
      <c r="B1428" s="13" t="s">
        <v>133</v>
      </c>
      <c r="C1428" s="14" t="s">
        <v>193</v>
      </c>
      <c r="D1428" s="14" t="str">
        <f>VLOOKUP(C1428,'State Key'!$A$2:$B$210,2,False)</f>
        <v>Gujarat</v>
      </c>
      <c r="E1428" s="15">
        <v>500.0</v>
      </c>
      <c r="F1428" s="16">
        <v>0.0</v>
      </c>
      <c r="G1428" s="16">
        <v>0.0</v>
      </c>
      <c r="H1428" s="16">
        <v>0.0</v>
      </c>
      <c r="I1428" s="16">
        <v>40.229</v>
      </c>
      <c r="J1428" s="16">
        <v>0.0</v>
      </c>
      <c r="K1428" s="16">
        <v>0.0</v>
      </c>
      <c r="L1428" s="16">
        <v>40.229</v>
      </c>
      <c r="M1428" s="16">
        <v>19.675</v>
      </c>
      <c r="N1428" s="16">
        <v>80.31</v>
      </c>
      <c r="O1428" s="24">
        <v>122.5</v>
      </c>
      <c r="P1428" s="18">
        <f t="shared" si="1"/>
        <v>40.229</v>
      </c>
    </row>
    <row r="1429" ht="15.75" customHeight="1">
      <c r="A1429" s="19" t="s">
        <v>221</v>
      </c>
      <c r="B1429" s="19" t="s">
        <v>133</v>
      </c>
      <c r="C1429" s="20" t="s">
        <v>194</v>
      </c>
      <c r="D1429" s="14" t="str">
        <f>VLOOKUP(C1429,'State Key'!$A$2:$B$210,2,False)</f>
        <v>Chhattisgarh</v>
      </c>
      <c r="E1429" s="21">
        <v>2980.0</v>
      </c>
      <c r="F1429" s="22">
        <v>1186.43</v>
      </c>
      <c r="G1429" s="22">
        <v>0.0</v>
      </c>
      <c r="H1429" s="22">
        <v>0.0</v>
      </c>
      <c r="I1429" s="22">
        <v>0.0</v>
      </c>
      <c r="J1429" s="22">
        <v>0.0</v>
      </c>
      <c r="K1429" s="22">
        <v>0.0</v>
      </c>
      <c r="L1429" s="22">
        <v>1186.43</v>
      </c>
      <c r="M1429" s="22">
        <v>1392.714</v>
      </c>
      <c r="N1429" s="22">
        <v>305.253</v>
      </c>
      <c r="O1429" s="17">
        <v>6.6</v>
      </c>
      <c r="P1429" s="18">
        <f t="shared" si="1"/>
        <v>1186.43</v>
      </c>
    </row>
    <row r="1430" ht="15.75" customHeight="1">
      <c r="A1430" s="13" t="s">
        <v>221</v>
      </c>
      <c r="B1430" s="13" t="s">
        <v>133</v>
      </c>
      <c r="C1430" s="14" t="s">
        <v>195</v>
      </c>
      <c r="D1430" s="14" t="str">
        <f>VLOOKUP(C1430,'State Key'!$A$2:$B$210,2,False)</f>
        <v>Maharashtra</v>
      </c>
      <c r="E1430" s="15">
        <v>1320.0</v>
      </c>
      <c r="F1430" s="16">
        <v>265.39</v>
      </c>
      <c r="G1430" s="16">
        <v>166.81</v>
      </c>
      <c r="H1430" s="16">
        <v>7.84</v>
      </c>
      <c r="I1430" s="16">
        <v>35.55</v>
      </c>
      <c r="J1430" s="16">
        <v>0.0</v>
      </c>
      <c r="K1430" s="16">
        <v>0.0</v>
      </c>
      <c r="L1430" s="16">
        <v>475.59</v>
      </c>
      <c r="M1430" s="16">
        <v>396.175</v>
      </c>
      <c r="N1430" s="16">
        <v>137.643</v>
      </c>
      <c r="O1430" s="23">
        <v>10.4</v>
      </c>
      <c r="P1430" s="18">
        <f t="shared" si="1"/>
        <v>475.59</v>
      </c>
    </row>
    <row r="1431" ht="15.75" customHeight="1">
      <c r="A1431" s="19" t="s">
        <v>221</v>
      </c>
      <c r="B1431" s="19" t="s">
        <v>133</v>
      </c>
      <c r="C1431" s="20" t="s">
        <v>196</v>
      </c>
      <c r="D1431" s="14" t="str">
        <f>VLOOKUP(C1431,'State Key'!$A$2:$B$210,2,False)</f>
        <v>Chhattisgarh</v>
      </c>
      <c r="E1431" s="21">
        <v>63.0</v>
      </c>
      <c r="F1431" s="22">
        <v>67.0</v>
      </c>
      <c r="G1431" s="22">
        <v>0.0</v>
      </c>
      <c r="H1431" s="22">
        <v>0.0</v>
      </c>
      <c r="I1431" s="22">
        <v>0.0</v>
      </c>
      <c r="J1431" s="22">
        <v>0.0</v>
      </c>
      <c r="K1431" s="22">
        <v>0.0</v>
      </c>
      <c r="L1431" s="22">
        <v>67.0</v>
      </c>
      <c r="M1431" s="22">
        <v>59.0</v>
      </c>
      <c r="N1431" s="22">
        <v>8.0</v>
      </c>
      <c r="O1431" s="17">
        <v>4.1</v>
      </c>
      <c r="P1431" s="18">
        <f t="shared" si="1"/>
        <v>67</v>
      </c>
    </row>
    <row r="1432" ht="15.75" customHeight="1">
      <c r="A1432" s="13" t="s">
        <v>221</v>
      </c>
      <c r="B1432" s="13" t="s">
        <v>133</v>
      </c>
      <c r="C1432" s="14" t="s">
        <v>197</v>
      </c>
      <c r="D1432" s="14" t="str">
        <f>VLOOKUP(C1432,'State Key'!$A$2:$B$210,2,False)</f>
        <v>Chhattisgarh</v>
      </c>
      <c r="E1432" s="15">
        <v>25.0</v>
      </c>
      <c r="F1432" s="16">
        <v>0.0</v>
      </c>
      <c r="G1432" s="16">
        <v>0.0</v>
      </c>
      <c r="H1432" s="16">
        <v>0.0</v>
      </c>
      <c r="I1432" s="16">
        <v>0.0</v>
      </c>
      <c r="J1432" s="16">
        <v>0.0</v>
      </c>
      <c r="K1432" s="16">
        <v>0.0</v>
      </c>
      <c r="L1432" s="16">
        <v>0.0</v>
      </c>
      <c r="M1432" s="16">
        <v>0.0</v>
      </c>
      <c r="N1432" s="16">
        <v>0.0</v>
      </c>
      <c r="O1432" s="13" t="s">
        <v>58</v>
      </c>
      <c r="P1432" s="18">
        <f t="shared" si="1"/>
        <v>0</v>
      </c>
    </row>
    <row r="1433" ht="15.75" customHeight="1">
      <c r="A1433" s="19" t="s">
        <v>221</v>
      </c>
      <c r="B1433" s="19" t="s">
        <v>133</v>
      </c>
      <c r="C1433" s="20" t="s">
        <v>198</v>
      </c>
      <c r="D1433" s="14" t="str">
        <f>VLOOKUP(C1433,'State Key'!$A$2:$B$210,2,False)</f>
        <v>Chhattisgarh</v>
      </c>
      <c r="E1433" s="21">
        <v>2400.0</v>
      </c>
      <c r="F1433" s="22">
        <v>394.466</v>
      </c>
      <c r="G1433" s="22">
        <v>0.0</v>
      </c>
      <c r="H1433" s="22">
        <v>0.0</v>
      </c>
      <c r="I1433" s="22">
        <v>19.101</v>
      </c>
      <c r="J1433" s="22">
        <v>57.983</v>
      </c>
      <c r="K1433" s="22">
        <v>486.3</v>
      </c>
      <c r="L1433" s="22">
        <v>957.85</v>
      </c>
      <c r="M1433" s="22">
        <v>864.904</v>
      </c>
      <c r="N1433" s="22">
        <v>230.88</v>
      </c>
      <c r="O1433" s="23">
        <v>8.0</v>
      </c>
      <c r="P1433" s="18">
        <f t="shared" si="1"/>
        <v>957.85</v>
      </c>
    </row>
    <row r="1434" ht="15.75" customHeight="1">
      <c r="A1434" s="13" t="s">
        <v>221</v>
      </c>
      <c r="B1434" s="13" t="s">
        <v>133</v>
      </c>
      <c r="C1434" s="14" t="s">
        <v>200</v>
      </c>
      <c r="D1434" s="14" t="str">
        <f>VLOOKUP(C1434,'State Key'!$A$2:$B$210,2,False)</f>
        <v>Maharashtra</v>
      </c>
      <c r="E1434" s="15">
        <v>750.0</v>
      </c>
      <c r="F1434" s="16">
        <v>0.0</v>
      </c>
      <c r="G1434" s="16">
        <v>0.0</v>
      </c>
      <c r="H1434" s="16">
        <v>0.0</v>
      </c>
      <c r="I1434" s="16">
        <v>304.988</v>
      </c>
      <c r="J1434" s="16">
        <v>0.0</v>
      </c>
      <c r="K1434" s="16">
        <v>0.0</v>
      </c>
      <c r="L1434" s="16">
        <v>304.988</v>
      </c>
      <c r="M1434" s="16">
        <v>219.152</v>
      </c>
      <c r="N1434" s="16">
        <v>168.06</v>
      </c>
      <c r="O1434" s="24">
        <v>23.0</v>
      </c>
      <c r="P1434" s="18">
        <f t="shared" si="1"/>
        <v>304.988</v>
      </c>
    </row>
    <row r="1435" ht="15.75" customHeight="1">
      <c r="A1435" s="19" t="s">
        <v>221</v>
      </c>
      <c r="B1435" s="19" t="s">
        <v>133</v>
      </c>
      <c r="C1435" s="20" t="s">
        <v>201</v>
      </c>
      <c r="D1435" s="14" t="str">
        <f>VLOOKUP(C1435,'State Key'!$A$2:$B$210,2,False)</f>
        <v>Chhattisgarh</v>
      </c>
      <c r="E1435" s="21">
        <v>1440.0</v>
      </c>
      <c r="F1435" s="22">
        <v>165.449</v>
      </c>
      <c r="G1435" s="22">
        <v>0.0</v>
      </c>
      <c r="H1435" s="22">
        <v>0.0</v>
      </c>
      <c r="I1435" s="22">
        <v>0.0</v>
      </c>
      <c r="J1435" s="22">
        <v>0.0</v>
      </c>
      <c r="K1435" s="22">
        <v>262.039</v>
      </c>
      <c r="L1435" s="22">
        <v>427.488</v>
      </c>
      <c r="M1435" s="22">
        <v>276.513</v>
      </c>
      <c r="N1435" s="22">
        <v>194.59</v>
      </c>
      <c r="O1435" s="24">
        <v>21.1</v>
      </c>
      <c r="P1435" s="18">
        <f t="shared" si="1"/>
        <v>427.488</v>
      </c>
    </row>
    <row r="1436" ht="15.75" customHeight="1">
      <c r="A1436" s="13" t="s">
        <v>221</v>
      </c>
      <c r="B1436" s="13" t="s">
        <v>133</v>
      </c>
      <c r="C1436" s="14" t="s">
        <v>202</v>
      </c>
      <c r="D1436" s="14" t="str">
        <f>VLOOKUP(C1436,'State Key'!$A$2:$B$210,2,False)</f>
        <v>Gujarat</v>
      </c>
      <c r="E1436" s="15">
        <v>1110.0</v>
      </c>
      <c r="F1436" s="16">
        <v>353.741</v>
      </c>
      <c r="G1436" s="16">
        <v>0.0</v>
      </c>
      <c r="H1436" s="16">
        <v>0.0</v>
      </c>
      <c r="I1436" s="16">
        <v>0.0</v>
      </c>
      <c r="J1436" s="16">
        <v>0.0</v>
      </c>
      <c r="K1436" s="16">
        <v>0.0</v>
      </c>
      <c r="L1436" s="16">
        <v>353.741</v>
      </c>
      <c r="M1436" s="16">
        <v>215.615</v>
      </c>
      <c r="N1436" s="16">
        <v>360.25</v>
      </c>
      <c r="O1436" s="24">
        <v>50.1</v>
      </c>
      <c r="P1436" s="18">
        <f t="shared" si="1"/>
        <v>353.741</v>
      </c>
    </row>
    <row r="1437" ht="15.75" customHeight="1">
      <c r="A1437" s="19" t="s">
        <v>221</v>
      </c>
      <c r="B1437" s="19" t="s">
        <v>133</v>
      </c>
      <c r="C1437" s="20" t="s">
        <v>203</v>
      </c>
      <c r="D1437" s="14" t="str">
        <f>VLOOKUP(C1437,'State Key'!$A$2:$B$210,2,False)</f>
        <v>Madhya Pradesh</v>
      </c>
      <c r="E1437" s="21">
        <v>4760.0</v>
      </c>
      <c r="F1437" s="22">
        <v>1937.87</v>
      </c>
      <c r="G1437" s="22">
        <v>0.0</v>
      </c>
      <c r="H1437" s="22">
        <v>0.0</v>
      </c>
      <c r="I1437" s="22">
        <v>0.0</v>
      </c>
      <c r="J1437" s="22">
        <v>0.0</v>
      </c>
      <c r="K1437" s="22">
        <v>0.0</v>
      </c>
      <c r="L1437" s="22">
        <v>1937.87</v>
      </c>
      <c r="M1437" s="22">
        <v>2020.411</v>
      </c>
      <c r="N1437" s="22">
        <v>1061.755</v>
      </c>
      <c r="O1437" s="24">
        <v>15.8</v>
      </c>
      <c r="P1437" s="18">
        <f t="shared" si="1"/>
        <v>1937.87</v>
      </c>
    </row>
    <row r="1438" ht="15.75" customHeight="1">
      <c r="A1438" s="13" t="s">
        <v>221</v>
      </c>
      <c r="B1438" s="13" t="s">
        <v>133</v>
      </c>
      <c r="C1438" s="14" t="s">
        <v>204</v>
      </c>
      <c r="D1438" s="14" t="str">
        <f>VLOOKUP(C1438,'State Key'!$A$2:$B$210,2,False)</f>
        <v>Gujarat</v>
      </c>
      <c r="E1438" s="15">
        <v>2270.0</v>
      </c>
      <c r="F1438" s="16">
        <v>705.378</v>
      </c>
      <c r="G1438" s="16">
        <v>0.0</v>
      </c>
      <c r="H1438" s="16">
        <v>0.0</v>
      </c>
      <c r="I1438" s="16">
        <v>0.0</v>
      </c>
      <c r="J1438" s="16">
        <v>0.0</v>
      </c>
      <c r="K1438" s="16">
        <v>0.0</v>
      </c>
      <c r="L1438" s="16">
        <v>705.378</v>
      </c>
      <c r="M1438" s="16">
        <v>544.779</v>
      </c>
      <c r="N1438" s="16">
        <v>336.4</v>
      </c>
      <c r="O1438" s="24">
        <v>18.5</v>
      </c>
      <c r="P1438" s="18">
        <f t="shared" si="1"/>
        <v>705.378</v>
      </c>
    </row>
    <row r="1439" ht="15.75" customHeight="1">
      <c r="A1439" s="19" t="s">
        <v>221</v>
      </c>
      <c r="B1439" s="19" t="s">
        <v>133</v>
      </c>
      <c r="C1439" s="20" t="s">
        <v>205</v>
      </c>
      <c r="D1439" s="14" t="str">
        <f>VLOOKUP(C1439,'State Key'!$A$2:$B$210,2,False)</f>
        <v>Maharashtra</v>
      </c>
      <c r="E1439" s="21">
        <v>540.0</v>
      </c>
      <c r="F1439" s="22">
        <v>184.301</v>
      </c>
      <c r="G1439" s="22">
        <v>0.0</v>
      </c>
      <c r="H1439" s="22">
        <v>0.0</v>
      </c>
      <c r="I1439" s="22">
        <v>0.0</v>
      </c>
      <c r="J1439" s="22">
        <v>0.0</v>
      </c>
      <c r="K1439" s="22">
        <v>0.0</v>
      </c>
      <c r="L1439" s="22">
        <v>184.301</v>
      </c>
      <c r="M1439" s="22">
        <v>194.668</v>
      </c>
      <c r="N1439" s="22">
        <v>188.25</v>
      </c>
      <c r="O1439" s="24">
        <v>29.0</v>
      </c>
      <c r="P1439" s="18">
        <f t="shared" si="1"/>
        <v>184.301</v>
      </c>
    </row>
    <row r="1440" ht="15.75" customHeight="1">
      <c r="A1440" s="13" t="s">
        <v>222</v>
      </c>
      <c r="B1440" s="13" t="s">
        <v>22</v>
      </c>
      <c r="C1440" s="14" t="s">
        <v>23</v>
      </c>
      <c r="D1440" s="14" t="str">
        <f>VLOOKUP(C1440,'State Key'!$A$2:$B$210,2,False)</f>
        <v>West Bengal</v>
      </c>
      <c r="E1440" s="15">
        <v>1050.0</v>
      </c>
      <c r="F1440" s="16">
        <v>74.545</v>
      </c>
      <c r="G1440" s="16">
        <v>0.0</v>
      </c>
      <c r="H1440" s="16">
        <v>393.467</v>
      </c>
      <c r="I1440" s="16">
        <v>0.0</v>
      </c>
      <c r="J1440" s="16">
        <v>0.0</v>
      </c>
      <c r="K1440" s="16">
        <v>0.0</v>
      </c>
      <c r="L1440" s="16">
        <v>468.012</v>
      </c>
      <c r="M1440" s="16">
        <v>417.441</v>
      </c>
      <c r="N1440" s="16">
        <v>115.02</v>
      </c>
      <c r="O1440" s="23">
        <v>8.3</v>
      </c>
      <c r="P1440" s="18">
        <f t="shared" si="1"/>
        <v>468.012</v>
      </c>
    </row>
    <row r="1441" ht="15.75" customHeight="1">
      <c r="A1441" s="19" t="s">
        <v>222</v>
      </c>
      <c r="B1441" s="19" t="s">
        <v>22</v>
      </c>
      <c r="C1441" s="20" t="s">
        <v>24</v>
      </c>
      <c r="D1441" s="14" t="str">
        <f>VLOOKUP(C1441,'State Key'!$A$2:$B$210,2,False)</f>
        <v>West Bengal</v>
      </c>
      <c r="E1441" s="21">
        <v>270.0</v>
      </c>
      <c r="F1441" s="22">
        <v>0.0</v>
      </c>
      <c r="G1441" s="22">
        <v>0.0</v>
      </c>
      <c r="H1441" s="22">
        <v>89.528</v>
      </c>
      <c r="I1441" s="22">
        <v>0.0</v>
      </c>
      <c r="J1441" s="22">
        <v>0.0</v>
      </c>
      <c r="K1441" s="22">
        <v>0.0</v>
      </c>
      <c r="L1441" s="22">
        <v>89.528</v>
      </c>
      <c r="M1441" s="22">
        <v>108.937</v>
      </c>
      <c r="N1441" s="22">
        <v>8.53</v>
      </c>
      <c r="O1441" s="17">
        <v>2.3</v>
      </c>
      <c r="P1441" s="18">
        <f t="shared" si="1"/>
        <v>89.528</v>
      </c>
    </row>
    <row r="1442" ht="15.75" customHeight="1">
      <c r="A1442" s="13" t="s">
        <v>222</v>
      </c>
      <c r="B1442" s="13" t="s">
        <v>22</v>
      </c>
      <c r="C1442" s="14" t="s">
        <v>25</v>
      </c>
      <c r="D1442" s="14" t="str">
        <f>VLOOKUP(C1442,'State Key'!$A$2:$B$210,2,False)</f>
        <v>Bihar</v>
      </c>
      <c r="E1442" s="15">
        <v>710.0</v>
      </c>
      <c r="F1442" s="16">
        <v>15.14</v>
      </c>
      <c r="G1442" s="16">
        <v>0.0</v>
      </c>
      <c r="H1442" s="16">
        <v>211.14</v>
      </c>
      <c r="I1442" s="16">
        <v>0.0</v>
      </c>
      <c r="J1442" s="16">
        <v>0.0</v>
      </c>
      <c r="K1442" s="16">
        <v>0.0</v>
      </c>
      <c r="L1442" s="16">
        <v>226.28</v>
      </c>
      <c r="M1442" s="16">
        <v>120.068</v>
      </c>
      <c r="N1442" s="16">
        <v>165.68</v>
      </c>
      <c r="O1442" s="24">
        <v>41.4</v>
      </c>
      <c r="P1442" s="18">
        <f t="shared" si="1"/>
        <v>226.28</v>
      </c>
    </row>
    <row r="1443" ht="15.75" customHeight="1">
      <c r="A1443" s="19" t="s">
        <v>222</v>
      </c>
      <c r="B1443" s="19" t="s">
        <v>22</v>
      </c>
      <c r="C1443" s="20" t="s">
        <v>26</v>
      </c>
      <c r="D1443" s="14" t="str">
        <f>VLOOKUP(C1443,'State Key'!$A$2:$B$210,2,False)</f>
        <v>Bihar</v>
      </c>
      <c r="E1443" s="21">
        <v>2640.0</v>
      </c>
      <c r="F1443" s="22">
        <v>402.13</v>
      </c>
      <c r="G1443" s="22">
        <v>0.0</v>
      </c>
      <c r="H1443" s="22">
        <v>463.28</v>
      </c>
      <c r="I1443" s="22">
        <v>30.07</v>
      </c>
      <c r="J1443" s="22">
        <v>0.0</v>
      </c>
      <c r="K1443" s="22">
        <v>0.0</v>
      </c>
      <c r="L1443" s="22">
        <v>895.48</v>
      </c>
      <c r="M1443" s="22">
        <v>661.327</v>
      </c>
      <c r="N1443" s="22">
        <v>450.377</v>
      </c>
      <c r="O1443" s="24">
        <v>20.4</v>
      </c>
      <c r="P1443" s="18">
        <f t="shared" si="1"/>
        <v>895.48</v>
      </c>
    </row>
    <row r="1444" ht="15.75" customHeight="1">
      <c r="A1444" s="13" t="s">
        <v>222</v>
      </c>
      <c r="B1444" s="13" t="s">
        <v>22</v>
      </c>
      <c r="C1444" s="14" t="s">
        <v>27</v>
      </c>
      <c r="D1444" s="14" t="str">
        <f>VLOOKUP(C1444,'State Key'!$A$2:$B$210,2,False)</f>
        <v>Jharkhand</v>
      </c>
      <c r="E1444" s="15">
        <v>500.0</v>
      </c>
      <c r="F1444" s="16">
        <v>259.7647</v>
      </c>
      <c r="G1444" s="16">
        <v>0.0</v>
      </c>
      <c r="H1444" s="16">
        <v>11.381</v>
      </c>
      <c r="I1444" s="16">
        <v>6.506</v>
      </c>
      <c r="J1444" s="16">
        <v>0.0</v>
      </c>
      <c r="K1444" s="16">
        <v>0.0</v>
      </c>
      <c r="L1444" s="16">
        <v>277.6517</v>
      </c>
      <c r="M1444" s="16">
        <v>192.918</v>
      </c>
      <c r="N1444" s="16">
        <v>117.6163</v>
      </c>
      <c r="O1444" s="24">
        <v>18.3</v>
      </c>
      <c r="P1444" s="18">
        <f t="shared" si="1"/>
        <v>277.6517</v>
      </c>
    </row>
    <row r="1445" ht="15.75" customHeight="1">
      <c r="A1445" s="19" t="s">
        <v>222</v>
      </c>
      <c r="B1445" s="19" t="s">
        <v>22</v>
      </c>
      <c r="C1445" s="20" t="s">
        <v>28</v>
      </c>
      <c r="D1445" s="14" t="str">
        <f>VLOOKUP(C1445,'State Key'!$A$2:$B$210,2,False)</f>
        <v>West Bengal</v>
      </c>
      <c r="E1445" s="21">
        <v>750.0</v>
      </c>
      <c r="F1445" s="22">
        <v>136.3</v>
      </c>
      <c r="G1445" s="22">
        <v>0.0</v>
      </c>
      <c r="H1445" s="22">
        <v>40.584</v>
      </c>
      <c r="I1445" s="22">
        <v>0.0</v>
      </c>
      <c r="J1445" s="22">
        <v>0.0</v>
      </c>
      <c r="K1445" s="22">
        <v>139.923</v>
      </c>
      <c r="L1445" s="22">
        <v>316.807</v>
      </c>
      <c r="M1445" s="22">
        <v>256.943</v>
      </c>
      <c r="N1445" s="22">
        <v>114.73</v>
      </c>
      <c r="O1445" s="23">
        <v>13.4</v>
      </c>
      <c r="P1445" s="18">
        <f t="shared" si="1"/>
        <v>316.807</v>
      </c>
    </row>
    <row r="1446" ht="15.75" customHeight="1">
      <c r="A1446" s="13" t="s">
        <v>222</v>
      </c>
      <c r="B1446" s="13" t="s">
        <v>22</v>
      </c>
      <c r="C1446" s="14" t="s">
        <v>29</v>
      </c>
      <c r="D1446" s="14" t="str">
        <f>VLOOKUP(C1446,'State Key'!$A$2:$B$210,2,False)</f>
        <v>Jharkhand</v>
      </c>
      <c r="E1446" s="15">
        <v>500.0</v>
      </c>
      <c r="F1446" s="16">
        <v>203.158</v>
      </c>
      <c r="G1446" s="16">
        <v>0.0</v>
      </c>
      <c r="H1446" s="16">
        <v>31.183</v>
      </c>
      <c r="I1446" s="16">
        <v>10.747</v>
      </c>
      <c r="J1446" s="16">
        <v>14.033</v>
      </c>
      <c r="K1446" s="16">
        <v>0.0</v>
      </c>
      <c r="L1446" s="16">
        <v>259.121</v>
      </c>
      <c r="M1446" s="16">
        <v>212.584</v>
      </c>
      <c r="N1446" s="16">
        <v>99.09</v>
      </c>
      <c r="O1446" s="24">
        <v>14.0</v>
      </c>
      <c r="P1446" s="18">
        <f t="shared" si="1"/>
        <v>259.121</v>
      </c>
    </row>
    <row r="1447" ht="15.75" customHeight="1">
      <c r="A1447" s="19" t="s">
        <v>222</v>
      </c>
      <c r="B1447" s="19" t="s">
        <v>22</v>
      </c>
      <c r="C1447" s="20" t="s">
        <v>30</v>
      </c>
      <c r="D1447" s="14" t="str">
        <f>VLOOKUP(C1447,'State Key'!$A$2:$B$210,2,False)</f>
        <v>West Bengal</v>
      </c>
      <c r="E1447" s="21">
        <v>550.0</v>
      </c>
      <c r="F1447" s="22">
        <v>0.0</v>
      </c>
      <c r="G1447" s="22">
        <v>0.0</v>
      </c>
      <c r="H1447" s="22">
        <v>79.525</v>
      </c>
      <c r="I1447" s="22">
        <v>0.0</v>
      </c>
      <c r="J1447" s="22">
        <v>0.0</v>
      </c>
      <c r="K1447" s="22">
        <v>0.0</v>
      </c>
      <c r="L1447" s="22">
        <v>79.525</v>
      </c>
      <c r="M1447" s="22">
        <v>34.784</v>
      </c>
      <c r="N1447" s="22">
        <v>79.42</v>
      </c>
      <c r="O1447" s="24">
        <v>68.5</v>
      </c>
      <c r="P1447" s="18">
        <f t="shared" si="1"/>
        <v>79.525</v>
      </c>
    </row>
    <row r="1448" ht="15.75" customHeight="1">
      <c r="A1448" s="13" t="s">
        <v>222</v>
      </c>
      <c r="B1448" s="13" t="s">
        <v>22</v>
      </c>
      <c r="C1448" s="14" t="s">
        <v>31</v>
      </c>
      <c r="D1448" s="14" t="str">
        <f>VLOOKUP(C1448,'State Key'!$A$2:$B$210,2,False)</f>
        <v>Odisha</v>
      </c>
      <c r="E1448" s="15">
        <v>1600.0</v>
      </c>
      <c r="F1448" s="16">
        <v>0.0</v>
      </c>
      <c r="G1448" s="16">
        <v>0.0</v>
      </c>
      <c r="H1448" s="16">
        <v>820.95</v>
      </c>
      <c r="I1448" s="16">
        <v>0.0</v>
      </c>
      <c r="J1448" s="16">
        <v>0.0</v>
      </c>
      <c r="K1448" s="16">
        <v>0.0</v>
      </c>
      <c r="L1448" s="16">
        <v>820.95</v>
      </c>
      <c r="M1448" s="16">
        <v>853.994</v>
      </c>
      <c r="N1448" s="16">
        <v>351.91</v>
      </c>
      <c r="O1448" s="23">
        <v>12.4</v>
      </c>
      <c r="P1448" s="18">
        <f t="shared" si="1"/>
        <v>820.95</v>
      </c>
    </row>
    <row r="1449" ht="15.75" customHeight="1">
      <c r="A1449" s="19" t="s">
        <v>222</v>
      </c>
      <c r="B1449" s="19" t="s">
        <v>22</v>
      </c>
      <c r="C1449" s="20" t="s">
        <v>32</v>
      </c>
      <c r="D1449" s="14" t="str">
        <f>VLOOKUP(C1449,'State Key'!$A$2:$B$210,2,False)</f>
        <v>Odisha</v>
      </c>
      <c r="E1449" s="21">
        <v>1200.0</v>
      </c>
      <c r="F1449" s="22">
        <v>182.673</v>
      </c>
      <c r="G1449" s="22">
        <v>0.0</v>
      </c>
      <c r="H1449" s="22">
        <v>0.0</v>
      </c>
      <c r="I1449" s="22">
        <v>0.0</v>
      </c>
      <c r="J1449" s="22">
        <v>0.0</v>
      </c>
      <c r="K1449" s="22">
        <v>497.702</v>
      </c>
      <c r="L1449" s="22">
        <v>680.375</v>
      </c>
      <c r="M1449" s="22">
        <v>584.739</v>
      </c>
      <c r="N1449" s="22">
        <v>665.6</v>
      </c>
      <c r="O1449" s="24">
        <v>34.1</v>
      </c>
      <c r="P1449" s="18">
        <f t="shared" si="1"/>
        <v>680.375</v>
      </c>
    </row>
    <row r="1450" ht="15.75" customHeight="1">
      <c r="A1450" s="13" t="s">
        <v>222</v>
      </c>
      <c r="B1450" s="13" t="s">
        <v>22</v>
      </c>
      <c r="C1450" s="14" t="s">
        <v>33</v>
      </c>
      <c r="D1450" s="14" t="str">
        <f>VLOOKUP(C1450,'State Key'!$A$2:$B$210,2,False)</f>
        <v>West Bengal</v>
      </c>
      <c r="E1450" s="15">
        <v>12.0</v>
      </c>
      <c r="F1450" s="16">
        <v>0.0</v>
      </c>
      <c r="G1450" s="16">
        <v>0.0</v>
      </c>
      <c r="H1450" s="16">
        <v>0.0</v>
      </c>
      <c r="I1450" s="16">
        <v>0.0</v>
      </c>
      <c r="J1450" s="16">
        <v>0.0</v>
      </c>
      <c r="K1450" s="16">
        <v>0.0</v>
      </c>
      <c r="L1450" s="16">
        <v>0.0</v>
      </c>
      <c r="M1450" s="16">
        <v>3.31</v>
      </c>
      <c r="N1450" s="16">
        <v>4.86</v>
      </c>
      <c r="O1450" s="24">
        <v>44.0</v>
      </c>
      <c r="P1450" s="18">
        <f t="shared" si="1"/>
        <v>0</v>
      </c>
    </row>
    <row r="1451" ht="15.75" customHeight="1">
      <c r="A1451" s="19" t="s">
        <v>222</v>
      </c>
      <c r="B1451" s="19" t="s">
        <v>22</v>
      </c>
      <c r="C1451" s="20" t="s">
        <v>34</v>
      </c>
      <c r="D1451" s="14" t="str">
        <f>VLOOKUP(C1451,'State Key'!$A$2:$B$210,2,False)</f>
        <v>West Bengal</v>
      </c>
      <c r="E1451" s="21">
        <v>1000.0</v>
      </c>
      <c r="F1451" s="22">
        <v>398.267</v>
      </c>
      <c r="G1451" s="22">
        <v>0.0</v>
      </c>
      <c r="H1451" s="22">
        <v>0.0</v>
      </c>
      <c r="I1451" s="22">
        <v>8.904</v>
      </c>
      <c r="J1451" s="22">
        <v>0.0</v>
      </c>
      <c r="K1451" s="22">
        <v>0.0</v>
      </c>
      <c r="L1451" s="22">
        <v>407.171</v>
      </c>
      <c r="M1451" s="22">
        <v>309.823</v>
      </c>
      <c r="N1451" s="22">
        <v>226.06</v>
      </c>
      <c r="O1451" s="24">
        <v>21.9</v>
      </c>
      <c r="P1451" s="18">
        <f t="shared" si="1"/>
        <v>407.171</v>
      </c>
    </row>
    <row r="1452" ht="15.75" customHeight="1">
      <c r="A1452" s="13" t="s">
        <v>222</v>
      </c>
      <c r="B1452" s="13" t="s">
        <v>22</v>
      </c>
      <c r="C1452" s="14" t="s">
        <v>35</v>
      </c>
      <c r="D1452" s="14" t="str">
        <f>VLOOKUP(C1452,'State Key'!$A$2:$B$210,2,False)</f>
        <v>West Bengal</v>
      </c>
      <c r="E1452" s="15">
        <v>2100.0</v>
      </c>
      <c r="F1452" s="16">
        <v>826.1</v>
      </c>
      <c r="G1452" s="16">
        <v>0.0</v>
      </c>
      <c r="H1452" s="16">
        <v>0.0</v>
      </c>
      <c r="I1452" s="16">
        <v>50.27</v>
      </c>
      <c r="J1452" s="16">
        <v>0.0</v>
      </c>
      <c r="K1452" s="16">
        <v>0.0</v>
      </c>
      <c r="L1452" s="16">
        <v>876.37</v>
      </c>
      <c r="M1452" s="16">
        <v>660.641</v>
      </c>
      <c r="N1452" s="16">
        <v>411.56</v>
      </c>
      <c r="O1452" s="24">
        <v>18.7</v>
      </c>
      <c r="P1452" s="18">
        <f t="shared" si="1"/>
        <v>876.37</v>
      </c>
    </row>
    <row r="1453" ht="15.75" customHeight="1">
      <c r="A1453" s="19" t="s">
        <v>222</v>
      </c>
      <c r="B1453" s="19" t="s">
        <v>22</v>
      </c>
      <c r="C1453" s="20" t="s">
        <v>36</v>
      </c>
      <c r="D1453" s="14" t="str">
        <f>VLOOKUP(C1453,'State Key'!$A$2:$B$210,2,False)</f>
        <v>West Bengal</v>
      </c>
      <c r="E1453" s="21">
        <v>600.0</v>
      </c>
      <c r="F1453" s="22">
        <v>180.886</v>
      </c>
      <c r="G1453" s="22">
        <v>0.0</v>
      </c>
      <c r="H1453" s="22">
        <v>0.0</v>
      </c>
      <c r="I1453" s="22">
        <v>0.0</v>
      </c>
      <c r="J1453" s="22">
        <v>0.0</v>
      </c>
      <c r="K1453" s="22">
        <v>0.0</v>
      </c>
      <c r="L1453" s="22">
        <v>180.886</v>
      </c>
      <c r="M1453" s="22">
        <v>193.303</v>
      </c>
      <c r="N1453" s="22">
        <v>174.82</v>
      </c>
      <c r="O1453" s="24">
        <v>27.1</v>
      </c>
      <c r="P1453" s="18">
        <f t="shared" si="1"/>
        <v>180.886</v>
      </c>
    </row>
    <row r="1454" ht="15.75" customHeight="1">
      <c r="A1454" s="13" t="s">
        <v>222</v>
      </c>
      <c r="B1454" s="13" t="s">
        <v>22</v>
      </c>
      <c r="C1454" s="14" t="s">
        <v>37</v>
      </c>
      <c r="D1454" s="14" t="str">
        <f>VLOOKUP(C1454,'State Key'!$A$2:$B$210,2,False)</f>
        <v>West Bengal</v>
      </c>
      <c r="E1454" s="15">
        <v>300.0</v>
      </c>
      <c r="F1454" s="16">
        <v>135.023</v>
      </c>
      <c r="G1454" s="16">
        <v>0.0</v>
      </c>
      <c r="H1454" s="16">
        <v>0.0</v>
      </c>
      <c r="I1454" s="16">
        <v>0.0</v>
      </c>
      <c r="J1454" s="16">
        <v>0.0</v>
      </c>
      <c r="K1454" s="16">
        <v>0.0</v>
      </c>
      <c r="L1454" s="16">
        <v>135.023</v>
      </c>
      <c r="M1454" s="16">
        <v>113.017</v>
      </c>
      <c r="N1454" s="16">
        <v>24.85</v>
      </c>
      <c r="O1454" s="17">
        <v>6.6</v>
      </c>
      <c r="P1454" s="18">
        <f t="shared" si="1"/>
        <v>135.023</v>
      </c>
    </row>
    <row r="1455" ht="15.75" customHeight="1">
      <c r="A1455" s="19" t="s">
        <v>222</v>
      </c>
      <c r="B1455" s="19" t="s">
        <v>22</v>
      </c>
      <c r="C1455" s="20" t="s">
        <v>38</v>
      </c>
      <c r="D1455" s="14" t="str">
        <f>VLOOKUP(C1455,'State Key'!$A$2:$B$210,2,False)</f>
        <v>Odisha</v>
      </c>
      <c r="E1455" s="21">
        <v>1740.0</v>
      </c>
      <c r="F1455" s="22">
        <v>171.599</v>
      </c>
      <c r="G1455" s="22">
        <v>0.0</v>
      </c>
      <c r="H1455" s="22">
        <v>536.282</v>
      </c>
      <c r="I1455" s="22">
        <v>0.0</v>
      </c>
      <c r="J1455" s="22">
        <v>0.0</v>
      </c>
      <c r="K1455" s="22">
        <v>0.0</v>
      </c>
      <c r="L1455" s="22">
        <v>707.881</v>
      </c>
      <c r="M1455" s="22">
        <v>585.625</v>
      </c>
      <c r="N1455" s="22">
        <v>354.26</v>
      </c>
      <c r="O1455" s="24">
        <v>18.1</v>
      </c>
      <c r="P1455" s="18">
        <f t="shared" si="1"/>
        <v>707.881</v>
      </c>
    </row>
    <row r="1456" ht="15.75" customHeight="1">
      <c r="A1456" s="13" t="s">
        <v>222</v>
      </c>
      <c r="B1456" s="13" t="s">
        <v>22</v>
      </c>
      <c r="C1456" s="14" t="s">
        <v>39</v>
      </c>
      <c r="D1456" s="14" t="str">
        <f>VLOOKUP(C1456,'State Key'!$A$2:$B$210,2,False)</f>
        <v>Jharkhand</v>
      </c>
      <c r="E1456" s="15">
        <v>240.0</v>
      </c>
      <c r="F1456" s="16">
        <v>77.46671</v>
      </c>
      <c r="G1456" s="16">
        <v>0.0</v>
      </c>
      <c r="H1456" s="16">
        <v>0.0</v>
      </c>
      <c r="I1456" s="16">
        <v>0.0</v>
      </c>
      <c r="J1456" s="16">
        <v>3.09434</v>
      </c>
      <c r="K1456" s="16">
        <v>0.0</v>
      </c>
      <c r="L1456" s="16">
        <v>80.56105</v>
      </c>
      <c r="M1456" s="16">
        <v>60.53</v>
      </c>
      <c r="N1456" s="16">
        <v>62.91</v>
      </c>
      <c r="O1456" s="24">
        <v>31.2</v>
      </c>
      <c r="P1456" s="18">
        <f t="shared" si="1"/>
        <v>80.56105</v>
      </c>
    </row>
    <row r="1457" ht="15.75" customHeight="1">
      <c r="A1457" s="19" t="s">
        <v>222</v>
      </c>
      <c r="B1457" s="19" t="s">
        <v>22</v>
      </c>
      <c r="C1457" s="20" t="s">
        <v>40</v>
      </c>
      <c r="D1457" s="14" t="str">
        <f>VLOOKUP(C1457,'State Key'!$A$2:$B$210,2,False)</f>
        <v>Bihar</v>
      </c>
      <c r="E1457" s="21">
        <v>2340.0</v>
      </c>
      <c r="F1457" s="22">
        <v>1198.04</v>
      </c>
      <c r="G1457" s="22">
        <v>0.0</v>
      </c>
      <c r="H1457" s="22">
        <v>0.0</v>
      </c>
      <c r="I1457" s="22">
        <v>69.21</v>
      </c>
      <c r="J1457" s="22">
        <v>0.0</v>
      </c>
      <c r="K1457" s="22">
        <v>0.0</v>
      </c>
      <c r="L1457" s="22">
        <v>1267.25</v>
      </c>
      <c r="M1457" s="22">
        <v>1049.483</v>
      </c>
      <c r="N1457" s="22">
        <v>453.043</v>
      </c>
      <c r="O1457" s="23">
        <v>13.0</v>
      </c>
      <c r="P1457" s="18">
        <f t="shared" si="1"/>
        <v>1267.25</v>
      </c>
    </row>
    <row r="1458" ht="15.75" customHeight="1">
      <c r="A1458" s="13" t="s">
        <v>222</v>
      </c>
      <c r="B1458" s="13" t="s">
        <v>22</v>
      </c>
      <c r="C1458" s="14" t="s">
        <v>41</v>
      </c>
      <c r="D1458" s="14" t="str">
        <f>VLOOKUP(C1458,'State Key'!$A$2:$B$210,2,False)</f>
        <v>Odisha</v>
      </c>
      <c r="E1458" s="15">
        <v>1050.0</v>
      </c>
      <c r="F1458" s="16">
        <v>399.621</v>
      </c>
      <c r="G1458" s="16">
        <v>0.0</v>
      </c>
      <c r="H1458" s="16">
        <v>0.0</v>
      </c>
      <c r="I1458" s="16">
        <v>0.0</v>
      </c>
      <c r="J1458" s="16">
        <v>0.0</v>
      </c>
      <c r="K1458" s="16">
        <v>100.209</v>
      </c>
      <c r="L1458" s="16">
        <v>499.83</v>
      </c>
      <c r="M1458" s="16">
        <v>432.426</v>
      </c>
      <c r="N1458" s="16">
        <v>132.611</v>
      </c>
      <c r="O1458" s="23">
        <v>9.2</v>
      </c>
      <c r="P1458" s="18">
        <f t="shared" si="1"/>
        <v>499.83</v>
      </c>
    </row>
    <row r="1459" ht="15.75" customHeight="1">
      <c r="A1459" s="19" t="s">
        <v>222</v>
      </c>
      <c r="B1459" s="19" t="s">
        <v>22</v>
      </c>
      <c r="C1459" s="20" t="s">
        <v>42</v>
      </c>
      <c r="D1459" s="14" t="str">
        <f>VLOOKUP(C1459,'State Key'!$A$2:$B$210,2,False)</f>
        <v>Jharkhand</v>
      </c>
      <c r="E1459" s="21">
        <v>1000.0</v>
      </c>
      <c r="F1459" s="22">
        <v>395.548</v>
      </c>
      <c r="G1459" s="22">
        <v>8.1425</v>
      </c>
      <c r="H1459" s="22">
        <v>3.515</v>
      </c>
      <c r="I1459" s="22">
        <v>0.0</v>
      </c>
      <c r="J1459" s="22">
        <v>0.0</v>
      </c>
      <c r="K1459" s="22">
        <v>0.0</v>
      </c>
      <c r="L1459" s="22">
        <v>407.2055</v>
      </c>
      <c r="M1459" s="22">
        <v>337.48</v>
      </c>
      <c r="N1459" s="22">
        <v>183.14</v>
      </c>
      <c r="O1459" s="24">
        <v>16.3</v>
      </c>
      <c r="P1459" s="18">
        <f t="shared" si="1"/>
        <v>407.2055</v>
      </c>
    </row>
    <row r="1460" ht="15.75" customHeight="1">
      <c r="A1460" s="13" t="s">
        <v>222</v>
      </c>
      <c r="B1460" s="13" t="s">
        <v>22</v>
      </c>
      <c r="C1460" s="14" t="s">
        <v>43</v>
      </c>
      <c r="D1460" s="14" t="str">
        <f>VLOOKUP(C1460,'State Key'!$A$2:$B$210,2,False)</f>
        <v>West Bengal</v>
      </c>
      <c r="E1460" s="15">
        <v>840.0</v>
      </c>
      <c r="F1460" s="16">
        <v>93.203</v>
      </c>
      <c r="G1460" s="16">
        <v>0.0</v>
      </c>
      <c r="H1460" s="16">
        <v>333.134</v>
      </c>
      <c r="I1460" s="16">
        <v>0.0</v>
      </c>
      <c r="J1460" s="16">
        <v>0.0</v>
      </c>
      <c r="K1460" s="16">
        <v>0.0</v>
      </c>
      <c r="L1460" s="16">
        <v>426.337</v>
      </c>
      <c r="M1460" s="16">
        <v>419.474</v>
      </c>
      <c r="N1460" s="16">
        <v>17.21</v>
      </c>
      <c r="O1460" s="17">
        <v>1.2</v>
      </c>
      <c r="P1460" s="18">
        <f t="shared" si="1"/>
        <v>426.337</v>
      </c>
    </row>
    <row r="1461" ht="15.75" customHeight="1">
      <c r="A1461" s="19" t="s">
        <v>222</v>
      </c>
      <c r="B1461" s="19" t="s">
        <v>22</v>
      </c>
      <c r="C1461" s="20" t="s">
        <v>44</v>
      </c>
      <c r="D1461" s="14" t="str">
        <f>VLOOKUP(C1461,'State Key'!$A$2:$B$210,2,False)</f>
        <v>Jharkhand</v>
      </c>
      <c r="E1461" s="21">
        <v>540.0</v>
      </c>
      <c r="F1461" s="22">
        <v>186.183</v>
      </c>
      <c r="G1461" s="22">
        <v>0.0</v>
      </c>
      <c r="H1461" s="22">
        <v>0.0</v>
      </c>
      <c r="I1461" s="22">
        <v>0.0</v>
      </c>
      <c r="J1461" s="22">
        <v>61.158</v>
      </c>
      <c r="K1461" s="22">
        <v>0.0</v>
      </c>
      <c r="L1461" s="22">
        <v>247.341</v>
      </c>
      <c r="M1461" s="22">
        <v>225.402</v>
      </c>
      <c r="N1461" s="22">
        <v>64.66</v>
      </c>
      <c r="O1461" s="23">
        <v>8.6</v>
      </c>
      <c r="P1461" s="18">
        <f t="shared" si="1"/>
        <v>247.341</v>
      </c>
    </row>
    <row r="1462" ht="15.75" customHeight="1">
      <c r="A1462" s="13" t="s">
        <v>222</v>
      </c>
      <c r="B1462" s="13" t="s">
        <v>22</v>
      </c>
      <c r="C1462" s="14" t="s">
        <v>45</v>
      </c>
      <c r="D1462" s="14" t="str">
        <f>VLOOKUP(C1462,'State Key'!$A$2:$B$210,2,False)</f>
        <v>Jharkhand</v>
      </c>
      <c r="E1462" s="15">
        <v>1050.0</v>
      </c>
      <c r="F1462" s="16">
        <v>520.806</v>
      </c>
      <c r="G1462" s="16">
        <v>0.0</v>
      </c>
      <c r="H1462" s="16">
        <v>0.0</v>
      </c>
      <c r="I1462" s="16">
        <v>0.0</v>
      </c>
      <c r="J1462" s="16">
        <v>0.0</v>
      </c>
      <c r="K1462" s="16">
        <v>0.0</v>
      </c>
      <c r="L1462" s="16">
        <v>520.806</v>
      </c>
      <c r="M1462" s="16">
        <v>425.559</v>
      </c>
      <c r="N1462" s="16">
        <v>465.05</v>
      </c>
      <c r="O1462" s="24">
        <v>32.8</v>
      </c>
      <c r="P1462" s="18">
        <f t="shared" si="1"/>
        <v>520.806</v>
      </c>
    </row>
    <row r="1463" ht="15.75" customHeight="1">
      <c r="A1463" s="19" t="s">
        <v>222</v>
      </c>
      <c r="B1463" s="19" t="s">
        <v>22</v>
      </c>
      <c r="C1463" s="20" t="s">
        <v>46</v>
      </c>
      <c r="D1463" s="14" t="str">
        <f>VLOOKUP(C1463,'State Key'!$A$2:$B$210,2,False)</f>
        <v>West Bengal</v>
      </c>
      <c r="E1463" s="21">
        <v>2340.0</v>
      </c>
      <c r="F1463" s="22">
        <v>858.969</v>
      </c>
      <c r="G1463" s="22">
        <v>0.0</v>
      </c>
      <c r="H1463" s="22">
        <v>95.034</v>
      </c>
      <c r="I1463" s="22">
        <v>39.281</v>
      </c>
      <c r="J1463" s="22">
        <v>102.108</v>
      </c>
      <c r="K1463" s="22">
        <v>0.0</v>
      </c>
      <c r="L1463" s="22">
        <v>1095.392</v>
      </c>
      <c r="M1463" s="22">
        <v>978.962</v>
      </c>
      <c r="N1463" s="22">
        <v>343.02</v>
      </c>
      <c r="O1463" s="23">
        <v>10.5</v>
      </c>
      <c r="P1463" s="18">
        <f t="shared" si="1"/>
        <v>1095.392</v>
      </c>
    </row>
    <row r="1464" ht="15.75" customHeight="1">
      <c r="A1464" s="13" t="s">
        <v>222</v>
      </c>
      <c r="B1464" s="13" t="s">
        <v>22</v>
      </c>
      <c r="C1464" s="14" t="s">
        <v>47</v>
      </c>
      <c r="D1464" s="14" t="str">
        <f>VLOOKUP(C1464,'State Key'!$A$2:$B$210,2,False)</f>
        <v>Bihar</v>
      </c>
      <c r="E1464" s="15">
        <v>390.0</v>
      </c>
      <c r="F1464" s="16">
        <v>15.406</v>
      </c>
      <c r="G1464" s="16">
        <v>0.0</v>
      </c>
      <c r="H1464" s="16">
        <v>127.074</v>
      </c>
      <c r="I1464" s="16">
        <v>0.0</v>
      </c>
      <c r="J1464" s="16">
        <v>0.0</v>
      </c>
      <c r="K1464" s="16">
        <v>0.0</v>
      </c>
      <c r="L1464" s="16">
        <v>142.48</v>
      </c>
      <c r="M1464" s="16">
        <v>88.686</v>
      </c>
      <c r="N1464" s="16">
        <v>102.24</v>
      </c>
      <c r="O1464" s="24">
        <v>34.6</v>
      </c>
      <c r="P1464" s="18">
        <f t="shared" si="1"/>
        <v>142.48</v>
      </c>
    </row>
    <row r="1465" ht="15.75" customHeight="1">
      <c r="A1465" s="19" t="s">
        <v>222</v>
      </c>
      <c r="B1465" s="19" t="s">
        <v>22</v>
      </c>
      <c r="C1465" s="20" t="s">
        <v>48</v>
      </c>
      <c r="D1465" s="14" t="str">
        <f>VLOOKUP(C1465,'State Key'!$A$2:$B$210,2,False)</f>
        <v>Bihar</v>
      </c>
      <c r="E1465" s="21">
        <v>1980.0</v>
      </c>
      <c r="F1465" s="22">
        <v>566.94</v>
      </c>
      <c r="G1465" s="22">
        <v>0.0</v>
      </c>
      <c r="H1465" s="22">
        <v>149.84122</v>
      </c>
      <c r="I1465" s="22">
        <v>135.705</v>
      </c>
      <c r="J1465" s="22">
        <v>0.0</v>
      </c>
      <c r="K1465" s="22">
        <v>0.0</v>
      </c>
      <c r="L1465" s="22">
        <v>852.48622</v>
      </c>
      <c r="M1465" s="22">
        <v>673.06</v>
      </c>
      <c r="N1465" s="22">
        <v>291.71</v>
      </c>
      <c r="O1465" s="23">
        <v>13.0</v>
      </c>
      <c r="P1465" s="18">
        <f t="shared" si="1"/>
        <v>852.48622</v>
      </c>
    </row>
    <row r="1466" ht="15.75" customHeight="1">
      <c r="A1466" s="13" t="s">
        <v>222</v>
      </c>
      <c r="B1466" s="13" t="s">
        <v>22</v>
      </c>
      <c r="C1466" s="14" t="s">
        <v>49</v>
      </c>
      <c r="D1466" s="14" t="str">
        <f>VLOOKUP(C1466,'State Key'!$A$2:$B$210,2,False)</f>
        <v>Bihar</v>
      </c>
      <c r="E1466" s="15">
        <v>1000.0</v>
      </c>
      <c r="F1466" s="16">
        <v>330.7405</v>
      </c>
      <c r="G1466" s="16">
        <v>0.0</v>
      </c>
      <c r="H1466" s="16">
        <v>0.0</v>
      </c>
      <c r="I1466" s="16">
        <v>34.5456</v>
      </c>
      <c r="J1466" s="16">
        <v>0.0</v>
      </c>
      <c r="K1466" s="16">
        <v>0.0</v>
      </c>
      <c r="L1466" s="16">
        <v>365.2861</v>
      </c>
      <c r="M1466" s="16">
        <v>330.532</v>
      </c>
      <c r="N1466" s="16">
        <v>100.668</v>
      </c>
      <c r="O1466" s="23">
        <v>9.1</v>
      </c>
      <c r="P1466" s="18">
        <f t="shared" si="1"/>
        <v>365.2861</v>
      </c>
    </row>
    <row r="1467" ht="15.75" customHeight="1">
      <c r="A1467" s="19" t="s">
        <v>222</v>
      </c>
      <c r="B1467" s="19" t="s">
        <v>22</v>
      </c>
      <c r="C1467" s="20" t="s">
        <v>50</v>
      </c>
      <c r="D1467" s="14" t="str">
        <f>VLOOKUP(C1467,'State Key'!$A$2:$B$210,2,False)</f>
        <v>Jharkhand</v>
      </c>
      <c r="E1467" s="21">
        <v>660.0</v>
      </c>
      <c r="F1467" s="22">
        <v>191.58</v>
      </c>
      <c r="G1467" s="22">
        <v>0.0</v>
      </c>
      <c r="H1467" s="22">
        <v>77.15</v>
      </c>
      <c r="I1467" s="22">
        <v>0.0</v>
      </c>
      <c r="J1467" s="22">
        <v>0.0</v>
      </c>
      <c r="K1467" s="22">
        <v>0.0</v>
      </c>
      <c r="L1467" s="22">
        <v>268.73</v>
      </c>
      <c r="M1467" s="22">
        <v>316.875</v>
      </c>
      <c r="N1467" s="22">
        <v>165.215</v>
      </c>
      <c r="O1467" s="24">
        <v>15.6</v>
      </c>
      <c r="P1467" s="18">
        <f t="shared" si="1"/>
        <v>268.73</v>
      </c>
    </row>
    <row r="1468" ht="15.75" customHeight="1">
      <c r="A1468" s="13" t="s">
        <v>222</v>
      </c>
      <c r="B1468" s="13" t="s">
        <v>22</v>
      </c>
      <c r="C1468" s="14" t="s">
        <v>51</v>
      </c>
      <c r="D1468" s="14" t="str">
        <f>VLOOKUP(C1468,'State Key'!$A$2:$B$210,2,False)</f>
        <v>West Bengal</v>
      </c>
      <c r="E1468" s="15">
        <v>1200.0</v>
      </c>
      <c r="F1468" s="16">
        <v>379.819</v>
      </c>
      <c r="G1468" s="16">
        <v>0.0</v>
      </c>
      <c r="H1468" s="16">
        <v>0.0</v>
      </c>
      <c r="I1468" s="16">
        <v>6.441</v>
      </c>
      <c r="J1468" s="16">
        <v>9.291</v>
      </c>
      <c r="K1468" s="16">
        <v>0.0</v>
      </c>
      <c r="L1468" s="16">
        <v>395.551</v>
      </c>
      <c r="M1468" s="16">
        <v>390.512</v>
      </c>
      <c r="N1468" s="16">
        <v>150.85</v>
      </c>
      <c r="O1468" s="23">
        <v>11.6</v>
      </c>
      <c r="P1468" s="18">
        <f t="shared" si="1"/>
        <v>395.551</v>
      </c>
    </row>
    <row r="1469" ht="15.75" customHeight="1">
      <c r="A1469" s="19" t="s">
        <v>222</v>
      </c>
      <c r="B1469" s="19" t="s">
        <v>22</v>
      </c>
      <c r="C1469" s="20" t="s">
        <v>52</v>
      </c>
      <c r="D1469" s="14" t="str">
        <f>VLOOKUP(C1469,'State Key'!$A$2:$B$210,2,False)</f>
        <v>West Bengal</v>
      </c>
      <c r="E1469" s="21">
        <v>1600.0</v>
      </c>
      <c r="F1469" s="22">
        <v>28.726</v>
      </c>
      <c r="G1469" s="22">
        <v>0.0</v>
      </c>
      <c r="H1469" s="22">
        <v>656.398</v>
      </c>
      <c r="I1469" s="22">
        <v>0.0</v>
      </c>
      <c r="J1469" s="22">
        <v>0.0</v>
      </c>
      <c r="K1469" s="22">
        <v>0.0</v>
      </c>
      <c r="L1469" s="22">
        <v>685.124</v>
      </c>
      <c r="M1469" s="22">
        <v>516.776</v>
      </c>
      <c r="N1469" s="22">
        <v>245.878</v>
      </c>
      <c r="O1469" s="24">
        <v>14.3</v>
      </c>
      <c r="P1469" s="18">
        <f t="shared" si="1"/>
        <v>685.124</v>
      </c>
    </row>
    <row r="1470" ht="15.75" customHeight="1">
      <c r="A1470" s="13" t="s">
        <v>222</v>
      </c>
      <c r="B1470" s="13" t="s">
        <v>22</v>
      </c>
      <c r="C1470" s="14" t="s">
        <v>53</v>
      </c>
      <c r="D1470" s="14" t="str">
        <f>VLOOKUP(C1470,'State Key'!$A$2:$B$210,2,False)</f>
        <v>West Bengal</v>
      </c>
      <c r="E1470" s="15">
        <v>500.0</v>
      </c>
      <c r="F1470" s="16">
        <v>85.088</v>
      </c>
      <c r="G1470" s="16">
        <v>0.0</v>
      </c>
      <c r="H1470" s="16">
        <v>170.885</v>
      </c>
      <c r="I1470" s="16">
        <v>0.0</v>
      </c>
      <c r="J1470" s="16">
        <v>0.0</v>
      </c>
      <c r="K1470" s="16">
        <v>0.0</v>
      </c>
      <c r="L1470" s="16">
        <v>255.973</v>
      </c>
      <c r="M1470" s="16">
        <v>225.505</v>
      </c>
      <c r="N1470" s="16">
        <v>83.35</v>
      </c>
      <c r="O1470" s="23">
        <v>11.1</v>
      </c>
      <c r="P1470" s="18">
        <f t="shared" si="1"/>
        <v>255.973</v>
      </c>
    </row>
    <row r="1471" ht="15.75" customHeight="1">
      <c r="A1471" s="19" t="s">
        <v>222</v>
      </c>
      <c r="B1471" s="19" t="s">
        <v>22</v>
      </c>
      <c r="C1471" s="20" t="s">
        <v>54</v>
      </c>
      <c r="D1471" s="14" t="str">
        <f>VLOOKUP(C1471,'State Key'!$A$2:$B$210,2,False)</f>
        <v>West Bengal</v>
      </c>
      <c r="E1471" s="21">
        <v>135.0</v>
      </c>
      <c r="F1471" s="22">
        <v>15.586</v>
      </c>
      <c r="G1471" s="22">
        <v>0.0</v>
      </c>
      <c r="H1471" s="22">
        <v>0.0</v>
      </c>
      <c r="I1471" s="22">
        <v>0.0</v>
      </c>
      <c r="J1471" s="22">
        <v>0.0</v>
      </c>
      <c r="K1471" s="22">
        <v>4.015</v>
      </c>
      <c r="L1471" s="22">
        <v>19.601</v>
      </c>
      <c r="M1471" s="22">
        <v>21.163</v>
      </c>
      <c r="N1471" s="22">
        <v>26.0</v>
      </c>
      <c r="O1471" s="24">
        <v>36.9</v>
      </c>
      <c r="P1471" s="18">
        <f t="shared" si="1"/>
        <v>19.601</v>
      </c>
    </row>
    <row r="1472" ht="15.75" customHeight="1">
      <c r="A1472" s="13" t="s">
        <v>222</v>
      </c>
      <c r="B1472" s="13" t="s">
        <v>22</v>
      </c>
      <c r="C1472" s="14" t="s">
        <v>55</v>
      </c>
      <c r="D1472" s="14" t="str">
        <f>VLOOKUP(C1472,'State Key'!$A$2:$B$210,2,False)</f>
        <v>Odisha</v>
      </c>
      <c r="E1472" s="15">
        <v>3000.0</v>
      </c>
      <c r="F1472" s="16">
        <v>1639.72</v>
      </c>
      <c r="G1472" s="16">
        <v>0.0</v>
      </c>
      <c r="H1472" s="16">
        <v>0.0</v>
      </c>
      <c r="I1472" s="16">
        <v>0.0</v>
      </c>
      <c r="J1472" s="16">
        <v>0.0</v>
      </c>
      <c r="K1472" s="16">
        <v>0.0</v>
      </c>
      <c r="L1472" s="16">
        <v>1639.72</v>
      </c>
      <c r="M1472" s="16">
        <v>1483.214</v>
      </c>
      <c r="N1472" s="16">
        <v>592.022</v>
      </c>
      <c r="O1472" s="23">
        <v>12.0</v>
      </c>
      <c r="P1472" s="18">
        <f t="shared" si="1"/>
        <v>1639.72</v>
      </c>
    </row>
    <row r="1473" ht="15.75" customHeight="1">
      <c r="A1473" s="19" t="s">
        <v>222</v>
      </c>
      <c r="B1473" s="19" t="s">
        <v>22</v>
      </c>
      <c r="C1473" s="20" t="s">
        <v>56</v>
      </c>
      <c r="D1473" s="14" t="str">
        <f>VLOOKUP(C1473,'State Key'!$A$2:$B$210,2,False)</f>
        <v>Jharkhand</v>
      </c>
      <c r="E1473" s="21">
        <v>420.0</v>
      </c>
      <c r="F1473" s="22">
        <v>190.6</v>
      </c>
      <c r="G1473" s="22">
        <v>0.0</v>
      </c>
      <c r="H1473" s="22">
        <v>0.0</v>
      </c>
      <c r="I1473" s="22">
        <v>0.0</v>
      </c>
      <c r="J1473" s="22">
        <v>0.0</v>
      </c>
      <c r="K1473" s="22">
        <v>0.0</v>
      </c>
      <c r="L1473" s="22">
        <v>190.6</v>
      </c>
      <c r="M1473" s="22">
        <v>162.78</v>
      </c>
      <c r="N1473" s="22">
        <v>35.98</v>
      </c>
      <c r="O1473" s="17">
        <v>6.6</v>
      </c>
      <c r="P1473" s="18">
        <f t="shared" si="1"/>
        <v>190.6</v>
      </c>
    </row>
    <row r="1474" ht="15.75" customHeight="1">
      <c r="A1474" s="13" t="s">
        <v>222</v>
      </c>
      <c r="B1474" s="13" t="s">
        <v>22</v>
      </c>
      <c r="C1474" s="14" t="s">
        <v>57</v>
      </c>
      <c r="D1474" s="14" t="str">
        <f>VLOOKUP(C1474,'State Key'!$A$2:$B$210,2,False)</f>
        <v>West Bengal</v>
      </c>
      <c r="E1474" s="15">
        <v>240.0</v>
      </c>
      <c r="F1474" s="16">
        <v>0.0</v>
      </c>
      <c r="G1474" s="16">
        <v>0.0</v>
      </c>
      <c r="H1474" s="16">
        <v>0.0</v>
      </c>
      <c r="I1474" s="16">
        <v>0.0</v>
      </c>
      <c r="J1474" s="16">
        <v>0.0</v>
      </c>
      <c r="K1474" s="16">
        <v>0.0</v>
      </c>
      <c r="L1474" s="16">
        <v>0.0</v>
      </c>
      <c r="M1474" s="16">
        <v>0.0</v>
      </c>
      <c r="N1474" s="16">
        <v>0.0</v>
      </c>
      <c r="O1474" s="13" t="s">
        <v>58</v>
      </c>
      <c r="P1474" s="18">
        <f t="shared" si="1"/>
        <v>0</v>
      </c>
    </row>
    <row r="1475" ht="15.75" customHeight="1">
      <c r="A1475" s="19" t="s">
        <v>222</v>
      </c>
      <c r="B1475" s="19" t="s">
        <v>22</v>
      </c>
      <c r="C1475" s="20" t="s">
        <v>59</v>
      </c>
      <c r="D1475" s="14" t="str">
        <f>VLOOKUP(C1475,'State Key'!$A$2:$B$210,2,False)</f>
        <v>Odisha</v>
      </c>
      <c r="E1475" s="21">
        <v>350.0</v>
      </c>
      <c r="F1475" s="22">
        <v>0.0</v>
      </c>
      <c r="G1475" s="22">
        <v>0.0</v>
      </c>
      <c r="H1475" s="22">
        <v>0.0</v>
      </c>
      <c r="I1475" s="22">
        <v>0.0</v>
      </c>
      <c r="J1475" s="22">
        <v>0.0</v>
      </c>
      <c r="K1475" s="22">
        <v>0.0</v>
      </c>
      <c r="L1475" s="22">
        <v>0.0</v>
      </c>
      <c r="M1475" s="22">
        <v>0.0</v>
      </c>
      <c r="N1475" s="22">
        <v>0.0</v>
      </c>
      <c r="O1475" s="19" t="s">
        <v>58</v>
      </c>
      <c r="P1475" s="18">
        <f t="shared" si="1"/>
        <v>0</v>
      </c>
    </row>
    <row r="1476" ht="15.75" customHeight="1">
      <c r="A1476" s="13" t="s">
        <v>222</v>
      </c>
      <c r="B1476" s="13" t="s">
        <v>22</v>
      </c>
      <c r="C1476" s="14" t="s">
        <v>60</v>
      </c>
      <c r="D1476" s="14" t="str">
        <f>VLOOKUP(C1476,'State Key'!$A$2:$B$210,2,False)</f>
        <v>Odisha</v>
      </c>
      <c r="E1476" s="15">
        <v>600.0</v>
      </c>
      <c r="F1476" s="16">
        <v>175.98</v>
      </c>
      <c r="G1476" s="16">
        <v>0.0</v>
      </c>
      <c r="H1476" s="16">
        <v>0.0</v>
      </c>
      <c r="I1476" s="16">
        <v>0.0</v>
      </c>
      <c r="J1476" s="16">
        <v>0.0</v>
      </c>
      <c r="K1476" s="16">
        <v>0.0</v>
      </c>
      <c r="L1476" s="16">
        <v>175.98</v>
      </c>
      <c r="M1476" s="16">
        <v>209.19</v>
      </c>
      <c r="N1476" s="16">
        <v>102.33</v>
      </c>
      <c r="O1476" s="24">
        <v>14.7</v>
      </c>
      <c r="P1476" s="18">
        <f t="shared" si="1"/>
        <v>175.98</v>
      </c>
    </row>
    <row r="1477" ht="15.75" customHeight="1">
      <c r="A1477" s="19" t="s">
        <v>222</v>
      </c>
      <c r="B1477" s="19" t="s">
        <v>61</v>
      </c>
      <c r="C1477" s="20" t="s">
        <v>209</v>
      </c>
      <c r="D1477" s="14" t="str">
        <f>VLOOKUP(C1477,'State Key'!$A$2:$B$210,2,False)</f>
        <v>Rajasthan</v>
      </c>
      <c r="E1477" s="21">
        <v>1320.0</v>
      </c>
      <c r="F1477" s="22">
        <v>390.112</v>
      </c>
      <c r="G1477" s="22">
        <v>0.0</v>
      </c>
      <c r="H1477" s="22">
        <v>0.0</v>
      </c>
      <c r="I1477" s="22">
        <v>3.961</v>
      </c>
      <c r="J1477" s="22">
        <v>0.0</v>
      </c>
      <c r="K1477" s="22">
        <v>0.0</v>
      </c>
      <c r="L1477" s="22">
        <v>394.073</v>
      </c>
      <c r="M1477" s="22">
        <v>464.183</v>
      </c>
      <c r="N1477" s="22">
        <v>159.59</v>
      </c>
      <c r="O1477" s="23">
        <v>10.3</v>
      </c>
      <c r="P1477" s="18">
        <f t="shared" si="1"/>
        <v>394.073</v>
      </c>
    </row>
    <row r="1478" ht="15.75" customHeight="1">
      <c r="A1478" s="13" t="s">
        <v>222</v>
      </c>
      <c r="B1478" s="13" t="s">
        <v>61</v>
      </c>
      <c r="C1478" s="14" t="s">
        <v>62</v>
      </c>
      <c r="D1478" s="14" t="str">
        <f>VLOOKUP(C1478,'State Key'!$A$2:$B$210,2,False)</f>
        <v>Uttar Pradesh</v>
      </c>
      <c r="E1478" s="15">
        <v>1200.0</v>
      </c>
      <c r="F1478" s="16">
        <v>332.9</v>
      </c>
      <c r="G1478" s="16">
        <v>0.0</v>
      </c>
      <c r="H1478" s="16">
        <v>0.0</v>
      </c>
      <c r="I1478" s="16">
        <v>0.0</v>
      </c>
      <c r="J1478" s="16">
        <v>0.0</v>
      </c>
      <c r="K1478" s="16">
        <v>0.0</v>
      </c>
      <c r="L1478" s="16">
        <v>332.9</v>
      </c>
      <c r="M1478" s="16">
        <v>224.13</v>
      </c>
      <c r="N1478" s="16">
        <v>386.76</v>
      </c>
      <c r="O1478" s="24">
        <v>51.8</v>
      </c>
      <c r="P1478" s="18">
        <f t="shared" si="1"/>
        <v>332.9</v>
      </c>
    </row>
    <row r="1479" ht="15.75" customHeight="1">
      <c r="A1479" s="19" t="s">
        <v>222</v>
      </c>
      <c r="B1479" s="19" t="s">
        <v>61</v>
      </c>
      <c r="C1479" s="20" t="s">
        <v>63</v>
      </c>
      <c r="D1479" s="14" t="str">
        <f>VLOOKUP(C1479,'State Key'!$A$2:$B$210,2,False)</f>
        <v>Uttar Pradesh</v>
      </c>
      <c r="E1479" s="21">
        <v>2630.0</v>
      </c>
      <c r="F1479" s="22">
        <v>1052.628</v>
      </c>
      <c r="G1479" s="22">
        <v>0.0</v>
      </c>
      <c r="H1479" s="22">
        <v>0.0</v>
      </c>
      <c r="I1479" s="22">
        <v>0.0</v>
      </c>
      <c r="J1479" s="22">
        <v>0.0</v>
      </c>
      <c r="K1479" s="22">
        <v>0.0</v>
      </c>
      <c r="L1479" s="22">
        <v>1052.628</v>
      </c>
      <c r="M1479" s="22">
        <v>744.777</v>
      </c>
      <c r="N1479" s="22">
        <v>743.12</v>
      </c>
      <c r="O1479" s="24">
        <v>29.9</v>
      </c>
      <c r="P1479" s="18">
        <f t="shared" si="1"/>
        <v>1052.628</v>
      </c>
    </row>
    <row r="1480" ht="15.75" customHeight="1">
      <c r="A1480" s="13" t="s">
        <v>222</v>
      </c>
      <c r="B1480" s="13" t="s">
        <v>61</v>
      </c>
      <c r="C1480" s="14" t="s">
        <v>64</v>
      </c>
      <c r="D1480" s="14" t="str">
        <f>VLOOKUP(C1480,'State Key'!$A$2:$B$210,2,False)</f>
        <v>Uttar Pradesh</v>
      </c>
      <c r="E1480" s="15">
        <v>90.0</v>
      </c>
      <c r="F1480" s="16">
        <v>23.61</v>
      </c>
      <c r="G1480" s="16">
        <v>0.0</v>
      </c>
      <c r="H1480" s="16">
        <v>0.0</v>
      </c>
      <c r="I1480" s="16">
        <v>0.0</v>
      </c>
      <c r="J1480" s="16">
        <v>0.0</v>
      </c>
      <c r="K1480" s="16">
        <v>0.0</v>
      </c>
      <c r="L1480" s="16">
        <v>23.61</v>
      </c>
      <c r="M1480" s="16">
        <v>19.47</v>
      </c>
      <c r="N1480" s="16">
        <v>23.86</v>
      </c>
      <c r="O1480" s="24">
        <v>36.8</v>
      </c>
      <c r="P1480" s="18">
        <f t="shared" si="1"/>
        <v>23.61</v>
      </c>
    </row>
    <row r="1481" ht="15.75" customHeight="1">
      <c r="A1481" s="19" t="s">
        <v>222</v>
      </c>
      <c r="B1481" s="19" t="s">
        <v>61</v>
      </c>
      <c r="C1481" s="20" t="s">
        <v>65</v>
      </c>
      <c r="D1481" s="14" t="str">
        <f>VLOOKUP(C1481,'State Key'!$A$2:$B$210,2,False)</f>
        <v>Rajasthan</v>
      </c>
      <c r="E1481" s="21">
        <v>500.0</v>
      </c>
      <c r="F1481" s="22">
        <v>336.85</v>
      </c>
      <c r="G1481" s="22">
        <v>0.0</v>
      </c>
      <c r="H1481" s="22">
        <v>0.0</v>
      </c>
      <c r="I1481" s="22">
        <v>0.0</v>
      </c>
      <c r="J1481" s="22">
        <v>0.0</v>
      </c>
      <c r="K1481" s="22">
        <v>0.0</v>
      </c>
      <c r="L1481" s="22">
        <v>336.85</v>
      </c>
      <c r="M1481" s="22">
        <v>212.54</v>
      </c>
      <c r="N1481" s="22">
        <v>436.01</v>
      </c>
      <c r="O1481" s="24">
        <v>61.5</v>
      </c>
      <c r="P1481" s="18">
        <f t="shared" si="1"/>
        <v>336.85</v>
      </c>
    </row>
    <row r="1482" ht="15.75" customHeight="1">
      <c r="A1482" s="13" t="s">
        <v>222</v>
      </c>
      <c r="B1482" s="13" t="s">
        <v>61</v>
      </c>
      <c r="C1482" s="14" t="s">
        <v>66</v>
      </c>
      <c r="D1482" s="14" t="str">
        <f>VLOOKUP(C1482,'State Key'!$A$2:$B$210,2,False)</f>
        <v>Rajasthan</v>
      </c>
      <c r="E1482" s="15">
        <v>500.0</v>
      </c>
      <c r="F1482" s="16">
        <v>88.48</v>
      </c>
      <c r="G1482" s="16">
        <v>0.0</v>
      </c>
      <c r="H1482" s="16">
        <v>0.0</v>
      </c>
      <c r="I1482" s="16">
        <v>0.0</v>
      </c>
      <c r="J1482" s="16">
        <v>0.0</v>
      </c>
      <c r="K1482" s="16">
        <v>0.0</v>
      </c>
      <c r="L1482" s="16">
        <v>88.48</v>
      </c>
      <c r="M1482" s="16">
        <v>210.25</v>
      </c>
      <c r="N1482" s="16">
        <v>0.0</v>
      </c>
      <c r="O1482" s="17">
        <v>0.0</v>
      </c>
      <c r="P1482" s="18">
        <f t="shared" si="1"/>
        <v>88.48</v>
      </c>
    </row>
    <row r="1483" ht="15.75" customHeight="1">
      <c r="A1483" s="19" t="s">
        <v>222</v>
      </c>
      <c r="B1483" s="19" t="s">
        <v>61</v>
      </c>
      <c r="C1483" s="20" t="s">
        <v>67</v>
      </c>
      <c r="D1483" s="14" t="str">
        <f>VLOOKUP(C1483,'State Key'!$A$2:$B$210,2,False)</f>
        <v>Rajasthan</v>
      </c>
      <c r="E1483" s="21">
        <v>1320.0</v>
      </c>
      <c r="F1483" s="22">
        <v>412.094</v>
      </c>
      <c r="G1483" s="22">
        <v>0.0</v>
      </c>
      <c r="H1483" s="22">
        <v>0.0</v>
      </c>
      <c r="I1483" s="22">
        <v>105.885</v>
      </c>
      <c r="J1483" s="22">
        <v>0.0</v>
      </c>
      <c r="K1483" s="22">
        <v>0.0</v>
      </c>
      <c r="L1483" s="22">
        <v>517.979</v>
      </c>
      <c r="M1483" s="22">
        <v>441.094</v>
      </c>
      <c r="N1483" s="22">
        <v>85.351</v>
      </c>
      <c r="O1483" s="17">
        <v>5.8</v>
      </c>
      <c r="P1483" s="18">
        <f t="shared" si="1"/>
        <v>517.979</v>
      </c>
    </row>
    <row r="1484" ht="15.75" customHeight="1">
      <c r="A1484" s="13" t="s">
        <v>222</v>
      </c>
      <c r="B1484" s="13" t="s">
        <v>61</v>
      </c>
      <c r="C1484" s="14" t="s">
        <v>68</v>
      </c>
      <c r="D1484" s="14" t="str">
        <f>VLOOKUP(C1484,'State Key'!$A$2:$B$210,2,False)</f>
        <v>Uttar Pradesh</v>
      </c>
      <c r="E1484" s="15">
        <v>1820.0</v>
      </c>
      <c r="F1484" s="16">
        <v>471.07</v>
      </c>
      <c r="G1484" s="16">
        <v>0.0</v>
      </c>
      <c r="H1484" s="16">
        <v>91.33</v>
      </c>
      <c r="I1484" s="16">
        <v>104.83</v>
      </c>
      <c r="J1484" s="16">
        <v>0.0</v>
      </c>
      <c r="K1484" s="16">
        <v>0.0</v>
      </c>
      <c r="L1484" s="16">
        <v>667.23</v>
      </c>
      <c r="M1484" s="16">
        <v>657.83</v>
      </c>
      <c r="N1484" s="16">
        <v>222.74</v>
      </c>
      <c r="O1484" s="23">
        <v>10.2</v>
      </c>
      <c r="P1484" s="18">
        <f t="shared" si="1"/>
        <v>667.23</v>
      </c>
    </row>
    <row r="1485" ht="15.75" customHeight="1">
      <c r="A1485" s="19" t="s">
        <v>222</v>
      </c>
      <c r="B1485" s="19" t="s">
        <v>61</v>
      </c>
      <c r="C1485" s="20" t="s">
        <v>69</v>
      </c>
      <c r="D1485" s="14" t="str">
        <f>VLOOKUP(C1485,'State Key'!$A$2:$B$210,2,False)</f>
        <v>Punjab</v>
      </c>
      <c r="E1485" s="21">
        <v>920.0</v>
      </c>
      <c r="F1485" s="22">
        <v>3.248</v>
      </c>
      <c r="G1485" s="22">
        <v>0.0</v>
      </c>
      <c r="H1485" s="22">
        <v>289.426</v>
      </c>
      <c r="I1485" s="22">
        <v>0.0</v>
      </c>
      <c r="J1485" s="22">
        <v>0.0</v>
      </c>
      <c r="K1485" s="22">
        <v>0.0</v>
      </c>
      <c r="L1485" s="22">
        <v>292.674</v>
      </c>
      <c r="M1485" s="22">
        <v>293.941</v>
      </c>
      <c r="N1485" s="22">
        <v>263.26</v>
      </c>
      <c r="O1485" s="24">
        <v>26.9</v>
      </c>
      <c r="P1485" s="18">
        <f t="shared" si="1"/>
        <v>292.674</v>
      </c>
    </row>
    <row r="1486" ht="15.75" customHeight="1">
      <c r="A1486" s="13" t="s">
        <v>222</v>
      </c>
      <c r="B1486" s="13" t="s">
        <v>61</v>
      </c>
      <c r="C1486" s="14" t="s">
        <v>70</v>
      </c>
      <c r="D1486" s="14" t="str">
        <f>VLOOKUP(C1486,'State Key'!$A$2:$B$210,2,False)</f>
        <v>Punjab</v>
      </c>
      <c r="E1486" s="15">
        <v>540.0</v>
      </c>
      <c r="F1486" s="16">
        <v>162.43688</v>
      </c>
      <c r="G1486" s="16">
        <v>0.0</v>
      </c>
      <c r="H1486" s="16">
        <v>0.0</v>
      </c>
      <c r="I1486" s="16">
        <v>0.0</v>
      </c>
      <c r="J1486" s="16">
        <v>0.0</v>
      </c>
      <c r="K1486" s="16">
        <v>0.0</v>
      </c>
      <c r="L1486" s="16">
        <v>162.43688</v>
      </c>
      <c r="M1486" s="16">
        <v>171.4684</v>
      </c>
      <c r="N1486" s="16">
        <v>24.38</v>
      </c>
      <c r="O1486" s="17">
        <v>4.3</v>
      </c>
      <c r="P1486" s="18">
        <f t="shared" si="1"/>
        <v>162.43688</v>
      </c>
    </row>
    <row r="1487" ht="15.75" customHeight="1">
      <c r="A1487" s="19" t="s">
        <v>222</v>
      </c>
      <c r="B1487" s="19" t="s">
        <v>61</v>
      </c>
      <c r="C1487" s="20" t="s">
        <v>71</v>
      </c>
      <c r="D1487" s="14" t="str">
        <f>VLOOKUP(C1487,'State Key'!$A$2:$B$210,2,False)</f>
        <v>Uttar Pradesh</v>
      </c>
      <c r="E1487" s="21">
        <v>1265.0</v>
      </c>
      <c r="F1487" s="22">
        <v>394.887</v>
      </c>
      <c r="G1487" s="22">
        <v>0.0</v>
      </c>
      <c r="H1487" s="22">
        <v>0.0</v>
      </c>
      <c r="I1487" s="22">
        <v>0.0</v>
      </c>
      <c r="J1487" s="22">
        <v>0.0</v>
      </c>
      <c r="K1487" s="22">
        <v>0.0</v>
      </c>
      <c r="L1487" s="22">
        <v>394.887</v>
      </c>
      <c r="M1487" s="22">
        <v>267.13</v>
      </c>
      <c r="N1487" s="22">
        <v>236.56</v>
      </c>
      <c r="O1487" s="24">
        <v>26.6</v>
      </c>
      <c r="P1487" s="18">
        <f t="shared" si="1"/>
        <v>394.887</v>
      </c>
    </row>
    <row r="1488" ht="15.75" customHeight="1">
      <c r="A1488" s="13" t="s">
        <v>222</v>
      </c>
      <c r="B1488" s="13" t="s">
        <v>61</v>
      </c>
      <c r="C1488" s="14" t="s">
        <v>72</v>
      </c>
      <c r="D1488" s="14" t="str">
        <f>VLOOKUP(C1488,'State Key'!$A$2:$B$210,2,False)</f>
        <v>Haryana</v>
      </c>
      <c r="E1488" s="15">
        <v>1500.0</v>
      </c>
      <c r="F1488" s="16">
        <v>652.902</v>
      </c>
      <c r="G1488" s="16">
        <v>0.0</v>
      </c>
      <c r="H1488" s="16">
        <v>0.0</v>
      </c>
      <c r="I1488" s="16">
        <v>108.245</v>
      </c>
      <c r="J1488" s="16">
        <v>0.0</v>
      </c>
      <c r="K1488" s="16">
        <v>0.0</v>
      </c>
      <c r="L1488" s="16">
        <v>761.147</v>
      </c>
      <c r="M1488" s="16">
        <v>431.88</v>
      </c>
      <c r="N1488" s="16">
        <v>390.543</v>
      </c>
      <c r="O1488" s="24">
        <v>27.1</v>
      </c>
      <c r="P1488" s="18">
        <f t="shared" si="1"/>
        <v>761.147</v>
      </c>
    </row>
    <row r="1489" ht="15.75" customHeight="1">
      <c r="A1489" s="19" t="s">
        <v>222</v>
      </c>
      <c r="B1489" s="19" t="s">
        <v>61</v>
      </c>
      <c r="C1489" s="20" t="s">
        <v>73</v>
      </c>
      <c r="D1489" s="14" t="str">
        <f>VLOOKUP(C1489,'State Key'!$A$2:$B$210,2,False)</f>
        <v>Rajasthan</v>
      </c>
      <c r="E1489" s="21">
        <v>1200.0</v>
      </c>
      <c r="F1489" s="22">
        <v>223.587</v>
      </c>
      <c r="G1489" s="22">
        <v>0.0</v>
      </c>
      <c r="H1489" s="22">
        <v>0.126</v>
      </c>
      <c r="I1489" s="22">
        <v>0.0</v>
      </c>
      <c r="J1489" s="22">
        <v>0.0</v>
      </c>
      <c r="K1489" s="22">
        <v>0.0</v>
      </c>
      <c r="L1489" s="22">
        <v>223.713</v>
      </c>
      <c r="M1489" s="22">
        <v>214.982</v>
      </c>
      <c r="N1489" s="22">
        <v>110.8</v>
      </c>
      <c r="O1489" s="24">
        <v>15.5</v>
      </c>
      <c r="P1489" s="18">
        <f t="shared" si="1"/>
        <v>223.713</v>
      </c>
    </row>
    <row r="1490" ht="15.75" customHeight="1">
      <c r="A1490" s="13" t="s">
        <v>222</v>
      </c>
      <c r="B1490" s="13" t="s">
        <v>61</v>
      </c>
      <c r="C1490" s="14" t="s">
        <v>75</v>
      </c>
      <c r="D1490" s="14" t="str">
        <f>VLOOKUP(C1490,'State Key'!$A$2:$B$210,2,False)</f>
        <v>Uttar Pradesh</v>
      </c>
      <c r="E1490" s="15">
        <v>90.0</v>
      </c>
      <c r="F1490" s="16">
        <v>23.33</v>
      </c>
      <c r="G1490" s="16">
        <v>0.0</v>
      </c>
      <c r="H1490" s="16">
        <v>0.0</v>
      </c>
      <c r="I1490" s="16">
        <v>0.0</v>
      </c>
      <c r="J1490" s="16">
        <v>0.0</v>
      </c>
      <c r="K1490" s="16">
        <v>0.0</v>
      </c>
      <c r="L1490" s="16">
        <v>23.33</v>
      </c>
      <c r="M1490" s="16">
        <v>19.95</v>
      </c>
      <c r="N1490" s="16">
        <v>16.0</v>
      </c>
      <c r="O1490" s="24">
        <v>24.1</v>
      </c>
      <c r="P1490" s="18">
        <f t="shared" si="1"/>
        <v>23.33</v>
      </c>
    </row>
    <row r="1491" ht="15.75" customHeight="1">
      <c r="A1491" s="19" t="s">
        <v>222</v>
      </c>
      <c r="B1491" s="19" t="s">
        <v>61</v>
      </c>
      <c r="C1491" s="20" t="s">
        <v>76</v>
      </c>
      <c r="D1491" s="14" t="str">
        <f>VLOOKUP(C1491,'State Key'!$A$2:$B$210,2,False)</f>
        <v>Rajasthan</v>
      </c>
      <c r="E1491" s="21">
        <v>1240.0</v>
      </c>
      <c r="F1491" s="22">
        <v>414.67239</v>
      </c>
      <c r="G1491" s="22">
        <v>0.0</v>
      </c>
      <c r="H1491" s="22">
        <v>0.0</v>
      </c>
      <c r="I1491" s="22">
        <v>0.0</v>
      </c>
      <c r="J1491" s="22">
        <v>0.0</v>
      </c>
      <c r="K1491" s="22">
        <v>0.0</v>
      </c>
      <c r="L1491" s="22">
        <v>414.67239</v>
      </c>
      <c r="M1491" s="22">
        <v>448.581</v>
      </c>
      <c r="N1491" s="22">
        <v>113.11</v>
      </c>
      <c r="O1491" s="23">
        <v>7.6</v>
      </c>
      <c r="P1491" s="18">
        <f t="shared" si="1"/>
        <v>414.67239</v>
      </c>
    </row>
    <row r="1492" ht="15.75" customHeight="1">
      <c r="A1492" s="13" t="s">
        <v>222</v>
      </c>
      <c r="B1492" s="13" t="s">
        <v>61</v>
      </c>
      <c r="C1492" s="14" t="s">
        <v>77</v>
      </c>
      <c r="D1492" s="14" t="str">
        <f>VLOOKUP(C1492,'State Key'!$A$2:$B$210,2,False)</f>
        <v>Uttar Pradesh</v>
      </c>
      <c r="E1492" s="15">
        <v>90.0</v>
      </c>
      <c r="F1492" s="16">
        <v>31.51</v>
      </c>
      <c r="G1492" s="16">
        <v>0.0</v>
      </c>
      <c r="H1492" s="16">
        <v>0.0</v>
      </c>
      <c r="I1492" s="16">
        <v>0.0</v>
      </c>
      <c r="J1492" s="16">
        <v>0.0</v>
      </c>
      <c r="K1492" s="16">
        <v>0.0</v>
      </c>
      <c r="L1492" s="16">
        <v>31.51</v>
      </c>
      <c r="M1492" s="16">
        <v>15.46</v>
      </c>
      <c r="N1492" s="16">
        <v>41.78</v>
      </c>
      <c r="O1492" s="24">
        <v>81.1</v>
      </c>
      <c r="P1492" s="18">
        <f t="shared" si="1"/>
        <v>31.51</v>
      </c>
    </row>
    <row r="1493" ht="15.75" customHeight="1">
      <c r="A1493" s="19" t="s">
        <v>222</v>
      </c>
      <c r="B1493" s="19" t="s">
        <v>61</v>
      </c>
      <c r="C1493" s="20" t="s">
        <v>78</v>
      </c>
      <c r="D1493" s="14" t="str">
        <f>VLOOKUP(C1493,'State Key'!$A$2:$B$210,2,False)</f>
        <v>Uttar Pradesh</v>
      </c>
      <c r="E1493" s="21">
        <v>1980.0</v>
      </c>
      <c r="F1493" s="22">
        <v>685.143</v>
      </c>
      <c r="G1493" s="22">
        <v>0.0</v>
      </c>
      <c r="H1493" s="22">
        <v>0.0</v>
      </c>
      <c r="I1493" s="22">
        <v>0.0</v>
      </c>
      <c r="J1493" s="22">
        <v>0.0</v>
      </c>
      <c r="K1493" s="22">
        <v>0.0</v>
      </c>
      <c r="L1493" s="22">
        <v>685.143</v>
      </c>
      <c r="M1493" s="22">
        <v>536.749</v>
      </c>
      <c r="N1493" s="22">
        <v>373.15</v>
      </c>
      <c r="O1493" s="24">
        <v>20.9</v>
      </c>
      <c r="P1493" s="18">
        <f t="shared" si="1"/>
        <v>685.143</v>
      </c>
    </row>
    <row r="1494" ht="15.75" customHeight="1">
      <c r="A1494" s="13" t="s">
        <v>222</v>
      </c>
      <c r="B1494" s="13" t="s">
        <v>61</v>
      </c>
      <c r="C1494" s="14" t="s">
        <v>79</v>
      </c>
      <c r="D1494" s="14" t="str">
        <f>VLOOKUP(C1494,'State Key'!$A$2:$B$210,2,False)</f>
        <v>Haryana</v>
      </c>
      <c r="E1494" s="15">
        <v>1320.0</v>
      </c>
      <c r="F1494" s="16">
        <v>594.214</v>
      </c>
      <c r="G1494" s="16">
        <v>0.0</v>
      </c>
      <c r="H1494" s="16">
        <v>0.0</v>
      </c>
      <c r="I1494" s="16">
        <v>0.0</v>
      </c>
      <c r="J1494" s="16">
        <v>0.0</v>
      </c>
      <c r="K1494" s="16">
        <v>0.0</v>
      </c>
      <c r="L1494" s="16">
        <v>594.214</v>
      </c>
      <c r="M1494" s="16">
        <v>513.263</v>
      </c>
      <c r="N1494" s="16">
        <v>204.68</v>
      </c>
      <c r="O1494" s="23">
        <v>12.0</v>
      </c>
      <c r="P1494" s="18">
        <f t="shared" si="1"/>
        <v>594.214</v>
      </c>
    </row>
    <row r="1495" ht="15.75" customHeight="1">
      <c r="A1495" s="19" t="s">
        <v>222</v>
      </c>
      <c r="B1495" s="19" t="s">
        <v>61</v>
      </c>
      <c r="C1495" s="20" t="s">
        <v>80</v>
      </c>
      <c r="D1495" s="14" t="str">
        <f>VLOOKUP(C1495,'State Key'!$A$2:$B$210,2,False)</f>
        <v>Uttar Pradesh</v>
      </c>
      <c r="E1495" s="21">
        <v>90.0</v>
      </c>
      <c r="F1495" s="22">
        <v>11.06</v>
      </c>
      <c r="G1495" s="22">
        <v>0.0</v>
      </c>
      <c r="H1495" s="22">
        <v>0.0</v>
      </c>
      <c r="I1495" s="22">
        <v>0.0</v>
      </c>
      <c r="J1495" s="22">
        <v>0.0</v>
      </c>
      <c r="K1495" s="22">
        <v>0.0</v>
      </c>
      <c r="L1495" s="22">
        <v>11.06</v>
      </c>
      <c r="M1495" s="22">
        <v>11.11</v>
      </c>
      <c r="N1495" s="22">
        <v>19.98</v>
      </c>
      <c r="O1495" s="24">
        <v>54.0</v>
      </c>
      <c r="P1495" s="18">
        <f t="shared" si="1"/>
        <v>11.06</v>
      </c>
    </row>
    <row r="1496" ht="15.75" customHeight="1">
      <c r="A1496" s="13" t="s">
        <v>222</v>
      </c>
      <c r="B1496" s="13" t="s">
        <v>61</v>
      </c>
      <c r="C1496" s="14" t="s">
        <v>81</v>
      </c>
      <c r="D1496" s="14" t="str">
        <f>VLOOKUP(C1496,'State Key'!$A$2:$B$210,2,False)</f>
        <v>Uttar Pradesh</v>
      </c>
      <c r="E1496" s="15">
        <v>1320.0</v>
      </c>
      <c r="F1496" s="16">
        <v>525.264</v>
      </c>
      <c r="G1496" s="16">
        <v>0.0</v>
      </c>
      <c r="H1496" s="16">
        <v>0.0</v>
      </c>
      <c r="I1496" s="16">
        <v>0.0</v>
      </c>
      <c r="J1496" s="16">
        <v>0.0</v>
      </c>
      <c r="K1496" s="16">
        <v>0.0</v>
      </c>
      <c r="L1496" s="16">
        <v>525.264</v>
      </c>
      <c r="M1496" s="16">
        <v>411.663</v>
      </c>
      <c r="N1496" s="16">
        <v>200.91</v>
      </c>
      <c r="O1496" s="24">
        <v>14.6</v>
      </c>
      <c r="P1496" s="18">
        <f t="shared" si="1"/>
        <v>525.264</v>
      </c>
    </row>
    <row r="1497" ht="15.75" customHeight="1">
      <c r="A1497" s="19" t="s">
        <v>222</v>
      </c>
      <c r="B1497" s="19" t="s">
        <v>61</v>
      </c>
      <c r="C1497" s="20" t="s">
        <v>82</v>
      </c>
      <c r="D1497" s="14" t="str">
        <f>VLOOKUP(C1497,'State Key'!$A$2:$B$210,2,False)</f>
        <v>Uttar Pradesh</v>
      </c>
      <c r="E1497" s="21">
        <v>1000.0</v>
      </c>
      <c r="F1497" s="22">
        <v>325.84</v>
      </c>
      <c r="G1497" s="22">
        <v>0.0</v>
      </c>
      <c r="H1497" s="22">
        <v>0.0</v>
      </c>
      <c r="I1497" s="22">
        <v>0.0</v>
      </c>
      <c r="J1497" s="22">
        <v>0.0</v>
      </c>
      <c r="K1497" s="22">
        <v>0.0</v>
      </c>
      <c r="L1497" s="22">
        <v>325.84</v>
      </c>
      <c r="M1497" s="22">
        <v>295.76</v>
      </c>
      <c r="N1497" s="22">
        <v>114.56</v>
      </c>
      <c r="O1497" s="23">
        <v>11.6</v>
      </c>
      <c r="P1497" s="18">
        <f t="shared" si="1"/>
        <v>325.84</v>
      </c>
    </row>
    <row r="1498" ht="15.75" customHeight="1">
      <c r="A1498" s="13" t="s">
        <v>222</v>
      </c>
      <c r="B1498" s="13" t="s">
        <v>61</v>
      </c>
      <c r="C1498" s="14" t="s">
        <v>83</v>
      </c>
      <c r="D1498" s="14" t="str">
        <f>VLOOKUP(C1498,'State Key'!$A$2:$B$210,2,False)</f>
        <v>Haryana</v>
      </c>
      <c r="E1498" s="15">
        <v>710.0</v>
      </c>
      <c r="F1498" s="16">
        <v>310.346</v>
      </c>
      <c r="G1498" s="16">
        <v>0.0</v>
      </c>
      <c r="H1498" s="16">
        <v>0.0</v>
      </c>
      <c r="I1498" s="16">
        <v>0.0</v>
      </c>
      <c r="J1498" s="16">
        <v>0.0</v>
      </c>
      <c r="K1498" s="16">
        <v>0.0</v>
      </c>
      <c r="L1498" s="16">
        <v>310.346</v>
      </c>
      <c r="M1498" s="16">
        <v>187.664</v>
      </c>
      <c r="N1498" s="16">
        <v>302.35</v>
      </c>
      <c r="O1498" s="24">
        <v>48.3</v>
      </c>
      <c r="P1498" s="18">
        <f t="shared" si="1"/>
        <v>310.346</v>
      </c>
    </row>
    <row r="1499" ht="15.75" customHeight="1">
      <c r="A1499" s="19" t="s">
        <v>222</v>
      </c>
      <c r="B1499" s="19" t="s">
        <v>61</v>
      </c>
      <c r="C1499" s="20" t="s">
        <v>84</v>
      </c>
      <c r="D1499" s="14" t="str">
        <f>VLOOKUP(C1499,'State Key'!$A$2:$B$210,2,False)</f>
        <v>Uttar Pradesh</v>
      </c>
      <c r="E1499" s="21">
        <v>920.0</v>
      </c>
      <c r="F1499" s="22">
        <v>314.326</v>
      </c>
      <c r="G1499" s="22">
        <v>0.0</v>
      </c>
      <c r="H1499" s="22">
        <v>0.0</v>
      </c>
      <c r="I1499" s="22">
        <v>0.0</v>
      </c>
      <c r="J1499" s="22">
        <v>3.944</v>
      </c>
      <c r="K1499" s="22">
        <v>0.0</v>
      </c>
      <c r="L1499" s="22">
        <v>318.27</v>
      </c>
      <c r="M1499" s="22">
        <v>270.224</v>
      </c>
      <c r="N1499" s="22">
        <v>212.254</v>
      </c>
      <c r="O1499" s="24">
        <v>23.6</v>
      </c>
      <c r="P1499" s="18">
        <f t="shared" si="1"/>
        <v>318.27</v>
      </c>
    </row>
    <row r="1500" ht="15.75" customHeight="1">
      <c r="A1500" s="13" t="s">
        <v>222</v>
      </c>
      <c r="B1500" s="13" t="s">
        <v>61</v>
      </c>
      <c r="C1500" s="14" t="s">
        <v>85</v>
      </c>
      <c r="D1500" s="14" t="str">
        <f>VLOOKUP(C1500,'State Key'!$A$2:$B$210,2,False)</f>
        <v>Uttar Pradesh</v>
      </c>
      <c r="E1500" s="15">
        <v>1980.0</v>
      </c>
      <c r="F1500" s="16">
        <v>833.752</v>
      </c>
      <c r="G1500" s="16">
        <v>0.0</v>
      </c>
      <c r="H1500" s="16">
        <v>0.0</v>
      </c>
      <c r="I1500" s="16">
        <v>0.0</v>
      </c>
      <c r="J1500" s="16">
        <v>0.0</v>
      </c>
      <c r="K1500" s="16">
        <v>0.0</v>
      </c>
      <c r="L1500" s="16">
        <v>833.752</v>
      </c>
      <c r="M1500" s="16">
        <v>651.2953</v>
      </c>
      <c r="N1500" s="16">
        <v>350.18</v>
      </c>
      <c r="O1500" s="24">
        <v>16.1</v>
      </c>
      <c r="P1500" s="18">
        <f t="shared" si="1"/>
        <v>833.752</v>
      </c>
    </row>
    <row r="1501" ht="15.75" customHeight="1">
      <c r="A1501" s="19" t="s">
        <v>222</v>
      </c>
      <c r="B1501" s="19" t="s">
        <v>61</v>
      </c>
      <c r="C1501" s="20" t="s">
        <v>86</v>
      </c>
      <c r="D1501" s="14" t="str">
        <f>VLOOKUP(C1501,'State Key'!$A$2:$B$210,2,False)</f>
        <v>Haryana</v>
      </c>
      <c r="E1501" s="21">
        <v>1200.0</v>
      </c>
      <c r="F1501" s="22">
        <v>346.678</v>
      </c>
      <c r="G1501" s="22">
        <v>0.0</v>
      </c>
      <c r="H1501" s="22">
        <v>0.0</v>
      </c>
      <c r="I1501" s="22">
        <v>0.0</v>
      </c>
      <c r="J1501" s="22">
        <v>0.0</v>
      </c>
      <c r="K1501" s="22">
        <v>0.0</v>
      </c>
      <c r="L1501" s="22">
        <v>346.678</v>
      </c>
      <c r="M1501" s="22">
        <v>194.799</v>
      </c>
      <c r="N1501" s="22">
        <v>250.746</v>
      </c>
      <c r="O1501" s="24">
        <v>38.6</v>
      </c>
      <c r="P1501" s="18">
        <f t="shared" si="1"/>
        <v>346.678</v>
      </c>
    </row>
    <row r="1502" ht="15.75" customHeight="1">
      <c r="A1502" s="13" t="s">
        <v>222</v>
      </c>
      <c r="B1502" s="13" t="s">
        <v>61</v>
      </c>
      <c r="C1502" s="14" t="s">
        <v>87</v>
      </c>
      <c r="D1502" s="14" t="str">
        <f>VLOOKUP(C1502,'State Key'!$A$2:$B$210,2,False)</f>
        <v>Punjab</v>
      </c>
      <c r="E1502" s="15">
        <v>1400.0</v>
      </c>
      <c r="F1502" s="16">
        <v>495.3803</v>
      </c>
      <c r="G1502" s="16">
        <v>0.0</v>
      </c>
      <c r="H1502" s="16">
        <v>0.0</v>
      </c>
      <c r="I1502" s="16">
        <v>0.0</v>
      </c>
      <c r="J1502" s="16">
        <v>0.0</v>
      </c>
      <c r="K1502" s="16">
        <v>0.0</v>
      </c>
      <c r="L1502" s="16">
        <v>495.3803</v>
      </c>
      <c r="M1502" s="16">
        <v>417.9074</v>
      </c>
      <c r="N1502" s="16">
        <v>338.03</v>
      </c>
      <c r="O1502" s="24">
        <v>24.3</v>
      </c>
      <c r="P1502" s="18">
        <f t="shared" si="1"/>
        <v>495.3803</v>
      </c>
    </row>
    <row r="1503" ht="15.75" customHeight="1">
      <c r="A1503" s="19" t="s">
        <v>222</v>
      </c>
      <c r="B1503" s="19" t="s">
        <v>61</v>
      </c>
      <c r="C1503" s="20" t="s">
        <v>88</v>
      </c>
      <c r="D1503" s="14" t="str">
        <f>VLOOKUP(C1503,'State Key'!$A$2:$B$210,2,False)</f>
        <v>Uttar Pradesh</v>
      </c>
      <c r="E1503" s="21">
        <v>3000.0</v>
      </c>
      <c r="F1503" s="22">
        <v>1247.86</v>
      </c>
      <c r="G1503" s="22">
        <v>0.0</v>
      </c>
      <c r="H1503" s="22">
        <v>0.0</v>
      </c>
      <c r="I1503" s="22">
        <v>0.0</v>
      </c>
      <c r="J1503" s="22">
        <v>0.0</v>
      </c>
      <c r="K1503" s="22">
        <v>0.0</v>
      </c>
      <c r="L1503" s="22">
        <v>1247.86</v>
      </c>
      <c r="M1503" s="22">
        <v>1219.966</v>
      </c>
      <c r="N1503" s="22">
        <v>1090.71</v>
      </c>
      <c r="O1503" s="24">
        <v>26.8</v>
      </c>
      <c r="P1503" s="18">
        <f t="shared" si="1"/>
        <v>1247.86</v>
      </c>
    </row>
    <row r="1504" ht="15.75" customHeight="1">
      <c r="A1504" s="13" t="s">
        <v>222</v>
      </c>
      <c r="B1504" s="13" t="s">
        <v>61</v>
      </c>
      <c r="C1504" s="14" t="s">
        <v>89</v>
      </c>
      <c r="D1504" s="14" t="str">
        <f>VLOOKUP(C1504,'State Key'!$A$2:$B$210,2,False)</f>
        <v>Punjab</v>
      </c>
      <c r="E1504" s="15">
        <v>840.0</v>
      </c>
      <c r="F1504" s="16">
        <v>141.63431</v>
      </c>
      <c r="G1504" s="16">
        <v>0.0</v>
      </c>
      <c r="H1504" s="16">
        <v>150.36473</v>
      </c>
      <c r="I1504" s="16">
        <v>0.0</v>
      </c>
      <c r="J1504" s="16">
        <v>0.0</v>
      </c>
      <c r="K1504" s="16">
        <v>0.0</v>
      </c>
      <c r="L1504" s="16">
        <v>291.99904</v>
      </c>
      <c r="M1504" s="16">
        <v>245.363</v>
      </c>
      <c r="N1504" s="16">
        <v>305.87</v>
      </c>
      <c r="O1504" s="24">
        <v>37.4</v>
      </c>
      <c r="P1504" s="18">
        <f t="shared" si="1"/>
        <v>291.99904</v>
      </c>
    </row>
    <row r="1505" ht="15.75" customHeight="1">
      <c r="A1505" s="19" t="s">
        <v>222</v>
      </c>
      <c r="B1505" s="19" t="s">
        <v>61</v>
      </c>
      <c r="C1505" s="20" t="s">
        <v>90</v>
      </c>
      <c r="D1505" s="14" t="str">
        <f>VLOOKUP(C1505,'State Key'!$A$2:$B$210,2,False)</f>
        <v>Uttar Pradesh</v>
      </c>
      <c r="E1505" s="21">
        <v>1200.0</v>
      </c>
      <c r="F1505" s="22">
        <v>398.424</v>
      </c>
      <c r="G1505" s="22">
        <v>0.0</v>
      </c>
      <c r="H1505" s="22">
        <v>0.0</v>
      </c>
      <c r="I1505" s="22">
        <v>0.0</v>
      </c>
      <c r="J1505" s="22">
        <v>0.0</v>
      </c>
      <c r="K1505" s="22">
        <v>0.0</v>
      </c>
      <c r="L1505" s="22">
        <v>398.424</v>
      </c>
      <c r="M1505" s="22">
        <v>392.481</v>
      </c>
      <c r="N1505" s="22">
        <v>64.66</v>
      </c>
      <c r="O1505" s="17">
        <v>4.9</v>
      </c>
      <c r="P1505" s="18">
        <f t="shared" si="1"/>
        <v>398.424</v>
      </c>
    </row>
    <row r="1506" ht="15.75" customHeight="1">
      <c r="A1506" s="13" t="s">
        <v>222</v>
      </c>
      <c r="B1506" s="13" t="s">
        <v>61</v>
      </c>
      <c r="C1506" s="14" t="s">
        <v>219</v>
      </c>
      <c r="D1506" s="14" t="str">
        <f>VLOOKUP(C1506,'State Key'!$A$2:$B$210,2,False)</f>
        <v>Rajasthan</v>
      </c>
      <c r="E1506" s="15">
        <v>300.0</v>
      </c>
      <c r="F1506" s="16">
        <v>0.0</v>
      </c>
      <c r="G1506" s="16">
        <v>0.0</v>
      </c>
      <c r="H1506" s="16">
        <v>0.0</v>
      </c>
      <c r="I1506" s="16">
        <v>0.0</v>
      </c>
      <c r="J1506" s="16">
        <v>0.0</v>
      </c>
      <c r="K1506" s="16">
        <v>0.0</v>
      </c>
      <c r="L1506" s="16">
        <v>0.0</v>
      </c>
      <c r="M1506" s="16">
        <v>0.0</v>
      </c>
      <c r="N1506" s="16">
        <v>27.8</v>
      </c>
      <c r="O1506" s="13" t="s">
        <v>58</v>
      </c>
      <c r="P1506" s="18">
        <f t="shared" si="1"/>
        <v>0</v>
      </c>
    </row>
    <row r="1507" ht="15.75" customHeight="1">
      <c r="A1507" s="19" t="s">
        <v>222</v>
      </c>
      <c r="B1507" s="19" t="s">
        <v>61</v>
      </c>
      <c r="C1507" s="20" t="s">
        <v>91</v>
      </c>
      <c r="D1507" s="14" t="str">
        <f>VLOOKUP(C1507,'State Key'!$A$2:$B$210,2,False)</f>
        <v>Uttar Pradesh</v>
      </c>
      <c r="E1507" s="21">
        <v>2000.0</v>
      </c>
      <c r="F1507" s="22">
        <v>838.0</v>
      </c>
      <c r="G1507" s="22">
        <v>0.0</v>
      </c>
      <c r="H1507" s="22">
        <v>0.0</v>
      </c>
      <c r="I1507" s="22">
        <v>0.0</v>
      </c>
      <c r="J1507" s="22">
        <v>0.0</v>
      </c>
      <c r="K1507" s="22">
        <v>0.0</v>
      </c>
      <c r="L1507" s="22">
        <v>838.0</v>
      </c>
      <c r="M1507" s="22">
        <v>801.832</v>
      </c>
      <c r="N1507" s="22">
        <v>400.93</v>
      </c>
      <c r="O1507" s="24">
        <v>15.0</v>
      </c>
      <c r="P1507" s="18">
        <f t="shared" si="1"/>
        <v>838</v>
      </c>
    </row>
    <row r="1508" ht="15.75" customHeight="1">
      <c r="A1508" s="13" t="s">
        <v>222</v>
      </c>
      <c r="B1508" s="13" t="s">
        <v>61</v>
      </c>
      <c r="C1508" s="14" t="s">
        <v>92</v>
      </c>
      <c r="D1508" s="14" t="str">
        <f>VLOOKUP(C1508,'State Key'!$A$2:$B$210,2,False)</f>
        <v>Rajasthan</v>
      </c>
      <c r="E1508" s="15">
        <v>1320.0</v>
      </c>
      <c r="F1508" s="16">
        <v>308.162</v>
      </c>
      <c r="G1508" s="16">
        <v>0.0</v>
      </c>
      <c r="H1508" s="16">
        <v>0.0</v>
      </c>
      <c r="I1508" s="16">
        <v>48.38407</v>
      </c>
      <c r="J1508" s="16">
        <v>0.0</v>
      </c>
      <c r="K1508" s="16">
        <v>0.0</v>
      </c>
      <c r="L1508" s="16">
        <v>356.54607</v>
      </c>
      <c r="M1508" s="16">
        <v>356.368</v>
      </c>
      <c r="N1508" s="16">
        <v>124.997</v>
      </c>
      <c r="O1508" s="23">
        <v>10.5</v>
      </c>
      <c r="P1508" s="18">
        <f t="shared" si="1"/>
        <v>356.54607</v>
      </c>
    </row>
    <row r="1509" ht="15.75" customHeight="1">
      <c r="A1509" s="19" t="s">
        <v>222</v>
      </c>
      <c r="B1509" s="19" t="s">
        <v>61</v>
      </c>
      <c r="C1509" s="20" t="s">
        <v>93</v>
      </c>
      <c r="D1509" s="14" t="str">
        <f>VLOOKUP(C1509,'State Key'!$A$2:$B$210,2,False)</f>
        <v>Rajasthan</v>
      </c>
      <c r="E1509" s="21">
        <v>1500.0</v>
      </c>
      <c r="F1509" s="22">
        <v>282.819</v>
      </c>
      <c r="G1509" s="22">
        <v>0.0</v>
      </c>
      <c r="H1509" s="22">
        <v>0.0</v>
      </c>
      <c r="I1509" s="22">
        <v>0.0</v>
      </c>
      <c r="J1509" s="22">
        <v>0.0</v>
      </c>
      <c r="K1509" s="22">
        <v>0.0</v>
      </c>
      <c r="L1509" s="22">
        <v>282.819</v>
      </c>
      <c r="M1509" s="22">
        <v>342.44</v>
      </c>
      <c r="N1509" s="22">
        <v>91.53</v>
      </c>
      <c r="O1509" s="23">
        <v>8.0</v>
      </c>
      <c r="P1509" s="18">
        <f t="shared" si="1"/>
        <v>282.819</v>
      </c>
    </row>
    <row r="1510" ht="15.75" customHeight="1">
      <c r="A1510" s="13" t="s">
        <v>222</v>
      </c>
      <c r="B1510" s="13" t="s">
        <v>61</v>
      </c>
      <c r="C1510" s="14" t="s">
        <v>94</v>
      </c>
      <c r="D1510" s="14" t="str">
        <f>VLOOKUP(C1510,'State Key'!$A$2:$B$210,2,False)</f>
        <v>Punjab</v>
      </c>
      <c r="E1510" s="15">
        <v>1980.0</v>
      </c>
      <c r="F1510" s="16">
        <v>494.498</v>
      </c>
      <c r="G1510" s="16">
        <v>0.0</v>
      </c>
      <c r="H1510" s="16">
        <v>0.0</v>
      </c>
      <c r="I1510" s="16">
        <v>0.0</v>
      </c>
      <c r="J1510" s="16">
        <v>0.0</v>
      </c>
      <c r="K1510" s="16">
        <v>0.0</v>
      </c>
      <c r="L1510" s="16">
        <v>494.498</v>
      </c>
      <c r="M1510" s="16">
        <v>560.429</v>
      </c>
      <c r="N1510" s="16">
        <v>114.57</v>
      </c>
      <c r="O1510" s="17">
        <v>6.1</v>
      </c>
      <c r="P1510" s="18">
        <f t="shared" si="1"/>
        <v>494.498</v>
      </c>
    </row>
    <row r="1511" ht="15.75" customHeight="1">
      <c r="A1511" s="19" t="s">
        <v>222</v>
      </c>
      <c r="B1511" s="19" t="s">
        <v>61</v>
      </c>
      <c r="C1511" s="20" t="s">
        <v>95</v>
      </c>
      <c r="D1511" s="14" t="str">
        <f>VLOOKUP(C1511,'State Key'!$A$2:$B$210,2,False)</f>
        <v>Uttar Pradesh</v>
      </c>
      <c r="E1511" s="21">
        <v>1760.0</v>
      </c>
      <c r="F1511" s="22">
        <v>325.94</v>
      </c>
      <c r="G1511" s="22">
        <v>0.0</v>
      </c>
      <c r="H1511" s="22">
        <v>389.89</v>
      </c>
      <c r="I1511" s="22">
        <v>81.24</v>
      </c>
      <c r="J1511" s="22">
        <v>0.0</v>
      </c>
      <c r="K1511" s="22">
        <v>0.0</v>
      </c>
      <c r="L1511" s="22">
        <v>797.07</v>
      </c>
      <c r="M1511" s="22">
        <v>608.2181</v>
      </c>
      <c r="N1511" s="22">
        <v>286.52</v>
      </c>
      <c r="O1511" s="24">
        <v>14.1</v>
      </c>
      <c r="P1511" s="18">
        <f t="shared" si="1"/>
        <v>797.07</v>
      </c>
    </row>
    <row r="1512" ht="15.75" customHeight="1">
      <c r="A1512" s="13" t="s">
        <v>222</v>
      </c>
      <c r="B1512" s="13" t="s">
        <v>61</v>
      </c>
      <c r="C1512" s="14" t="s">
        <v>96</v>
      </c>
      <c r="D1512" s="14" t="str">
        <f>VLOOKUP(C1512,'State Key'!$A$2:$B$210,2,False)</f>
        <v>Uttar Pradesh</v>
      </c>
      <c r="E1512" s="15">
        <v>1550.0</v>
      </c>
      <c r="F1512" s="16">
        <v>374.56</v>
      </c>
      <c r="G1512" s="16">
        <v>0.0</v>
      </c>
      <c r="H1512" s="16">
        <v>113.83</v>
      </c>
      <c r="I1512" s="16">
        <v>46.288</v>
      </c>
      <c r="J1512" s="16">
        <v>0.0</v>
      </c>
      <c r="K1512" s="16">
        <v>0.0</v>
      </c>
      <c r="L1512" s="16">
        <v>534.678</v>
      </c>
      <c r="M1512" s="16">
        <v>414.214</v>
      </c>
      <c r="N1512" s="16">
        <v>247.94</v>
      </c>
      <c r="O1512" s="24">
        <v>18.0</v>
      </c>
      <c r="P1512" s="18">
        <f t="shared" si="1"/>
        <v>534.678</v>
      </c>
    </row>
    <row r="1513" ht="15.75" customHeight="1">
      <c r="A1513" s="19" t="s">
        <v>222</v>
      </c>
      <c r="B1513" s="19" t="s">
        <v>61</v>
      </c>
      <c r="C1513" s="20" t="s">
        <v>97</v>
      </c>
      <c r="D1513" s="14" t="str">
        <f>VLOOKUP(C1513,'State Key'!$A$2:$B$210,2,False)</f>
        <v>Uttar Pradesh</v>
      </c>
      <c r="E1513" s="21">
        <v>90.0</v>
      </c>
      <c r="F1513" s="22">
        <v>39.86</v>
      </c>
      <c r="G1513" s="22">
        <v>0.0</v>
      </c>
      <c r="H1513" s="22">
        <v>0.0</v>
      </c>
      <c r="I1513" s="22">
        <v>0.0</v>
      </c>
      <c r="J1513" s="22">
        <v>0.0</v>
      </c>
      <c r="K1513" s="22">
        <v>0.0</v>
      </c>
      <c r="L1513" s="22">
        <v>39.86</v>
      </c>
      <c r="M1513" s="22">
        <v>8.8</v>
      </c>
      <c r="N1513" s="22">
        <v>51.27</v>
      </c>
      <c r="O1513" s="24">
        <v>174.8</v>
      </c>
      <c r="P1513" s="18">
        <f t="shared" si="1"/>
        <v>39.86</v>
      </c>
    </row>
    <row r="1514" ht="15.75" customHeight="1">
      <c r="A1514" s="13" t="s">
        <v>222</v>
      </c>
      <c r="B1514" s="13" t="s">
        <v>61</v>
      </c>
      <c r="C1514" s="14" t="s">
        <v>98</v>
      </c>
      <c r="D1514" s="14" t="str">
        <f>VLOOKUP(C1514,'State Key'!$A$2:$B$210,2,False)</f>
        <v>Haryana</v>
      </c>
      <c r="E1514" s="15">
        <v>600.0</v>
      </c>
      <c r="F1514" s="16">
        <v>99.702</v>
      </c>
      <c r="G1514" s="16">
        <v>0.0</v>
      </c>
      <c r="H1514" s="16">
        <v>0.0</v>
      </c>
      <c r="I1514" s="16">
        <v>0.0</v>
      </c>
      <c r="J1514" s="16">
        <v>0.0</v>
      </c>
      <c r="K1514" s="16">
        <v>0.0</v>
      </c>
      <c r="L1514" s="16">
        <v>99.702</v>
      </c>
      <c r="M1514" s="16">
        <v>231.717</v>
      </c>
      <c r="N1514" s="16">
        <v>174.53</v>
      </c>
      <c r="O1514" s="24">
        <v>22.6</v>
      </c>
      <c r="P1514" s="18">
        <f t="shared" si="1"/>
        <v>99.702</v>
      </c>
    </row>
    <row r="1515" ht="15.75" customHeight="1">
      <c r="A1515" s="19" t="s">
        <v>222</v>
      </c>
      <c r="B1515" s="19" t="s">
        <v>99</v>
      </c>
      <c r="C1515" s="20" t="s">
        <v>210</v>
      </c>
      <c r="D1515" s="14" t="str">
        <f>VLOOKUP(C1515,'State Key'!$A$2:$B$210,2,False)</f>
        <v>Karnataka</v>
      </c>
      <c r="E1515" s="21">
        <v>1200.0</v>
      </c>
      <c r="F1515" s="22">
        <v>0.0</v>
      </c>
      <c r="G1515" s="22">
        <v>0.0</v>
      </c>
      <c r="H1515" s="22">
        <v>0.0</v>
      </c>
      <c r="I1515" s="22">
        <v>342.766</v>
      </c>
      <c r="J1515" s="22">
        <v>0.0</v>
      </c>
      <c r="K1515" s="22">
        <v>0.0</v>
      </c>
      <c r="L1515" s="22">
        <v>342.766</v>
      </c>
      <c r="M1515" s="22">
        <v>310.209</v>
      </c>
      <c r="N1515" s="22">
        <v>59.49</v>
      </c>
      <c r="O1515" s="17">
        <v>5.8</v>
      </c>
      <c r="P1515" s="18">
        <f t="shared" si="1"/>
        <v>342.766</v>
      </c>
    </row>
    <row r="1516" ht="15.75" customHeight="1">
      <c r="A1516" s="13" t="s">
        <v>222</v>
      </c>
      <c r="B1516" s="13" t="s">
        <v>99</v>
      </c>
      <c r="C1516" s="14" t="s">
        <v>100</v>
      </c>
      <c r="D1516" s="14" t="str">
        <f>VLOOKUP(C1516,'State Key'!$A$2:$B$210,2,False)</f>
        <v>Karnataka</v>
      </c>
      <c r="E1516" s="15">
        <v>1700.0</v>
      </c>
      <c r="F1516" s="16">
        <v>175.05285</v>
      </c>
      <c r="G1516" s="16">
        <v>223.88424</v>
      </c>
      <c r="H1516" s="16">
        <v>194.17759</v>
      </c>
      <c r="I1516" s="16">
        <v>0.0</v>
      </c>
      <c r="J1516" s="16">
        <v>0.0</v>
      </c>
      <c r="K1516" s="16">
        <v>0.0</v>
      </c>
      <c r="L1516" s="16">
        <v>593.11468</v>
      </c>
      <c r="M1516" s="16">
        <v>671.242</v>
      </c>
      <c r="N1516" s="16">
        <v>91.0181</v>
      </c>
      <c r="O1516" s="17">
        <v>4.1</v>
      </c>
      <c r="P1516" s="18">
        <f t="shared" si="1"/>
        <v>593.11468</v>
      </c>
    </row>
    <row r="1517" ht="15.75" customHeight="1">
      <c r="A1517" s="19" t="s">
        <v>222</v>
      </c>
      <c r="B1517" s="19" t="s">
        <v>99</v>
      </c>
      <c r="C1517" s="20" t="s">
        <v>101</v>
      </c>
      <c r="D1517" s="14" t="str">
        <f>VLOOKUP(C1517,'State Key'!$A$2:$B$210,2,False)</f>
        <v>Telangana</v>
      </c>
      <c r="E1517" s="21">
        <v>1080.0</v>
      </c>
      <c r="F1517" s="22">
        <v>0.0</v>
      </c>
      <c r="G1517" s="22">
        <v>467.484</v>
      </c>
      <c r="H1517" s="22">
        <v>0.0</v>
      </c>
      <c r="I1517" s="22">
        <v>0.0</v>
      </c>
      <c r="J1517" s="22">
        <v>0.0</v>
      </c>
      <c r="K1517" s="22">
        <v>0.0</v>
      </c>
      <c r="L1517" s="22">
        <v>467.484</v>
      </c>
      <c r="M1517" s="22">
        <v>457.878</v>
      </c>
      <c r="N1517" s="22">
        <v>145.681</v>
      </c>
      <c r="O1517" s="23">
        <v>9.5</v>
      </c>
      <c r="P1517" s="18">
        <f t="shared" si="1"/>
        <v>467.484</v>
      </c>
    </row>
    <row r="1518" ht="15.75" customHeight="1">
      <c r="A1518" s="13" t="s">
        <v>222</v>
      </c>
      <c r="B1518" s="13" t="s">
        <v>99</v>
      </c>
      <c r="C1518" s="14" t="s">
        <v>102</v>
      </c>
      <c r="D1518" s="14" t="str">
        <f>VLOOKUP(C1518,'State Key'!$A$2:$B$210,2,False)</f>
        <v>Andhra Pradesh</v>
      </c>
      <c r="E1518" s="15">
        <v>2400.0</v>
      </c>
      <c r="F1518" s="16">
        <v>474.069</v>
      </c>
      <c r="G1518" s="16">
        <v>0.0</v>
      </c>
      <c r="H1518" s="16">
        <v>0.0</v>
      </c>
      <c r="I1518" s="16">
        <v>0.0</v>
      </c>
      <c r="J1518" s="16">
        <v>0.0</v>
      </c>
      <c r="K1518" s="16">
        <v>0.0</v>
      </c>
      <c r="L1518" s="16">
        <v>474.069</v>
      </c>
      <c r="M1518" s="16">
        <v>454.314</v>
      </c>
      <c r="N1518" s="16">
        <v>91.6</v>
      </c>
      <c r="O1518" s="17">
        <v>6.0</v>
      </c>
      <c r="P1518" s="18">
        <f t="shared" si="1"/>
        <v>474.069</v>
      </c>
    </row>
    <row r="1519" ht="15.75" customHeight="1">
      <c r="A1519" s="19" t="s">
        <v>222</v>
      </c>
      <c r="B1519" s="19" t="s">
        <v>99</v>
      </c>
      <c r="C1519" s="20" t="s">
        <v>103</v>
      </c>
      <c r="D1519" s="14" t="str">
        <f>VLOOKUP(C1519,'State Key'!$A$2:$B$210,2,False)</f>
        <v>Andhra Pradesh</v>
      </c>
      <c r="E1519" s="21">
        <v>2560.0</v>
      </c>
      <c r="F1519" s="22">
        <v>639.196</v>
      </c>
      <c r="G1519" s="22">
        <v>323.165</v>
      </c>
      <c r="H1519" s="22">
        <v>0.0</v>
      </c>
      <c r="I1519" s="22">
        <v>0.0</v>
      </c>
      <c r="J1519" s="22">
        <v>0.0</v>
      </c>
      <c r="K1519" s="22">
        <v>0.0</v>
      </c>
      <c r="L1519" s="22">
        <v>962.361</v>
      </c>
      <c r="M1519" s="22">
        <v>864.486</v>
      </c>
      <c r="N1519" s="22">
        <v>126.28</v>
      </c>
      <c r="O1519" s="17">
        <v>4.4</v>
      </c>
      <c r="P1519" s="18">
        <f t="shared" si="1"/>
        <v>962.361</v>
      </c>
    </row>
    <row r="1520" ht="15.75" customHeight="1">
      <c r="A1520" s="13" t="s">
        <v>222</v>
      </c>
      <c r="B1520" s="13" t="s">
        <v>99</v>
      </c>
      <c r="C1520" s="14" t="s">
        <v>104</v>
      </c>
      <c r="D1520" s="14" t="str">
        <f>VLOOKUP(C1520,'State Key'!$A$2:$B$210,2,False)</f>
        <v>Tamil Nadu</v>
      </c>
      <c r="E1520" s="15">
        <v>1200.0</v>
      </c>
      <c r="F1520" s="16">
        <v>0.0</v>
      </c>
      <c r="G1520" s="16">
        <v>0.0</v>
      </c>
      <c r="H1520" s="16">
        <v>0.0</v>
      </c>
      <c r="I1520" s="16">
        <v>444.241</v>
      </c>
      <c r="J1520" s="16">
        <v>0.0</v>
      </c>
      <c r="K1520" s="16">
        <v>0.0</v>
      </c>
      <c r="L1520" s="16">
        <v>444.241</v>
      </c>
      <c r="M1520" s="16">
        <v>433.803</v>
      </c>
      <c r="N1520" s="16">
        <v>119.79</v>
      </c>
      <c r="O1520" s="23">
        <v>8.3</v>
      </c>
      <c r="P1520" s="18">
        <f t="shared" si="1"/>
        <v>444.241</v>
      </c>
    </row>
    <row r="1521" ht="15.75" customHeight="1">
      <c r="A1521" s="19" t="s">
        <v>222</v>
      </c>
      <c r="B1521" s="19" t="s">
        <v>99</v>
      </c>
      <c r="C1521" s="20" t="s">
        <v>105</v>
      </c>
      <c r="D1521" s="14" t="str">
        <f>VLOOKUP(C1521,'State Key'!$A$2:$B$210,2,False)</f>
        <v>Telangana</v>
      </c>
      <c r="E1521" s="21">
        <v>1100.0</v>
      </c>
      <c r="F1521" s="22">
        <v>0.0</v>
      </c>
      <c r="G1521" s="22">
        <v>423.696</v>
      </c>
      <c r="H1521" s="22">
        <v>0.0</v>
      </c>
      <c r="I1521" s="22">
        <v>0.0</v>
      </c>
      <c r="J1521" s="22">
        <v>0.0</v>
      </c>
      <c r="K1521" s="22">
        <v>0.0</v>
      </c>
      <c r="L1521" s="22">
        <v>423.696</v>
      </c>
      <c r="M1521" s="22">
        <v>410.914</v>
      </c>
      <c r="N1521" s="22">
        <v>309.681</v>
      </c>
      <c r="O1521" s="24">
        <v>22.6</v>
      </c>
      <c r="P1521" s="18">
        <f t="shared" si="1"/>
        <v>423.696</v>
      </c>
    </row>
    <row r="1522" ht="15.75" customHeight="1">
      <c r="A1522" s="13" t="s">
        <v>222</v>
      </c>
      <c r="B1522" s="13" t="s">
        <v>99</v>
      </c>
      <c r="C1522" s="14" t="s">
        <v>106</v>
      </c>
      <c r="D1522" s="14" t="str">
        <f>VLOOKUP(C1522,'State Key'!$A$2:$B$210,2,False)</f>
        <v>Telangana</v>
      </c>
      <c r="E1522" s="15">
        <v>1000.0</v>
      </c>
      <c r="F1522" s="16">
        <v>0.0</v>
      </c>
      <c r="G1522" s="16">
        <v>362.635</v>
      </c>
      <c r="H1522" s="16">
        <v>0.0</v>
      </c>
      <c r="I1522" s="16">
        <v>0.0</v>
      </c>
      <c r="J1522" s="16">
        <v>0.0</v>
      </c>
      <c r="K1522" s="16">
        <v>0.0</v>
      </c>
      <c r="L1522" s="16">
        <v>362.635</v>
      </c>
      <c r="M1522" s="16">
        <v>374.7</v>
      </c>
      <c r="N1522" s="16">
        <v>160.589</v>
      </c>
      <c r="O1522" s="23">
        <v>12.9</v>
      </c>
      <c r="P1522" s="18">
        <f t="shared" si="1"/>
        <v>362.635</v>
      </c>
    </row>
    <row r="1523" ht="15.75" customHeight="1">
      <c r="A1523" s="19" t="s">
        <v>222</v>
      </c>
      <c r="B1523" s="19" t="s">
        <v>99</v>
      </c>
      <c r="C1523" s="20" t="s">
        <v>107</v>
      </c>
      <c r="D1523" s="14" t="str">
        <f>VLOOKUP(C1523,'State Key'!$A$2:$B$210,2,False)</f>
        <v>Telangana</v>
      </c>
      <c r="E1523" s="21">
        <v>800.0</v>
      </c>
      <c r="F1523" s="22">
        <v>0.0</v>
      </c>
      <c r="G1523" s="22">
        <v>224.38</v>
      </c>
      <c r="H1523" s="22">
        <v>0.0</v>
      </c>
      <c r="I1523" s="22">
        <v>0.0</v>
      </c>
      <c r="J1523" s="22">
        <v>0.0</v>
      </c>
      <c r="K1523" s="22">
        <v>0.0</v>
      </c>
      <c r="L1523" s="22">
        <v>224.38</v>
      </c>
      <c r="M1523" s="22">
        <v>277.808</v>
      </c>
      <c r="N1523" s="22">
        <v>93.577</v>
      </c>
      <c r="O1523" s="23">
        <v>10.1</v>
      </c>
      <c r="P1523" s="18">
        <f t="shared" si="1"/>
        <v>224.38</v>
      </c>
    </row>
    <row r="1524" ht="15.75" customHeight="1">
      <c r="A1524" s="13" t="s">
        <v>222</v>
      </c>
      <c r="B1524" s="13" t="s">
        <v>99</v>
      </c>
      <c r="C1524" s="14" t="s">
        <v>108</v>
      </c>
      <c r="D1524" s="14" t="str">
        <f>VLOOKUP(C1524,'State Key'!$A$2:$B$210,2,False)</f>
        <v>Karnataka</v>
      </c>
      <c r="E1524" s="15">
        <v>2400.0</v>
      </c>
      <c r="F1524" s="16">
        <v>278.5</v>
      </c>
      <c r="G1524" s="16">
        <v>272.65</v>
      </c>
      <c r="H1524" s="16">
        <v>110.58</v>
      </c>
      <c r="I1524" s="16">
        <v>91.051</v>
      </c>
      <c r="J1524" s="16">
        <v>0.0</v>
      </c>
      <c r="K1524" s="16">
        <v>0.0</v>
      </c>
      <c r="L1524" s="16">
        <v>752.781</v>
      </c>
      <c r="M1524" s="16">
        <v>555.74</v>
      </c>
      <c r="N1524" s="16">
        <v>388.5</v>
      </c>
      <c r="O1524" s="24">
        <v>21.0</v>
      </c>
      <c r="P1524" s="18">
        <f t="shared" si="1"/>
        <v>752.781</v>
      </c>
    </row>
    <row r="1525" ht="15.75" customHeight="1">
      <c r="A1525" s="19" t="s">
        <v>222</v>
      </c>
      <c r="B1525" s="19" t="s">
        <v>99</v>
      </c>
      <c r="C1525" s="20" t="s">
        <v>109</v>
      </c>
      <c r="D1525" s="14" t="str">
        <f>VLOOKUP(C1525,'State Key'!$A$2:$B$210,2,False)</f>
        <v>Tamil Nadu</v>
      </c>
      <c r="E1525" s="21">
        <v>840.0</v>
      </c>
      <c r="F1525" s="22">
        <v>211.2364</v>
      </c>
      <c r="G1525" s="22">
        <v>169.6959</v>
      </c>
      <c r="H1525" s="22">
        <v>0.0</v>
      </c>
      <c r="I1525" s="22">
        <v>0.0</v>
      </c>
      <c r="J1525" s="22">
        <v>0.0</v>
      </c>
      <c r="K1525" s="22">
        <v>0.0</v>
      </c>
      <c r="L1525" s="22">
        <v>380.9323</v>
      </c>
      <c r="M1525" s="22">
        <v>352.6353</v>
      </c>
      <c r="N1525" s="22">
        <v>59.324</v>
      </c>
      <c r="O1525" s="17">
        <v>5.0</v>
      </c>
      <c r="P1525" s="18">
        <f t="shared" si="1"/>
        <v>380.9323</v>
      </c>
    </row>
    <row r="1526" ht="15.75" customHeight="1">
      <c r="A1526" s="13" t="s">
        <v>222</v>
      </c>
      <c r="B1526" s="13" t="s">
        <v>99</v>
      </c>
      <c r="C1526" s="14" t="s">
        <v>110</v>
      </c>
      <c r="D1526" s="14" t="str">
        <f>VLOOKUP(C1526,'State Key'!$A$2:$B$210,2,False)</f>
        <v>Tamil Nadu</v>
      </c>
      <c r="E1526" s="15">
        <v>600.0</v>
      </c>
      <c r="F1526" s="16">
        <v>141.446</v>
      </c>
      <c r="G1526" s="16">
        <v>111.12</v>
      </c>
      <c r="H1526" s="16">
        <v>0.0</v>
      </c>
      <c r="I1526" s="16">
        <v>0.0</v>
      </c>
      <c r="J1526" s="16">
        <v>0.0</v>
      </c>
      <c r="K1526" s="16">
        <v>0.0</v>
      </c>
      <c r="L1526" s="16">
        <v>252.566</v>
      </c>
      <c r="M1526" s="16">
        <v>253.795</v>
      </c>
      <c r="N1526" s="16">
        <v>58.16</v>
      </c>
      <c r="O1526" s="17">
        <v>6.9</v>
      </c>
      <c r="P1526" s="18">
        <f t="shared" si="1"/>
        <v>252.566</v>
      </c>
    </row>
    <row r="1527" ht="15.75" customHeight="1">
      <c r="A1527" s="19" t="s">
        <v>222</v>
      </c>
      <c r="B1527" s="19" t="s">
        <v>99</v>
      </c>
      <c r="C1527" s="20" t="s">
        <v>111</v>
      </c>
      <c r="D1527" s="14" t="str">
        <f>VLOOKUP(C1527,'State Key'!$A$2:$B$210,2,False)</f>
        <v>Tamil Nadu</v>
      </c>
      <c r="E1527" s="21">
        <v>1200.0</v>
      </c>
      <c r="F1527" s="22">
        <v>0.0</v>
      </c>
      <c r="G1527" s="22">
        <v>0.0</v>
      </c>
      <c r="H1527" s="22">
        <v>0.0</v>
      </c>
      <c r="I1527" s="22">
        <v>181.0</v>
      </c>
      <c r="J1527" s="22">
        <v>0.0</v>
      </c>
      <c r="K1527" s="22">
        <v>0.0</v>
      </c>
      <c r="L1527" s="22">
        <v>181.0</v>
      </c>
      <c r="M1527" s="22">
        <v>141.0</v>
      </c>
      <c r="N1527" s="22">
        <v>203.55</v>
      </c>
      <c r="O1527" s="24">
        <v>43.3</v>
      </c>
      <c r="P1527" s="18">
        <f t="shared" si="1"/>
        <v>181</v>
      </c>
    </row>
    <row r="1528" ht="15.75" customHeight="1">
      <c r="A1528" s="13" t="s">
        <v>222</v>
      </c>
      <c r="B1528" s="13" t="s">
        <v>99</v>
      </c>
      <c r="C1528" s="14" t="s">
        <v>112</v>
      </c>
      <c r="D1528" s="14" t="str">
        <f>VLOOKUP(C1528,'State Key'!$A$2:$B$210,2,False)</f>
        <v>Tamil Nadu</v>
      </c>
      <c r="E1528" s="15">
        <v>1830.0</v>
      </c>
      <c r="F1528" s="16">
        <v>914.373</v>
      </c>
      <c r="G1528" s="16">
        <v>0.0</v>
      </c>
      <c r="H1528" s="16">
        <v>0.0</v>
      </c>
      <c r="I1528" s="16">
        <v>0.0</v>
      </c>
      <c r="J1528" s="16">
        <v>0.0</v>
      </c>
      <c r="K1528" s="16">
        <v>0.0</v>
      </c>
      <c r="L1528" s="16">
        <v>914.373</v>
      </c>
      <c r="M1528" s="16">
        <v>672.524</v>
      </c>
      <c r="N1528" s="16">
        <v>247.898</v>
      </c>
      <c r="O1528" s="23">
        <v>11.1</v>
      </c>
      <c r="P1528" s="18">
        <f t="shared" si="1"/>
        <v>914.373</v>
      </c>
    </row>
    <row r="1529" ht="15.75" customHeight="1">
      <c r="A1529" s="19" t="s">
        <v>222</v>
      </c>
      <c r="B1529" s="19" t="s">
        <v>99</v>
      </c>
      <c r="C1529" s="20" t="s">
        <v>113</v>
      </c>
      <c r="D1529" s="14" t="str">
        <f>VLOOKUP(C1529,'State Key'!$A$2:$B$210,2,False)</f>
        <v>Tamil Nadu</v>
      </c>
      <c r="E1529" s="21">
        <v>1000.0</v>
      </c>
      <c r="F1529" s="22">
        <v>133.255</v>
      </c>
      <c r="G1529" s="22">
        <v>0.0</v>
      </c>
      <c r="H1529" s="22">
        <v>211.42</v>
      </c>
      <c r="I1529" s="22">
        <v>0.0</v>
      </c>
      <c r="J1529" s="22">
        <v>0.0</v>
      </c>
      <c r="K1529" s="22">
        <v>0.0</v>
      </c>
      <c r="L1529" s="22">
        <v>344.675</v>
      </c>
      <c r="M1529" s="22">
        <v>351.822</v>
      </c>
      <c r="N1529" s="22">
        <v>245.4</v>
      </c>
      <c r="O1529" s="24">
        <v>20.9</v>
      </c>
      <c r="P1529" s="18">
        <f t="shared" si="1"/>
        <v>344.675</v>
      </c>
    </row>
    <row r="1530" ht="15.75" customHeight="1">
      <c r="A1530" s="13" t="s">
        <v>222</v>
      </c>
      <c r="B1530" s="13" t="s">
        <v>99</v>
      </c>
      <c r="C1530" s="14" t="s">
        <v>114</v>
      </c>
      <c r="D1530" s="14" t="str">
        <f>VLOOKUP(C1530,'State Key'!$A$2:$B$210,2,False)</f>
        <v>Andhra Pradesh</v>
      </c>
      <c r="E1530" s="15">
        <v>1320.0</v>
      </c>
      <c r="F1530" s="16">
        <v>289.853</v>
      </c>
      <c r="G1530" s="16">
        <v>0.0</v>
      </c>
      <c r="H1530" s="16">
        <v>0.0</v>
      </c>
      <c r="I1530" s="16">
        <v>11.858</v>
      </c>
      <c r="J1530" s="16">
        <v>0.0</v>
      </c>
      <c r="K1530" s="16">
        <v>0.0</v>
      </c>
      <c r="L1530" s="16">
        <v>301.711</v>
      </c>
      <c r="M1530" s="16">
        <v>296.705</v>
      </c>
      <c r="N1530" s="16">
        <v>245.539</v>
      </c>
      <c r="O1530" s="24">
        <v>24.8</v>
      </c>
      <c r="P1530" s="18">
        <f t="shared" si="1"/>
        <v>301.711</v>
      </c>
    </row>
    <row r="1531" ht="15.75" customHeight="1">
      <c r="A1531" s="19" t="s">
        <v>222</v>
      </c>
      <c r="B1531" s="19" t="s">
        <v>99</v>
      </c>
      <c r="C1531" s="20" t="s">
        <v>115</v>
      </c>
      <c r="D1531" s="14" t="str">
        <f>VLOOKUP(C1531,'State Key'!$A$2:$B$210,2,False)</f>
        <v>Karnataka</v>
      </c>
      <c r="E1531" s="21">
        <v>1720.0</v>
      </c>
      <c r="F1531" s="22">
        <v>338.343</v>
      </c>
      <c r="G1531" s="22">
        <v>343.731</v>
      </c>
      <c r="H1531" s="22">
        <v>0.0</v>
      </c>
      <c r="I1531" s="22">
        <v>0.0</v>
      </c>
      <c r="J1531" s="22">
        <v>0.0</v>
      </c>
      <c r="K1531" s="22">
        <v>0.0</v>
      </c>
      <c r="L1531" s="22">
        <v>682.074</v>
      </c>
      <c r="M1531" s="22">
        <v>635.145</v>
      </c>
      <c r="N1531" s="22">
        <v>280.36</v>
      </c>
      <c r="O1531" s="23">
        <v>13.2</v>
      </c>
      <c r="P1531" s="18">
        <f t="shared" si="1"/>
        <v>682.074</v>
      </c>
    </row>
    <row r="1532" ht="15.75" customHeight="1">
      <c r="A1532" s="13" t="s">
        <v>222</v>
      </c>
      <c r="B1532" s="13" t="s">
        <v>99</v>
      </c>
      <c r="C1532" s="14" t="s">
        <v>116</v>
      </c>
      <c r="D1532" s="14" t="str">
        <f>VLOOKUP(C1532,'State Key'!$A$2:$B$210,2,False)</f>
        <v>Telangana</v>
      </c>
      <c r="E1532" s="15">
        <v>2600.0</v>
      </c>
      <c r="F1532" s="16">
        <v>0.0</v>
      </c>
      <c r="G1532" s="16">
        <v>1022.31</v>
      </c>
      <c r="H1532" s="16">
        <v>0.0</v>
      </c>
      <c r="I1532" s="16">
        <v>0.0</v>
      </c>
      <c r="J1532" s="16">
        <v>0.0</v>
      </c>
      <c r="K1532" s="16">
        <v>0.0</v>
      </c>
      <c r="L1532" s="16">
        <v>1022.31</v>
      </c>
      <c r="M1532" s="16">
        <v>921.759</v>
      </c>
      <c r="N1532" s="16">
        <v>450.05</v>
      </c>
      <c r="O1532" s="24">
        <v>14.6</v>
      </c>
      <c r="P1532" s="18">
        <f t="shared" si="1"/>
        <v>1022.31</v>
      </c>
    </row>
    <row r="1533" ht="15.75" customHeight="1">
      <c r="A1533" s="19" t="s">
        <v>222</v>
      </c>
      <c r="B1533" s="19" t="s">
        <v>99</v>
      </c>
      <c r="C1533" s="20" t="s">
        <v>117</v>
      </c>
      <c r="D1533" s="14" t="str">
        <f>VLOOKUP(C1533,'State Key'!$A$2:$B$210,2,False)</f>
        <v>Telangana</v>
      </c>
      <c r="E1533" s="21">
        <v>62.5</v>
      </c>
      <c r="F1533" s="22">
        <v>0.0</v>
      </c>
      <c r="G1533" s="22">
        <v>27.903</v>
      </c>
      <c r="H1533" s="22">
        <v>0.0</v>
      </c>
      <c r="I1533" s="22">
        <v>0.0</v>
      </c>
      <c r="J1533" s="22">
        <v>0.0</v>
      </c>
      <c r="K1533" s="22">
        <v>0.0</v>
      </c>
      <c r="L1533" s="22">
        <v>27.903</v>
      </c>
      <c r="M1533" s="22">
        <v>24.519</v>
      </c>
      <c r="N1533" s="22">
        <v>7.474</v>
      </c>
      <c r="O1533" s="23">
        <v>9.1</v>
      </c>
      <c r="P1533" s="18">
        <f t="shared" si="1"/>
        <v>27.903</v>
      </c>
    </row>
    <row r="1534" ht="15.75" customHeight="1">
      <c r="A1534" s="13" t="s">
        <v>222</v>
      </c>
      <c r="B1534" s="13" t="s">
        <v>99</v>
      </c>
      <c r="C1534" s="14" t="s">
        <v>118</v>
      </c>
      <c r="D1534" s="14" t="str">
        <f>VLOOKUP(C1534,'State Key'!$A$2:$B$210,2,False)</f>
        <v>Andhra Pradesh</v>
      </c>
      <c r="E1534" s="15">
        <v>1650.0</v>
      </c>
      <c r="F1534" s="16">
        <v>559.272</v>
      </c>
      <c r="G1534" s="16">
        <v>114.599</v>
      </c>
      <c r="H1534" s="16">
        <v>0.0</v>
      </c>
      <c r="I1534" s="16">
        <v>0.0</v>
      </c>
      <c r="J1534" s="16">
        <v>0.0</v>
      </c>
      <c r="K1534" s="16">
        <v>0.0</v>
      </c>
      <c r="L1534" s="16">
        <v>673.871</v>
      </c>
      <c r="M1534" s="16">
        <v>630.428</v>
      </c>
      <c r="N1534" s="16">
        <v>53.91</v>
      </c>
      <c r="O1534" s="17">
        <v>2.6</v>
      </c>
      <c r="P1534" s="18">
        <f t="shared" si="1"/>
        <v>673.871</v>
      </c>
    </row>
    <row r="1535" ht="15.75" customHeight="1">
      <c r="A1535" s="19" t="s">
        <v>222</v>
      </c>
      <c r="B1535" s="19" t="s">
        <v>99</v>
      </c>
      <c r="C1535" s="20" t="s">
        <v>119</v>
      </c>
      <c r="D1535" s="14" t="str">
        <f>VLOOKUP(C1535,'State Key'!$A$2:$B$210,2,False)</f>
        <v>Andhra Pradesh</v>
      </c>
      <c r="E1535" s="21">
        <v>1320.0</v>
      </c>
      <c r="F1535" s="22">
        <v>211.746</v>
      </c>
      <c r="G1535" s="22">
        <v>0.0</v>
      </c>
      <c r="H1535" s="22">
        <v>0.0</v>
      </c>
      <c r="I1535" s="22">
        <v>290.182</v>
      </c>
      <c r="J1535" s="22">
        <v>0.0</v>
      </c>
      <c r="K1535" s="22">
        <v>0.0</v>
      </c>
      <c r="L1535" s="22">
        <v>501.928</v>
      </c>
      <c r="M1535" s="22">
        <v>437.941</v>
      </c>
      <c r="N1535" s="22">
        <v>425.916</v>
      </c>
      <c r="O1535" s="24">
        <v>29.2</v>
      </c>
      <c r="P1535" s="18">
        <f t="shared" si="1"/>
        <v>501.928</v>
      </c>
    </row>
    <row r="1536" ht="15.75" customHeight="1">
      <c r="A1536" s="13" t="s">
        <v>222</v>
      </c>
      <c r="B1536" s="13" t="s">
        <v>99</v>
      </c>
      <c r="C1536" s="14" t="s">
        <v>120</v>
      </c>
      <c r="D1536" s="14" t="str">
        <f>VLOOKUP(C1536,'State Key'!$A$2:$B$210,2,False)</f>
        <v>Andhra Pradesh</v>
      </c>
      <c r="E1536" s="15">
        <v>2000.0</v>
      </c>
      <c r="F1536" s="16">
        <v>579.28</v>
      </c>
      <c r="G1536" s="16">
        <v>77.05</v>
      </c>
      <c r="H1536" s="16">
        <v>30.84</v>
      </c>
      <c r="I1536" s="16">
        <v>96.48</v>
      </c>
      <c r="J1536" s="16">
        <v>0.0</v>
      </c>
      <c r="K1536" s="16">
        <v>0.0</v>
      </c>
      <c r="L1536" s="16">
        <v>783.65</v>
      </c>
      <c r="M1536" s="16">
        <v>625.902</v>
      </c>
      <c r="N1536" s="16">
        <v>248.41</v>
      </c>
      <c r="O1536" s="23">
        <v>11.9</v>
      </c>
      <c r="P1536" s="18">
        <f t="shared" si="1"/>
        <v>783.65</v>
      </c>
    </row>
    <row r="1537" ht="15.75" customHeight="1">
      <c r="A1537" s="19" t="s">
        <v>222</v>
      </c>
      <c r="B1537" s="19" t="s">
        <v>99</v>
      </c>
      <c r="C1537" s="20" t="s">
        <v>121</v>
      </c>
      <c r="D1537" s="14" t="str">
        <f>VLOOKUP(C1537,'State Key'!$A$2:$B$210,2,False)</f>
        <v>Andhra Pradesh</v>
      </c>
      <c r="E1537" s="21">
        <v>600.0</v>
      </c>
      <c r="F1537" s="22">
        <v>0.0</v>
      </c>
      <c r="G1537" s="22">
        <v>0.0</v>
      </c>
      <c r="H1537" s="22">
        <v>0.0</v>
      </c>
      <c r="I1537" s="22">
        <v>115.6861</v>
      </c>
      <c r="J1537" s="22">
        <v>0.0</v>
      </c>
      <c r="K1537" s="22">
        <v>0.0</v>
      </c>
      <c r="L1537" s="22">
        <v>115.6861</v>
      </c>
      <c r="M1537" s="22">
        <v>117.057</v>
      </c>
      <c r="N1537" s="22">
        <v>104.36</v>
      </c>
      <c r="O1537" s="24">
        <v>26.7</v>
      </c>
      <c r="P1537" s="18">
        <f t="shared" si="1"/>
        <v>115.6861</v>
      </c>
    </row>
    <row r="1538" ht="15.75" customHeight="1">
      <c r="A1538" s="13" t="s">
        <v>222</v>
      </c>
      <c r="B1538" s="13" t="s">
        <v>99</v>
      </c>
      <c r="C1538" s="14" t="s">
        <v>122</v>
      </c>
      <c r="D1538" s="14" t="str">
        <f>VLOOKUP(C1538,'State Key'!$A$2:$B$210,2,False)</f>
        <v>Telangana</v>
      </c>
      <c r="E1538" s="15">
        <v>1200.0</v>
      </c>
      <c r="F1538" s="16">
        <v>0.0</v>
      </c>
      <c r="G1538" s="16">
        <v>353.385</v>
      </c>
      <c r="H1538" s="16">
        <v>0.0</v>
      </c>
      <c r="I1538" s="16">
        <v>0.0</v>
      </c>
      <c r="J1538" s="16">
        <v>0.0</v>
      </c>
      <c r="K1538" s="16">
        <v>0.0</v>
      </c>
      <c r="L1538" s="16">
        <v>353.385</v>
      </c>
      <c r="M1538" s="16">
        <v>345.615</v>
      </c>
      <c r="N1538" s="16">
        <v>159.76</v>
      </c>
      <c r="O1538" s="23">
        <v>13.9</v>
      </c>
      <c r="P1538" s="18">
        <f t="shared" si="1"/>
        <v>353.385</v>
      </c>
    </row>
    <row r="1539" ht="15.75" customHeight="1">
      <c r="A1539" s="19" t="s">
        <v>222</v>
      </c>
      <c r="B1539" s="19" t="s">
        <v>99</v>
      </c>
      <c r="C1539" s="20" t="s">
        <v>220</v>
      </c>
      <c r="D1539" s="14" t="str">
        <f>VLOOKUP(C1539,'State Key'!$A$2:$B$210,2,False)</f>
        <v>Telangana</v>
      </c>
      <c r="E1539" s="21">
        <v>800.0</v>
      </c>
      <c r="F1539" s="22">
        <v>0.0</v>
      </c>
      <c r="G1539" s="22">
        <v>257.99</v>
      </c>
      <c r="H1539" s="22">
        <v>0.0</v>
      </c>
      <c r="I1539" s="22">
        <v>0.0</v>
      </c>
      <c r="J1539" s="22">
        <v>0.0</v>
      </c>
      <c r="K1539" s="22">
        <v>0.0</v>
      </c>
      <c r="L1539" s="22">
        <v>257.99</v>
      </c>
      <c r="M1539" s="22">
        <v>165.672</v>
      </c>
      <c r="N1539" s="22">
        <v>218.63</v>
      </c>
      <c r="O1539" s="24">
        <v>39.6</v>
      </c>
      <c r="P1539" s="18">
        <f t="shared" si="1"/>
        <v>257.99</v>
      </c>
    </row>
    <row r="1540" ht="15.75" customHeight="1">
      <c r="A1540" s="13" t="s">
        <v>222</v>
      </c>
      <c r="B1540" s="13" t="s">
        <v>99</v>
      </c>
      <c r="C1540" s="14" t="s">
        <v>123</v>
      </c>
      <c r="D1540" s="14" t="str">
        <f>VLOOKUP(C1540,'State Key'!$A$2:$B$210,2,False)</f>
        <v>Andhra Pradesh</v>
      </c>
      <c r="E1540" s="15">
        <v>300.0</v>
      </c>
      <c r="F1540" s="16">
        <v>0.0</v>
      </c>
      <c r="G1540" s="16">
        <v>0.0</v>
      </c>
      <c r="H1540" s="16">
        <v>0.0</v>
      </c>
      <c r="I1540" s="16">
        <v>0.0</v>
      </c>
      <c r="J1540" s="16">
        <v>0.0</v>
      </c>
      <c r="K1540" s="16">
        <v>0.0</v>
      </c>
      <c r="L1540" s="16">
        <v>0.0</v>
      </c>
      <c r="M1540" s="16">
        <v>0.0</v>
      </c>
      <c r="N1540" s="16">
        <v>0.0</v>
      </c>
      <c r="O1540" s="13" t="s">
        <v>58</v>
      </c>
      <c r="P1540" s="18">
        <f t="shared" si="1"/>
        <v>0</v>
      </c>
    </row>
    <row r="1541" ht="15.75" customHeight="1">
      <c r="A1541" s="19" t="s">
        <v>222</v>
      </c>
      <c r="B1541" s="19" t="s">
        <v>99</v>
      </c>
      <c r="C1541" s="20" t="s">
        <v>124</v>
      </c>
      <c r="D1541" s="14" t="str">
        <f>VLOOKUP(C1541,'State Key'!$A$2:$B$210,2,False)</f>
        <v>Karnataka</v>
      </c>
      <c r="E1541" s="21">
        <v>260.0</v>
      </c>
      <c r="F1541" s="22">
        <v>0.0</v>
      </c>
      <c r="G1541" s="22">
        <v>0.0</v>
      </c>
      <c r="H1541" s="22">
        <v>0.0</v>
      </c>
      <c r="I1541" s="22">
        <v>35.61</v>
      </c>
      <c r="J1541" s="22">
        <v>0.0</v>
      </c>
      <c r="K1541" s="22">
        <v>0.0</v>
      </c>
      <c r="L1541" s="22">
        <v>35.61</v>
      </c>
      <c r="M1541" s="22">
        <v>35.61</v>
      </c>
      <c r="N1541" s="22">
        <v>0.0</v>
      </c>
      <c r="O1541" s="17">
        <v>0.0</v>
      </c>
      <c r="P1541" s="18">
        <f t="shared" si="1"/>
        <v>35.61</v>
      </c>
    </row>
    <row r="1542" ht="15.75" customHeight="1">
      <c r="A1542" s="13" t="s">
        <v>222</v>
      </c>
      <c r="B1542" s="13" t="s">
        <v>99</v>
      </c>
      <c r="C1542" s="14" t="s">
        <v>125</v>
      </c>
      <c r="D1542" s="14" t="str">
        <f>VLOOKUP(C1542,'State Key'!$A$2:$B$210,2,False)</f>
        <v>Karnataka</v>
      </c>
      <c r="E1542" s="15">
        <v>600.0</v>
      </c>
      <c r="F1542" s="16">
        <v>0.0</v>
      </c>
      <c r="G1542" s="16">
        <v>0.0</v>
      </c>
      <c r="H1542" s="16">
        <v>0.0</v>
      </c>
      <c r="I1542" s="16">
        <v>67.45</v>
      </c>
      <c r="J1542" s="16">
        <v>0.0</v>
      </c>
      <c r="K1542" s="16">
        <v>0.0</v>
      </c>
      <c r="L1542" s="16">
        <v>67.45</v>
      </c>
      <c r="M1542" s="16">
        <v>67.85</v>
      </c>
      <c r="N1542" s="16">
        <v>32.06</v>
      </c>
      <c r="O1542" s="24">
        <v>14.2</v>
      </c>
      <c r="P1542" s="18">
        <f t="shared" si="1"/>
        <v>67.45</v>
      </c>
    </row>
    <row r="1543" ht="15.75" customHeight="1">
      <c r="A1543" s="19" t="s">
        <v>222</v>
      </c>
      <c r="B1543" s="19" t="s">
        <v>99</v>
      </c>
      <c r="C1543" s="20" t="s">
        <v>126</v>
      </c>
      <c r="D1543" s="14" t="str">
        <f>VLOOKUP(C1543,'State Key'!$A$2:$B$210,2,False)</f>
        <v>Tamil Nadu</v>
      </c>
      <c r="E1543" s="21">
        <v>300.0</v>
      </c>
      <c r="F1543" s="22">
        <v>0.0</v>
      </c>
      <c r="G1543" s="22">
        <v>0.0</v>
      </c>
      <c r="H1543" s="22">
        <v>0.0</v>
      </c>
      <c r="I1543" s="22">
        <v>0.0</v>
      </c>
      <c r="J1543" s="22">
        <v>0.0</v>
      </c>
      <c r="K1543" s="22">
        <v>0.0</v>
      </c>
      <c r="L1543" s="22">
        <v>0.0</v>
      </c>
      <c r="M1543" s="22">
        <v>0.0</v>
      </c>
      <c r="N1543" s="22">
        <v>0.0</v>
      </c>
      <c r="O1543" s="19" t="s">
        <v>58</v>
      </c>
      <c r="P1543" s="18">
        <f t="shared" si="1"/>
        <v>0</v>
      </c>
    </row>
    <row r="1544" ht="15.75" customHeight="1">
      <c r="A1544" s="13" t="s">
        <v>222</v>
      </c>
      <c r="B1544" s="13" t="s">
        <v>99</v>
      </c>
      <c r="C1544" s="14" t="s">
        <v>127</v>
      </c>
      <c r="D1544" s="14" t="str">
        <f>VLOOKUP(C1544,'State Key'!$A$2:$B$210,2,False)</f>
        <v>Tamil Nadu</v>
      </c>
      <c r="E1544" s="15">
        <v>525.0</v>
      </c>
      <c r="F1544" s="16">
        <v>0.0</v>
      </c>
      <c r="G1544" s="16">
        <v>0.0</v>
      </c>
      <c r="H1544" s="16">
        <v>0.0</v>
      </c>
      <c r="I1544" s="16">
        <v>129.0</v>
      </c>
      <c r="J1544" s="16">
        <v>0.0</v>
      </c>
      <c r="K1544" s="16">
        <v>0.0</v>
      </c>
      <c r="L1544" s="16">
        <v>129.0</v>
      </c>
      <c r="M1544" s="16">
        <v>135.7</v>
      </c>
      <c r="N1544" s="16">
        <v>13.2</v>
      </c>
      <c r="O1544" s="17">
        <v>2.9</v>
      </c>
      <c r="P1544" s="18">
        <f t="shared" si="1"/>
        <v>129</v>
      </c>
    </row>
    <row r="1545" ht="15.75" customHeight="1">
      <c r="A1545" s="19" t="s">
        <v>222</v>
      </c>
      <c r="B1545" s="19" t="s">
        <v>99</v>
      </c>
      <c r="C1545" s="20" t="s">
        <v>128</v>
      </c>
      <c r="D1545" s="14" t="str">
        <f>VLOOKUP(C1545,'State Key'!$A$2:$B$210,2,False)</f>
        <v>Tamil Nadu</v>
      </c>
      <c r="E1545" s="21">
        <v>1050.0</v>
      </c>
      <c r="F1545" s="22">
        <v>467.226</v>
      </c>
      <c r="G1545" s="22">
        <v>0.0</v>
      </c>
      <c r="H1545" s="22">
        <v>0.0</v>
      </c>
      <c r="I1545" s="22">
        <v>0.0</v>
      </c>
      <c r="J1545" s="22">
        <v>0.0</v>
      </c>
      <c r="K1545" s="22">
        <v>0.0</v>
      </c>
      <c r="L1545" s="22">
        <v>467.226</v>
      </c>
      <c r="M1545" s="22">
        <v>305.949</v>
      </c>
      <c r="N1545" s="22">
        <v>220.88</v>
      </c>
      <c r="O1545" s="24">
        <v>21.7</v>
      </c>
      <c r="P1545" s="18">
        <f t="shared" si="1"/>
        <v>467.226</v>
      </c>
    </row>
    <row r="1546" ht="15.75" customHeight="1">
      <c r="A1546" s="13" t="s">
        <v>222</v>
      </c>
      <c r="B1546" s="13" t="s">
        <v>99</v>
      </c>
      <c r="C1546" s="14" t="s">
        <v>130</v>
      </c>
      <c r="D1546" s="14" t="str">
        <f>VLOOKUP(C1546,'State Key'!$A$2:$B$210,2,False)</f>
        <v>Tamil Nadu</v>
      </c>
      <c r="E1546" s="15">
        <v>1500.0</v>
      </c>
      <c r="F1546" s="16">
        <v>247.177</v>
      </c>
      <c r="G1546" s="16">
        <v>0.263</v>
      </c>
      <c r="H1546" s="16">
        <v>0.0</v>
      </c>
      <c r="I1546" s="16">
        <v>0.0</v>
      </c>
      <c r="J1546" s="16">
        <v>0.0</v>
      </c>
      <c r="K1546" s="16">
        <v>0.0</v>
      </c>
      <c r="L1546" s="16">
        <v>247.44</v>
      </c>
      <c r="M1546" s="16">
        <v>240.181</v>
      </c>
      <c r="N1546" s="16">
        <v>90.69</v>
      </c>
      <c r="O1546" s="23">
        <v>11.3</v>
      </c>
      <c r="P1546" s="18">
        <f t="shared" si="1"/>
        <v>247.44</v>
      </c>
    </row>
    <row r="1547" ht="15.75" customHeight="1">
      <c r="A1547" s="19" t="s">
        <v>222</v>
      </c>
      <c r="B1547" s="19" t="s">
        <v>99</v>
      </c>
      <c r="C1547" s="20" t="s">
        <v>131</v>
      </c>
      <c r="D1547" s="14" t="str">
        <f>VLOOKUP(C1547,'State Key'!$A$2:$B$210,2,False)</f>
        <v>Andhra Pradesh</v>
      </c>
      <c r="E1547" s="21">
        <v>1040.0</v>
      </c>
      <c r="F1547" s="22">
        <v>284.3172</v>
      </c>
      <c r="G1547" s="22">
        <v>0.0</v>
      </c>
      <c r="H1547" s="22">
        <v>0.0</v>
      </c>
      <c r="I1547" s="22">
        <v>0.0</v>
      </c>
      <c r="J1547" s="22">
        <v>0.0</v>
      </c>
      <c r="K1547" s="22">
        <v>0.0</v>
      </c>
      <c r="L1547" s="22">
        <v>284.3172</v>
      </c>
      <c r="M1547" s="22">
        <v>265.929</v>
      </c>
      <c r="N1547" s="22">
        <v>124.7159</v>
      </c>
      <c r="O1547" s="24">
        <v>14.1</v>
      </c>
      <c r="P1547" s="18">
        <f t="shared" si="1"/>
        <v>284.3172</v>
      </c>
    </row>
    <row r="1548" ht="15.75" customHeight="1">
      <c r="A1548" s="13" t="s">
        <v>222</v>
      </c>
      <c r="B1548" s="13" t="s">
        <v>99</v>
      </c>
      <c r="C1548" s="14" t="s">
        <v>132</v>
      </c>
      <c r="D1548" s="14" t="str">
        <f>VLOOKUP(C1548,'State Key'!$A$2:$B$210,2,False)</f>
        <v>Karnataka</v>
      </c>
      <c r="E1548" s="15">
        <v>1600.0</v>
      </c>
      <c r="F1548" s="16">
        <v>0.0</v>
      </c>
      <c r="G1548" s="16">
        <v>247.479</v>
      </c>
      <c r="H1548" s="16">
        <v>0.0</v>
      </c>
      <c r="I1548" s="16">
        <v>0.0</v>
      </c>
      <c r="J1548" s="16">
        <v>0.0</v>
      </c>
      <c r="K1548" s="16">
        <v>0.0</v>
      </c>
      <c r="L1548" s="16">
        <v>247.479</v>
      </c>
      <c r="M1548" s="16">
        <v>133.482</v>
      </c>
      <c r="N1548" s="16">
        <v>292.44</v>
      </c>
      <c r="O1548" s="24">
        <v>65.7</v>
      </c>
      <c r="P1548" s="18">
        <f t="shared" si="1"/>
        <v>247.479</v>
      </c>
    </row>
    <row r="1549" ht="15.75" customHeight="1">
      <c r="A1549" s="19" t="s">
        <v>222</v>
      </c>
      <c r="B1549" s="19" t="s">
        <v>133</v>
      </c>
      <c r="C1549" s="20" t="s">
        <v>211</v>
      </c>
      <c r="D1549" s="14" t="str">
        <f>VLOOKUP(C1549,'State Key'!$A$2:$B$210,2,False)</f>
        <v>Gujarat</v>
      </c>
      <c r="E1549" s="21">
        <v>2640.0</v>
      </c>
      <c r="F1549" s="22">
        <v>0.0</v>
      </c>
      <c r="G1549" s="22">
        <v>0.0</v>
      </c>
      <c r="H1549" s="22">
        <v>0.0</v>
      </c>
      <c r="I1549" s="22">
        <v>744.493</v>
      </c>
      <c r="J1549" s="22">
        <v>0.0</v>
      </c>
      <c r="K1549" s="22">
        <v>0.0</v>
      </c>
      <c r="L1549" s="22">
        <v>744.493</v>
      </c>
      <c r="M1549" s="22">
        <v>732.356</v>
      </c>
      <c r="N1549" s="22">
        <v>109.162</v>
      </c>
      <c r="O1549" s="17">
        <v>4.5</v>
      </c>
      <c r="P1549" s="18">
        <f t="shared" si="1"/>
        <v>744.493</v>
      </c>
    </row>
    <row r="1550" ht="15.75" customHeight="1">
      <c r="A1550" s="13" t="s">
        <v>222</v>
      </c>
      <c r="B1550" s="13" t="s">
        <v>133</v>
      </c>
      <c r="C1550" s="14" t="s">
        <v>212</v>
      </c>
      <c r="D1550" s="14" t="str">
        <f>VLOOKUP(C1550,'State Key'!$A$2:$B$210,2,False)</f>
        <v>Gujarat</v>
      </c>
      <c r="E1550" s="15">
        <v>1980.0</v>
      </c>
      <c r="F1550" s="16">
        <v>0.0</v>
      </c>
      <c r="G1550" s="16">
        <v>0.0</v>
      </c>
      <c r="H1550" s="16">
        <v>0.0</v>
      </c>
      <c r="I1550" s="16">
        <v>474.356</v>
      </c>
      <c r="J1550" s="16">
        <v>0.0</v>
      </c>
      <c r="K1550" s="16">
        <v>0.0</v>
      </c>
      <c r="L1550" s="16">
        <v>474.356</v>
      </c>
      <c r="M1550" s="16">
        <v>480.578</v>
      </c>
      <c r="N1550" s="16">
        <v>99.002</v>
      </c>
      <c r="O1550" s="17">
        <v>6.2</v>
      </c>
      <c r="P1550" s="18">
        <f t="shared" si="1"/>
        <v>474.356</v>
      </c>
    </row>
    <row r="1551" ht="15.75" customHeight="1">
      <c r="A1551" s="19" t="s">
        <v>222</v>
      </c>
      <c r="B1551" s="19" t="s">
        <v>133</v>
      </c>
      <c r="C1551" s="20" t="s">
        <v>213</v>
      </c>
      <c r="D1551" s="14" t="str">
        <f>VLOOKUP(C1551,'State Key'!$A$2:$B$210,2,False)</f>
        <v>Chhattisgarh</v>
      </c>
      <c r="E1551" s="21">
        <v>600.0</v>
      </c>
      <c r="F1551" s="22">
        <v>174.301</v>
      </c>
      <c r="G1551" s="22">
        <v>0.0</v>
      </c>
      <c r="H1551" s="22">
        <v>0.0</v>
      </c>
      <c r="I1551" s="22">
        <v>26.961</v>
      </c>
      <c r="J1551" s="22">
        <v>15.043</v>
      </c>
      <c r="K1551" s="22">
        <v>4.33</v>
      </c>
      <c r="L1551" s="22">
        <v>220.635</v>
      </c>
      <c r="M1551" s="22">
        <v>267.488</v>
      </c>
      <c r="N1551" s="22">
        <v>220.56</v>
      </c>
      <c r="O1551" s="24">
        <v>24.7</v>
      </c>
      <c r="P1551" s="18">
        <f t="shared" si="1"/>
        <v>220.635</v>
      </c>
    </row>
    <row r="1552" ht="15.75" customHeight="1">
      <c r="A1552" s="13" t="s">
        <v>222</v>
      </c>
      <c r="B1552" s="13" t="s">
        <v>133</v>
      </c>
      <c r="C1552" s="14" t="s">
        <v>214</v>
      </c>
      <c r="D1552" s="14" t="str">
        <f>VLOOKUP(C1552,'State Key'!$A$2:$B$210,2,False)</f>
        <v>Chhattisgarh</v>
      </c>
      <c r="E1552" s="15">
        <v>1370.0</v>
      </c>
      <c r="F1552" s="16">
        <v>222.708</v>
      </c>
      <c r="G1552" s="16">
        <v>0.0</v>
      </c>
      <c r="H1552" s="16">
        <v>0.0</v>
      </c>
      <c r="I1552" s="16">
        <v>4.007</v>
      </c>
      <c r="J1552" s="16">
        <v>112.301</v>
      </c>
      <c r="K1552" s="16">
        <v>55.898</v>
      </c>
      <c r="L1552" s="16">
        <v>394.914</v>
      </c>
      <c r="M1552" s="16">
        <v>270.262</v>
      </c>
      <c r="N1552" s="16">
        <v>393.0</v>
      </c>
      <c r="O1552" s="24">
        <v>43.6</v>
      </c>
      <c r="P1552" s="18">
        <f t="shared" si="1"/>
        <v>394.914</v>
      </c>
    </row>
    <row r="1553" ht="15.75" customHeight="1">
      <c r="A1553" s="19" t="s">
        <v>222</v>
      </c>
      <c r="B1553" s="19" t="s">
        <v>133</v>
      </c>
      <c r="C1553" s="20" t="s">
        <v>215</v>
      </c>
      <c r="D1553" s="14" t="str">
        <f>VLOOKUP(C1553,'State Key'!$A$2:$B$210,2,False)</f>
        <v>Maharashtra</v>
      </c>
      <c r="E1553" s="21">
        <v>3300.0</v>
      </c>
      <c r="F1553" s="22">
        <v>1185.735</v>
      </c>
      <c r="G1553" s="22">
        <v>0.0</v>
      </c>
      <c r="H1553" s="22">
        <v>0.0</v>
      </c>
      <c r="I1553" s="22">
        <v>0.0</v>
      </c>
      <c r="J1553" s="22">
        <v>0.0</v>
      </c>
      <c r="K1553" s="22">
        <v>0.0</v>
      </c>
      <c r="L1553" s="22">
        <v>1185.735</v>
      </c>
      <c r="M1553" s="22">
        <v>998.74</v>
      </c>
      <c r="N1553" s="22">
        <v>785.1</v>
      </c>
      <c r="O1553" s="24">
        <v>23.6</v>
      </c>
      <c r="P1553" s="18">
        <f t="shared" si="1"/>
        <v>1185.735</v>
      </c>
    </row>
    <row r="1554" ht="15.75" customHeight="1">
      <c r="A1554" s="13" t="s">
        <v>222</v>
      </c>
      <c r="B1554" s="13" t="s">
        <v>133</v>
      </c>
      <c r="C1554" s="14" t="s">
        <v>134</v>
      </c>
      <c r="D1554" s="14" t="str">
        <f>VLOOKUP(C1554,'State Key'!$A$2:$B$210,2,False)</f>
        <v>Chhattisgarh</v>
      </c>
      <c r="E1554" s="15">
        <v>1800.0</v>
      </c>
      <c r="F1554" s="16">
        <v>566.7837</v>
      </c>
      <c r="G1554" s="16">
        <v>0.0</v>
      </c>
      <c r="H1554" s="16">
        <v>0.0</v>
      </c>
      <c r="I1554" s="16">
        <v>0.0</v>
      </c>
      <c r="J1554" s="16">
        <v>0.0</v>
      </c>
      <c r="K1554" s="16">
        <v>41.3507</v>
      </c>
      <c r="L1554" s="16">
        <v>608.1344</v>
      </c>
      <c r="M1554" s="16">
        <v>686.306</v>
      </c>
      <c r="N1554" s="16">
        <v>278.41</v>
      </c>
      <c r="O1554" s="23">
        <v>12.2</v>
      </c>
      <c r="P1554" s="18">
        <f t="shared" si="1"/>
        <v>608.1344</v>
      </c>
    </row>
    <row r="1555" ht="15.75" customHeight="1">
      <c r="A1555" s="19" t="s">
        <v>222</v>
      </c>
      <c r="B1555" s="19" t="s">
        <v>133</v>
      </c>
      <c r="C1555" s="20" t="s">
        <v>135</v>
      </c>
      <c r="D1555" s="14" t="str">
        <f>VLOOKUP(C1555,'State Key'!$A$2:$B$210,2,False)</f>
        <v>Madhya Pradesh</v>
      </c>
      <c r="E1555" s="21">
        <v>210.0</v>
      </c>
      <c r="F1555" s="22">
        <v>92.728</v>
      </c>
      <c r="G1555" s="22">
        <v>0.0</v>
      </c>
      <c r="H1555" s="22">
        <v>0.0</v>
      </c>
      <c r="I1555" s="22">
        <v>0.0</v>
      </c>
      <c r="J1555" s="22">
        <v>0.0</v>
      </c>
      <c r="K1555" s="22">
        <v>0.0</v>
      </c>
      <c r="L1555" s="22">
        <v>92.728</v>
      </c>
      <c r="M1555" s="22">
        <v>90.438</v>
      </c>
      <c r="N1555" s="22">
        <v>31.96</v>
      </c>
      <c r="O1555" s="23">
        <v>10.6</v>
      </c>
      <c r="P1555" s="18">
        <f t="shared" si="1"/>
        <v>92.728</v>
      </c>
    </row>
    <row r="1556" ht="15.75" customHeight="1">
      <c r="A1556" s="13" t="s">
        <v>222</v>
      </c>
      <c r="B1556" s="13" t="s">
        <v>133</v>
      </c>
      <c r="C1556" s="14" t="s">
        <v>136</v>
      </c>
      <c r="D1556" s="14" t="str">
        <f>VLOOKUP(C1556,'State Key'!$A$2:$B$210,2,False)</f>
        <v>Maharashtra</v>
      </c>
      <c r="E1556" s="15">
        <v>1350.0</v>
      </c>
      <c r="F1556" s="16">
        <v>549.827</v>
      </c>
      <c r="G1556" s="16">
        <v>0.0</v>
      </c>
      <c r="H1556" s="16">
        <v>0.0</v>
      </c>
      <c r="I1556" s="16">
        <v>0.0</v>
      </c>
      <c r="J1556" s="16">
        <v>0.0</v>
      </c>
      <c r="K1556" s="16">
        <v>0.0</v>
      </c>
      <c r="L1556" s="16">
        <v>549.827</v>
      </c>
      <c r="M1556" s="16">
        <v>536.468</v>
      </c>
      <c r="N1556" s="16">
        <v>216.22</v>
      </c>
      <c r="O1556" s="23">
        <v>12.1</v>
      </c>
      <c r="P1556" s="18">
        <f t="shared" si="1"/>
        <v>549.827</v>
      </c>
    </row>
    <row r="1557" ht="15.75" customHeight="1">
      <c r="A1557" s="19" t="s">
        <v>222</v>
      </c>
      <c r="B1557" s="19" t="s">
        <v>133</v>
      </c>
      <c r="C1557" s="20" t="s">
        <v>137</v>
      </c>
      <c r="D1557" s="14" t="str">
        <f>VLOOKUP(C1557,'State Key'!$A$2:$B$210,2,False)</f>
        <v>Madhya Pradesh</v>
      </c>
      <c r="E1557" s="21">
        <v>1250.0</v>
      </c>
      <c r="F1557" s="22">
        <v>296.48</v>
      </c>
      <c r="G1557" s="22">
        <v>0.0</v>
      </c>
      <c r="H1557" s="22">
        <v>0.0</v>
      </c>
      <c r="I1557" s="22">
        <v>0.0</v>
      </c>
      <c r="J1557" s="22">
        <v>0.0</v>
      </c>
      <c r="K1557" s="22">
        <v>211.28</v>
      </c>
      <c r="L1557" s="22">
        <v>507.76</v>
      </c>
      <c r="M1557" s="22">
        <v>419.77</v>
      </c>
      <c r="N1557" s="22">
        <v>345.86</v>
      </c>
      <c r="O1557" s="24">
        <v>24.7</v>
      </c>
      <c r="P1557" s="18">
        <f t="shared" si="1"/>
        <v>507.76</v>
      </c>
    </row>
    <row r="1558" ht="15.75" customHeight="1">
      <c r="A1558" s="13" t="s">
        <v>222</v>
      </c>
      <c r="B1558" s="13" t="s">
        <v>133</v>
      </c>
      <c r="C1558" s="14" t="s">
        <v>139</v>
      </c>
      <c r="D1558" s="14" t="str">
        <f>VLOOKUP(C1558,'State Key'!$A$2:$B$210,2,False)</f>
        <v>Chhattisgarh</v>
      </c>
      <c r="E1558" s="15">
        <v>600.0</v>
      </c>
      <c r="F1558" s="16">
        <v>198.34</v>
      </c>
      <c r="G1558" s="16">
        <v>0.0</v>
      </c>
      <c r="H1558" s="16">
        <v>0.0</v>
      </c>
      <c r="I1558" s="16">
        <v>0.0</v>
      </c>
      <c r="J1558" s="16">
        <v>0.0</v>
      </c>
      <c r="K1558" s="16">
        <v>94.2</v>
      </c>
      <c r="L1558" s="16">
        <v>292.54</v>
      </c>
      <c r="M1558" s="16">
        <v>243.31</v>
      </c>
      <c r="N1558" s="16">
        <v>121.66</v>
      </c>
      <c r="O1558" s="24">
        <v>15.0</v>
      </c>
      <c r="P1558" s="18">
        <f t="shared" si="1"/>
        <v>292.54</v>
      </c>
    </row>
    <row r="1559" ht="15.75" customHeight="1">
      <c r="A1559" s="19" t="s">
        <v>222</v>
      </c>
      <c r="B1559" s="19" t="s">
        <v>133</v>
      </c>
      <c r="C1559" s="20" t="s">
        <v>140</v>
      </c>
      <c r="D1559" s="14" t="str">
        <f>VLOOKUP(C1559,'State Key'!$A$2:$B$210,2,False)</f>
        <v>Chhattisgarh</v>
      </c>
      <c r="E1559" s="21">
        <v>300.0</v>
      </c>
      <c r="F1559" s="22">
        <v>117.067</v>
      </c>
      <c r="G1559" s="22">
        <v>0.0</v>
      </c>
      <c r="H1559" s="22">
        <v>0.0</v>
      </c>
      <c r="I1559" s="22">
        <v>0.0</v>
      </c>
      <c r="J1559" s="22">
        <v>0.0</v>
      </c>
      <c r="K1559" s="22">
        <v>24.987</v>
      </c>
      <c r="L1559" s="22">
        <v>142.054</v>
      </c>
      <c r="M1559" s="22">
        <v>139.448</v>
      </c>
      <c r="N1559" s="22">
        <v>54.19</v>
      </c>
      <c r="O1559" s="23">
        <v>11.7</v>
      </c>
      <c r="P1559" s="18">
        <f t="shared" si="1"/>
        <v>142.054</v>
      </c>
    </row>
    <row r="1560" ht="15.75" customHeight="1">
      <c r="A1560" s="13" t="s">
        <v>222</v>
      </c>
      <c r="B1560" s="13" t="s">
        <v>133</v>
      </c>
      <c r="C1560" s="14" t="s">
        <v>141</v>
      </c>
      <c r="D1560" s="14" t="str">
        <f>VLOOKUP(C1560,'State Key'!$A$2:$B$210,2,False)</f>
        <v>Chhattisgarh</v>
      </c>
      <c r="E1560" s="15">
        <v>1200.0</v>
      </c>
      <c r="F1560" s="16">
        <v>277.119</v>
      </c>
      <c r="G1560" s="16">
        <v>0.0</v>
      </c>
      <c r="H1560" s="16">
        <v>0.0</v>
      </c>
      <c r="I1560" s="16">
        <v>0.0</v>
      </c>
      <c r="J1560" s="16">
        <v>0.0</v>
      </c>
      <c r="K1560" s="16">
        <v>222.907</v>
      </c>
      <c r="L1560" s="16">
        <v>500.026</v>
      </c>
      <c r="M1560" s="16">
        <v>531.564</v>
      </c>
      <c r="N1560" s="16">
        <v>120.63</v>
      </c>
      <c r="O1560" s="17">
        <v>6.8</v>
      </c>
      <c r="P1560" s="18">
        <f t="shared" si="1"/>
        <v>500.026</v>
      </c>
    </row>
    <row r="1561" ht="15.75" customHeight="1">
      <c r="A1561" s="19" t="s">
        <v>222</v>
      </c>
      <c r="B1561" s="19" t="s">
        <v>133</v>
      </c>
      <c r="C1561" s="20" t="s">
        <v>142</v>
      </c>
      <c r="D1561" s="14" t="str">
        <f>VLOOKUP(C1561,'State Key'!$A$2:$B$210,2,False)</f>
        <v>Maharashtra</v>
      </c>
      <c r="E1561" s="21">
        <v>270.0</v>
      </c>
      <c r="F1561" s="22">
        <v>97.357</v>
      </c>
      <c r="G1561" s="22">
        <v>0.0</v>
      </c>
      <c r="H1561" s="22">
        <v>0.0</v>
      </c>
      <c r="I1561" s="22">
        <v>0.0</v>
      </c>
      <c r="J1561" s="22">
        <v>0.0</v>
      </c>
      <c r="K1561" s="22">
        <v>22.308</v>
      </c>
      <c r="L1561" s="22">
        <v>119.665</v>
      </c>
      <c r="M1561" s="22">
        <v>102.671</v>
      </c>
      <c r="N1561" s="22">
        <v>54.83</v>
      </c>
      <c r="O1561" s="24">
        <v>16.0</v>
      </c>
      <c r="P1561" s="18">
        <f t="shared" si="1"/>
        <v>119.665</v>
      </c>
    </row>
    <row r="1562" ht="15.75" customHeight="1">
      <c r="A1562" s="13" t="s">
        <v>222</v>
      </c>
      <c r="B1562" s="13" t="s">
        <v>133</v>
      </c>
      <c r="C1562" s="14" t="s">
        <v>143</v>
      </c>
      <c r="D1562" s="14" t="str">
        <f>VLOOKUP(C1562,'State Key'!$A$2:$B$210,2,False)</f>
        <v>Chhattisgarh</v>
      </c>
      <c r="E1562" s="15">
        <v>500.0</v>
      </c>
      <c r="F1562" s="16">
        <v>283.093</v>
      </c>
      <c r="G1562" s="16">
        <v>8.071</v>
      </c>
      <c r="H1562" s="16">
        <v>0.0</v>
      </c>
      <c r="I1562" s="16">
        <v>15.176</v>
      </c>
      <c r="J1562" s="16">
        <v>0.0</v>
      </c>
      <c r="K1562" s="16">
        <v>0.0</v>
      </c>
      <c r="L1562" s="16">
        <v>306.34</v>
      </c>
      <c r="M1562" s="16">
        <v>236.138</v>
      </c>
      <c r="N1562" s="16">
        <v>138.753</v>
      </c>
      <c r="O1562" s="24">
        <v>17.6</v>
      </c>
      <c r="P1562" s="18">
        <f t="shared" si="1"/>
        <v>306.34</v>
      </c>
    </row>
    <row r="1563" ht="15.75" customHeight="1">
      <c r="A1563" s="19" t="s">
        <v>222</v>
      </c>
      <c r="B1563" s="19" t="s">
        <v>133</v>
      </c>
      <c r="C1563" s="20" t="s">
        <v>144</v>
      </c>
      <c r="D1563" s="14" t="str">
        <f>VLOOKUP(C1563,'State Key'!$A$2:$B$210,2,False)</f>
        <v>Maharashtra</v>
      </c>
      <c r="E1563" s="21">
        <v>1210.0</v>
      </c>
      <c r="F1563" s="22">
        <v>515.68</v>
      </c>
      <c r="G1563" s="22">
        <v>0.0</v>
      </c>
      <c r="H1563" s="22">
        <v>0.0</v>
      </c>
      <c r="I1563" s="22">
        <v>61.778</v>
      </c>
      <c r="J1563" s="22">
        <v>0.0</v>
      </c>
      <c r="K1563" s="22">
        <v>0.0</v>
      </c>
      <c r="L1563" s="22">
        <v>577.458</v>
      </c>
      <c r="M1563" s="22">
        <v>477.143</v>
      </c>
      <c r="N1563" s="22">
        <v>271.24</v>
      </c>
      <c r="O1563" s="24">
        <v>17.1</v>
      </c>
      <c r="P1563" s="18">
        <f t="shared" si="1"/>
        <v>577.458</v>
      </c>
    </row>
    <row r="1564" ht="15.75" customHeight="1">
      <c r="A1564" s="13" t="s">
        <v>222</v>
      </c>
      <c r="B1564" s="13" t="s">
        <v>133</v>
      </c>
      <c r="C1564" s="14" t="s">
        <v>145</v>
      </c>
      <c r="D1564" s="14" t="str">
        <f>VLOOKUP(C1564,'State Key'!$A$2:$B$210,2,False)</f>
        <v>Madhya Pradesh</v>
      </c>
      <c r="E1564" s="15">
        <v>500.0</v>
      </c>
      <c r="F1564" s="16">
        <v>140.83</v>
      </c>
      <c r="G1564" s="16">
        <v>0.0</v>
      </c>
      <c r="H1564" s="16">
        <v>0.0</v>
      </c>
      <c r="I1564" s="16">
        <v>0.0</v>
      </c>
      <c r="J1564" s="16">
        <v>0.0</v>
      </c>
      <c r="K1564" s="16">
        <v>68.41</v>
      </c>
      <c r="L1564" s="16">
        <v>209.24</v>
      </c>
      <c r="M1564" s="16">
        <v>213.79</v>
      </c>
      <c r="N1564" s="16">
        <v>80.42</v>
      </c>
      <c r="O1564" s="23">
        <v>11.3</v>
      </c>
      <c r="P1564" s="18">
        <f t="shared" si="1"/>
        <v>209.24</v>
      </c>
    </row>
    <row r="1565" ht="15.75" customHeight="1">
      <c r="A1565" s="19" t="s">
        <v>222</v>
      </c>
      <c r="B1565" s="19" t="s">
        <v>133</v>
      </c>
      <c r="C1565" s="20" t="s">
        <v>146</v>
      </c>
      <c r="D1565" s="14" t="str">
        <f>VLOOKUP(C1565,'State Key'!$A$2:$B$210,2,False)</f>
        <v>Chhattisgarh</v>
      </c>
      <c r="E1565" s="21">
        <v>600.0</v>
      </c>
      <c r="F1565" s="22">
        <v>71.801</v>
      </c>
      <c r="G1565" s="22">
        <v>0.0</v>
      </c>
      <c r="H1565" s="22">
        <v>0.0</v>
      </c>
      <c r="I1565" s="22">
        <v>0.0</v>
      </c>
      <c r="J1565" s="22">
        <v>0.0</v>
      </c>
      <c r="K1565" s="22">
        <v>144.629</v>
      </c>
      <c r="L1565" s="22">
        <v>216.43</v>
      </c>
      <c r="M1565" s="22">
        <v>176.566</v>
      </c>
      <c r="N1565" s="22">
        <v>182.17</v>
      </c>
      <c r="O1565" s="24">
        <v>31.0</v>
      </c>
      <c r="P1565" s="18">
        <f t="shared" si="1"/>
        <v>216.43</v>
      </c>
    </row>
    <row r="1566" ht="15.75" customHeight="1">
      <c r="A1566" s="13" t="s">
        <v>222</v>
      </c>
      <c r="B1566" s="13" t="s">
        <v>133</v>
      </c>
      <c r="C1566" s="14" t="s">
        <v>147</v>
      </c>
      <c r="D1566" s="14" t="str">
        <f>VLOOKUP(C1566,'State Key'!$A$2:$B$210,2,False)</f>
        <v>Maharashtra</v>
      </c>
      <c r="E1566" s="15">
        <v>600.0</v>
      </c>
      <c r="F1566" s="16">
        <v>0.0</v>
      </c>
      <c r="G1566" s="16">
        <v>0.0</v>
      </c>
      <c r="H1566" s="16">
        <v>0.0</v>
      </c>
      <c r="I1566" s="16">
        <v>0.0</v>
      </c>
      <c r="J1566" s="16">
        <v>0.0</v>
      </c>
      <c r="K1566" s="16">
        <v>0.0</v>
      </c>
      <c r="L1566" s="16">
        <v>0.0</v>
      </c>
      <c r="M1566" s="16">
        <v>0.0</v>
      </c>
      <c r="N1566" s="16">
        <v>0.0</v>
      </c>
      <c r="O1566" s="13" t="s">
        <v>58</v>
      </c>
      <c r="P1566" s="18">
        <f t="shared" si="1"/>
        <v>0</v>
      </c>
    </row>
    <row r="1567" ht="15.75" customHeight="1">
      <c r="A1567" s="19" t="s">
        <v>222</v>
      </c>
      <c r="B1567" s="19" t="s">
        <v>133</v>
      </c>
      <c r="C1567" s="20" t="s">
        <v>148</v>
      </c>
      <c r="D1567" s="14" t="str">
        <f>VLOOKUP(C1567,'State Key'!$A$2:$B$210,2,False)</f>
        <v>Chhattisgarh</v>
      </c>
      <c r="E1567" s="21">
        <v>30.0</v>
      </c>
      <c r="F1567" s="22">
        <v>0.0</v>
      </c>
      <c r="G1567" s="22">
        <v>0.0</v>
      </c>
      <c r="H1567" s="22">
        <v>0.0</v>
      </c>
      <c r="I1567" s="22">
        <v>0.0</v>
      </c>
      <c r="J1567" s="22">
        <v>70.196</v>
      </c>
      <c r="K1567" s="22">
        <v>0.0</v>
      </c>
      <c r="L1567" s="22">
        <v>70.196</v>
      </c>
      <c r="M1567" s="22">
        <v>69.179</v>
      </c>
      <c r="N1567" s="22">
        <v>29.9</v>
      </c>
      <c r="O1567" s="23">
        <v>13.0</v>
      </c>
      <c r="P1567" s="18">
        <f t="shared" si="1"/>
        <v>70.196</v>
      </c>
    </row>
    <row r="1568" ht="15.75" customHeight="1">
      <c r="A1568" s="13" t="s">
        <v>222</v>
      </c>
      <c r="B1568" s="13" t="s">
        <v>133</v>
      </c>
      <c r="C1568" s="14" t="s">
        <v>149</v>
      </c>
      <c r="D1568" s="14" t="str">
        <f>VLOOKUP(C1568,'State Key'!$A$2:$B$210,2,False)</f>
        <v>Maharashtra</v>
      </c>
      <c r="E1568" s="15">
        <v>2920.0</v>
      </c>
      <c r="F1568" s="16">
        <v>958.334</v>
      </c>
      <c r="G1568" s="16">
        <v>119.549</v>
      </c>
      <c r="H1568" s="16">
        <v>0.0</v>
      </c>
      <c r="I1568" s="16">
        <v>145.632</v>
      </c>
      <c r="J1568" s="16">
        <v>0.0</v>
      </c>
      <c r="K1568" s="16">
        <v>0.0</v>
      </c>
      <c r="L1568" s="16">
        <v>1223.515</v>
      </c>
      <c r="M1568" s="16">
        <v>1008.172</v>
      </c>
      <c r="N1568" s="16">
        <v>416.08</v>
      </c>
      <c r="O1568" s="23">
        <v>12.4</v>
      </c>
      <c r="P1568" s="18">
        <f t="shared" si="1"/>
        <v>1223.515</v>
      </c>
    </row>
    <row r="1569" ht="15.75" customHeight="1">
      <c r="A1569" s="19" t="s">
        <v>222</v>
      </c>
      <c r="B1569" s="19" t="s">
        <v>133</v>
      </c>
      <c r="C1569" s="20" t="s">
        <v>150</v>
      </c>
      <c r="D1569" s="14" t="str">
        <f>VLOOKUP(C1569,'State Key'!$A$2:$B$210,2,False)</f>
        <v>Maharashtra</v>
      </c>
      <c r="E1569" s="21">
        <v>500.0</v>
      </c>
      <c r="F1569" s="22">
        <v>142.293</v>
      </c>
      <c r="G1569" s="22">
        <v>0.0</v>
      </c>
      <c r="H1569" s="22">
        <v>0.0</v>
      </c>
      <c r="I1569" s="22">
        <v>0.0</v>
      </c>
      <c r="J1569" s="22">
        <v>0.0</v>
      </c>
      <c r="K1569" s="22">
        <v>0.0</v>
      </c>
      <c r="L1569" s="22">
        <v>142.293</v>
      </c>
      <c r="M1569" s="22">
        <v>148.644</v>
      </c>
      <c r="N1569" s="22">
        <v>11.738</v>
      </c>
      <c r="O1569" s="17">
        <v>2.4</v>
      </c>
      <c r="P1569" s="18">
        <f t="shared" si="1"/>
        <v>142.293</v>
      </c>
    </row>
    <row r="1570" ht="15.75" customHeight="1">
      <c r="A1570" s="13" t="s">
        <v>222</v>
      </c>
      <c r="B1570" s="13" t="s">
        <v>133</v>
      </c>
      <c r="C1570" s="14" t="s">
        <v>151</v>
      </c>
      <c r="D1570" s="14" t="str">
        <f>VLOOKUP(C1570,'State Key'!$A$2:$B$210,2,False)</f>
        <v>Maharashtra</v>
      </c>
      <c r="E1570" s="15">
        <v>600.0</v>
      </c>
      <c r="F1570" s="16">
        <v>224.633</v>
      </c>
      <c r="G1570" s="16">
        <v>0.0</v>
      </c>
      <c r="H1570" s="16">
        <v>0.0</v>
      </c>
      <c r="I1570" s="16">
        <v>0.0</v>
      </c>
      <c r="J1570" s="16">
        <v>0.0</v>
      </c>
      <c r="K1570" s="16">
        <v>31.128</v>
      </c>
      <c r="L1570" s="16">
        <v>255.761</v>
      </c>
      <c r="M1570" s="16">
        <v>137.149</v>
      </c>
      <c r="N1570" s="16">
        <v>161.65</v>
      </c>
      <c r="O1570" s="24">
        <v>35.4</v>
      </c>
      <c r="P1570" s="18">
        <f t="shared" si="1"/>
        <v>255.761</v>
      </c>
    </row>
    <row r="1571" ht="15.75" customHeight="1">
      <c r="A1571" s="19" t="s">
        <v>222</v>
      </c>
      <c r="B1571" s="19" t="s">
        <v>133</v>
      </c>
      <c r="C1571" s="20" t="s">
        <v>152</v>
      </c>
      <c r="D1571" s="14" t="str">
        <f>VLOOKUP(C1571,'State Key'!$A$2:$B$210,2,False)</f>
        <v>Chhattisgarh</v>
      </c>
      <c r="E1571" s="21">
        <v>500.0</v>
      </c>
      <c r="F1571" s="22">
        <v>324.106</v>
      </c>
      <c r="G1571" s="22">
        <v>0.0</v>
      </c>
      <c r="H1571" s="22">
        <v>0.0</v>
      </c>
      <c r="I1571" s="22">
        <v>0.0</v>
      </c>
      <c r="J1571" s="22">
        <v>0.0</v>
      </c>
      <c r="K1571" s="22">
        <v>0.0</v>
      </c>
      <c r="L1571" s="22">
        <v>324.106</v>
      </c>
      <c r="M1571" s="22">
        <v>260.436</v>
      </c>
      <c r="N1571" s="22">
        <v>300.408</v>
      </c>
      <c r="O1571" s="24">
        <v>34.6</v>
      </c>
      <c r="P1571" s="18">
        <f t="shared" si="1"/>
        <v>324.106</v>
      </c>
    </row>
    <row r="1572" ht="15.75" customHeight="1">
      <c r="A1572" s="13" t="s">
        <v>222</v>
      </c>
      <c r="B1572" s="13" t="s">
        <v>133</v>
      </c>
      <c r="C1572" s="14" t="s">
        <v>153</v>
      </c>
      <c r="D1572" s="14" t="str">
        <f>VLOOKUP(C1572,'State Key'!$A$2:$B$210,2,False)</f>
        <v>Madhya Pradesh</v>
      </c>
      <c r="E1572" s="15">
        <v>1600.0</v>
      </c>
      <c r="F1572" s="16">
        <v>346.47</v>
      </c>
      <c r="G1572" s="16">
        <v>0.0</v>
      </c>
      <c r="H1572" s="16">
        <v>251.15</v>
      </c>
      <c r="I1572" s="16">
        <v>52.53</v>
      </c>
      <c r="J1572" s="16">
        <v>0.0</v>
      </c>
      <c r="K1572" s="16">
        <v>0.0</v>
      </c>
      <c r="L1572" s="16">
        <v>650.15</v>
      </c>
      <c r="M1572" s="16">
        <v>613.078</v>
      </c>
      <c r="N1572" s="16">
        <v>241.736</v>
      </c>
      <c r="O1572" s="23">
        <v>11.8</v>
      </c>
      <c r="P1572" s="18">
        <f t="shared" si="1"/>
        <v>650.15</v>
      </c>
    </row>
    <row r="1573" ht="15.75" customHeight="1">
      <c r="A1573" s="19" t="s">
        <v>222</v>
      </c>
      <c r="B1573" s="19" t="s">
        <v>133</v>
      </c>
      <c r="C1573" s="20" t="s">
        <v>154</v>
      </c>
      <c r="D1573" s="14" t="str">
        <f>VLOOKUP(C1573,'State Key'!$A$2:$B$210,2,False)</f>
        <v>Gujarat</v>
      </c>
      <c r="E1573" s="21">
        <v>630.0</v>
      </c>
      <c r="F1573" s="22">
        <v>174.89062</v>
      </c>
      <c r="G1573" s="22">
        <v>0.0</v>
      </c>
      <c r="H1573" s="22">
        <v>0.0</v>
      </c>
      <c r="I1573" s="22">
        <v>0.0</v>
      </c>
      <c r="J1573" s="22">
        <v>0.0</v>
      </c>
      <c r="K1573" s="22">
        <v>0.0</v>
      </c>
      <c r="L1573" s="22">
        <v>174.89062</v>
      </c>
      <c r="M1573" s="22">
        <v>115.495</v>
      </c>
      <c r="N1573" s="22">
        <v>234.63</v>
      </c>
      <c r="O1573" s="24">
        <v>60.9</v>
      </c>
      <c r="P1573" s="18">
        <f t="shared" si="1"/>
        <v>174.89062</v>
      </c>
    </row>
    <row r="1574" ht="15.75" customHeight="1">
      <c r="A1574" s="13" t="s">
        <v>222</v>
      </c>
      <c r="B1574" s="13" t="s">
        <v>133</v>
      </c>
      <c r="C1574" s="14" t="s">
        <v>155</v>
      </c>
      <c r="D1574" s="14" t="str">
        <f>VLOOKUP(C1574,'State Key'!$A$2:$B$210,2,False)</f>
        <v>Maharashtra</v>
      </c>
      <c r="E1574" s="15">
        <v>120.0</v>
      </c>
      <c r="F1574" s="16">
        <v>0.0</v>
      </c>
      <c r="G1574" s="16">
        <v>0.0</v>
      </c>
      <c r="H1574" s="16">
        <v>0.0</v>
      </c>
      <c r="I1574" s="16">
        <v>0.0</v>
      </c>
      <c r="J1574" s="16">
        <v>0.0</v>
      </c>
      <c r="K1574" s="16">
        <v>0.0</v>
      </c>
      <c r="L1574" s="16">
        <v>0.0</v>
      </c>
      <c r="M1574" s="16">
        <v>0.0</v>
      </c>
      <c r="N1574" s="16">
        <v>0.0</v>
      </c>
      <c r="O1574" s="13" t="s">
        <v>58</v>
      </c>
      <c r="P1574" s="18">
        <f t="shared" si="1"/>
        <v>0</v>
      </c>
    </row>
    <row r="1575" ht="15.75" customHeight="1">
      <c r="A1575" s="19" t="s">
        <v>222</v>
      </c>
      <c r="B1575" s="19" t="s">
        <v>133</v>
      </c>
      <c r="C1575" s="20" t="s">
        <v>156</v>
      </c>
      <c r="D1575" s="14" t="str">
        <f>VLOOKUP(C1575,'State Key'!$A$2:$B$210,2,False)</f>
        <v>Maharashtra</v>
      </c>
      <c r="E1575" s="21">
        <v>600.0</v>
      </c>
      <c r="F1575" s="22">
        <v>177.286</v>
      </c>
      <c r="G1575" s="22">
        <v>0.0</v>
      </c>
      <c r="H1575" s="22">
        <v>0.0</v>
      </c>
      <c r="I1575" s="22">
        <v>0.0</v>
      </c>
      <c r="J1575" s="22">
        <v>0.0</v>
      </c>
      <c r="K1575" s="22">
        <v>76.78</v>
      </c>
      <c r="L1575" s="22">
        <v>254.066</v>
      </c>
      <c r="M1575" s="22">
        <v>254.668</v>
      </c>
      <c r="N1575" s="22">
        <v>9.5</v>
      </c>
      <c r="O1575" s="17">
        <v>1.1</v>
      </c>
      <c r="P1575" s="18">
        <f t="shared" si="1"/>
        <v>254.066</v>
      </c>
    </row>
    <row r="1576" ht="15.75" customHeight="1">
      <c r="A1576" s="13" t="s">
        <v>222</v>
      </c>
      <c r="B1576" s="13" t="s">
        <v>133</v>
      </c>
      <c r="C1576" s="14" t="s">
        <v>157</v>
      </c>
      <c r="D1576" s="14" t="str">
        <f>VLOOKUP(C1576,'State Key'!$A$2:$B$210,2,False)</f>
        <v>Maharashtra</v>
      </c>
      <c r="E1576" s="15">
        <v>300.0</v>
      </c>
      <c r="F1576" s="16">
        <v>0.0</v>
      </c>
      <c r="G1576" s="16">
        <v>0.0</v>
      </c>
      <c r="H1576" s="16">
        <v>0.0</v>
      </c>
      <c r="I1576" s="16">
        <v>55.0</v>
      </c>
      <c r="J1576" s="16">
        <v>0.0</v>
      </c>
      <c r="K1576" s="16">
        <v>0.0</v>
      </c>
      <c r="L1576" s="16">
        <v>55.0</v>
      </c>
      <c r="M1576" s="16">
        <v>85.294</v>
      </c>
      <c r="N1576" s="16">
        <v>5.41</v>
      </c>
      <c r="O1576" s="17">
        <v>1.9</v>
      </c>
      <c r="P1576" s="18">
        <f t="shared" si="1"/>
        <v>55</v>
      </c>
    </row>
    <row r="1577" ht="15.75" customHeight="1">
      <c r="A1577" s="19" t="s">
        <v>222</v>
      </c>
      <c r="B1577" s="19" t="s">
        <v>133</v>
      </c>
      <c r="C1577" s="20" t="s">
        <v>158</v>
      </c>
      <c r="D1577" s="14" t="str">
        <f>VLOOKUP(C1577,'State Key'!$A$2:$B$210,2,False)</f>
        <v>Chhattisgarh</v>
      </c>
      <c r="E1577" s="21">
        <v>270.0</v>
      </c>
      <c r="F1577" s="22">
        <v>45.858</v>
      </c>
      <c r="G1577" s="22">
        <v>0.0</v>
      </c>
      <c r="H1577" s="22">
        <v>0.0</v>
      </c>
      <c r="I1577" s="22">
        <v>0.0</v>
      </c>
      <c r="J1577" s="22">
        <v>214.942</v>
      </c>
      <c r="K1577" s="22">
        <v>0.0</v>
      </c>
      <c r="L1577" s="22">
        <v>260.8</v>
      </c>
      <c r="M1577" s="22">
        <v>195.61</v>
      </c>
      <c r="N1577" s="22">
        <v>30.04</v>
      </c>
      <c r="O1577" s="17">
        <v>4.6</v>
      </c>
      <c r="P1577" s="18">
        <f t="shared" si="1"/>
        <v>260.8</v>
      </c>
    </row>
    <row r="1578" ht="15.75" customHeight="1">
      <c r="A1578" s="13" t="s">
        <v>222</v>
      </c>
      <c r="B1578" s="13" t="s">
        <v>133</v>
      </c>
      <c r="C1578" s="14" t="s">
        <v>159</v>
      </c>
      <c r="D1578" s="14" t="str">
        <f>VLOOKUP(C1578,'State Key'!$A$2:$B$210,2,False)</f>
        <v>Chhattisgarh</v>
      </c>
      <c r="E1578" s="15">
        <v>35.0</v>
      </c>
      <c r="F1578" s="16">
        <v>0.0</v>
      </c>
      <c r="G1578" s="16">
        <v>0.0</v>
      </c>
      <c r="H1578" s="16">
        <v>0.0</v>
      </c>
      <c r="I1578" s="16">
        <v>0.0</v>
      </c>
      <c r="J1578" s="16">
        <v>0.0</v>
      </c>
      <c r="K1578" s="16">
        <v>0.0</v>
      </c>
      <c r="L1578" s="16">
        <v>0.0</v>
      </c>
      <c r="M1578" s="16">
        <v>0.0</v>
      </c>
      <c r="N1578" s="16">
        <v>0.0</v>
      </c>
      <c r="O1578" s="13" t="s">
        <v>58</v>
      </c>
      <c r="P1578" s="18">
        <f t="shared" si="1"/>
        <v>0</v>
      </c>
    </row>
    <row r="1579" ht="15.75" customHeight="1">
      <c r="A1579" s="19" t="s">
        <v>222</v>
      </c>
      <c r="B1579" s="19" t="s">
        <v>133</v>
      </c>
      <c r="C1579" s="20" t="s">
        <v>160</v>
      </c>
      <c r="D1579" s="14" t="str">
        <f>VLOOKUP(C1579,'State Key'!$A$2:$B$210,2,False)</f>
        <v>Maharashtra</v>
      </c>
      <c r="E1579" s="21">
        <v>1340.0</v>
      </c>
      <c r="F1579" s="22">
        <v>602.257</v>
      </c>
      <c r="G1579" s="22">
        <v>0.0</v>
      </c>
      <c r="H1579" s="22">
        <v>0.0</v>
      </c>
      <c r="I1579" s="22">
        <v>53.838</v>
      </c>
      <c r="J1579" s="22">
        <v>0.0</v>
      </c>
      <c r="K1579" s="22">
        <v>0.0</v>
      </c>
      <c r="L1579" s="22">
        <v>656.095</v>
      </c>
      <c r="M1579" s="22">
        <v>589.08</v>
      </c>
      <c r="N1579" s="22">
        <v>176.538</v>
      </c>
      <c r="O1579" s="23">
        <v>9.0</v>
      </c>
      <c r="P1579" s="18">
        <f t="shared" si="1"/>
        <v>656.095</v>
      </c>
    </row>
    <row r="1580" ht="15.75" customHeight="1">
      <c r="A1580" s="13" t="s">
        <v>222</v>
      </c>
      <c r="B1580" s="13" t="s">
        <v>133</v>
      </c>
      <c r="C1580" s="14" t="s">
        <v>161</v>
      </c>
      <c r="D1580" s="14" t="str">
        <f>VLOOKUP(C1580,'State Key'!$A$2:$B$210,2,False)</f>
        <v>Madhya Pradesh</v>
      </c>
      <c r="E1580" s="15">
        <v>1320.0</v>
      </c>
      <c r="F1580" s="16">
        <v>310.42</v>
      </c>
      <c r="G1580" s="16">
        <v>0.0</v>
      </c>
      <c r="H1580" s="16">
        <v>233.37</v>
      </c>
      <c r="I1580" s="16">
        <v>52.77</v>
      </c>
      <c r="J1580" s="16">
        <v>0.0</v>
      </c>
      <c r="K1580" s="16">
        <v>0.0</v>
      </c>
      <c r="L1580" s="16">
        <v>596.56</v>
      </c>
      <c r="M1580" s="16">
        <v>411.967</v>
      </c>
      <c r="N1580" s="16">
        <v>340.11</v>
      </c>
      <c r="O1580" s="24">
        <v>24.8</v>
      </c>
      <c r="P1580" s="18">
        <f t="shared" si="1"/>
        <v>596.56</v>
      </c>
    </row>
    <row r="1581" ht="15.75" customHeight="1">
      <c r="A1581" s="19" t="s">
        <v>222</v>
      </c>
      <c r="B1581" s="19" t="s">
        <v>133</v>
      </c>
      <c r="C1581" s="20" t="s">
        <v>162</v>
      </c>
      <c r="D1581" s="14" t="str">
        <f>VLOOKUP(C1581,'State Key'!$A$2:$B$210,2,False)</f>
        <v>Maharashtra</v>
      </c>
      <c r="E1581" s="21">
        <v>2190.0</v>
      </c>
      <c r="F1581" s="22">
        <v>904.524</v>
      </c>
      <c r="G1581" s="22">
        <v>0.0</v>
      </c>
      <c r="H1581" s="22">
        <v>0.0</v>
      </c>
      <c r="I1581" s="22">
        <v>0.0</v>
      </c>
      <c r="J1581" s="22">
        <v>0.0</v>
      </c>
      <c r="K1581" s="22">
        <v>0.0</v>
      </c>
      <c r="L1581" s="22">
        <v>904.524</v>
      </c>
      <c r="M1581" s="22">
        <v>899.577</v>
      </c>
      <c r="N1581" s="22">
        <v>294.864</v>
      </c>
      <c r="O1581" s="23">
        <v>9.8</v>
      </c>
      <c r="P1581" s="18">
        <f t="shared" si="1"/>
        <v>904.524</v>
      </c>
    </row>
    <row r="1582" ht="15.75" customHeight="1">
      <c r="A1582" s="13" t="s">
        <v>222</v>
      </c>
      <c r="B1582" s="13" t="s">
        <v>133</v>
      </c>
      <c r="C1582" s="14" t="s">
        <v>163</v>
      </c>
      <c r="D1582" s="14" t="str">
        <f>VLOOKUP(C1582,'State Key'!$A$2:$B$210,2,False)</f>
        <v>Chhattisgarh</v>
      </c>
      <c r="E1582" s="15">
        <v>2600.0</v>
      </c>
      <c r="F1582" s="16">
        <v>1169.98</v>
      </c>
      <c r="G1582" s="16">
        <v>0.0</v>
      </c>
      <c r="H1582" s="16">
        <v>0.0</v>
      </c>
      <c r="I1582" s="16">
        <v>0.0</v>
      </c>
      <c r="J1582" s="16">
        <v>0.0</v>
      </c>
      <c r="K1582" s="16">
        <v>0.0</v>
      </c>
      <c r="L1582" s="16">
        <v>1169.98</v>
      </c>
      <c r="M1582" s="16">
        <v>1302.073</v>
      </c>
      <c r="N1582" s="16">
        <v>186.733</v>
      </c>
      <c r="O1582" s="17">
        <v>4.3</v>
      </c>
      <c r="P1582" s="18">
        <f t="shared" si="1"/>
        <v>1169.98</v>
      </c>
    </row>
    <row r="1583" ht="15.75" customHeight="1">
      <c r="A1583" s="19" t="s">
        <v>222</v>
      </c>
      <c r="B1583" s="19" t="s">
        <v>133</v>
      </c>
      <c r="C1583" s="20" t="s">
        <v>164</v>
      </c>
      <c r="D1583" s="14" t="str">
        <f>VLOOKUP(C1583,'State Key'!$A$2:$B$210,2,False)</f>
        <v>Chhattisgarh</v>
      </c>
      <c r="E1583" s="21">
        <v>1340.0</v>
      </c>
      <c r="F1583" s="22">
        <v>632.123</v>
      </c>
      <c r="G1583" s="22">
        <v>0.0</v>
      </c>
      <c r="H1583" s="22">
        <v>0.0</v>
      </c>
      <c r="I1583" s="22">
        <v>0.0</v>
      </c>
      <c r="J1583" s="22">
        <v>0.0</v>
      </c>
      <c r="K1583" s="22">
        <v>0.0</v>
      </c>
      <c r="L1583" s="22">
        <v>632.123</v>
      </c>
      <c r="M1583" s="22">
        <v>578.635</v>
      </c>
      <c r="N1583" s="22">
        <v>187.55</v>
      </c>
      <c r="O1583" s="23">
        <v>9.7</v>
      </c>
      <c r="P1583" s="18">
        <f t="shared" si="1"/>
        <v>632.123</v>
      </c>
    </row>
    <row r="1584" ht="15.75" customHeight="1">
      <c r="A1584" s="13" t="s">
        <v>222</v>
      </c>
      <c r="B1584" s="13" t="s">
        <v>133</v>
      </c>
      <c r="C1584" s="14" t="s">
        <v>165</v>
      </c>
      <c r="D1584" s="14" t="str">
        <f>VLOOKUP(C1584,'State Key'!$A$2:$B$210,2,False)</f>
        <v>Chhattisgarh</v>
      </c>
      <c r="E1584" s="15">
        <v>1600.0</v>
      </c>
      <c r="F1584" s="16">
        <v>3.95</v>
      </c>
      <c r="G1584" s="16">
        <v>0.0</v>
      </c>
      <c r="H1584" s="16">
        <v>537.23</v>
      </c>
      <c r="I1584" s="16">
        <v>0.0</v>
      </c>
      <c r="J1584" s="16">
        <v>0.0</v>
      </c>
      <c r="K1584" s="16">
        <v>0.0</v>
      </c>
      <c r="L1584" s="16">
        <v>541.18</v>
      </c>
      <c r="M1584" s="16">
        <v>471.105</v>
      </c>
      <c r="N1584" s="16">
        <v>535.48</v>
      </c>
      <c r="O1584" s="24">
        <v>34.1</v>
      </c>
      <c r="P1584" s="18">
        <f t="shared" si="1"/>
        <v>541.18</v>
      </c>
    </row>
    <row r="1585" ht="15.75" customHeight="1">
      <c r="A1585" s="19" t="s">
        <v>222</v>
      </c>
      <c r="B1585" s="19" t="s">
        <v>133</v>
      </c>
      <c r="C1585" s="20" t="s">
        <v>166</v>
      </c>
      <c r="D1585" s="14" t="str">
        <f>VLOOKUP(C1585,'State Key'!$A$2:$B$210,2,False)</f>
        <v>Madhya Pradesh</v>
      </c>
      <c r="E1585" s="21">
        <v>1200.0</v>
      </c>
      <c r="F1585" s="22">
        <v>232.352</v>
      </c>
      <c r="G1585" s="22">
        <v>0.0</v>
      </c>
      <c r="H1585" s="22">
        <v>0.0</v>
      </c>
      <c r="I1585" s="22">
        <v>0.0</v>
      </c>
      <c r="J1585" s="22">
        <v>254.241</v>
      </c>
      <c r="K1585" s="22">
        <v>0.0</v>
      </c>
      <c r="L1585" s="22">
        <v>486.593</v>
      </c>
      <c r="M1585" s="22">
        <v>451.785</v>
      </c>
      <c r="N1585" s="22">
        <v>385.58</v>
      </c>
      <c r="O1585" s="24">
        <v>25.6</v>
      </c>
      <c r="P1585" s="18">
        <f t="shared" si="1"/>
        <v>486.593</v>
      </c>
    </row>
    <row r="1586" ht="15.75" customHeight="1">
      <c r="A1586" s="13" t="s">
        <v>222</v>
      </c>
      <c r="B1586" s="13" t="s">
        <v>133</v>
      </c>
      <c r="C1586" s="14" t="s">
        <v>167</v>
      </c>
      <c r="D1586" s="14" t="str">
        <f>VLOOKUP(C1586,'State Key'!$A$2:$B$210,2,False)</f>
        <v>Chhattisgarh</v>
      </c>
      <c r="E1586" s="15">
        <v>1000.0</v>
      </c>
      <c r="F1586" s="16">
        <v>94.809</v>
      </c>
      <c r="G1586" s="16">
        <v>0.0</v>
      </c>
      <c r="H1586" s="16">
        <v>436.59</v>
      </c>
      <c r="I1586" s="16">
        <v>0.0</v>
      </c>
      <c r="J1586" s="16">
        <v>0.0</v>
      </c>
      <c r="K1586" s="16">
        <v>0.0</v>
      </c>
      <c r="L1586" s="16">
        <v>531.399</v>
      </c>
      <c r="M1586" s="16">
        <v>408.662</v>
      </c>
      <c r="N1586" s="16">
        <v>256.25</v>
      </c>
      <c r="O1586" s="24">
        <v>18.8</v>
      </c>
      <c r="P1586" s="18">
        <f t="shared" si="1"/>
        <v>531.399</v>
      </c>
    </row>
    <row r="1587" ht="15.75" customHeight="1">
      <c r="A1587" s="19" t="s">
        <v>222</v>
      </c>
      <c r="B1587" s="19" t="s">
        <v>133</v>
      </c>
      <c r="C1587" s="20" t="s">
        <v>168</v>
      </c>
      <c r="D1587" s="14" t="str">
        <f>VLOOKUP(C1587,'State Key'!$A$2:$B$210,2,False)</f>
        <v>Maharashtra</v>
      </c>
      <c r="E1587" s="21">
        <v>2320.0</v>
      </c>
      <c r="F1587" s="22">
        <v>859.74</v>
      </c>
      <c r="G1587" s="22">
        <v>69.29</v>
      </c>
      <c r="H1587" s="22">
        <v>0.0</v>
      </c>
      <c r="I1587" s="22">
        <v>49.38</v>
      </c>
      <c r="J1587" s="22">
        <v>0.0</v>
      </c>
      <c r="K1587" s="22">
        <v>0.0</v>
      </c>
      <c r="L1587" s="22">
        <v>978.41</v>
      </c>
      <c r="M1587" s="22">
        <v>788.067</v>
      </c>
      <c r="N1587" s="22">
        <v>481.37</v>
      </c>
      <c r="O1587" s="24">
        <v>18.3</v>
      </c>
      <c r="P1587" s="18">
        <f t="shared" si="1"/>
        <v>978.41</v>
      </c>
    </row>
    <row r="1588" ht="15.75" customHeight="1">
      <c r="A1588" s="13" t="s">
        <v>222</v>
      </c>
      <c r="B1588" s="13" t="s">
        <v>133</v>
      </c>
      <c r="C1588" s="14" t="s">
        <v>169</v>
      </c>
      <c r="D1588" s="14" t="str">
        <f>VLOOKUP(C1588,'State Key'!$A$2:$B$210,2,False)</f>
        <v>Madhya Pradesh</v>
      </c>
      <c r="E1588" s="15">
        <v>246.0</v>
      </c>
      <c r="F1588" s="16">
        <v>0.0</v>
      </c>
      <c r="G1588" s="16">
        <v>0.0</v>
      </c>
      <c r="H1588" s="16">
        <v>0.0</v>
      </c>
      <c r="I1588" s="16">
        <v>0.0</v>
      </c>
      <c r="J1588" s="16">
        <v>0.0</v>
      </c>
      <c r="K1588" s="16">
        <v>0.0</v>
      </c>
      <c r="L1588" s="16">
        <v>0.0</v>
      </c>
      <c r="M1588" s="16">
        <v>0.0</v>
      </c>
      <c r="N1588" s="16">
        <v>0.0</v>
      </c>
      <c r="O1588" s="13" t="s">
        <v>58</v>
      </c>
      <c r="P1588" s="18">
        <f t="shared" si="1"/>
        <v>0</v>
      </c>
    </row>
    <row r="1589" ht="15.75" customHeight="1">
      <c r="A1589" s="19" t="s">
        <v>222</v>
      </c>
      <c r="B1589" s="19" t="s">
        <v>133</v>
      </c>
      <c r="C1589" s="20" t="s">
        <v>172</v>
      </c>
      <c r="D1589" s="14" t="str">
        <f>VLOOKUP(C1589,'State Key'!$A$2:$B$210,2,False)</f>
        <v>Gujarat</v>
      </c>
      <c r="E1589" s="21">
        <v>4000.0</v>
      </c>
      <c r="F1589" s="22">
        <v>0.0</v>
      </c>
      <c r="G1589" s="22">
        <v>0.0</v>
      </c>
      <c r="H1589" s="22">
        <v>0.0</v>
      </c>
      <c r="I1589" s="22">
        <v>653.475</v>
      </c>
      <c r="J1589" s="22">
        <v>0.0</v>
      </c>
      <c r="K1589" s="22">
        <v>0.0</v>
      </c>
      <c r="L1589" s="22">
        <v>653.475</v>
      </c>
      <c r="M1589" s="22">
        <v>681.501</v>
      </c>
      <c r="N1589" s="22">
        <v>686.07</v>
      </c>
      <c r="O1589" s="24">
        <v>30.2</v>
      </c>
      <c r="P1589" s="18">
        <f t="shared" si="1"/>
        <v>653.475</v>
      </c>
    </row>
    <row r="1590" ht="15.75" customHeight="1">
      <c r="A1590" s="13" t="s">
        <v>222</v>
      </c>
      <c r="B1590" s="13" t="s">
        <v>133</v>
      </c>
      <c r="C1590" s="14" t="s">
        <v>173</v>
      </c>
      <c r="D1590" s="14" t="str">
        <f>VLOOKUP(C1590,'State Key'!$A$2:$B$210,2,False)</f>
        <v>Maharashtra</v>
      </c>
      <c r="E1590" s="15">
        <v>1350.0</v>
      </c>
      <c r="F1590" s="16">
        <v>0.0</v>
      </c>
      <c r="G1590" s="16">
        <v>0.0</v>
      </c>
      <c r="H1590" s="16">
        <v>0.0</v>
      </c>
      <c r="I1590" s="16">
        <v>0.0</v>
      </c>
      <c r="J1590" s="16">
        <v>0.0</v>
      </c>
      <c r="K1590" s="16">
        <v>0.0</v>
      </c>
      <c r="L1590" s="16">
        <v>0.0</v>
      </c>
      <c r="M1590" s="16">
        <v>0.0</v>
      </c>
      <c r="N1590" s="16">
        <v>0.0</v>
      </c>
      <c r="O1590" s="13" t="s">
        <v>58</v>
      </c>
      <c r="P1590" s="18">
        <f t="shared" si="1"/>
        <v>0</v>
      </c>
    </row>
    <row r="1591" ht="15.75" customHeight="1">
      <c r="A1591" s="19" t="s">
        <v>222</v>
      </c>
      <c r="B1591" s="19" t="s">
        <v>133</v>
      </c>
      <c r="C1591" s="20" t="s">
        <v>174</v>
      </c>
      <c r="D1591" s="14" t="str">
        <f>VLOOKUP(C1591,'State Key'!$A$2:$B$210,2,False)</f>
        <v>Maharashtra</v>
      </c>
      <c r="E1591" s="21">
        <v>630.0</v>
      </c>
      <c r="F1591" s="22">
        <v>184.531</v>
      </c>
      <c r="G1591" s="22">
        <v>0.0</v>
      </c>
      <c r="H1591" s="22">
        <v>0.0</v>
      </c>
      <c r="I1591" s="22">
        <v>19.4</v>
      </c>
      <c r="J1591" s="22">
        <v>0.0</v>
      </c>
      <c r="K1591" s="22">
        <v>0.0</v>
      </c>
      <c r="L1591" s="22">
        <v>203.931</v>
      </c>
      <c r="M1591" s="22">
        <v>153.043</v>
      </c>
      <c r="N1591" s="22">
        <v>127.48</v>
      </c>
      <c r="O1591" s="24">
        <v>25.0</v>
      </c>
      <c r="P1591" s="18">
        <f t="shared" si="1"/>
        <v>203.931</v>
      </c>
    </row>
    <row r="1592" ht="15.75" customHeight="1">
      <c r="A1592" s="13" t="s">
        <v>222</v>
      </c>
      <c r="B1592" s="13" t="s">
        <v>133</v>
      </c>
      <c r="C1592" s="14" t="s">
        <v>175</v>
      </c>
      <c r="D1592" s="14" t="str">
        <f>VLOOKUP(C1592,'State Key'!$A$2:$B$210,2,False)</f>
        <v>Chhattisgarh</v>
      </c>
      <c r="E1592" s="15">
        <v>600.0</v>
      </c>
      <c r="F1592" s="16">
        <v>186.95</v>
      </c>
      <c r="G1592" s="16">
        <v>0.0</v>
      </c>
      <c r="H1592" s="16">
        <v>0.0</v>
      </c>
      <c r="I1592" s="16">
        <v>0.0</v>
      </c>
      <c r="J1592" s="16">
        <v>0.0</v>
      </c>
      <c r="K1592" s="16">
        <v>19.72</v>
      </c>
      <c r="L1592" s="16">
        <v>206.67</v>
      </c>
      <c r="M1592" s="16">
        <v>166.836</v>
      </c>
      <c r="N1592" s="16">
        <v>191.17</v>
      </c>
      <c r="O1592" s="24">
        <v>34.4</v>
      </c>
      <c r="P1592" s="18">
        <f t="shared" si="1"/>
        <v>206.67</v>
      </c>
    </row>
    <row r="1593" ht="15.75" customHeight="1">
      <c r="A1593" s="19" t="s">
        <v>222</v>
      </c>
      <c r="B1593" s="19" t="s">
        <v>133</v>
      </c>
      <c r="C1593" s="20" t="s">
        <v>176</v>
      </c>
      <c r="D1593" s="14" t="str">
        <f>VLOOKUP(C1593,'State Key'!$A$2:$B$210,2,False)</f>
        <v>Madhya Pradesh</v>
      </c>
      <c r="E1593" s="21">
        <v>1320.0</v>
      </c>
      <c r="F1593" s="22">
        <v>0.0</v>
      </c>
      <c r="G1593" s="22">
        <v>0.0</v>
      </c>
      <c r="H1593" s="22">
        <v>415.3087</v>
      </c>
      <c r="I1593" s="22">
        <v>0.0</v>
      </c>
      <c r="J1593" s="22">
        <v>0.0</v>
      </c>
      <c r="K1593" s="22">
        <v>97.4569</v>
      </c>
      <c r="L1593" s="22">
        <v>512.7656</v>
      </c>
      <c r="M1593" s="22">
        <v>452.6054</v>
      </c>
      <c r="N1593" s="22">
        <v>300.4997</v>
      </c>
      <c r="O1593" s="24">
        <v>19.9</v>
      </c>
      <c r="P1593" s="18">
        <f t="shared" si="1"/>
        <v>512.7656</v>
      </c>
    </row>
    <row r="1594" ht="15.75" customHeight="1">
      <c r="A1594" s="13" t="s">
        <v>222</v>
      </c>
      <c r="B1594" s="13" t="s">
        <v>133</v>
      </c>
      <c r="C1594" s="14" t="s">
        <v>177</v>
      </c>
      <c r="D1594" s="14" t="str">
        <f>VLOOKUP(C1594,'State Key'!$A$2:$B$210,2,False)</f>
        <v>Madhya Pradesh</v>
      </c>
      <c r="E1594" s="15">
        <v>90.0</v>
      </c>
      <c r="F1594" s="16">
        <v>19.73</v>
      </c>
      <c r="G1594" s="16">
        <v>0.0</v>
      </c>
      <c r="H1594" s="16">
        <v>0.0</v>
      </c>
      <c r="I1594" s="16">
        <v>0.0</v>
      </c>
      <c r="J1594" s="16">
        <v>18.91</v>
      </c>
      <c r="K1594" s="16">
        <v>0.0</v>
      </c>
      <c r="L1594" s="16">
        <v>38.64</v>
      </c>
      <c r="M1594" s="16">
        <v>36.83</v>
      </c>
      <c r="N1594" s="16">
        <v>77.63</v>
      </c>
      <c r="O1594" s="24">
        <v>63.2</v>
      </c>
      <c r="P1594" s="18">
        <f t="shared" si="1"/>
        <v>38.64</v>
      </c>
    </row>
    <row r="1595" ht="15.75" customHeight="1">
      <c r="A1595" s="19" t="s">
        <v>222</v>
      </c>
      <c r="B1595" s="19" t="s">
        <v>133</v>
      </c>
      <c r="C1595" s="20" t="s">
        <v>178</v>
      </c>
      <c r="D1595" s="14" t="str">
        <f>VLOOKUP(C1595,'State Key'!$A$2:$B$210,2,False)</f>
        <v>Chhattisgarh</v>
      </c>
      <c r="E1595" s="21">
        <v>1000.0</v>
      </c>
      <c r="F1595" s="22">
        <v>0.0</v>
      </c>
      <c r="G1595" s="22">
        <v>0.0</v>
      </c>
      <c r="H1595" s="22">
        <v>0.0</v>
      </c>
      <c r="I1595" s="22">
        <v>0.0</v>
      </c>
      <c r="J1595" s="22">
        <v>0.0</v>
      </c>
      <c r="K1595" s="22">
        <v>447.798</v>
      </c>
      <c r="L1595" s="22">
        <v>447.798</v>
      </c>
      <c r="M1595" s="22">
        <v>460.411</v>
      </c>
      <c r="N1595" s="22">
        <v>361.941</v>
      </c>
      <c r="O1595" s="24">
        <v>23.6</v>
      </c>
      <c r="P1595" s="18">
        <f t="shared" si="1"/>
        <v>447.798</v>
      </c>
    </row>
    <row r="1596" ht="15.75" customHeight="1">
      <c r="A1596" s="13" t="s">
        <v>222</v>
      </c>
      <c r="B1596" s="13" t="s">
        <v>133</v>
      </c>
      <c r="C1596" s="14" t="s">
        <v>179</v>
      </c>
      <c r="D1596" s="14" t="str">
        <f>VLOOKUP(C1596,'State Key'!$A$2:$B$210,2,False)</f>
        <v>Maharashtra</v>
      </c>
      <c r="E1596" s="15">
        <v>500.0</v>
      </c>
      <c r="F1596" s="16">
        <v>261.342</v>
      </c>
      <c r="G1596" s="16">
        <v>0.0</v>
      </c>
      <c r="H1596" s="16">
        <v>0.0</v>
      </c>
      <c r="I1596" s="16">
        <v>0.0</v>
      </c>
      <c r="J1596" s="16">
        <v>0.0</v>
      </c>
      <c r="K1596" s="16">
        <v>0.0</v>
      </c>
      <c r="L1596" s="16">
        <v>261.342</v>
      </c>
      <c r="M1596" s="16">
        <v>235.861</v>
      </c>
      <c r="N1596" s="16">
        <v>75.53</v>
      </c>
      <c r="O1596" s="23">
        <v>9.6</v>
      </c>
      <c r="P1596" s="18">
        <f t="shared" si="1"/>
        <v>261.342</v>
      </c>
    </row>
    <row r="1597" ht="15.75" customHeight="1">
      <c r="A1597" s="19" t="s">
        <v>222</v>
      </c>
      <c r="B1597" s="19" t="s">
        <v>133</v>
      </c>
      <c r="C1597" s="20" t="s">
        <v>180</v>
      </c>
      <c r="D1597" s="14" t="str">
        <f>VLOOKUP(C1597,'State Key'!$A$2:$B$210,2,False)</f>
        <v>Maharashtra</v>
      </c>
      <c r="E1597" s="21">
        <v>750.0</v>
      </c>
      <c r="F1597" s="22">
        <v>62.907</v>
      </c>
      <c r="G1597" s="22">
        <v>0.0</v>
      </c>
      <c r="H1597" s="22">
        <v>0.0</v>
      </c>
      <c r="I1597" s="22">
        <v>0.0</v>
      </c>
      <c r="J1597" s="22">
        <v>0.0</v>
      </c>
      <c r="K1597" s="22">
        <v>0.0</v>
      </c>
      <c r="L1597" s="22">
        <v>62.907</v>
      </c>
      <c r="M1597" s="22">
        <v>175.036</v>
      </c>
      <c r="N1597" s="22">
        <v>96.694</v>
      </c>
      <c r="O1597" s="24">
        <v>16.6</v>
      </c>
      <c r="P1597" s="18">
        <f t="shared" si="1"/>
        <v>62.907</v>
      </c>
    </row>
    <row r="1598" ht="15.75" customHeight="1">
      <c r="A1598" s="13" t="s">
        <v>222</v>
      </c>
      <c r="B1598" s="13" t="s">
        <v>133</v>
      </c>
      <c r="C1598" s="14" t="s">
        <v>181</v>
      </c>
      <c r="D1598" s="14" t="str">
        <f>VLOOKUP(C1598,'State Key'!$A$2:$B$210,2,False)</f>
        <v>Chhattisgarh</v>
      </c>
      <c r="E1598" s="15">
        <v>600.0</v>
      </c>
      <c r="F1598" s="16">
        <v>234.12</v>
      </c>
      <c r="G1598" s="16">
        <v>0.0</v>
      </c>
      <c r="H1598" s="16">
        <v>0.0</v>
      </c>
      <c r="I1598" s="16">
        <v>0.0</v>
      </c>
      <c r="J1598" s="16">
        <v>0.0</v>
      </c>
      <c r="K1598" s="16">
        <v>0.0</v>
      </c>
      <c r="L1598" s="16">
        <v>234.12</v>
      </c>
      <c r="M1598" s="16">
        <v>238.35</v>
      </c>
      <c r="N1598" s="16">
        <v>216.15</v>
      </c>
      <c r="O1598" s="24">
        <v>27.2</v>
      </c>
      <c r="P1598" s="18">
        <f t="shared" si="1"/>
        <v>234.12</v>
      </c>
    </row>
    <row r="1599" ht="15.75" customHeight="1">
      <c r="A1599" s="19" t="s">
        <v>222</v>
      </c>
      <c r="B1599" s="19" t="s">
        <v>133</v>
      </c>
      <c r="C1599" s="20" t="s">
        <v>183</v>
      </c>
      <c r="D1599" s="14" t="str">
        <f>VLOOKUP(C1599,'State Key'!$A$2:$B$210,2,False)</f>
        <v>Chhattisgarh</v>
      </c>
      <c r="E1599" s="21">
        <v>100.0</v>
      </c>
      <c r="F1599" s="22">
        <v>0.0</v>
      </c>
      <c r="G1599" s="22">
        <v>0.0</v>
      </c>
      <c r="H1599" s="22">
        <v>0.0</v>
      </c>
      <c r="I1599" s="22">
        <v>0.0</v>
      </c>
      <c r="J1599" s="22">
        <v>81.177</v>
      </c>
      <c r="K1599" s="22">
        <v>0.0</v>
      </c>
      <c r="L1599" s="22">
        <v>81.177</v>
      </c>
      <c r="M1599" s="22">
        <v>83.005</v>
      </c>
      <c r="N1599" s="22">
        <v>22.31</v>
      </c>
      <c r="O1599" s="23">
        <v>8.1</v>
      </c>
      <c r="P1599" s="18">
        <f t="shared" si="1"/>
        <v>81.177</v>
      </c>
    </row>
    <row r="1600" ht="15.75" customHeight="1">
      <c r="A1600" s="13" t="s">
        <v>222</v>
      </c>
      <c r="B1600" s="13" t="s">
        <v>133</v>
      </c>
      <c r="C1600" s="14" t="s">
        <v>184</v>
      </c>
      <c r="D1600" s="14" t="str">
        <f>VLOOKUP(C1600,'State Key'!$A$2:$B$210,2,False)</f>
        <v>Gujarat</v>
      </c>
      <c r="E1600" s="15">
        <v>362.0</v>
      </c>
      <c r="F1600" s="16">
        <v>100.913</v>
      </c>
      <c r="G1600" s="16">
        <v>0.0</v>
      </c>
      <c r="H1600" s="16">
        <v>0.0</v>
      </c>
      <c r="I1600" s="16">
        <v>0.0</v>
      </c>
      <c r="J1600" s="16">
        <v>0.0</v>
      </c>
      <c r="K1600" s="16">
        <v>0.0</v>
      </c>
      <c r="L1600" s="16">
        <v>100.913</v>
      </c>
      <c r="M1600" s="16">
        <v>96.349</v>
      </c>
      <c r="N1600" s="16">
        <v>123.42</v>
      </c>
      <c r="O1600" s="24">
        <v>38.4</v>
      </c>
      <c r="P1600" s="18">
        <f t="shared" si="1"/>
        <v>100.913</v>
      </c>
    </row>
    <row r="1601" ht="15.75" customHeight="1">
      <c r="A1601" s="19" t="s">
        <v>222</v>
      </c>
      <c r="B1601" s="19" t="s">
        <v>133</v>
      </c>
      <c r="C1601" s="20" t="s">
        <v>185</v>
      </c>
      <c r="D1601" s="14" t="str">
        <f>VLOOKUP(C1601,'State Key'!$A$2:$B$210,2,False)</f>
        <v>Gujarat</v>
      </c>
      <c r="E1601" s="21">
        <v>1200.0</v>
      </c>
      <c r="F1601" s="22">
        <v>0.0</v>
      </c>
      <c r="G1601" s="22">
        <v>0.0</v>
      </c>
      <c r="H1601" s="22">
        <v>0.0</v>
      </c>
      <c r="I1601" s="22">
        <v>0.0</v>
      </c>
      <c r="J1601" s="22">
        <v>0.0</v>
      </c>
      <c r="K1601" s="22">
        <v>0.0</v>
      </c>
      <c r="L1601" s="22">
        <v>0.0</v>
      </c>
      <c r="M1601" s="22">
        <v>163.175</v>
      </c>
      <c r="N1601" s="22">
        <v>20.04</v>
      </c>
      <c r="O1601" s="17">
        <v>3.7</v>
      </c>
      <c r="P1601" s="18">
        <f t="shared" si="1"/>
        <v>0</v>
      </c>
    </row>
    <row r="1602" ht="15.75" customHeight="1">
      <c r="A1602" s="13" t="s">
        <v>222</v>
      </c>
      <c r="B1602" s="13" t="s">
        <v>133</v>
      </c>
      <c r="C1602" s="14" t="s">
        <v>186</v>
      </c>
      <c r="D1602" s="14" t="str">
        <f>VLOOKUP(C1602,'State Key'!$A$2:$B$210,2,False)</f>
        <v>Chhattisgarh</v>
      </c>
      <c r="E1602" s="15">
        <v>135.0</v>
      </c>
      <c r="F1602" s="16">
        <v>0.0</v>
      </c>
      <c r="G1602" s="16">
        <v>0.0</v>
      </c>
      <c r="H1602" s="16">
        <v>0.0</v>
      </c>
      <c r="I1602" s="16">
        <v>0.0</v>
      </c>
      <c r="J1602" s="16">
        <v>0.0</v>
      </c>
      <c r="K1602" s="16">
        <v>0.0</v>
      </c>
      <c r="L1602" s="16">
        <v>0.0</v>
      </c>
      <c r="M1602" s="16">
        <v>0.0</v>
      </c>
      <c r="N1602" s="16">
        <v>0.0</v>
      </c>
      <c r="O1602" s="13" t="s">
        <v>58</v>
      </c>
      <c r="P1602" s="18">
        <f t="shared" si="1"/>
        <v>0</v>
      </c>
    </row>
    <row r="1603" ht="15.75" customHeight="1">
      <c r="A1603" s="19" t="s">
        <v>222</v>
      </c>
      <c r="B1603" s="19" t="s">
        <v>133</v>
      </c>
      <c r="C1603" s="20" t="s">
        <v>187</v>
      </c>
      <c r="D1603" s="14" t="str">
        <f>VLOOKUP(C1603,'State Key'!$A$2:$B$210,2,False)</f>
        <v>Madhya Pradesh</v>
      </c>
      <c r="E1603" s="21">
        <v>1340.0</v>
      </c>
      <c r="F1603" s="22">
        <v>566.059</v>
      </c>
      <c r="G1603" s="22">
        <v>0.0</v>
      </c>
      <c r="H1603" s="22">
        <v>0.0</v>
      </c>
      <c r="I1603" s="22">
        <v>0.0</v>
      </c>
      <c r="J1603" s="22">
        <v>0.0</v>
      </c>
      <c r="K1603" s="22">
        <v>0.0</v>
      </c>
      <c r="L1603" s="22">
        <v>566.059</v>
      </c>
      <c r="M1603" s="22">
        <v>548.748</v>
      </c>
      <c r="N1603" s="22">
        <v>121.41</v>
      </c>
      <c r="O1603" s="17">
        <v>6.6</v>
      </c>
      <c r="P1603" s="18">
        <f t="shared" si="1"/>
        <v>566.059</v>
      </c>
    </row>
    <row r="1604" ht="15.75" customHeight="1">
      <c r="A1604" s="13" t="s">
        <v>222</v>
      </c>
      <c r="B1604" s="13" t="s">
        <v>133</v>
      </c>
      <c r="C1604" s="14" t="s">
        <v>188</v>
      </c>
      <c r="D1604" s="14" t="str">
        <f>VLOOKUP(C1604,'State Key'!$A$2:$B$210,2,False)</f>
        <v>Madhya Pradesh</v>
      </c>
      <c r="E1604" s="15">
        <v>3960.0</v>
      </c>
      <c r="F1604" s="16">
        <v>0.0</v>
      </c>
      <c r="G1604" s="16">
        <v>0.0</v>
      </c>
      <c r="H1604" s="16">
        <v>1771.946</v>
      </c>
      <c r="I1604" s="16">
        <v>0.0</v>
      </c>
      <c r="J1604" s="16">
        <v>0.0</v>
      </c>
      <c r="K1604" s="16">
        <v>0.0</v>
      </c>
      <c r="L1604" s="16">
        <v>1771.946</v>
      </c>
      <c r="M1604" s="16">
        <v>1656.43</v>
      </c>
      <c r="N1604" s="16">
        <v>207.95</v>
      </c>
      <c r="O1604" s="17">
        <v>3.8</v>
      </c>
      <c r="P1604" s="18">
        <f t="shared" si="1"/>
        <v>1771.946</v>
      </c>
    </row>
    <row r="1605" ht="15.75" customHeight="1">
      <c r="A1605" s="19" t="s">
        <v>222</v>
      </c>
      <c r="B1605" s="19" t="s">
        <v>133</v>
      </c>
      <c r="C1605" s="20" t="s">
        <v>189</v>
      </c>
      <c r="D1605" s="14" t="str">
        <f>VLOOKUP(C1605,'State Key'!$A$2:$B$210,2,False)</f>
        <v>Madhya Pradesh</v>
      </c>
      <c r="E1605" s="21">
        <v>1330.0</v>
      </c>
      <c r="F1605" s="22">
        <v>252.224</v>
      </c>
      <c r="G1605" s="22">
        <v>0.0</v>
      </c>
      <c r="H1605" s="22">
        <v>0.0</v>
      </c>
      <c r="I1605" s="22">
        <v>0.0</v>
      </c>
      <c r="J1605" s="22">
        <v>0.0</v>
      </c>
      <c r="K1605" s="22">
        <v>0.0</v>
      </c>
      <c r="L1605" s="22">
        <v>252.224</v>
      </c>
      <c r="M1605" s="22">
        <v>223.055</v>
      </c>
      <c r="N1605" s="22">
        <v>97.58</v>
      </c>
      <c r="O1605" s="23">
        <v>13.1</v>
      </c>
      <c r="P1605" s="18">
        <f t="shared" si="1"/>
        <v>252.224</v>
      </c>
    </row>
    <row r="1606" ht="15.75" customHeight="1">
      <c r="A1606" s="13" t="s">
        <v>222</v>
      </c>
      <c r="B1606" s="13" t="s">
        <v>133</v>
      </c>
      <c r="C1606" s="14" t="s">
        <v>190</v>
      </c>
      <c r="D1606" s="14" t="str">
        <f>VLOOKUP(C1606,'State Key'!$A$2:$B$210,2,False)</f>
        <v>Madhya Pradesh</v>
      </c>
      <c r="E1606" s="15">
        <v>600.0</v>
      </c>
      <c r="F1606" s="16">
        <v>200.14</v>
      </c>
      <c r="G1606" s="16">
        <v>0.0</v>
      </c>
      <c r="H1606" s="16">
        <v>0.0</v>
      </c>
      <c r="I1606" s="16">
        <v>0.0</v>
      </c>
      <c r="J1606" s="16">
        <v>0.0</v>
      </c>
      <c r="K1606" s="16">
        <v>50.384</v>
      </c>
      <c r="L1606" s="16">
        <v>250.524</v>
      </c>
      <c r="M1606" s="16">
        <v>257.095</v>
      </c>
      <c r="N1606" s="16">
        <v>22.91</v>
      </c>
      <c r="O1606" s="17">
        <v>2.7</v>
      </c>
      <c r="P1606" s="18">
        <f t="shared" si="1"/>
        <v>250.524</v>
      </c>
    </row>
    <row r="1607" ht="15.75" customHeight="1">
      <c r="A1607" s="19" t="s">
        <v>222</v>
      </c>
      <c r="B1607" s="19" t="s">
        <v>133</v>
      </c>
      <c r="C1607" s="20" t="s">
        <v>191</v>
      </c>
      <c r="D1607" s="14" t="str">
        <f>VLOOKUP(C1607,'State Key'!$A$2:$B$210,2,False)</f>
        <v>Maharashtra</v>
      </c>
      <c r="E1607" s="21">
        <v>300.0</v>
      </c>
      <c r="F1607" s="22">
        <v>0.0</v>
      </c>
      <c r="G1607" s="22">
        <v>0.0</v>
      </c>
      <c r="H1607" s="22">
        <v>0.0</v>
      </c>
      <c r="I1607" s="22">
        <v>0.0</v>
      </c>
      <c r="J1607" s="22">
        <v>0.0</v>
      </c>
      <c r="K1607" s="22">
        <v>0.0</v>
      </c>
      <c r="L1607" s="22">
        <v>0.0</v>
      </c>
      <c r="M1607" s="22">
        <v>0.0</v>
      </c>
      <c r="N1607" s="22">
        <v>0.0</v>
      </c>
      <c r="O1607" s="19" t="s">
        <v>58</v>
      </c>
      <c r="P1607" s="18">
        <f t="shared" si="1"/>
        <v>0</v>
      </c>
    </row>
    <row r="1608" ht="15.75" customHeight="1">
      <c r="A1608" s="13" t="s">
        <v>222</v>
      </c>
      <c r="B1608" s="13" t="s">
        <v>133</v>
      </c>
      <c r="C1608" s="14" t="s">
        <v>192</v>
      </c>
      <c r="D1608" s="14" t="str">
        <f>VLOOKUP(C1608,'State Key'!$A$2:$B$210,2,False)</f>
        <v>Madhya Pradesh</v>
      </c>
      <c r="E1608" s="15">
        <v>2520.0</v>
      </c>
      <c r="F1608" s="16">
        <v>1065.279</v>
      </c>
      <c r="G1608" s="16">
        <v>0.0</v>
      </c>
      <c r="H1608" s="16">
        <v>0.0</v>
      </c>
      <c r="I1608" s="16">
        <v>0.0</v>
      </c>
      <c r="J1608" s="16">
        <v>0.0</v>
      </c>
      <c r="K1608" s="16">
        <v>0.0</v>
      </c>
      <c r="L1608" s="16">
        <v>1065.279</v>
      </c>
      <c r="M1608" s="16">
        <v>880.049</v>
      </c>
      <c r="N1608" s="16">
        <v>317.18</v>
      </c>
      <c r="O1608" s="23">
        <v>10.8</v>
      </c>
      <c r="P1608" s="18">
        <f t="shared" si="1"/>
        <v>1065.279</v>
      </c>
    </row>
    <row r="1609" ht="15.75" customHeight="1">
      <c r="A1609" s="19" t="s">
        <v>222</v>
      </c>
      <c r="B1609" s="19" t="s">
        <v>133</v>
      </c>
      <c r="C1609" s="20" t="s">
        <v>193</v>
      </c>
      <c r="D1609" s="14" t="str">
        <f>VLOOKUP(C1609,'State Key'!$A$2:$B$210,2,False)</f>
        <v>Gujarat</v>
      </c>
      <c r="E1609" s="21">
        <v>500.0</v>
      </c>
      <c r="F1609" s="22">
        <v>0.0</v>
      </c>
      <c r="G1609" s="22">
        <v>0.0</v>
      </c>
      <c r="H1609" s="22">
        <v>0.0</v>
      </c>
      <c r="I1609" s="22">
        <v>27.552</v>
      </c>
      <c r="J1609" s="22">
        <v>0.0</v>
      </c>
      <c r="K1609" s="22">
        <v>0.0</v>
      </c>
      <c r="L1609" s="22">
        <v>27.552</v>
      </c>
      <c r="M1609" s="22">
        <v>52.533</v>
      </c>
      <c r="N1609" s="22">
        <v>55.33</v>
      </c>
      <c r="O1609" s="24">
        <v>31.6</v>
      </c>
      <c r="P1609" s="18">
        <f t="shared" si="1"/>
        <v>27.552</v>
      </c>
    </row>
    <row r="1610" ht="15.75" customHeight="1">
      <c r="A1610" s="13" t="s">
        <v>222</v>
      </c>
      <c r="B1610" s="13" t="s">
        <v>133</v>
      </c>
      <c r="C1610" s="14" t="s">
        <v>194</v>
      </c>
      <c r="D1610" s="14" t="str">
        <f>VLOOKUP(C1610,'State Key'!$A$2:$B$210,2,False)</f>
        <v>Chhattisgarh</v>
      </c>
      <c r="E1610" s="15">
        <v>2980.0</v>
      </c>
      <c r="F1610" s="16">
        <v>1408.24</v>
      </c>
      <c r="G1610" s="16">
        <v>0.0</v>
      </c>
      <c r="H1610" s="16">
        <v>0.0</v>
      </c>
      <c r="I1610" s="16">
        <v>0.0</v>
      </c>
      <c r="J1610" s="16">
        <v>0.0</v>
      </c>
      <c r="K1610" s="16">
        <v>0.0</v>
      </c>
      <c r="L1610" s="16">
        <v>1408.24</v>
      </c>
      <c r="M1610" s="16">
        <v>1474.558</v>
      </c>
      <c r="N1610" s="16">
        <v>246.809</v>
      </c>
      <c r="O1610" s="17">
        <v>5.0</v>
      </c>
      <c r="P1610" s="18">
        <f t="shared" si="1"/>
        <v>1408.24</v>
      </c>
    </row>
    <row r="1611" ht="15.75" customHeight="1">
      <c r="A1611" s="19" t="s">
        <v>222</v>
      </c>
      <c r="B1611" s="19" t="s">
        <v>133</v>
      </c>
      <c r="C1611" s="20" t="s">
        <v>195</v>
      </c>
      <c r="D1611" s="14" t="str">
        <f>VLOOKUP(C1611,'State Key'!$A$2:$B$210,2,False)</f>
        <v>Maharashtra</v>
      </c>
      <c r="E1611" s="21">
        <v>1320.0</v>
      </c>
      <c r="F1611" s="22">
        <v>269.9</v>
      </c>
      <c r="G1611" s="22">
        <v>175.64</v>
      </c>
      <c r="H1611" s="22">
        <v>23.65</v>
      </c>
      <c r="I1611" s="22">
        <v>32.44</v>
      </c>
      <c r="J1611" s="22">
        <v>0.0</v>
      </c>
      <c r="K1611" s="22">
        <v>0.0</v>
      </c>
      <c r="L1611" s="22">
        <v>501.63</v>
      </c>
      <c r="M1611" s="22">
        <v>337.043</v>
      </c>
      <c r="N1611" s="22">
        <v>302.751</v>
      </c>
      <c r="O1611" s="24">
        <v>26.9</v>
      </c>
      <c r="P1611" s="18">
        <f t="shared" si="1"/>
        <v>501.63</v>
      </c>
    </row>
    <row r="1612" ht="15.75" customHeight="1">
      <c r="A1612" s="13" t="s">
        <v>222</v>
      </c>
      <c r="B1612" s="13" t="s">
        <v>133</v>
      </c>
      <c r="C1612" s="14" t="s">
        <v>196</v>
      </c>
      <c r="D1612" s="14" t="str">
        <f>VLOOKUP(C1612,'State Key'!$A$2:$B$210,2,False)</f>
        <v>Chhattisgarh</v>
      </c>
      <c r="E1612" s="15">
        <v>63.0</v>
      </c>
      <c r="F1612" s="16">
        <v>1.2378</v>
      </c>
      <c r="G1612" s="16">
        <v>0.0</v>
      </c>
      <c r="H1612" s="16">
        <v>0.0</v>
      </c>
      <c r="I1612" s="16">
        <v>0.0</v>
      </c>
      <c r="J1612" s="16">
        <v>48.017</v>
      </c>
      <c r="K1612" s="16">
        <v>0.0</v>
      </c>
      <c r="L1612" s="16">
        <v>49.2548</v>
      </c>
      <c r="M1612" s="16">
        <v>40.415</v>
      </c>
      <c r="N1612" s="16">
        <v>43.1278</v>
      </c>
      <c r="O1612" s="24">
        <v>32.0</v>
      </c>
      <c r="P1612" s="18">
        <f t="shared" si="1"/>
        <v>49.2548</v>
      </c>
    </row>
    <row r="1613" ht="15.75" customHeight="1">
      <c r="A1613" s="19" t="s">
        <v>222</v>
      </c>
      <c r="B1613" s="19" t="s">
        <v>133</v>
      </c>
      <c r="C1613" s="20" t="s">
        <v>197</v>
      </c>
      <c r="D1613" s="14" t="str">
        <f>VLOOKUP(C1613,'State Key'!$A$2:$B$210,2,False)</f>
        <v>Chhattisgarh</v>
      </c>
      <c r="E1613" s="21">
        <v>25.0</v>
      </c>
      <c r="F1613" s="22">
        <v>0.0</v>
      </c>
      <c r="G1613" s="22">
        <v>0.0</v>
      </c>
      <c r="H1613" s="22">
        <v>0.0</v>
      </c>
      <c r="I1613" s="22">
        <v>0.0</v>
      </c>
      <c r="J1613" s="22">
        <v>0.0</v>
      </c>
      <c r="K1613" s="22">
        <v>0.0</v>
      </c>
      <c r="L1613" s="22">
        <v>0.0</v>
      </c>
      <c r="M1613" s="22">
        <v>0.0</v>
      </c>
      <c r="N1613" s="22">
        <v>0.0</v>
      </c>
      <c r="O1613" s="19" t="s">
        <v>58</v>
      </c>
      <c r="P1613" s="18">
        <f t="shared" si="1"/>
        <v>0</v>
      </c>
    </row>
    <row r="1614" ht="15.75" customHeight="1">
      <c r="A1614" s="13" t="s">
        <v>222</v>
      </c>
      <c r="B1614" s="13" t="s">
        <v>133</v>
      </c>
      <c r="C1614" s="14" t="s">
        <v>198</v>
      </c>
      <c r="D1614" s="14" t="str">
        <f>VLOOKUP(C1614,'State Key'!$A$2:$B$210,2,False)</f>
        <v>Chhattisgarh</v>
      </c>
      <c r="E1614" s="15">
        <v>2400.0</v>
      </c>
      <c r="F1614" s="16">
        <v>432.442</v>
      </c>
      <c r="G1614" s="16">
        <v>0.0</v>
      </c>
      <c r="H1614" s="16">
        <v>0.0</v>
      </c>
      <c r="I1614" s="16">
        <v>25.03</v>
      </c>
      <c r="J1614" s="16">
        <v>40.437</v>
      </c>
      <c r="K1614" s="16">
        <v>615.915</v>
      </c>
      <c r="L1614" s="16">
        <v>1113.824</v>
      </c>
      <c r="M1614" s="16">
        <v>1152.519</v>
      </c>
      <c r="N1614" s="16">
        <v>192.19</v>
      </c>
      <c r="O1614" s="17">
        <v>5.0</v>
      </c>
      <c r="P1614" s="18">
        <f t="shared" si="1"/>
        <v>1113.824</v>
      </c>
    </row>
    <row r="1615" ht="15.75" customHeight="1">
      <c r="A1615" s="19" t="s">
        <v>222</v>
      </c>
      <c r="B1615" s="19" t="s">
        <v>133</v>
      </c>
      <c r="C1615" s="20" t="s">
        <v>200</v>
      </c>
      <c r="D1615" s="14" t="str">
        <f>VLOOKUP(C1615,'State Key'!$A$2:$B$210,2,False)</f>
        <v>Maharashtra</v>
      </c>
      <c r="E1615" s="21">
        <v>750.0</v>
      </c>
      <c r="F1615" s="22">
        <v>0.0</v>
      </c>
      <c r="G1615" s="22">
        <v>0.0</v>
      </c>
      <c r="H1615" s="22">
        <v>0.0</v>
      </c>
      <c r="I1615" s="22">
        <v>229.634529</v>
      </c>
      <c r="J1615" s="22">
        <v>0.0</v>
      </c>
      <c r="K1615" s="22">
        <v>0.0</v>
      </c>
      <c r="L1615" s="22">
        <v>229.634529</v>
      </c>
      <c r="M1615" s="22">
        <v>228.051</v>
      </c>
      <c r="N1615" s="22">
        <v>169.64</v>
      </c>
      <c r="O1615" s="24">
        <v>22.3</v>
      </c>
      <c r="P1615" s="18">
        <f t="shared" si="1"/>
        <v>229.634529</v>
      </c>
    </row>
    <row r="1616" ht="15.75" customHeight="1">
      <c r="A1616" s="13" t="s">
        <v>222</v>
      </c>
      <c r="B1616" s="13" t="s">
        <v>133</v>
      </c>
      <c r="C1616" s="14" t="s">
        <v>201</v>
      </c>
      <c r="D1616" s="14" t="str">
        <f>VLOOKUP(C1616,'State Key'!$A$2:$B$210,2,False)</f>
        <v>Chhattisgarh</v>
      </c>
      <c r="E1616" s="15">
        <v>1440.0</v>
      </c>
      <c r="F1616" s="16">
        <v>269.153</v>
      </c>
      <c r="G1616" s="16">
        <v>0.0</v>
      </c>
      <c r="H1616" s="16">
        <v>0.0</v>
      </c>
      <c r="I1616" s="16">
        <v>0.0</v>
      </c>
      <c r="J1616" s="16">
        <v>0.0</v>
      </c>
      <c r="K1616" s="16">
        <v>243.012</v>
      </c>
      <c r="L1616" s="16">
        <v>512.165</v>
      </c>
      <c r="M1616" s="16">
        <v>283.521</v>
      </c>
      <c r="N1616" s="16">
        <v>423.23</v>
      </c>
      <c r="O1616" s="24">
        <v>44.8</v>
      </c>
      <c r="P1616" s="18">
        <f t="shared" si="1"/>
        <v>512.165</v>
      </c>
    </row>
    <row r="1617" ht="15.75" customHeight="1">
      <c r="A1617" s="19" t="s">
        <v>222</v>
      </c>
      <c r="B1617" s="19" t="s">
        <v>133</v>
      </c>
      <c r="C1617" s="20" t="s">
        <v>202</v>
      </c>
      <c r="D1617" s="14" t="str">
        <f>VLOOKUP(C1617,'State Key'!$A$2:$B$210,2,False)</f>
        <v>Gujarat</v>
      </c>
      <c r="E1617" s="21">
        <v>1110.0</v>
      </c>
      <c r="F1617" s="22">
        <v>225.733</v>
      </c>
      <c r="G1617" s="22">
        <v>0.0</v>
      </c>
      <c r="H1617" s="22">
        <v>0.0</v>
      </c>
      <c r="I1617" s="22">
        <v>0.0</v>
      </c>
      <c r="J1617" s="22">
        <v>0.0</v>
      </c>
      <c r="K1617" s="22">
        <v>0.0</v>
      </c>
      <c r="L1617" s="22">
        <v>225.733</v>
      </c>
      <c r="M1617" s="22">
        <v>216.683</v>
      </c>
      <c r="N1617" s="22">
        <v>369.3</v>
      </c>
      <c r="O1617" s="24">
        <v>51.1</v>
      </c>
      <c r="P1617" s="18">
        <f t="shared" si="1"/>
        <v>225.733</v>
      </c>
    </row>
    <row r="1618" ht="15.75" customHeight="1">
      <c r="A1618" s="13" t="s">
        <v>222</v>
      </c>
      <c r="B1618" s="13" t="s">
        <v>133</v>
      </c>
      <c r="C1618" s="14" t="s">
        <v>203</v>
      </c>
      <c r="D1618" s="14" t="str">
        <f>VLOOKUP(C1618,'State Key'!$A$2:$B$210,2,False)</f>
        <v>Madhya Pradesh</v>
      </c>
      <c r="E1618" s="15">
        <v>4760.0</v>
      </c>
      <c r="F1618" s="16">
        <v>1969.72</v>
      </c>
      <c r="G1618" s="16">
        <v>0.0</v>
      </c>
      <c r="H1618" s="16">
        <v>0.0</v>
      </c>
      <c r="I1618" s="16">
        <v>0.0</v>
      </c>
      <c r="J1618" s="16">
        <v>0.0</v>
      </c>
      <c r="K1618" s="16">
        <v>0.0</v>
      </c>
      <c r="L1618" s="16">
        <v>1969.72</v>
      </c>
      <c r="M1618" s="16">
        <v>2013.062</v>
      </c>
      <c r="N1618" s="16">
        <v>1026.41</v>
      </c>
      <c r="O1618" s="24">
        <v>15.3</v>
      </c>
      <c r="P1618" s="18">
        <f t="shared" si="1"/>
        <v>1969.72</v>
      </c>
    </row>
    <row r="1619" ht="15.75" customHeight="1">
      <c r="A1619" s="19" t="s">
        <v>222</v>
      </c>
      <c r="B1619" s="19" t="s">
        <v>133</v>
      </c>
      <c r="C1619" s="20" t="s">
        <v>204</v>
      </c>
      <c r="D1619" s="14" t="str">
        <f>VLOOKUP(C1619,'State Key'!$A$2:$B$210,2,False)</f>
        <v>Gujarat</v>
      </c>
      <c r="E1619" s="21">
        <v>2270.0</v>
      </c>
      <c r="F1619" s="22">
        <v>615.044</v>
      </c>
      <c r="G1619" s="22">
        <v>0.0</v>
      </c>
      <c r="H1619" s="22">
        <v>0.0</v>
      </c>
      <c r="I1619" s="22">
        <v>0.0</v>
      </c>
      <c r="J1619" s="22">
        <v>0.0</v>
      </c>
      <c r="K1619" s="22">
        <v>0.0</v>
      </c>
      <c r="L1619" s="22">
        <v>615.044</v>
      </c>
      <c r="M1619" s="22">
        <v>585.12</v>
      </c>
      <c r="N1619" s="22">
        <v>366.32</v>
      </c>
      <c r="O1619" s="24">
        <v>18.8</v>
      </c>
      <c r="P1619" s="18">
        <f t="shared" si="1"/>
        <v>615.044</v>
      </c>
    </row>
    <row r="1620" ht="15.75" customHeight="1">
      <c r="A1620" s="13" t="s">
        <v>222</v>
      </c>
      <c r="B1620" s="13" t="s">
        <v>133</v>
      </c>
      <c r="C1620" s="14" t="s">
        <v>205</v>
      </c>
      <c r="D1620" s="14" t="str">
        <f>VLOOKUP(C1620,'State Key'!$A$2:$B$210,2,False)</f>
        <v>Maharashtra</v>
      </c>
      <c r="E1620" s="15">
        <v>540.0</v>
      </c>
      <c r="F1620" s="16">
        <v>157.75</v>
      </c>
      <c r="G1620" s="16">
        <v>0.0</v>
      </c>
      <c r="H1620" s="16">
        <v>0.0</v>
      </c>
      <c r="I1620" s="16">
        <v>0.0</v>
      </c>
      <c r="J1620" s="16">
        <v>14.71</v>
      </c>
      <c r="K1620" s="16">
        <v>0.0</v>
      </c>
      <c r="L1620" s="16">
        <v>172.46</v>
      </c>
      <c r="M1620" s="16">
        <v>208.641</v>
      </c>
      <c r="N1620" s="16">
        <v>152.07</v>
      </c>
      <c r="O1620" s="24">
        <v>21.9</v>
      </c>
      <c r="P1620" s="18">
        <f t="shared" si="1"/>
        <v>172.46</v>
      </c>
    </row>
    <row r="1621" ht="15.75" customHeight="1">
      <c r="A1621" s="19" t="s">
        <v>223</v>
      </c>
      <c r="B1621" s="19" t="s">
        <v>22</v>
      </c>
      <c r="C1621" s="20" t="s">
        <v>23</v>
      </c>
      <c r="D1621" s="14" t="str">
        <f>VLOOKUP(C1621,'State Key'!$A$2:$B$210,2,False)</f>
        <v>West Bengal</v>
      </c>
      <c r="E1621" s="21">
        <v>1050.0</v>
      </c>
      <c r="F1621" s="22">
        <v>0.0</v>
      </c>
      <c r="G1621" s="22">
        <v>0.0</v>
      </c>
      <c r="H1621" s="22">
        <v>449.136</v>
      </c>
      <c r="I1621" s="22">
        <v>0.0</v>
      </c>
      <c r="J1621" s="22">
        <v>0.0</v>
      </c>
      <c r="K1621" s="22">
        <v>0.0</v>
      </c>
      <c r="L1621" s="22">
        <v>449.136</v>
      </c>
      <c r="M1621" s="22">
        <v>496.436</v>
      </c>
      <c r="N1621" s="22">
        <v>67.72</v>
      </c>
      <c r="O1621" s="17">
        <v>4.1</v>
      </c>
      <c r="P1621" s="18">
        <f t="shared" si="1"/>
        <v>449.136</v>
      </c>
    </row>
    <row r="1622" ht="15.75" customHeight="1">
      <c r="A1622" s="13" t="s">
        <v>223</v>
      </c>
      <c r="B1622" s="13" t="s">
        <v>22</v>
      </c>
      <c r="C1622" s="14" t="s">
        <v>24</v>
      </c>
      <c r="D1622" s="14" t="str">
        <f>VLOOKUP(C1622,'State Key'!$A$2:$B$210,2,False)</f>
        <v>West Bengal</v>
      </c>
      <c r="E1622" s="15">
        <v>270.0</v>
      </c>
      <c r="F1622" s="16">
        <v>3.86</v>
      </c>
      <c r="G1622" s="16">
        <v>0.0</v>
      </c>
      <c r="H1622" s="16">
        <v>53.34</v>
      </c>
      <c r="I1622" s="16">
        <v>0.0</v>
      </c>
      <c r="J1622" s="16">
        <v>0.0</v>
      </c>
      <c r="K1622" s="16">
        <v>0.0</v>
      </c>
      <c r="L1622" s="16">
        <v>57.2</v>
      </c>
      <c r="M1622" s="16">
        <v>39.915</v>
      </c>
      <c r="N1622" s="16">
        <v>25.82</v>
      </c>
      <c r="O1622" s="24">
        <v>19.4</v>
      </c>
      <c r="P1622" s="18">
        <f t="shared" si="1"/>
        <v>57.2</v>
      </c>
    </row>
    <row r="1623" ht="15.75" customHeight="1">
      <c r="A1623" s="19" t="s">
        <v>223</v>
      </c>
      <c r="B1623" s="19" t="s">
        <v>22</v>
      </c>
      <c r="C1623" s="20" t="s">
        <v>25</v>
      </c>
      <c r="D1623" s="14" t="str">
        <f>VLOOKUP(C1623,'State Key'!$A$2:$B$210,2,False)</f>
        <v>Bihar</v>
      </c>
      <c r="E1623" s="21">
        <v>710.0</v>
      </c>
      <c r="F1623" s="22">
        <v>15.34</v>
      </c>
      <c r="G1623" s="22">
        <v>0.0</v>
      </c>
      <c r="H1623" s="22">
        <v>145.04</v>
      </c>
      <c r="I1623" s="22">
        <v>0.0</v>
      </c>
      <c r="J1623" s="22">
        <v>0.0</v>
      </c>
      <c r="K1623" s="22">
        <v>0.0</v>
      </c>
      <c r="L1623" s="22">
        <v>160.38</v>
      </c>
      <c r="M1623" s="22">
        <v>212.661</v>
      </c>
      <c r="N1623" s="22">
        <v>113.406</v>
      </c>
      <c r="O1623" s="24">
        <v>16.0</v>
      </c>
      <c r="P1623" s="18">
        <f t="shared" si="1"/>
        <v>160.38</v>
      </c>
    </row>
    <row r="1624" ht="15.75" customHeight="1">
      <c r="A1624" s="13" t="s">
        <v>223</v>
      </c>
      <c r="B1624" s="13" t="s">
        <v>22</v>
      </c>
      <c r="C1624" s="14" t="s">
        <v>26</v>
      </c>
      <c r="D1624" s="14" t="str">
        <f>VLOOKUP(C1624,'State Key'!$A$2:$B$210,2,False)</f>
        <v>Bihar</v>
      </c>
      <c r="E1624" s="15">
        <v>2640.0</v>
      </c>
      <c r="F1624" s="16">
        <v>521.581</v>
      </c>
      <c r="G1624" s="16">
        <v>0.0</v>
      </c>
      <c r="H1624" s="16">
        <v>390.27</v>
      </c>
      <c r="I1624" s="16">
        <v>0.0</v>
      </c>
      <c r="J1624" s="16">
        <v>87.686</v>
      </c>
      <c r="K1624" s="16">
        <v>0.0</v>
      </c>
      <c r="L1624" s="16">
        <v>999.537</v>
      </c>
      <c r="M1624" s="16">
        <v>767.95</v>
      </c>
      <c r="N1624" s="16">
        <v>677.219</v>
      </c>
      <c r="O1624" s="24">
        <v>26.5</v>
      </c>
      <c r="P1624" s="18">
        <f t="shared" si="1"/>
        <v>999.537</v>
      </c>
    </row>
    <row r="1625" ht="15.75" customHeight="1">
      <c r="A1625" s="19" t="s">
        <v>223</v>
      </c>
      <c r="B1625" s="19" t="s">
        <v>22</v>
      </c>
      <c r="C1625" s="20" t="s">
        <v>27</v>
      </c>
      <c r="D1625" s="14" t="str">
        <f>VLOOKUP(C1625,'State Key'!$A$2:$B$210,2,False)</f>
        <v>Jharkhand</v>
      </c>
      <c r="E1625" s="21">
        <v>500.0</v>
      </c>
      <c r="F1625" s="22">
        <v>252.729</v>
      </c>
      <c r="G1625" s="22">
        <v>0.0</v>
      </c>
      <c r="H1625" s="22">
        <v>3.751</v>
      </c>
      <c r="I1625" s="22">
        <v>0.0</v>
      </c>
      <c r="J1625" s="22">
        <v>6.631</v>
      </c>
      <c r="K1625" s="22">
        <v>0.0</v>
      </c>
      <c r="L1625" s="22">
        <v>263.111</v>
      </c>
      <c r="M1625" s="22">
        <v>199.159</v>
      </c>
      <c r="N1625" s="22">
        <v>181.57</v>
      </c>
      <c r="O1625" s="24">
        <v>27.4</v>
      </c>
      <c r="P1625" s="18">
        <f t="shared" si="1"/>
        <v>263.111</v>
      </c>
    </row>
    <row r="1626" ht="15.75" customHeight="1">
      <c r="A1626" s="13" t="s">
        <v>223</v>
      </c>
      <c r="B1626" s="13" t="s">
        <v>22</v>
      </c>
      <c r="C1626" s="14" t="s">
        <v>28</v>
      </c>
      <c r="D1626" s="14" t="str">
        <f>VLOOKUP(C1626,'State Key'!$A$2:$B$210,2,False)</f>
        <v>West Bengal</v>
      </c>
      <c r="E1626" s="15">
        <v>750.0</v>
      </c>
      <c r="F1626" s="16">
        <v>101.487</v>
      </c>
      <c r="G1626" s="16">
        <v>0.0</v>
      </c>
      <c r="H1626" s="16">
        <v>34.919</v>
      </c>
      <c r="I1626" s="16">
        <v>117.376</v>
      </c>
      <c r="J1626" s="16">
        <v>0.0</v>
      </c>
      <c r="K1626" s="16">
        <v>0.0</v>
      </c>
      <c r="L1626" s="16">
        <v>253.782</v>
      </c>
      <c r="M1626" s="16">
        <v>187.966</v>
      </c>
      <c r="N1626" s="16">
        <v>180.55</v>
      </c>
      <c r="O1626" s="24">
        <v>28.8</v>
      </c>
      <c r="P1626" s="18">
        <f t="shared" si="1"/>
        <v>253.782</v>
      </c>
    </row>
    <row r="1627" ht="15.75" customHeight="1">
      <c r="A1627" s="19" t="s">
        <v>223</v>
      </c>
      <c r="B1627" s="19" t="s">
        <v>22</v>
      </c>
      <c r="C1627" s="20" t="s">
        <v>29</v>
      </c>
      <c r="D1627" s="14" t="str">
        <f>VLOOKUP(C1627,'State Key'!$A$2:$B$210,2,False)</f>
        <v>Jharkhand</v>
      </c>
      <c r="E1627" s="21">
        <v>500.0</v>
      </c>
      <c r="F1627" s="22">
        <v>230.109</v>
      </c>
      <c r="G1627" s="22">
        <v>0.0</v>
      </c>
      <c r="H1627" s="22">
        <v>103.038</v>
      </c>
      <c r="I1627" s="22">
        <v>0.0</v>
      </c>
      <c r="J1627" s="22">
        <v>11.685</v>
      </c>
      <c r="K1627" s="22">
        <v>0.0</v>
      </c>
      <c r="L1627" s="22">
        <v>344.832</v>
      </c>
      <c r="M1627" s="22">
        <v>226.1669</v>
      </c>
      <c r="N1627" s="22">
        <v>219.76</v>
      </c>
      <c r="O1627" s="24">
        <v>29.2</v>
      </c>
      <c r="P1627" s="18">
        <f t="shared" si="1"/>
        <v>344.832</v>
      </c>
    </row>
    <row r="1628" ht="15.75" customHeight="1">
      <c r="A1628" s="13" t="s">
        <v>223</v>
      </c>
      <c r="B1628" s="13" t="s">
        <v>22</v>
      </c>
      <c r="C1628" s="14" t="s">
        <v>30</v>
      </c>
      <c r="D1628" s="14" t="str">
        <f>VLOOKUP(C1628,'State Key'!$A$2:$B$210,2,False)</f>
        <v>West Bengal</v>
      </c>
      <c r="E1628" s="15">
        <v>550.0</v>
      </c>
      <c r="F1628" s="16">
        <v>68.73</v>
      </c>
      <c r="G1628" s="16">
        <v>0.0</v>
      </c>
      <c r="H1628" s="16">
        <v>0.0</v>
      </c>
      <c r="I1628" s="16">
        <v>0.0</v>
      </c>
      <c r="J1628" s="16">
        <v>0.0</v>
      </c>
      <c r="K1628" s="16">
        <v>29.64</v>
      </c>
      <c r="L1628" s="16">
        <v>98.37</v>
      </c>
      <c r="M1628" s="16">
        <v>71.25</v>
      </c>
      <c r="N1628" s="16">
        <v>106.54</v>
      </c>
      <c r="O1628" s="24">
        <v>44.9</v>
      </c>
      <c r="P1628" s="18">
        <f t="shared" si="1"/>
        <v>98.37</v>
      </c>
    </row>
    <row r="1629" ht="15.75" customHeight="1">
      <c r="A1629" s="19" t="s">
        <v>223</v>
      </c>
      <c r="B1629" s="19" t="s">
        <v>22</v>
      </c>
      <c r="C1629" s="20" t="s">
        <v>31</v>
      </c>
      <c r="D1629" s="14" t="str">
        <f>VLOOKUP(C1629,'State Key'!$A$2:$B$210,2,False)</f>
        <v>Odisha</v>
      </c>
      <c r="E1629" s="21">
        <v>1600.0</v>
      </c>
      <c r="F1629" s="22">
        <v>0.0</v>
      </c>
      <c r="G1629" s="22">
        <v>0.0</v>
      </c>
      <c r="H1629" s="22">
        <v>916.24</v>
      </c>
      <c r="I1629" s="22">
        <v>0.0</v>
      </c>
      <c r="J1629" s="22">
        <v>0.0</v>
      </c>
      <c r="K1629" s="22">
        <v>0.0</v>
      </c>
      <c r="L1629" s="22">
        <v>916.24</v>
      </c>
      <c r="M1629" s="22">
        <v>947.93</v>
      </c>
      <c r="N1629" s="22">
        <v>303.4001</v>
      </c>
      <c r="O1629" s="23">
        <v>9.6</v>
      </c>
      <c r="P1629" s="18">
        <f t="shared" si="1"/>
        <v>916.24</v>
      </c>
    </row>
    <row r="1630" ht="15.75" customHeight="1">
      <c r="A1630" s="13" t="s">
        <v>223</v>
      </c>
      <c r="B1630" s="13" t="s">
        <v>22</v>
      </c>
      <c r="C1630" s="14" t="s">
        <v>32</v>
      </c>
      <c r="D1630" s="14" t="str">
        <f>VLOOKUP(C1630,'State Key'!$A$2:$B$210,2,False)</f>
        <v>Odisha</v>
      </c>
      <c r="E1630" s="15">
        <v>1200.0</v>
      </c>
      <c r="F1630" s="16">
        <v>232.038</v>
      </c>
      <c r="G1630" s="16">
        <v>0.0</v>
      </c>
      <c r="H1630" s="16">
        <v>0.0</v>
      </c>
      <c r="I1630" s="16">
        <v>401.192</v>
      </c>
      <c r="J1630" s="16">
        <v>0.0</v>
      </c>
      <c r="K1630" s="16">
        <v>0.0</v>
      </c>
      <c r="L1630" s="16">
        <v>633.23</v>
      </c>
      <c r="M1630" s="16">
        <v>578.513</v>
      </c>
      <c r="N1630" s="16">
        <v>720.32</v>
      </c>
      <c r="O1630" s="24">
        <v>37.4</v>
      </c>
      <c r="P1630" s="18">
        <f t="shared" si="1"/>
        <v>633.23</v>
      </c>
    </row>
    <row r="1631" ht="15.75" customHeight="1">
      <c r="A1631" s="19" t="s">
        <v>223</v>
      </c>
      <c r="B1631" s="19" t="s">
        <v>22</v>
      </c>
      <c r="C1631" s="20" t="s">
        <v>33</v>
      </c>
      <c r="D1631" s="14" t="str">
        <f>VLOOKUP(C1631,'State Key'!$A$2:$B$210,2,False)</f>
        <v>West Bengal</v>
      </c>
      <c r="E1631" s="21">
        <v>12.0</v>
      </c>
      <c r="F1631" s="22">
        <v>4.016</v>
      </c>
      <c r="G1631" s="22">
        <v>0.0</v>
      </c>
      <c r="H1631" s="22">
        <v>0.0</v>
      </c>
      <c r="I1631" s="22">
        <v>0.0</v>
      </c>
      <c r="J1631" s="22">
        <v>0.0</v>
      </c>
      <c r="K1631" s="22">
        <v>0.0</v>
      </c>
      <c r="L1631" s="22">
        <v>4.016</v>
      </c>
      <c r="M1631" s="22">
        <v>8.25</v>
      </c>
      <c r="N1631" s="22">
        <v>0.63</v>
      </c>
      <c r="O1631" s="17">
        <v>2.3</v>
      </c>
      <c r="P1631" s="18">
        <f t="shared" si="1"/>
        <v>4.016</v>
      </c>
    </row>
    <row r="1632" ht="15.75" customHeight="1">
      <c r="A1632" s="13" t="s">
        <v>223</v>
      </c>
      <c r="B1632" s="13" t="s">
        <v>22</v>
      </c>
      <c r="C1632" s="14" t="s">
        <v>34</v>
      </c>
      <c r="D1632" s="14" t="str">
        <f>VLOOKUP(C1632,'State Key'!$A$2:$B$210,2,False)</f>
        <v>West Bengal</v>
      </c>
      <c r="E1632" s="15">
        <v>1000.0</v>
      </c>
      <c r="F1632" s="16">
        <v>370.44</v>
      </c>
      <c r="G1632" s="16">
        <v>0.0</v>
      </c>
      <c r="H1632" s="16">
        <v>4.058</v>
      </c>
      <c r="I1632" s="16">
        <v>0.0</v>
      </c>
      <c r="J1632" s="16">
        <v>15.145</v>
      </c>
      <c r="K1632" s="16">
        <v>0.0</v>
      </c>
      <c r="L1632" s="16">
        <v>389.643</v>
      </c>
      <c r="M1632" s="16">
        <v>257.514</v>
      </c>
      <c r="N1632" s="16">
        <v>354.19</v>
      </c>
      <c r="O1632" s="24">
        <v>41.3</v>
      </c>
      <c r="P1632" s="18">
        <f t="shared" si="1"/>
        <v>389.643</v>
      </c>
    </row>
    <row r="1633" ht="15.75" customHeight="1">
      <c r="A1633" s="19" t="s">
        <v>223</v>
      </c>
      <c r="B1633" s="19" t="s">
        <v>22</v>
      </c>
      <c r="C1633" s="20" t="s">
        <v>35</v>
      </c>
      <c r="D1633" s="14" t="str">
        <f>VLOOKUP(C1633,'State Key'!$A$2:$B$210,2,False)</f>
        <v>West Bengal</v>
      </c>
      <c r="E1633" s="21">
        <v>2100.0</v>
      </c>
      <c r="F1633" s="22">
        <v>823.58</v>
      </c>
      <c r="G1633" s="22">
        <v>0.0</v>
      </c>
      <c r="H1633" s="22">
        <v>0.0</v>
      </c>
      <c r="I1633" s="22">
        <v>0.0</v>
      </c>
      <c r="J1633" s="22">
        <v>30.637</v>
      </c>
      <c r="K1633" s="22">
        <v>0.0</v>
      </c>
      <c r="L1633" s="22">
        <v>854.217</v>
      </c>
      <c r="M1633" s="22">
        <v>671.364</v>
      </c>
      <c r="N1633" s="22">
        <v>594.19</v>
      </c>
      <c r="O1633" s="24">
        <v>26.6</v>
      </c>
      <c r="P1633" s="18">
        <f t="shared" si="1"/>
        <v>854.217</v>
      </c>
    </row>
    <row r="1634" ht="15.75" customHeight="1">
      <c r="A1634" s="13" t="s">
        <v>223</v>
      </c>
      <c r="B1634" s="13" t="s">
        <v>22</v>
      </c>
      <c r="C1634" s="14" t="s">
        <v>36</v>
      </c>
      <c r="D1634" s="14" t="str">
        <f>VLOOKUP(C1634,'State Key'!$A$2:$B$210,2,False)</f>
        <v>West Bengal</v>
      </c>
      <c r="E1634" s="15">
        <v>600.0</v>
      </c>
      <c r="F1634" s="16">
        <v>271.421</v>
      </c>
      <c r="G1634" s="16">
        <v>0.0</v>
      </c>
      <c r="H1634" s="16">
        <v>0.0</v>
      </c>
      <c r="I1634" s="16">
        <v>0.0</v>
      </c>
      <c r="J1634" s="16">
        <v>0.0</v>
      </c>
      <c r="K1634" s="16">
        <v>0.0</v>
      </c>
      <c r="L1634" s="16">
        <v>271.421</v>
      </c>
      <c r="M1634" s="16">
        <v>253.414</v>
      </c>
      <c r="N1634" s="16">
        <v>192.83</v>
      </c>
      <c r="O1634" s="24">
        <v>22.8</v>
      </c>
      <c r="P1634" s="18">
        <f t="shared" si="1"/>
        <v>271.421</v>
      </c>
    </row>
    <row r="1635" ht="15.75" customHeight="1">
      <c r="A1635" s="19" t="s">
        <v>223</v>
      </c>
      <c r="B1635" s="19" t="s">
        <v>22</v>
      </c>
      <c r="C1635" s="20" t="s">
        <v>37</v>
      </c>
      <c r="D1635" s="14" t="str">
        <f>VLOOKUP(C1635,'State Key'!$A$2:$B$210,2,False)</f>
        <v>West Bengal</v>
      </c>
      <c r="E1635" s="21">
        <v>300.0</v>
      </c>
      <c r="F1635" s="22">
        <v>132.019</v>
      </c>
      <c r="G1635" s="22">
        <v>0.0</v>
      </c>
      <c r="H1635" s="22">
        <v>0.0</v>
      </c>
      <c r="I1635" s="22">
        <v>0.0</v>
      </c>
      <c r="J1635" s="22">
        <v>0.0</v>
      </c>
      <c r="K1635" s="22">
        <v>0.0</v>
      </c>
      <c r="L1635" s="22">
        <v>132.019</v>
      </c>
      <c r="M1635" s="22">
        <v>125.858</v>
      </c>
      <c r="N1635" s="22">
        <v>31.01</v>
      </c>
      <c r="O1635" s="23">
        <v>7.4</v>
      </c>
      <c r="P1635" s="18">
        <f t="shared" si="1"/>
        <v>132.019</v>
      </c>
    </row>
    <row r="1636" ht="15.75" customHeight="1">
      <c r="A1636" s="13" t="s">
        <v>223</v>
      </c>
      <c r="B1636" s="13" t="s">
        <v>22</v>
      </c>
      <c r="C1636" s="14" t="s">
        <v>38</v>
      </c>
      <c r="D1636" s="14" t="str">
        <f>VLOOKUP(C1636,'State Key'!$A$2:$B$210,2,False)</f>
        <v>Odisha</v>
      </c>
      <c r="E1636" s="15">
        <v>1740.0</v>
      </c>
      <c r="F1636" s="16">
        <v>191.1794</v>
      </c>
      <c r="G1636" s="16">
        <v>0.0</v>
      </c>
      <c r="H1636" s="16">
        <v>633.0721</v>
      </c>
      <c r="I1636" s="16">
        <v>0.0</v>
      </c>
      <c r="J1636" s="16">
        <v>0.0</v>
      </c>
      <c r="K1636" s="16">
        <v>0.0</v>
      </c>
      <c r="L1636" s="16">
        <v>824.2515</v>
      </c>
      <c r="M1636" s="16">
        <v>824.972</v>
      </c>
      <c r="N1636" s="16">
        <v>360.83</v>
      </c>
      <c r="O1636" s="23">
        <v>13.1</v>
      </c>
      <c r="P1636" s="18">
        <f t="shared" si="1"/>
        <v>824.2515</v>
      </c>
    </row>
    <row r="1637" ht="15.75" customHeight="1">
      <c r="A1637" s="19" t="s">
        <v>223</v>
      </c>
      <c r="B1637" s="19" t="s">
        <v>22</v>
      </c>
      <c r="C1637" s="20" t="s">
        <v>39</v>
      </c>
      <c r="D1637" s="14" t="str">
        <f>VLOOKUP(C1637,'State Key'!$A$2:$B$210,2,False)</f>
        <v>Jharkhand</v>
      </c>
      <c r="E1637" s="21">
        <v>240.0</v>
      </c>
      <c r="F1637" s="22">
        <v>84.377</v>
      </c>
      <c r="G1637" s="22">
        <v>0.0</v>
      </c>
      <c r="H1637" s="22">
        <v>0.0</v>
      </c>
      <c r="I1637" s="22">
        <v>0.0</v>
      </c>
      <c r="J1637" s="22">
        <v>0.0</v>
      </c>
      <c r="K1637" s="22">
        <v>4.5286</v>
      </c>
      <c r="L1637" s="22">
        <v>88.9056</v>
      </c>
      <c r="M1637" s="22">
        <v>87.244</v>
      </c>
      <c r="N1637" s="22">
        <v>64.57</v>
      </c>
      <c r="O1637" s="24">
        <v>22.2</v>
      </c>
      <c r="P1637" s="18">
        <f t="shared" si="1"/>
        <v>88.9056</v>
      </c>
    </row>
    <row r="1638" ht="15.75" customHeight="1">
      <c r="A1638" s="13" t="s">
        <v>223</v>
      </c>
      <c r="B1638" s="13" t="s">
        <v>22</v>
      </c>
      <c r="C1638" s="14" t="s">
        <v>40</v>
      </c>
      <c r="D1638" s="14" t="str">
        <f>VLOOKUP(C1638,'State Key'!$A$2:$B$210,2,False)</f>
        <v>Bihar</v>
      </c>
      <c r="E1638" s="15">
        <v>2340.0</v>
      </c>
      <c r="F1638" s="16">
        <v>1122.4</v>
      </c>
      <c r="G1638" s="16">
        <v>0.0</v>
      </c>
      <c r="H1638" s="16">
        <v>0.0</v>
      </c>
      <c r="I1638" s="16">
        <v>0.0</v>
      </c>
      <c r="J1638" s="16">
        <v>50.151</v>
      </c>
      <c r="K1638" s="16">
        <v>0.0</v>
      </c>
      <c r="L1638" s="16">
        <v>1172.551</v>
      </c>
      <c r="M1638" s="16">
        <v>1210.629</v>
      </c>
      <c r="N1638" s="16">
        <v>469.226</v>
      </c>
      <c r="O1638" s="23">
        <v>11.6</v>
      </c>
      <c r="P1638" s="18">
        <f t="shared" si="1"/>
        <v>1172.551</v>
      </c>
    </row>
    <row r="1639" ht="15.75" customHeight="1">
      <c r="A1639" s="19" t="s">
        <v>223</v>
      </c>
      <c r="B1639" s="19" t="s">
        <v>22</v>
      </c>
      <c r="C1639" s="20" t="s">
        <v>41</v>
      </c>
      <c r="D1639" s="14" t="str">
        <f>VLOOKUP(C1639,'State Key'!$A$2:$B$210,2,False)</f>
        <v>Odisha</v>
      </c>
      <c r="E1639" s="21">
        <v>1050.0</v>
      </c>
      <c r="F1639" s="22">
        <v>374.23</v>
      </c>
      <c r="G1639" s="22">
        <v>0.0</v>
      </c>
      <c r="H1639" s="22">
        <v>0.0</v>
      </c>
      <c r="I1639" s="22">
        <v>88.587</v>
      </c>
      <c r="J1639" s="22">
        <v>0.0</v>
      </c>
      <c r="K1639" s="22">
        <v>0.0</v>
      </c>
      <c r="L1639" s="22">
        <v>462.817</v>
      </c>
      <c r="M1639" s="22">
        <v>362.964</v>
      </c>
      <c r="N1639" s="22">
        <v>232.46</v>
      </c>
      <c r="O1639" s="24">
        <v>19.2</v>
      </c>
      <c r="P1639" s="18">
        <f t="shared" si="1"/>
        <v>462.817</v>
      </c>
    </row>
    <row r="1640" ht="15.75" customHeight="1">
      <c r="A1640" s="13" t="s">
        <v>223</v>
      </c>
      <c r="B1640" s="13" t="s">
        <v>22</v>
      </c>
      <c r="C1640" s="14" t="s">
        <v>42</v>
      </c>
      <c r="D1640" s="14" t="str">
        <f>VLOOKUP(C1640,'State Key'!$A$2:$B$210,2,False)</f>
        <v>Jharkhand</v>
      </c>
      <c r="E1640" s="15">
        <v>1000.0</v>
      </c>
      <c r="F1640" s="16">
        <v>435.773</v>
      </c>
      <c r="G1640" s="16">
        <v>4.086</v>
      </c>
      <c r="H1640" s="16">
        <v>0.0</v>
      </c>
      <c r="I1640" s="16">
        <v>0.0</v>
      </c>
      <c r="J1640" s="16">
        <v>15.004</v>
      </c>
      <c r="K1640" s="16">
        <v>0.0</v>
      </c>
      <c r="L1640" s="16">
        <v>454.863</v>
      </c>
      <c r="M1640" s="16">
        <v>395.729</v>
      </c>
      <c r="N1640" s="16">
        <v>242.27</v>
      </c>
      <c r="O1640" s="24">
        <v>18.4</v>
      </c>
      <c r="P1640" s="18">
        <f t="shared" si="1"/>
        <v>454.863</v>
      </c>
    </row>
    <row r="1641" ht="15.75" customHeight="1">
      <c r="A1641" s="19" t="s">
        <v>223</v>
      </c>
      <c r="B1641" s="19" t="s">
        <v>22</v>
      </c>
      <c r="C1641" s="20" t="s">
        <v>43</v>
      </c>
      <c r="D1641" s="14" t="str">
        <f>VLOOKUP(C1641,'State Key'!$A$2:$B$210,2,False)</f>
        <v>West Bengal</v>
      </c>
      <c r="E1641" s="21">
        <v>840.0</v>
      </c>
      <c r="F1641" s="22">
        <v>72.343</v>
      </c>
      <c r="G1641" s="22">
        <v>0.0</v>
      </c>
      <c r="H1641" s="22">
        <v>372.416</v>
      </c>
      <c r="I1641" s="22">
        <v>0.0</v>
      </c>
      <c r="J1641" s="22">
        <v>0.0</v>
      </c>
      <c r="K1641" s="22">
        <v>0.0</v>
      </c>
      <c r="L1641" s="22">
        <v>444.759</v>
      </c>
      <c r="M1641" s="22">
        <v>440.7</v>
      </c>
      <c r="N1641" s="22">
        <v>42.77</v>
      </c>
      <c r="O1641" s="17">
        <v>2.9</v>
      </c>
      <c r="P1641" s="18">
        <f t="shared" si="1"/>
        <v>444.759</v>
      </c>
    </row>
    <row r="1642" ht="15.75" customHeight="1">
      <c r="A1642" s="13" t="s">
        <v>223</v>
      </c>
      <c r="B1642" s="13" t="s">
        <v>22</v>
      </c>
      <c r="C1642" s="14" t="s">
        <v>44</v>
      </c>
      <c r="D1642" s="14" t="str">
        <f>VLOOKUP(C1642,'State Key'!$A$2:$B$210,2,False)</f>
        <v>Jharkhand</v>
      </c>
      <c r="E1642" s="15">
        <v>540.0</v>
      </c>
      <c r="F1642" s="16">
        <v>122.081</v>
      </c>
      <c r="G1642" s="16">
        <v>0.0</v>
      </c>
      <c r="H1642" s="16">
        <v>0.0</v>
      </c>
      <c r="I1642" s="16">
        <v>0.0</v>
      </c>
      <c r="J1642" s="16">
        <v>0.0</v>
      </c>
      <c r="K1642" s="16">
        <v>76.309</v>
      </c>
      <c r="L1642" s="16">
        <v>198.39</v>
      </c>
      <c r="M1642" s="16">
        <v>235.605</v>
      </c>
      <c r="N1642" s="16">
        <v>27.44</v>
      </c>
      <c r="O1642" s="17">
        <v>3.5</v>
      </c>
      <c r="P1642" s="18">
        <f t="shared" si="1"/>
        <v>198.39</v>
      </c>
    </row>
    <row r="1643" ht="15.75" customHeight="1">
      <c r="A1643" s="19" t="s">
        <v>223</v>
      </c>
      <c r="B1643" s="19" t="s">
        <v>22</v>
      </c>
      <c r="C1643" s="20" t="s">
        <v>45</v>
      </c>
      <c r="D1643" s="14" t="str">
        <f>VLOOKUP(C1643,'State Key'!$A$2:$B$210,2,False)</f>
        <v>Jharkhand</v>
      </c>
      <c r="E1643" s="21">
        <v>1050.0</v>
      </c>
      <c r="F1643" s="22">
        <v>394.533</v>
      </c>
      <c r="G1643" s="22">
        <v>0.0</v>
      </c>
      <c r="H1643" s="22">
        <v>0.0</v>
      </c>
      <c r="I1643" s="22">
        <v>0.0</v>
      </c>
      <c r="J1643" s="22">
        <v>0.0</v>
      </c>
      <c r="K1643" s="22">
        <v>0.0</v>
      </c>
      <c r="L1643" s="22">
        <v>394.533</v>
      </c>
      <c r="M1643" s="22">
        <v>432.695</v>
      </c>
      <c r="N1643" s="22">
        <v>423.96</v>
      </c>
      <c r="O1643" s="24">
        <v>29.4</v>
      </c>
      <c r="P1643" s="18">
        <f t="shared" si="1"/>
        <v>394.533</v>
      </c>
    </row>
    <row r="1644" ht="15.75" customHeight="1">
      <c r="A1644" s="13" t="s">
        <v>223</v>
      </c>
      <c r="B1644" s="13" t="s">
        <v>22</v>
      </c>
      <c r="C1644" s="14" t="s">
        <v>46</v>
      </c>
      <c r="D1644" s="14" t="str">
        <f>VLOOKUP(C1644,'State Key'!$A$2:$B$210,2,False)</f>
        <v>West Bengal</v>
      </c>
      <c r="E1644" s="15">
        <v>2340.0</v>
      </c>
      <c r="F1644" s="16">
        <v>888.919</v>
      </c>
      <c r="G1644" s="16">
        <v>0.0</v>
      </c>
      <c r="H1644" s="16">
        <v>113.01</v>
      </c>
      <c r="I1644" s="16">
        <v>0.0</v>
      </c>
      <c r="J1644" s="16">
        <v>47.852</v>
      </c>
      <c r="K1644" s="16">
        <v>0.0</v>
      </c>
      <c r="L1644" s="16">
        <v>1049.781</v>
      </c>
      <c r="M1644" s="16">
        <v>953.8469</v>
      </c>
      <c r="N1644" s="16">
        <v>415.87</v>
      </c>
      <c r="O1644" s="23">
        <v>13.1</v>
      </c>
      <c r="P1644" s="18">
        <f t="shared" si="1"/>
        <v>1049.781</v>
      </c>
    </row>
    <row r="1645" ht="15.75" customHeight="1">
      <c r="A1645" s="19" t="s">
        <v>223</v>
      </c>
      <c r="B1645" s="19" t="s">
        <v>22</v>
      </c>
      <c r="C1645" s="20" t="s">
        <v>47</v>
      </c>
      <c r="D1645" s="14" t="str">
        <f>VLOOKUP(C1645,'State Key'!$A$2:$B$210,2,False)</f>
        <v>Bihar</v>
      </c>
      <c r="E1645" s="21">
        <v>390.0</v>
      </c>
      <c r="F1645" s="22">
        <v>16.052</v>
      </c>
      <c r="G1645" s="22">
        <v>0.0</v>
      </c>
      <c r="H1645" s="22">
        <v>149.927</v>
      </c>
      <c r="I1645" s="22">
        <v>0.0</v>
      </c>
      <c r="J1645" s="22">
        <v>0.0</v>
      </c>
      <c r="K1645" s="22">
        <v>0.0</v>
      </c>
      <c r="L1645" s="22">
        <v>165.979</v>
      </c>
      <c r="M1645" s="22">
        <v>143.822</v>
      </c>
      <c r="N1645" s="22">
        <v>124.4</v>
      </c>
      <c r="O1645" s="24">
        <v>25.9</v>
      </c>
      <c r="P1645" s="18">
        <f t="shared" si="1"/>
        <v>165.979</v>
      </c>
    </row>
    <row r="1646" ht="15.75" customHeight="1">
      <c r="A1646" s="13" t="s">
        <v>223</v>
      </c>
      <c r="B1646" s="13" t="s">
        <v>22</v>
      </c>
      <c r="C1646" s="14" t="s">
        <v>48</v>
      </c>
      <c r="D1646" s="14" t="str">
        <f>VLOOKUP(C1646,'State Key'!$A$2:$B$210,2,False)</f>
        <v>Bihar</v>
      </c>
      <c r="E1646" s="15">
        <v>1980.0</v>
      </c>
      <c r="F1646" s="16">
        <v>559.58</v>
      </c>
      <c r="G1646" s="16">
        <v>0.0</v>
      </c>
      <c r="H1646" s="16">
        <v>160.04</v>
      </c>
      <c r="I1646" s="16">
        <v>0.0</v>
      </c>
      <c r="J1646" s="16">
        <v>125.415</v>
      </c>
      <c r="K1646" s="16">
        <v>0.0</v>
      </c>
      <c r="L1646" s="16">
        <v>845.035</v>
      </c>
      <c r="M1646" s="16">
        <v>481.807</v>
      </c>
      <c r="N1646" s="16">
        <v>640.0</v>
      </c>
      <c r="O1646" s="24">
        <v>39.8</v>
      </c>
      <c r="P1646" s="18">
        <f t="shared" si="1"/>
        <v>845.035</v>
      </c>
    </row>
    <row r="1647" ht="15.75" customHeight="1">
      <c r="A1647" s="19" t="s">
        <v>223</v>
      </c>
      <c r="B1647" s="19" t="s">
        <v>22</v>
      </c>
      <c r="C1647" s="20" t="s">
        <v>49</v>
      </c>
      <c r="D1647" s="14" t="str">
        <f>VLOOKUP(C1647,'State Key'!$A$2:$B$210,2,False)</f>
        <v>Bihar</v>
      </c>
      <c r="E1647" s="21">
        <v>1000.0</v>
      </c>
      <c r="F1647" s="22">
        <v>398.1636</v>
      </c>
      <c r="G1647" s="22">
        <v>0.0</v>
      </c>
      <c r="H1647" s="22">
        <v>0.0</v>
      </c>
      <c r="I1647" s="22">
        <v>0.0</v>
      </c>
      <c r="J1647" s="22">
        <v>7.691</v>
      </c>
      <c r="K1647" s="22">
        <v>0.0</v>
      </c>
      <c r="L1647" s="22">
        <v>405.8546</v>
      </c>
      <c r="M1647" s="22">
        <v>390.941</v>
      </c>
      <c r="N1647" s="22">
        <v>115.58</v>
      </c>
      <c r="O1647" s="23">
        <v>8.9</v>
      </c>
      <c r="P1647" s="18">
        <f t="shared" si="1"/>
        <v>405.8546</v>
      </c>
    </row>
    <row r="1648" ht="15.75" customHeight="1">
      <c r="A1648" s="13" t="s">
        <v>223</v>
      </c>
      <c r="B1648" s="13" t="s">
        <v>22</v>
      </c>
      <c r="C1648" s="14" t="s">
        <v>50</v>
      </c>
      <c r="D1648" s="14" t="str">
        <f>VLOOKUP(C1648,'State Key'!$A$2:$B$210,2,False)</f>
        <v>Jharkhand</v>
      </c>
      <c r="E1648" s="15">
        <v>660.0</v>
      </c>
      <c r="F1648" s="16">
        <v>113.03</v>
      </c>
      <c r="G1648" s="16">
        <v>0.0</v>
      </c>
      <c r="H1648" s="16">
        <v>168.34</v>
      </c>
      <c r="I1648" s="16">
        <v>0.0</v>
      </c>
      <c r="J1648" s="16">
        <v>0.0</v>
      </c>
      <c r="K1648" s="16">
        <v>0.0</v>
      </c>
      <c r="L1648" s="16">
        <v>281.37</v>
      </c>
      <c r="M1648" s="16">
        <v>346.51</v>
      </c>
      <c r="N1648" s="16">
        <v>98.524</v>
      </c>
      <c r="O1648" s="23">
        <v>8.5</v>
      </c>
      <c r="P1648" s="18">
        <f t="shared" si="1"/>
        <v>281.37</v>
      </c>
    </row>
    <row r="1649" ht="15.75" customHeight="1">
      <c r="A1649" s="19" t="s">
        <v>223</v>
      </c>
      <c r="B1649" s="19" t="s">
        <v>22</v>
      </c>
      <c r="C1649" s="20" t="s">
        <v>51</v>
      </c>
      <c r="D1649" s="14" t="str">
        <f>VLOOKUP(C1649,'State Key'!$A$2:$B$210,2,False)</f>
        <v>West Bengal</v>
      </c>
      <c r="E1649" s="21">
        <v>1200.0</v>
      </c>
      <c r="F1649" s="22">
        <v>453.097</v>
      </c>
      <c r="G1649" s="22">
        <v>0.0</v>
      </c>
      <c r="H1649" s="22">
        <v>0.0</v>
      </c>
      <c r="I1649" s="22">
        <v>0.0</v>
      </c>
      <c r="J1649" s="22">
        <v>18.426</v>
      </c>
      <c r="K1649" s="22">
        <v>0.0</v>
      </c>
      <c r="L1649" s="22">
        <v>471.523</v>
      </c>
      <c r="M1649" s="22">
        <v>416.018</v>
      </c>
      <c r="N1649" s="22">
        <v>196.923</v>
      </c>
      <c r="O1649" s="24">
        <v>14.2</v>
      </c>
      <c r="P1649" s="18">
        <f t="shared" si="1"/>
        <v>471.523</v>
      </c>
    </row>
    <row r="1650" ht="15.75" customHeight="1">
      <c r="A1650" s="13" t="s">
        <v>223</v>
      </c>
      <c r="B1650" s="13" t="s">
        <v>22</v>
      </c>
      <c r="C1650" s="14" t="s">
        <v>52</v>
      </c>
      <c r="D1650" s="14" t="str">
        <f>VLOOKUP(C1650,'State Key'!$A$2:$B$210,2,False)</f>
        <v>West Bengal</v>
      </c>
      <c r="E1650" s="15">
        <v>1600.0</v>
      </c>
      <c r="F1650" s="16">
        <v>17.434</v>
      </c>
      <c r="G1650" s="16">
        <v>0.0</v>
      </c>
      <c r="H1650" s="16">
        <v>597.049</v>
      </c>
      <c r="I1650" s="16">
        <v>0.0</v>
      </c>
      <c r="J1650" s="16">
        <v>0.0</v>
      </c>
      <c r="K1650" s="16">
        <v>0.0</v>
      </c>
      <c r="L1650" s="16">
        <v>614.483</v>
      </c>
      <c r="M1650" s="16">
        <v>688.429</v>
      </c>
      <c r="N1650" s="16">
        <v>173.955</v>
      </c>
      <c r="O1650" s="23">
        <v>7.6</v>
      </c>
      <c r="P1650" s="18">
        <f t="shared" si="1"/>
        <v>614.483</v>
      </c>
    </row>
    <row r="1651" ht="15.75" customHeight="1">
      <c r="A1651" s="19" t="s">
        <v>223</v>
      </c>
      <c r="B1651" s="19" t="s">
        <v>22</v>
      </c>
      <c r="C1651" s="20" t="s">
        <v>53</v>
      </c>
      <c r="D1651" s="14" t="str">
        <f>VLOOKUP(C1651,'State Key'!$A$2:$B$210,2,False)</f>
        <v>West Bengal</v>
      </c>
      <c r="E1651" s="21">
        <v>500.0</v>
      </c>
      <c r="F1651" s="22">
        <v>52.243</v>
      </c>
      <c r="G1651" s="22">
        <v>0.0</v>
      </c>
      <c r="H1651" s="22">
        <v>165.344</v>
      </c>
      <c r="I1651" s="22">
        <v>0.0</v>
      </c>
      <c r="J1651" s="22">
        <v>0.0</v>
      </c>
      <c r="K1651" s="22">
        <v>0.0</v>
      </c>
      <c r="L1651" s="22">
        <v>217.587</v>
      </c>
      <c r="M1651" s="22">
        <v>223.101</v>
      </c>
      <c r="N1651" s="22">
        <v>78.75</v>
      </c>
      <c r="O1651" s="23">
        <v>10.6</v>
      </c>
      <c r="P1651" s="18">
        <f t="shared" si="1"/>
        <v>217.587</v>
      </c>
    </row>
    <row r="1652" ht="15.75" customHeight="1">
      <c r="A1652" s="13" t="s">
        <v>223</v>
      </c>
      <c r="B1652" s="13" t="s">
        <v>22</v>
      </c>
      <c r="C1652" s="14" t="s">
        <v>54</v>
      </c>
      <c r="D1652" s="14" t="str">
        <f>VLOOKUP(C1652,'State Key'!$A$2:$B$210,2,False)</f>
        <v>West Bengal</v>
      </c>
      <c r="E1652" s="15">
        <v>135.0</v>
      </c>
      <c r="F1652" s="16">
        <v>15.73</v>
      </c>
      <c r="G1652" s="16">
        <v>0.0</v>
      </c>
      <c r="H1652" s="16">
        <v>0.0</v>
      </c>
      <c r="I1652" s="16">
        <v>16.091</v>
      </c>
      <c r="J1652" s="16">
        <v>0.0</v>
      </c>
      <c r="K1652" s="16">
        <v>0.0</v>
      </c>
      <c r="L1652" s="16">
        <v>31.821</v>
      </c>
      <c r="M1652" s="16">
        <v>23.677</v>
      </c>
      <c r="N1652" s="16">
        <v>34.14</v>
      </c>
      <c r="O1652" s="24">
        <v>43.3</v>
      </c>
      <c r="P1652" s="18">
        <f t="shared" si="1"/>
        <v>31.821</v>
      </c>
    </row>
    <row r="1653" ht="15.75" customHeight="1">
      <c r="A1653" s="19" t="s">
        <v>223</v>
      </c>
      <c r="B1653" s="19" t="s">
        <v>22</v>
      </c>
      <c r="C1653" s="20" t="s">
        <v>55</v>
      </c>
      <c r="D1653" s="14" t="str">
        <f>VLOOKUP(C1653,'State Key'!$A$2:$B$210,2,False)</f>
        <v>Odisha</v>
      </c>
      <c r="E1653" s="21">
        <v>3000.0</v>
      </c>
      <c r="F1653" s="22">
        <v>1420.99</v>
      </c>
      <c r="G1653" s="22">
        <v>0.0</v>
      </c>
      <c r="H1653" s="22">
        <v>0.0</v>
      </c>
      <c r="I1653" s="22">
        <v>0.0</v>
      </c>
      <c r="J1653" s="22">
        <v>0.0</v>
      </c>
      <c r="K1653" s="22">
        <v>0.0</v>
      </c>
      <c r="L1653" s="22">
        <v>1420.99</v>
      </c>
      <c r="M1653" s="22">
        <v>1262.642</v>
      </c>
      <c r="N1653" s="22">
        <v>729.5879</v>
      </c>
      <c r="O1653" s="24">
        <v>17.3</v>
      </c>
      <c r="P1653" s="18">
        <f t="shared" si="1"/>
        <v>1420.99</v>
      </c>
    </row>
    <row r="1654" ht="15.75" customHeight="1">
      <c r="A1654" s="13" t="s">
        <v>223</v>
      </c>
      <c r="B1654" s="13" t="s">
        <v>22</v>
      </c>
      <c r="C1654" s="14" t="s">
        <v>56</v>
      </c>
      <c r="D1654" s="14" t="str">
        <f>VLOOKUP(C1654,'State Key'!$A$2:$B$210,2,False)</f>
        <v>Jharkhand</v>
      </c>
      <c r="E1654" s="15">
        <v>420.0</v>
      </c>
      <c r="F1654" s="16">
        <v>198.77</v>
      </c>
      <c r="G1654" s="16">
        <v>0.0</v>
      </c>
      <c r="H1654" s="16">
        <v>0.0</v>
      </c>
      <c r="I1654" s="16">
        <v>0.0</v>
      </c>
      <c r="J1654" s="16">
        <v>0.0</v>
      </c>
      <c r="K1654" s="16">
        <v>0.0</v>
      </c>
      <c r="L1654" s="16">
        <v>198.77</v>
      </c>
      <c r="M1654" s="16">
        <v>179.48</v>
      </c>
      <c r="N1654" s="16">
        <v>55.27</v>
      </c>
      <c r="O1654" s="23">
        <v>9.2</v>
      </c>
      <c r="P1654" s="18">
        <f t="shared" si="1"/>
        <v>198.77</v>
      </c>
    </row>
    <row r="1655" ht="15.75" customHeight="1">
      <c r="A1655" s="19" t="s">
        <v>223</v>
      </c>
      <c r="B1655" s="19" t="s">
        <v>22</v>
      </c>
      <c r="C1655" s="20" t="s">
        <v>57</v>
      </c>
      <c r="D1655" s="14" t="str">
        <f>VLOOKUP(C1655,'State Key'!$A$2:$B$210,2,False)</f>
        <v>West Bengal</v>
      </c>
      <c r="E1655" s="21">
        <v>240.0</v>
      </c>
      <c r="F1655" s="22">
        <v>0.0</v>
      </c>
      <c r="G1655" s="22">
        <v>0.0</v>
      </c>
      <c r="H1655" s="22">
        <v>0.0</v>
      </c>
      <c r="I1655" s="22">
        <v>0.0</v>
      </c>
      <c r="J1655" s="22">
        <v>0.0</v>
      </c>
      <c r="K1655" s="22">
        <v>0.0</v>
      </c>
      <c r="L1655" s="22">
        <v>0.0</v>
      </c>
      <c r="M1655" s="22">
        <v>0.0</v>
      </c>
      <c r="N1655" s="22">
        <v>0.0</v>
      </c>
      <c r="O1655" s="19" t="s">
        <v>58</v>
      </c>
      <c r="P1655" s="18">
        <f t="shared" si="1"/>
        <v>0</v>
      </c>
    </row>
    <row r="1656" ht="15.75" customHeight="1">
      <c r="A1656" s="13" t="s">
        <v>223</v>
      </c>
      <c r="B1656" s="13" t="s">
        <v>22</v>
      </c>
      <c r="C1656" s="14" t="s">
        <v>59</v>
      </c>
      <c r="D1656" s="14" t="str">
        <f>VLOOKUP(C1656,'State Key'!$A$2:$B$210,2,False)</f>
        <v>Odisha</v>
      </c>
      <c r="E1656" s="15">
        <v>350.0</v>
      </c>
      <c r="F1656" s="16">
        <v>0.0</v>
      </c>
      <c r="G1656" s="16">
        <v>0.0</v>
      </c>
      <c r="H1656" s="16">
        <v>0.0</v>
      </c>
      <c r="I1656" s="16">
        <v>0.0</v>
      </c>
      <c r="J1656" s="16">
        <v>0.0</v>
      </c>
      <c r="K1656" s="16">
        <v>0.0</v>
      </c>
      <c r="L1656" s="16">
        <v>0.0</v>
      </c>
      <c r="M1656" s="16">
        <v>0.0</v>
      </c>
      <c r="N1656" s="16">
        <v>0.0</v>
      </c>
      <c r="O1656" s="13" t="s">
        <v>58</v>
      </c>
      <c r="P1656" s="18">
        <f t="shared" si="1"/>
        <v>0</v>
      </c>
    </row>
    <row r="1657" ht="15.75" customHeight="1">
      <c r="A1657" s="19" t="s">
        <v>223</v>
      </c>
      <c r="B1657" s="19" t="s">
        <v>22</v>
      </c>
      <c r="C1657" s="20" t="s">
        <v>60</v>
      </c>
      <c r="D1657" s="14" t="str">
        <f>VLOOKUP(C1657,'State Key'!$A$2:$B$210,2,False)</f>
        <v>Odisha</v>
      </c>
      <c r="E1657" s="21">
        <v>600.0</v>
      </c>
      <c r="F1657" s="22">
        <v>299.64</v>
      </c>
      <c r="G1657" s="22">
        <v>0.0</v>
      </c>
      <c r="H1657" s="22">
        <v>0.0</v>
      </c>
      <c r="I1657" s="22">
        <v>0.0</v>
      </c>
      <c r="J1657" s="22">
        <v>0.0</v>
      </c>
      <c r="K1657" s="22">
        <v>0.0</v>
      </c>
      <c r="L1657" s="22">
        <v>299.64</v>
      </c>
      <c r="M1657" s="22">
        <v>208.75</v>
      </c>
      <c r="N1657" s="22">
        <v>193.22</v>
      </c>
      <c r="O1657" s="24">
        <v>27.8</v>
      </c>
      <c r="P1657" s="18">
        <f t="shared" si="1"/>
        <v>299.64</v>
      </c>
    </row>
    <row r="1658" ht="15.75" customHeight="1">
      <c r="A1658" s="13" t="s">
        <v>223</v>
      </c>
      <c r="B1658" s="13" t="s">
        <v>61</v>
      </c>
      <c r="C1658" s="14" t="s">
        <v>209</v>
      </c>
      <c r="D1658" s="14" t="str">
        <f>VLOOKUP(C1658,'State Key'!$A$2:$B$210,2,False)</f>
        <v>Rajasthan</v>
      </c>
      <c r="E1658" s="15">
        <v>1320.0</v>
      </c>
      <c r="F1658" s="16">
        <v>329.554</v>
      </c>
      <c r="G1658" s="16">
        <v>0.0</v>
      </c>
      <c r="H1658" s="16">
        <v>0.0</v>
      </c>
      <c r="I1658" s="16">
        <v>0.0</v>
      </c>
      <c r="J1658" s="16">
        <v>106.213</v>
      </c>
      <c r="K1658" s="16">
        <v>0.0</v>
      </c>
      <c r="L1658" s="16">
        <v>435.767</v>
      </c>
      <c r="M1658" s="16">
        <v>506.225</v>
      </c>
      <c r="N1658" s="16">
        <v>89.13</v>
      </c>
      <c r="O1658" s="17">
        <v>5.3</v>
      </c>
      <c r="P1658" s="18">
        <f t="shared" si="1"/>
        <v>435.767</v>
      </c>
    </row>
    <row r="1659" ht="15.75" customHeight="1">
      <c r="A1659" s="19" t="s">
        <v>223</v>
      </c>
      <c r="B1659" s="19" t="s">
        <v>61</v>
      </c>
      <c r="C1659" s="20" t="s">
        <v>62</v>
      </c>
      <c r="D1659" s="14" t="str">
        <f>VLOOKUP(C1659,'State Key'!$A$2:$B$210,2,False)</f>
        <v>Uttar Pradesh</v>
      </c>
      <c r="E1659" s="21">
        <v>1200.0</v>
      </c>
      <c r="F1659" s="22">
        <v>324.7</v>
      </c>
      <c r="G1659" s="22">
        <v>0.0</v>
      </c>
      <c r="H1659" s="22">
        <v>0.0</v>
      </c>
      <c r="I1659" s="22">
        <v>0.0</v>
      </c>
      <c r="J1659" s="22">
        <v>0.0</v>
      </c>
      <c r="K1659" s="22">
        <v>0.0</v>
      </c>
      <c r="L1659" s="22">
        <v>324.7</v>
      </c>
      <c r="M1659" s="22">
        <v>348.84</v>
      </c>
      <c r="N1659" s="22">
        <v>362.62</v>
      </c>
      <c r="O1659" s="24">
        <v>31.2</v>
      </c>
      <c r="P1659" s="18">
        <f t="shared" si="1"/>
        <v>324.7</v>
      </c>
    </row>
    <row r="1660" ht="15.75" customHeight="1">
      <c r="A1660" s="13" t="s">
        <v>223</v>
      </c>
      <c r="B1660" s="13" t="s">
        <v>61</v>
      </c>
      <c r="C1660" s="14" t="s">
        <v>63</v>
      </c>
      <c r="D1660" s="14" t="str">
        <f>VLOOKUP(C1660,'State Key'!$A$2:$B$210,2,False)</f>
        <v>Uttar Pradesh</v>
      </c>
      <c r="E1660" s="15">
        <v>2630.0</v>
      </c>
      <c r="F1660" s="16">
        <v>1041.233</v>
      </c>
      <c r="G1660" s="16">
        <v>0.0</v>
      </c>
      <c r="H1660" s="16">
        <v>0.0</v>
      </c>
      <c r="I1660" s="16">
        <v>0.0</v>
      </c>
      <c r="J1660" s="16">
        <v>0.0</v>
      </c>
      <c r="K1660" s="16">
        <v>0.0</v>
      </c>
      <c r="L1660" s="16">
        <v>1041.233</v>
      </c>
      <c r="M1660" s="16">
        <v>908.531</v>
      </c>
      <c r="N1660" s="16">
        <v>875.82</v>
      </c>
      <c r="O1660" s="24">
        <v>28.9</v>
      </c>
      <c r="P1660" s="18">
        <f t="shared" si="1"/>
        <v>1041.233</v>
      </c>
    </row>
    <row r="1661" ht="15.75" customHeight="1">
      <c r="A1661" s="19" t="s">
        <v>223</v>
      </c>
      <c r="B1661" s="19" t="s">
        <v>61</v>
      </c>
      <c r="C1661" s="20" t="s">
        <v>64</v>
      </c>
      <c r="D1661" s="14" t="str">
        <f>VLOOKUP(C1661,'State Key'!$A$2:$B$210,2,False)</f>
        <v>Uttar Pradesh</v>
      </c>
      <c r="E1661" s="21">
        <v>90.0</v>
      </c>
      <c r="F1661" s="22">
        <v>38.64</v>
      </c>
      <c r="G1661" s="22">
        <v>0.0</v>
      </c>
      <c r="H1661" s="22">
        <v>0.0</v>
      </c>
      <c r="I1661" s="22">
        <v>0.0</v>
      </c>
      <c r="J1661" s="22">
        <v>0.0</v>
      </c>
      <c r="K1661" s="22">
        <v>0.0</v>
      </c>
      <c r="L1661" s="22">
        <v>38.64</v>
      </c>
      <c r="M1661" s="22">
        <v>30.93</v>
      </c>
      <c r="N1661" s="22">
        <v>31.26</v>
      </c>
      <c r="O1661" s="24">
        <v>30.3</v>
      </c>
      <c r="P1661" s="18">
        <f t="shared" si="1"/>
        <v>38.64</v>
      </c>
    </row>
    <row r="1662" ht="15.75" customHeight="1">
      <c r="A1662" s="13" t="s">
        <v>223</v>
      </c>
      <c r="B1662" s="13" t="s">
        <v>61</v>
      </c>
      <c r="C1662" s="14" t="s">
        <v>65</v>
      </c>
      <c r="D1662" s="14" t="str">
        <f>VLOOKUP(C1662,'State Key'!$A$2:$B$210,2,False)</f>
        <v>Rajasthan</v>
      </c>
      <c r="E1662" s="15">
        <v>500.0</v>
      </c>
      <c r="F1662" s="16">
        <v>346.13</v>
      </c>
      <c r="G1662" s="16">
        <v>0.0</v>
      </c>
      <c r="H1662" s="16">
        <v>0.0</v>
      </c>
      <c r="I1662" s="16">
        <v>0.0</v>
      </c>
      <c r="J1662" s="16">
        <v>0.0</v>
      </c>
      <c r="K1662" s="16">
        <v>0.0</v>
      </c>
      <c r="L1662" s="16">
        <v>346.13</v>
      </c>
      <c r="M1662" s="16">
        <v>221.91</v>
      </c>
      <c r="N1662" s="16">
        <v>560.23</v>
      </c>
      <c r="O1662" s="24">
        <v>75.7</v>
      </c>
      <c r="P1662" s="18">
        <f t="shared" si="1"/>
        <v>346.13</v>
      </c>
    </row>
    <row r="1663" ht="15.75" customHeight="1">
      <c r="A1663" s="19" t="s">
        <v>223</v>
      </c>
      <c r="B1663" s="19" t="s">
        <v>61</v>
      </c>
      <c r="C1663" s="20" t="s">
        <v>66</v>
      </c>
      <c r="D1663" s="14" t="str">
        <f>VLOOKUP(C1663,'State Key'!$A$2:$B$210,2,False)</f>
        <v>Rajasthan</v>
      </c>
      <c r="E1663" s="21">
        <v>500.0</v>
      </c>
      <c r="F1663" s="22">
        <v>89.8</v>
      </c>
      <c r="G1663" s="22">
        <v>0.0</v>
      </c>
      <c r="H1663" s="22">
        <v>0.0</v>
      </c>
      <c r="I1663" s="22">
        <v>0.0</v>
      </c>
      <c r="J1663" s="22">
        <v>0.0</v>
      </c>
      <c r="K1663" s="22">
        <v>0.0</v>
      </c>
      <c r="L1663" s="22">
        <v>89.8</v>
      </c>
      <c r="M1663" s="22">
        <v>218.49</v>
      </c>
      <c r="N1663" s="22">
        <v>0.0</v>
      </c>
      <c r="O1663" s="17">
        <v>0.0</v>
      </c>
      <c r="P1663" s="18">
        <f t="shared" si="1"/>
        <v>89.8</v>
      </c>
    </row>
    <row r="1664" ht="15.75" customHeight="1">
      <c r="A1664" s="13" t="s">
        <v>223</v>
      </c>
      <c r="B1664" s="13" t="s">
        <v>61</v>
      </c>
      <c r="C1664" s="14" t="s">
        <v>67</v>
      </c>
      <c r="D1664" s="14" t="str">
        <f>VLOOKUP(C1664,'State Key'!$A$2:$B$210,2,False)</f>
        <v>Rajasthan</v>
      </c>
      <c r="E1664" s="15">
        <v>1320.0</v>
      </c>
      <c r="F1664" s="16">
        <v>232.495</v>
      </c>
      <c r="G1664" s="16">
        <v>148.373</v>
      </c>
      <c r="H1664" s="16">
        <v>0.0</v>
      </c>
      <c r="I1664" s="16">
        <v>0.0</v>
      </c>
      <c r="J1664" s="16">
        <v>0.0</v>
      </c>
      <c r="K1664" s="16">
        <v>0.0</v>
      </c>
      <c r="L1664" s="16">
        <v>380.868</v>
      </c>
      <c r="M1664" s="16">
        <v>387.09</v>
      </c>
      <c r="N1664" s="16">
        <v>79.132</v>
      </c>
      <c r="O1664" s="17">
        <v>6.1</v>
      </c>
      <c r="P1664" s="18">
        <f t="shared" si="1"/>
        <v>380.868</v>
      </c>
    </row>
    <row r="1665" ht="15.75" customHeight="1">
      <c r="A1665" s="19" t="s">
        <v>223</v>
      </c>
      <c r="B1665" s="19" t="s">
        <v>61</v>
      </c>
      <c r="C1665" s="20" t="s">
        <v>68</v>
      </c>
      <c r="D1665" s="14" t="str">
        <f>VLOOKUP(C1665,'State Key'!$A$2:$B$210,2,False)</f>
        <v>Uttar Pradesh</v>
      </c>
      <c r="E1665" s="21">
        <v>1820.0</v>
      </c>
      <c r="F1665" s="22">
        <v>379.49</v>
      </c>
      <c r="G1665" s="22">
        <v>0.0</v>
      </c>
      <c r="H1665" s="22">
        <v>75.62</v>
      </c>
      <c r="I1665" s="22">
        <v>0.0</v>
      </c>
      <c r="J1665" s="22">
        <v>202.99</v>
      </c>
      <c r="K1665" s="22">
        <v>0.0</v>
      </c>
      <c r="L1665" s="22">
        <v>658.1</v>
      </c>
      <c r="M1665" s="22">
        <v>675.518</v>
      </c>
      <c r="N1665" s="22">
        <v>207.863</v>
      </c>
      <c r="O1665" s="23">
        <v>9.2</v>
      </c>
      <c r="P1665" s="18">
        <f t="shared" si="1"/>
        <v>658.1</v>
      </c>
    </row>
    <row r="1666" ht="15.75" customHeight="1">
      <c r="A1666" s="13" t="s">
        <v>223</v>
      </c>
      <c r="B1666" s="13" t="s">
        <v>61</v>
      </c>
      <c r="C1666" s="14" t="s">
        <v>69</v>
      </c>
      <c r="D1666" s="14" t="str">
        <f>VLOOKUP(C1666,'State Key'!$A$2:$B$210,2,False)</f>
        <v>Punjab</v>
      </c>
      <c r="E1666" s="15">
        <v>920.0</v>
      </c>
      <c r="F1666" s="16">
        <v>0.0</v>
      </c>
      <c r="G1666" s="16">
        <v>0.0</v>
      </c>
      <c r="H1666" s="16">
        <v>249.424</v>
      </c>
      <c r="I1666" s="16">
        <v>0.0</v>
      </c>
      <c r="J1666" s="16">
        <v>0.0</v>
      </c>
      <c r="K1666" s="16">
        <v>0.0</v>
      </c>
      <c r="L1666" s="16">
        <v>249.424</v>
      </c>
      <c r="M1666" s="16">
        <v>276.807</v>
      </c>
      <c r="N1666" s="16">
        <v>260.69</v>
      </c>
      <c r="O1666" s="24">
        <v>28.3</v>
      </c>
      <c r="P1666" s="18">
        <f t="shared" si="1"/>
        <v>249.424</v>
      </c>
    </row>
    <row r="1667" ht="15.75" customHeight="1">
      <c r="A1667" s="19" t="s">
        <v>223</v>
      </c>
      <c r="B1667" s="19" t="s">
        <v>61</v>
      </c>
      <c r="C1667" s="20" t="s">
        <v>70</v>
      </c>
      <c r="D1667" s="14" t="str">
        <f>VLOOKUP(C1667,'State Key'!$A$2:$B$210,2,False)</f>
        <v>Punjab</v>
      </c>
      <c r="E1667" s="21">
        <v>540.0</v>
      </c>
      <c r="F1667" s="22">
        <v>171.3264</v>
      </c>
      <c r="G1667" s="22">
        <v>0.0</v>
      </c>
      <c r="H1667" s="22">
        <v>0.0</v>
      </c>
      <c r="I1667" s="22">
        <v>0.0</v>
      </c>
      <c r="J1667" s="22">
        <v>0.0</v>
      </c>
      <c r="K1667" s="22">
        <v>0.0</v>
      </c>
      <c r="L1667" s="22">
        <v>171.3264</v>
      </c>
      <c r="M1667" s="22">
        <v>169.8496</v>
      </c>
      <c r="N1667" s="22">
        <v>25.86</v>
      </c>
      <c r="O1667" s="17">
        <v>4.6</v>
      </c>
      <c r="P1667" s="18">
        <f t="shared" si="1"/>
        <v>171.3264</v>
      </c>
    </row>
    <row r="1668" ht="15.75" customHeight="1">
      <c r="A1668" s="13" t="s">
        <v>223</v>
      </c>
      <c r="B1668" s="13" t="s">
        <v>61</v>
      </c>
      <c r="C1668" s="14" t="s">
        <v>71</v>
      </c>
      <c r="D1668" s="14" t="str">
        <f>VLOOKUP(C1668,'State Key'!$A$2:$B$210,2,False)</f>
        <v>Uttar Pradesh</v>
      </c>
      <c r="E1668" s="15">
        <v>1265.0</v>
      </c>
      <c r="F1668" s="16">
        <v>433.596</v>
      </c>
      <c r="G1668" s="16">
        <v>0.0</v>
      </c>
      <c r="H1668" s="16">
        <v>0.0</v>
      </c>
      <c r="I1668" s="16">
        <v>0.0</v>
      </c>
      <c r="J1668" s="16">
        <v>0.0</v>
      </c>
      <c r="K1668" s="16">
        <v>0.0</v>
      </c>
      <c r="L1668" s="16">
        <v>433.596</v>
      </c>
      <c r="M1668" s="16">
        <v>492.017</v>
      </c>
      <c r="N1668" s="16">
        <v>178.14</v>
      </c>
      <c r="O1668" s="23">
        <v>10.9</v>
      </c>
      <c r="P1668" s="18">
        <f t="shared" si="1"/>
        <v>433.596</v>
      </c>
    </row>
    <row r="1669" ht="15.75" customHeight="1">
      <c r="A1669" s="19" t="s">
        <v>223</v>
      </c>
      <c r="B1669" s="19" t="s">
        <v>61</v>
      </c>
      <c r="C1669" s="20" t="s">
        <v>72</v>
      </c>
      <c r="D1669" s="14" t="str">
        <f>VLOOKUP(C1669,'State Key'!$A$2:$B$210,2,False)</f>
        <v>Haryana</v>
      </c>
      <c r="E1669" s="21">
        <v>1500.0</v>
      </c>
      <c r="F1669" s="22">
        <v>593.681</v>
      </c>
      <c r="G1669" s="22">
        <v>0.0</v>
      </c>
      <c r="H1669" s="22">
        <v>0.0</v>
      </c>
      <c r="I1669" s="22">
        <v>0.0</v>
      </c>
      <c r="J1669" s="22">
        <v>0.0</v>
      </c>
      <c r="K1669" s="22">
        <v>0.0</v>
      </c>
      <c r="L1669" s="22">
        <v>593.681</v>
      </c>
      <c r="M1669" s="22">
        <v>505.306</v>
      </c>
      <c r="N1669" s="22">
        <v>477.19</v>
      </c>
      <c r="O1669" s="24">
        <v>28.3</v>
      </c>
      <c r="P1669" s="18">
        <f t="shared" si="1"/>
        <v>593.681</v>
      </c>
    </row>
    <row r="1670" ht="15.75" customHeight="1">
      <c r="A1670" s="13" t="s">
        <v>223</v>
      </c>
      <c r="B1670" s="13" t="s">
        <v>61</v>
      </c>
      <c r="C1670" s="14" t="s">
        <v>73</v>
      </c>
      <c r="D1670" s="14" t="str">
        <f>VLOOKUP(C1670,'State Key'!$A$2:$B$210,2,False)</f>
        <v>Rajasthan</v>
      </c>
      <c r="E1670" s="15">
        <v>1200.0</v>
      </c>
      <c r="F1670" s="16">
        <v>289.356</v>
      </c>
      <c r="G1670" s="16">
        <v>0.0</v>
      </c>
      <c r="H1670" s="16">
        <v>50.965</v>
      </c>
      <c r="I1670" s="16">
        <v>0.0</v>
      </c>
      <c r="J1670" s="16">
        <v>0.0</v>
      </c>
      <c r="K1670" s="16">
        <v>0.0</v>
      </c>
      <c r="L1670" s="16">
        <v>340.321</v>
      </c>
      <c r="M1670" s="16">
        <v>369.987</v>
      </c>
      <c r="N1670" s="16">
        <v>81.13</v>
      </c>
      <c r="O1670" s="17">
        <v>6.6</v>
      </c>
      <c r="P1670" s="18">
        <f t="shared" si="1"/>
        <v>340.321</v>
      </c>
    </row>
    <row r="1671" ht="15.75" customHeight="1">
      <c r="A1671" s="19" t="s">
        <v>223</v>
      </c>
      <c r="B1671" s="19" t="s">
        <v>61</v>
      </c>
      <c r="C1671" s="20" t="s">
        <v>75</v>
      </c>
      <c r="D1671" s="14" t="str">
        <f>VLOOKUP(C1671,'State Key'!$A$2:$B$210,2,False)</f>
        <v>Uttar Pradesh</v>
      </c>
      <c r="E1671" s="21">
        <v>90.0</v>
      </c>
      <c r="F1671" s="22">
        <v>34.81</v>
      </c>
      <c r="G1671" s="22">
        <v>0.0</v>
      </c>
      <c r="H1671" s="22">
        <v>0.0</v>
      </c>
      <c r="I1671" s="22">
        <v>0.0</v>
      </c>
      <c r="J1671" s="22">
        <v>0.0</v>
      </c>
      <c r="K1671" s="22">
        <v>0.0</v>
      </c>
      <c r="L1671" s="22">
        <v>34.81</v>
      </c>
      <c r="M1671" s="22">
        <v>21.97</v>
      </c>
      <c r="N1671" s="22">
        <v>28.56</v>
      </c>
      <c r="O1671" s="24">
        <v>39.0</v>
      </c>
      <c r="P1671" s="18">
        <f t="shared" si="1"/>
        <v>34.81</v>
      </c>
    </row>
    <row r="1672" ht="15.75" customHeight="1">
      <c r="A1672" s="13" t="s">
        <v>223</v>
      </c>
      <c r="B1672" s="13" t="s">
        <v>61</v>
      </c>
      <c r="C1672" s="14" t="s">
        <v>76</v>
      </c>
      <c r="D1672" s="14" t="str">
        <f>VLOOKUP(C1672,'State Key'!$A$2:$B$210,2,False)</f>
        <v>Rajasthan</v>
      </c>
      <c r="E1672" s="15">
        <v>1240.0</v>
      </c>
      <c r="F1672" s="16">
        <v>527.55328</v>
      </c>
      <c r="G1672" s="16">
        <v>0.0</v>
      </c>
      <c r="H1672" s="16">
        <v>0.0</v>
      </c>
      <c r="I1672" s="16">
        <v>0.0</v>
      </c>
      <c r="J1672" s="16">
        <v>0.0</v>
      </c>
      <c r="K1672" s="16">
        <v>0.0</v>
      </c>
      <c r="L1672" s="16">
        <v>527.55328</v>
      </c>
      <c r="M1672" s="16">
        <v>560.1368</v>
      </c>
      <c r="N1672" s="16">
        <v>79.42</v>
      </c>
      <c r="O1672" s="17">
        <v>4.3</v>
      </c>
      <c r="P1672" s="18">
        <f t="shared" si="1"/>
        <v>527.55328</v>
      </c>
    </row>
    <row r="1673" ht="15.75" customHeight="1">
      <c r="A1673" s="19" t="s">
        <v>223</v>
      </c>
      <c r="B1673" s="19" t="s">
        <v>61</v>
      </c>
      <c r="C1673" s="20" t="s">
        <v>77</v>
      </c>
      <c r="D1673" s="14" t="str">
        <f>VLOOKUP(C1673,'State Key'!$A$2:$B$210,2,False)</f>
        <v>Uttar Pradesh</v>
      </c>
      <c r="E1673" s="21">
        <v>90.0</v>
      </c>
      <c r="F1673" s="22">
        <v>12.01</v>
      </c>
      <c r="G1673" s="22">
        <v>0.0</v>
      </c>
      <c r="H1673" s="22">
        <v>0.0</v>
      </c>
      <c r="I1673" s="22">
        <v>0.0</v>
      </c>
      <c r="J1673" s="22">
        <v>0.0</v>
      </c>
      <c r="K1673" s="22">
        <v>0.0</v>
      </c>
      <c r="L1673" s="22">
        <v>12.01</v>
      </c>
      <c r="M1673" s="22">
        <v>15.36</v>
      </c>
      <c r="N1673" s="22">
        <v>38.34</v>
      </c>
      <c r="O1673" s="24">
        <v>74.9</v>
      </c>
      <c r="P1673" s="18">
        <f t="shared" si="1"/>
        <v>12.01</v>
      </c>
    </row>
    <row r="1674" ht="15.75" customHeight="1">
      <c r="A1674" s="13" t="s">
        <v>223</v>
      </c>
      <c r="B1674" s="13" t="s">
        <v>61</v>
      </c>
      <c r="C1674" s="14" t="s">
        <v>78</v>
      </c>
      <c r="D1674" s="14" t="str">
        <f>VLOOKUP(C1674,'State Key'!$A$2:$B$210,2,False)</f>
        <v>Uttar Pradesh</v>
      </c>
      <c r="E1674" s="15">
        <v>1980.0</v>
      </c>
      <c r="F1674" s="16">
        <v>697.296</v>
      </c>
      <c r="G1674" s="16">
        <v>0.0</v>
      </c>
      <c r="H1674" s="16">
        <v>0.0</v>
      </c>
      <c r="I1674" s="16">
        <v>0.0</v>
      </c>
      <c r="J1674" s="16">
        <v>0.0</v>
      </c>
      <c r="K1674" s="16">
        <v>0.0</v>
      </c>
      <c r="L1674" s="16">
        <v>697.296</v>
      </c>
      <c r="M1674" s="16">
        <v>638.729</v>
      </c>
      <c r="N1674" s="16">
        <v>426.15</v>
      </c>
      <c r="O1674" s="24">
        <v>20.0</v>
      </c>
      <c r="P1674" s="18">
        <f t="shared" si="1"/>
        <v>697.296</v>
      </c>
    </row>
    <row r="1675" ht="15.75" customHeight="1">
      <c r="A1675" s="19" t="s">
        <v>223</v>
      </c>
      <c r="B1675" s="19" t="s">
        <v>61</v>
      </c>
      <c r="C1675" s="20" t="s">
        <v>79</v>
      </c>
      <c r="D1675" s="14" t="str">
        <f>VLOOKUP(C1675,'State Key'!$A$2:$B$210,2,False)</f>
        <v>Haryana</v>
      </c>
      <c r="E1675" s="21">
        <v>1320.0</v>
      </c>
      <c r="F1675" s="22">
        <v>499.108</v>
      </c>
      <c r="G1675" s="22">
        <v>0.0</v>
      </c>
      <c r="H1675" s="22">
        <v>0.0</v>
      </c>
      <c r="I1675" s="22">
        <v>0.0</v>
      </c>
      <c r="J1675" s="22">
        <v>11.937</v>
      </c>
      <c r="K1675" s="22">
        <v>0.0</v>
      </c>
      <c r="L1675" s="22">
        <v>511.045</v>
      </c>
      <c r="M1675" s="22">
        <v>554.674</v>
      </c>
      <c r="N1675" s="22">
        <v>190.2</v>
      </c>
      <c r="O1675" s="23">
        <v>10.3</v>
      </c>
      <c r="P1675" s="18">
        <f t="shared" si="1"/>
        <v>511.045</v>
      </c>
    </row>
    <row r="1676" ht="15.75" customHeight="1">
      <c r="A1676" s="13" t="s">
        <v>223</v>
      </c>
      <c r="B1676" s="13" t="s">
        <v>61</v>
      </c>
      <c r="C1676" s="14" t="s">
        <v>80</v>
      </c>
      <c r="D1676" s="14" t="str">
        <f>VLOOKUP(C1676,'State Key'!$A$2:$B$210,2,False)</f>
        <v>Uttar Pradesh</v>
      </c>
      <c r="E1676" s="15">
        <v>90.0</v>
      </c>
      <c r="F1676" s="16">
        <v>31.24</v>
      </c>
      <c r="G1676" s="16">
        <v>0.0</v>
      </c>
      <c r="H1676" s="16">
        <v>0.0</v>
      </c>
      <c r="I1676" s="16">
        <v>0.0</v>
      </c>
      <c r="J1676" s="16">
        <v>0.0</v>
      </c>
      <c r="K1676" s="16">
        <v>0.0</v>
      </c>
      <c r="L1676" s="16">
        <v>31.24</v>
      </c>
      <c r="M1676" s="16">
        <v>26.44</v>
      </c>
      <c r="N1676" s="16">
        <v>24.53</v>
      </c>
      <c r="O1676" s="24">
        <v>27.8</v>
      </c>
      <c r="P1676" s="18">
        <f t="shared" si="1"/>
        <v>31.24</v>
      </c>
    </row>
    <row r="1677" ht="15.75" customHeight="1">
      <c r="A1677" s="19" t="s">
        <v>223</v>
      </c>
      <c r="B1677" s="19" t="s">
        <v>61</v>
      </c>
      <c r="C1677" s="20" t="s">
        <v>81</v>
      </c>
      <c r="D1677" s="14" t="str">
        <f>VLOOKUP(C1677,'State Key'!$A$2:$B$210,2,False)</f>
        <v>Uttar Pradesh</v>
      </c>
      <c r="E1677" s="21">
        <v>1320.0</v>
      </c>
      <c r="F1677" s="22">
        <v>571.8332</v>
      </c>
      <c r="G1677" s="22">
        <v>0.0</v>
      </c>
      <c r="H1677" s="22">
        <v>0.0</v>
      </c>
      <c r="I1677" s="22">
        <v>0.0</v>
      </c>
      <c r="J1677" s="22">
        <v>0.0</v>
      </c>
      <c r="K1677" s="22">
        <v>0.0</v>
      </c>
      <c r="L1677" s="22">
        <v>571.8332</v>
      </c>
      <c r="M1677" s="22">
        <v>509.804</v>
      </c>
      <c r="N1677" s="22">
        <v>262.94</v>
      </c>
      <c r="O1677" s="24">
        <v>15.5</v>
      </c>
      <c r="P1677" s="18">
        <f t="shared" si="1"/>
        <v>571.8332</v>
      </c>
    </row>
    <row r="1678" ht="15.75" customHeight="1">
      <c r="A1678" s="13" t="s">
        <v>223</v>
      </c>
      <c r="B1678" s="13" t="s">
        <v>61</v>
      </c>
      <c r="C1678" s="14" t="s">
        <v>82</v>
      </c>
      <c r="D1678" s="14" t="str">
        <f>VLOOKUP(C1678,'State Key'!$A$2:$B$210,2,False)</f>
        <v>Uttar Pradesh</v>
      </c>
      <c r="E1678" s="15">
        <v>1000.0</v>
      </c>
      <c r="F1678" s="16">
        <v>348.106</v>
      </c>
      <c r="G1678" s="16">
        <v>0.0</v>
      </c>
      <c r="H1678" s="16">
        <v>0.0</v>
      </c>
      <c r="I1678" s="16">
        <v>0.0</v>
      </c>
      <c r="J1678" s="16">
        <v>0.0</v>
      </c>
      <c r="K1678" s="16">
        <v>0.0</v>
      </c>
      <c r="L1678" s="16">
        <v>348.106</v>
      </c>
      <c r="M1678" s="16">
        <v>341.428</v>
      </c>
      <c r="N1678" s="16">
        <v>119.83</v>
      </c>
      <c r="O1678" s="23">
        <v>10.5</v>
      </c>
      <c r="P1678" s="18">
        <f t="shared" si="1"/>
        <v>348.106</v>
      </c>
    </row>
    <row r="1679" ht="15.75" customHeight="1">
      <c r="A1679" s="19" t="s">
        <v>223</v>
      </c>
      <c r="B1679" s="19" t="s">
        <v>61</v>
      </c>
      <c r="C1679" s="20" t="s">
        <v>83</v>
      </c>
      <c r="D1679" s="14" t="str">
        <f>VLOOKUP(C1679,'State Key'!$A$2:$B$210,2,False)</f>
        <v>Haryana</v>
      </c>
      <c r="E1679" s="21">
        <v>710.0</v>
      </c>
      <c r="F1679" s="22">
        <v>229.745</v>
      </c>
      <c r="G1679" s="22">
        <v>0.0</v>
      </c>
      <c r="H1679" s="22">
        <v>0.0</v>
      </c>
      <c r="I1679" s="22">
        <v>0.0</v>
      </c>
      <c r="J1679" s="22">
        <v>0.0</v>
      </c>
      <c r="K1679" s="22">
        <v>0.0</v>
      </c>
      <c r="L1679" s="22">
        <v>229.745</v>
      </c>
      <c r="M1679" s="22">
        <v>308.404</v>
      </c>
      <c r="N1679" s="22">
        <v>223.69</v>
      </c>
      <c r="O1679" s="24">
        <v>21.8</v>
      </c>
      <c r="P1679" s="18">
        <f t="shared" si="1"/>
        <v>229.745</v>
      </c>
    </row>
    <row r="1680" ht="15.75" customHeight="1">
      <c r="A1680" s="13" t="s">
        <v>223</v>
      </c>
      <c r="B1680" s="13" t="s">
        <v>61</v>
      </c>
      <c r="C1680" s="14" t="s">
        <v>84</v>
      </c>
      <c r="D1680" s="14" t="str">
        <f>VLOOKUP(C1680,'State Key'!$A$2:$B$210,2,False)</f>
        <v>Uttar Pradesh</v>
      </c>
      <c r="E1680" s="15">
        <v>920.0</v>
      </c>
      <c r="F1680" s="16">
        <v>289.31</v>
      </c>
      <c r="G1680" s="16">
        <v>0.0</v>
      </c>
      <c r="H1680" s="16">
        <v>0.0</v>
      </c>
      <c r="I1680" s="16">
        <v>0.0</v>
      </c>
      <c r="J1680" s="16">
        <v>0.0</v>
      </c>
      <c r="K1680" s="16">
        <v>0.0</v>
      </c>
      <c r="L1680" s="16">
        <v>289.31</v>
      </c>
      <c r="M1680" s="16">
        <v>248.719</v>
      </c>
      <c r="N1680" s="16">
        <v>252.845</v>
      </c>
      <c r="O1680" s="24">
        <v>30.5</v>
      </c>
      <c r="P1680" s="18">
        <f t="shared" si="1"/>
        <v>289.31</v>
      </c>
    </row>
    <row r="1681" ht="15.75" customHeight="1">
      <c r="A1681" s="19" t="s">
        <v>223</v>
      </c>
      <c r="B1681" s="19" t="s">
        <v>61</v>
      </c>
      <c r="C1681" s="20" t="s">
        <v>85</v>
      </c>
      <c r="D1681" s="14" t="str">
        <f>VLOOKUP(C1681,'State Key'!$A$2:$B$210,2,False)</f>
        <v>Uttar Pradesh</v>
      </c>
      <c r="E1681" s="21">
        <v>1980.0</v>
      </c>
      <c r="F1681" s="22">
        <v>758.881</v>
      </c>
      <c r="G1681" s="22">
        <v>0.0</v>
      </c>
      <c r="H1681" s="22">
        <v>0.0</v>
      </c>
      <c r="I1681" s="22">
        <v>0.0</v>
      </c>
      <c r="J1681" s="22">
        <v>0.0</v>
      </c>
      <c r="K1681" s="22">
        <v>0.0</v>
      </c>
      <c r="L1681" s="22">
        <v>758.881</v>
      </c>
      <c r="M1681" s="22">
        <v>674.2271</v>
      </c>
      <c r="N1681" s="22">
        <v>434.8299</v>
      </c>
      <c r="O1681" s="24">
        <v>19.3</v>
      </c>
      <c r="P1681" s="18">
        <f t="shared" si="1"/>
        <v>758.881</v>
      </c>
    </row>
    <row r="1682" ht="15.75" customHeight="1">
      <c r="A1682" s="13" t="s">
        <v>223</v>
      </c>
      <c r="B1682" s="13" t="s">
        <v>61</v>
      </c>
      <c r="C1682" s="14" t="s">
        <v>86</v>
      </c>
      <c r="D1682" s="14" t="str">
        <f>VLOOKUP(C1682,'State Key'!$A$2:$B$210,2,False)</f>
        <v>Haryana</v>
      </c>
      <c r="E1682" s="15">
        <v>1200.0</v>
      </c>
      <c r="F1682" s="16">
        <v>304.146</v>
      </c>
      <c r="G1682" s="16">
        <v>0.0</v>
      </c>
      <c r="H1682" s="16">
        <v>0.0</v>
      </c>
      <c r="I1682" s="16">
        <v>0.0</v>
      </c>
      <c r="J1682" s="16">
        <v>0.0</v>
      </c>
      <c r="K1682" s="16">
        <v>0.0</v>
      </c>
      <c r="L1682" s="16">
        <v>304.146</v>
      </c>
      <c r="M1682" s="16">
        <v>252.518</v>
      </c>
      <c r="N1682" s="16">
        <v>302.374</v>
      </c>
      <c r="O1682" s="24">
        <v>35.9</v>
      </c>
      <c r="P1682" s="18">
        <f t="shared" si="1"/>
        <v>304.146</v>
      </c>
    </row>
    <row r="1683" ht="15.75" customHeight="1">
      <c r="A1683" s="19" t="s">
        <v>223</v>
      </c>
      <c r="B1683" s="19" t="s">
        <v>61</v>
      </c>
      <c r="C1683" s="20" t="s">
        <v>87</v>
      </c>
      <c r="D1683" s="14" t="str">
        <f>VLOOKUP(C1683,'State Key'!$A$2:$B$210,2,False)</f>
        <v>Punjab</v>
      </c>
      <c r="E1683" s="21">
        <v>1400.0</v>
      </c>
      <c r="F1683" s="22">
        <v>499.9509</v>
      </c>
      <c r="G1683" s="22">
        <v>0.0</v>
      </c>
      <c r="H1683" s="22">
        <v>0.0</v>
      </c>
      <c r="I1683" s="22">
        <v>0.0</v>
      </c>
      <c r="J1683" s="22">
        <v>0.0</v>
      </c>
      <c r="K1683" s="22">
        <v>0.0</v>
      </c>
      <c r="L1683" s="22">
        <v>499.9509</v>
      </c>
      <c r="M1683" s="22">
        <v>554.261</v>
      </c>
      <c r="N1683" s="22">
        <v>283.72</v>
      </c>
      <c r="O1683" s="24">
        <v>15.4</v>
      </c>
      <c r="P1683" s="18">
        <f t="shared" si="1"/>
        <v>499.9509</v>
      </c>
    </row>
    <row r="1684" ht="15.75" customHeight="1">
      <c r="A1684" s="13" t="s">
        <v>223</v>
      </c>
      <c r="B1684" s="13" t="s">
        <v>61</v>
      </c>
      <c r="C1684" s="14" t="s">
        <v>88</v>
      </c>
      <c r="D1684" s="14" t="str">
        <f>VLOOKUP(C1684,'State Key'!$A$2:$B$210,2,False)</f>
        <v>Uttar Pradesh</v>
      </c>
      <c r="E1684" s="15">
        <v>3000.0</v>
      </c>
      <c r="F1684" s="16">
        <v>1152.72</v>
      </c>
      <c r="G1684" s="16">
        <v>0.0</v>
      </c>
      <c r="H1684" s="16">
        <v>0.0</v>
      </c>
      <c r="I1684" s="16">
        <v>0.0</v>
      </c>
      <c r="J1684" s="16">
        <v>0.0</v>
      </c>
      <c r="K1684" s="16">
        <v>0.0</v>
      </c>
      <c r="L1684" s="16">
        <v>1152.72</v>
      </c>
      <c r="M1684" s="16">
        <v>1107.112</v>
      </c>
      <c r="N1684" s="16">
        <v>1130.465</v>
      </c>
      <c r="O1684" s="24">
        <v>30.6</v>
      </c>
      <c r="P1684" s="18">
        <f t="shared" si="1"/>
        <v>1152.72</v>
      </c>
    </row>
    <row r="1685" ht="15.75" customHeight="1">
      <c r="A1685" s="19" t="s">
        <v>223</v>
      </c>
      <c r="B1685" s="19" t="s">
        <v>61</v>
      </c>
      <c r="C1685" s="20" t="s">
        <v>89</v>
      </c>
      <c r="D1685" s="14" t="str">
        <f>VLOOKUP(C1685,'State Key'!$A$2:$B$210,2,False)</f>
        <v>Punjab</v>
      </c>
      <c r="E1685" s="21">
        <v>840.0</v>
      </c>
      <c r="F1685" s="22">
        <v>120.47879</v>
      </c>
      <c r="G1685" s="22">
        <v>0.0</v>
      </c>
      <c r="H1685" s="22">
        <v>154.43124</v>
      </c>
      <c r="I1685" s="22">
        <v>0.0</v>
      </c>
      <c r="J1685" s="22">
        <v>0.0</v>
      </c>
      <c r="K1685" s="22">
        <v>0.0</v>
      </c>
      <c r="L1685" s="22">
        <v>274.91003</v>
      </c>
      <c r="M1685" s="22">
        <v>265.419</v>
      </c>
      <c r="N1685" s="22">
        <v>315.36</v>
      </c>
      <c r="O1685" s="24">
        <v>35.6</v>
      </c>
      <c r="P1685" s="18">
        <f t="shared" si="1"/>
        <v>274.91003</v>
      </c>
    </row>
    <row r="1686" ht="15.75" customHeight="1">
      <c r="A1686" s="13" t="s">
        <v>223</v>
      </c>
      <c r="B1686" s="13" t="s">
        <v>61</v>
      </c>
      <c r="C1686" s="14" t="s">
        <v>90</v>
      </c>
      <c r="D1686" s="14" t="str">
        <f>VLOOKUP(C1686,'State Key'!$A$2:$B$210,2,False)</f>
        <v>Uttar Pradesh</v>
      </c>
      <c r="E1686" s="15">
        <v>1200.0</v>
      </c>
      <c r="F1686" s="16">
        <v>467.034</v>
      </c>
      <c r="G1686" s="16">
        <v>0.0</v>
      </c>
      <c r="H1686" s="16">
        <v>0.0</v>
      </c>
      <c r="I1686" s="16">
        <v>0.0</v>
      </c>
      <c r="J1686" s="16">
        <v>0.0</v>
      </c>
      <c r="K1686" s="16">
        <v>0.0</v>
      </c>
      <c r="L1686" s="16">
        <v>467.034</v>
      </c>
      <c r="M1686" s="16">
        <v>423.631</v>
      </c>
      <c r="N1686" s="16">
        <v>108.06</v>
      </c>
      <c r="O1686" s="23">
        <v>7.7</v>
      </c>
      <c r="P1686" s="18">
        <f t="shared" si="1"/>
        <v>467.034</v>
      </c>
    </row>
    <row r="1687" ht="15.75" customHeight="1">
      <c r="A1687" s="19" t="s">
        <v>223</v>
      </c>
      <c r="B1687" s="19" t="s">
        <v>61</v>
      </c>
      <c r="C1687" s="20" t="s">
        <v>219</v>
      </c>
      <c r="D1687" s="14" t="str">
        <f>VLOOKUP(C1687,'State Key'!$A$2:$B$210,2,False)</f>
        <v>Rajasthan</v>
      </c>
      <c r="E1687" s="21">
        <v>300.0</v>
      </c>
      <c r="F1687" s="22">
        <v>0.0</v>
      </c>
      <c r="G1687" s="22">
        <v>0.0</v>
      </c>
      <c r="H1687" s="22">
        <v>0.0</v>
      </c>
      <c r="I1687" s="22">
        <v>0.0</v>
      </c>
      <c r="J1687" s="22">
        <v>0.0</v>
      </c>
      <c r="K1687" s="22">
        <v>0.0</v>
      </c>
      <c r="L1687" s="22">
        <v>0.0</v>
      </c>
      <c r="M1687" s="22">
        <v>0.0</v>
      </c>
      <c r="N1687" s="22">
        <v>27.8</v>
      </c>
      <c r="O1687" s="19" t="s">
        <v>58</v>
      </c>
      <c r="P1687" s="18">
        <f t="shared" si="1"/>
        <v>0</v>
      </c>
    </row>
    <row r="1688" ht="15.75" customHeight="1">
      <c r="A1688" s="13" t="s">
        <v>223</v>
      </c>
      <c r="B1688" s="13" t="s">
        <v>61</v>
      </c>
      <c r="C1688" s="14" t="s">
        <v>91</v>
      </c>
      <c r="D1688" s="14" t="str">
        <f>VLOOKUP(C1688,'State Key'!$A$2:$B$210,2,False)</f>
        <v>Uttar Pradesh</v>
      </c>
      <c r="E1688" s="15">
        <v>2000.0</v>
      </c>
      <c r="F1688" s="16">
        <v>785.4</v>
      </c>
      <c r="G1688" s="16">
        <v>0.0</v>
      </c>
      <c r="H1688" s="16">
        <v>0.0</v>
      </c>
      <c r="I1688" s="16">
        <v>0.0</v>
      </c>
      <c r="J1688" s="16">
        <v>0.0</v>
      </c>
      <c r="K1688" s="16">
        <v>0.0</v>
      </c>
      <c r="L1688" s="16">
        <v>785.4</v>
      </c>
      <c r="M1688" s="16">
        <v>841.172</v>
      </c>
      <c r="N1688" s="16">
        <v>342.86</v>
      </c>
      <c r="O1688" s="23">
        <v>12.2</v>
      </c>
      <c r="P1688" s="18">
        <f t="shared" si="1"/>
        <v>785.4</v>
      </c>
    </row>
    <row r="1689" ht="15.75" customHeight="1">
      <c r="A1689" s="19" t="s">
        <v>223</v>
      </c>
      <c r="B1689" s="19" t="s">
        <v>61</v>
      </c>
      <c r="C1689" s="20" t="s">
        <v>92</v>
      </c>
      <c r="D1689" s="14" t="str">
        <f>VLOOKUP(C1689,'State Key'!$A$2:$B$210,2,False)</f>
        <v>Rajasthan</v>
      </c>
      <c r="E1689" s="21">
        <v>1320.0</v>
      </c>
      <c r="F1689" s="22">
        <v>163.93346</v>
      </c>
      <c r="G1689" s="22">
        <v>0.0</v>
      </c>
      <c r="H1689" s="22">
        <v>0.0</v>
      </c>
      <c r="I1689" s="22">
        <v>0.0</v>
      </c>
      <c r="J1689" s="22">
        <v>0.0</v>
      </c>
      <c r="K1689" s="22">
        <v>0.0</v>
      </c>
      <c r="L1689" s="22">
        <v>163.93346</v>
      </c>
      <c r="M1689" s="22">
        <v>214.562</v>
      </c>
      <c r="N1689" s="22">
        <v>74.37</v>
      </c>
      <c r="O1689" s="23">
        <v>10.4</v>
      </c>
      <c r="P1689" s="18">
        <f t="shared" si="1"/>
        <v>163.93346</v>
      </c>
    </row>
    <row r="1690" ht="15.75" customHeight="1">
      <c r="A1690" s="13" t="s">
        <v>223</v>
      </c>
      <c r="B1690" s="13" t="s">
        <v>61</v>
      </c>
      <c r="C1690" s="14" t="s">
        <v>93</v>
      </c>
      <c r="D1690" s="14" t="str">
        <f>VLOOKUP(C1690,'State Key'!$A$2:$B$210,2,False)</f>
        <v>Rajasthan</v>
      </c>
      <c r="E1690" s="15">
        <v>1500.0</v>
      </c>
      <c r="F1690" s="16">
        <v>322.806</v>
      </c>
      <c r="G1690" s="16">
        <v>0.0</v>
      </c>
      <c r="H1690" s="16">
        <v>0.0</v>
      </c>
      <c r="I1690" s="16">
        <v>0.0</v>
      </c>
      <c r="J1690" s="16">
        <v>0.0</v>
      </c>
      <c r="K1690" s="16">
        <v>0.0</v>
      </c>
      <c r="L1690" s="16">
        <v>322.806</v>
      </c>
      <c r="M1690" s="16">
        <v>54.254</v>
      </c>
      <c r="N1690" s="16">
        <v>360.08</v>
      </c>
      <c r="O1690" s="24">
        <v>199.1</v>
      </c>
      <c r="P1690" s="18">
        <f t="shared" si="1"/>
        <v>322.806</v>
      </c>
    </row>
    <row r="1691" ht="15.75" customHeight="1">
      <c r="A1691" s="19" t="s">
        <v>223</v>
      </c>
      <c r="B1691" s="19" t="s">
        <v>61</v>
      </c>
      <c r="C1691" s="20" t="s">
        <v>94</v>
      </c>
      <c r="D1691" s="14" t="str">
        <f>VLOOKUP(C1691,'State Key'!$A$2:$B$210,2,False)</f>
        <v>Punjab</v>
      </c>
      <c r="E1691" s="21">
        <v>1980.0</v>
      </c>
      <c r="F1691" s="22">
        <v>568.499</v>
      </c>
      <c r="G1691" s="22">
        <v>0.0</v>
      </c>
      <c r="H1691" s="22">
        <v>0.0</v>
      </c>
      <c r="I1691" s="22">
        <v>0.0</v>
      </c>
      <c r="J1691" s="22">
        <v>0.0</v>
      </c>
      <c r="K1691" s="22">
        <v>0.0</v>
      </c>
      <c r="L1691" s="22">
        <v>568.499</v>
      </c>
      <c r="M1691" s="22">
        <v>571.708</v>
      </c>
      <c r="N1691" s="22">
        <v>111.36</v>
      </c>
      <c r="O1691" s="17">
        <v>5.8</v>
      </c>
      <c r="P1691" s="18">
        <f t="shared" si="1"/>
        <v>568.499</v>
      </c>
    </row>
    <row r="1692" ht="15.75" customHeight="1">
      <c r="A1692" s="13" t="s">
        <v>223</v>
      </c>
      <c r="B1692" s="13" t="s">
        <v>61</v>
      </c>
      <c r="C1692" s="14" t="s">
        <v>95</v>
      </c>
      <c r="D1692" s="14" t="str">
        <f>VLOOKUP(C1692,'State Key'!$A$2:$B$210,2,False)</f>
        <v>Uttar Pradesh</v>
      </c>
      <c r="E1692" s="15">
        <v>1760.0</v>
      </c>
      <c r="F1692" s="16">
        <v>437.24</v>
      </c>
      <c r="G1692" s="16">
        <v>0.0</v>
      </c>
      <c r="H1692" s="16">
        <v>195.11</v>
      </c>
      <c r="I1692" s="16">
        <v>0.0</v>
      </c>
      <c r="J1692" s="16">
        <v>105.83</v>
      </c>
      <c r="K1692" s="16">
        <v>0.0</v>
      </c>
      <c r="L1692" s="16">
        <v>738.18</v>
      </c>
      <c r="M1692" s="16">
        <v>504.112</v>
      </c>
      <c r="N1692" s="16">
        <v>508.633</v>
      </c>
      <c r="O1692" s="24">
        <v>30.3</v>
      </c>
      <c r="P1692" s="18">
        <f t="shared" si="1"/>
        <v>738.18</v>
      </c>
    </row>
    <row r="1693" ht="15.75" customHeight="1">
      <c r="A1693" s="19" t="s">
        <v>223</v>
      </c>
      <c r="B1693" s="19" t="s">
        <v>61</v>
      </c>
      <c r="C1693" s="20" t="s">
        <v>96</v>
      </c>
      <c r="D1693" s="14" t="str">
        <f>VLOOKUP(C1693,'State Key'!$A$2:$B$210,2,False)</f>
        <v>Uttar Pradesh</v>
      </c>
      <c r="E1693" s="21">
        <v>1550.0</v>
      </c>
      <c r="F1693" s="22">
        <v>364.71</v>
      </c>
      <c r="G1693" s="22">
        <v>0.0</v>
      </c>
      <c r="H1693" s="22">
        <v>126.58</v>
      </c>
      <c r="I1693" s="22">
        <v>0.0</v>
      </c>
      <c r="J1693" s="22">
        <v>51.321</v>
      </c>
      <c r="K1693" s="22">
        <v>0.0</v>
      </c>
      <c r="L1693" s="22">
        <v>542.611</v>
      </c>
      <c r="M1693" s="22">
        <v>446.549</v>
      </c>
      <c r="N1693" s="22">
        <v>320.535</v>
      </c>
      <c r="O1693" s="24">
        <v>21.5</v>
      </c>
      <c r="P1693" s="18">
        <f t="shared" si="1"/>
        <v>542.611</v>
      </c>
    </row>
    <row r="1694" ht="15.75" customHeight="1">
      <c r="A1694" s="13" t="s">
        <v>223</v>
      </c>
      <c r="B1694" s="13" t="s">
        <v>61</v>
      </c>
      <c r="C1694" s="14" t="s">
        <v>97</v>
      </c>
      <c r="D1694" s="14" t="str">
        <f>VLOOKUP(C1694,'State Key'!$A$2:$B$210,2,False)</f>
        <v>Uttar Pradesh</v>
      </c>
      <c r="E1694" s="15">
        <v>90.0</v>
      </c>
      <c r="F1694" s="16">
        <v>11.64</v>
      </c>
      <c r="G1694" s="16">
        <v>0.0</v>
      </c>
      <c r="H1694" s="16">
        <v>0.0</v>
      </c>
      <c r="I1694" s="16">
        <v>0.0</v>
      </c>
      <c r="J1694" s="16">
        <v>0.0</v>
      </c>
      <c r="K1694" s="16">
        <v>0.0</v>
      </c>
      <c r="L1694" s="16">
        <v>11.64</v>
      </c>
      <c r="M1694" s="16">
        <v>21.34</v>
      </c>
      <c r="N1694" s="16">
        <v>41.47</v>
      </c>
      <c r="O1694" s="24">
        <v>58.3</v>
      </c>
      <c r="P1694" s="18">
        <f t="shared" si="1"/>
        <v>11.64</v>
      </c>
    </row>
    <row r="1695" ht="15.75" customHeight="1">
      <c r="A1695" s="19" t="s">
        <v>223</v>
      </c>
      <c r="B1695" s="19" t="s">
        <v>61</v>
      </c>
      <c r="C1695" s="20" t="s">
        <v>98</v>
      </c>
      <c r="D1695" s="14" t="str">
        <f>VLOOKUP(C1695,'State Key'!$A$2:$B$210,2,False)</f>
        <v>Haryana</v>
      </c>
      <c r="E1695" s="21">
        <v>600.0</v>
      </c>
      <c r="F1695" s="22">
        <v>235.561</v>
      </c>
      <c r="G1695" s="22">
        <v>0.0</v>
      </c>
      <c r="H1695" s="22">
        <v>0.0</v>
      </c>
      <c r="I1695" s="22">
        <v>0.0</v>
      </c>
      <c r="J1695" s="22">
        <v>0.0</v>
      </c>
      <c r="K1695" s="22">
        <v>0.0</v>
      </c>
      <c r="L1695" s="22">
        <v>235.561</v>
      </c>
      <c r="M1695" s="22">
        <v>260.187</v>
      </c>
      <c r="N1695" s="22">
        <v>149.9</v>
      </c>
      <c r="O1695" s="24">
        <v>17.3</v>
      </c>
      <c r="P1695" s="18">
        <f t="shared" si="1"/>
        <v>235.561</v>
      </c>
    </row>
    <row r="1696" ht="15.75" customHeight="1">
      <c r="A1696" s="13" t="s">
        <v>223</v>
      </c>
      <c r="B1696" s="13" t="s">
        <v>99</v>
      </c>
      <c r="C1696" s="14" t="s">
        <v>210</v>
      </c>
      <c r="D1696" s="14" t="str">
        <f>VLOOKUP(C1696,'State Key'!$A$2:$B$210,2,False)</f>
        <v>Karnataka</v>
      </c>
      <c r="E1696" s="15">
        <v>1200.0</v>
      </c>
      <c r="F1696" s="16">
        <v>0.0</v>
      </c>
      <c r="G1696" s="16">
        <v>0.0</v>
      </c>
      <c r="H1696" s="16">
        <v>0.0</v>
      </c>
      <c r="I1696" s="16">
        <v>0.0</v>
      </c>
      <c r="J1696" s="16">
        <v>300.519</v>
      </c>
      <c r="K1696" s="16">
        <v>0.0</v>
      </c>
      <c r="L1696" s="16">
        <v>300.519</v>
      </c>
      <c r="M1696" s="16">
        <v>311.867</v>
      </c>
      <c r="N1696" s="16">
        <v>48.14</v>
      </c>
      <c r="O1696" s="17">
        <v>4.6</v>
      </c>
      <c r="P1696" s="18">
        <f t="shared" si="1"/>
        <v>300.519</v>
      </c>
    </row>
    <row r="1697" ht="15.75" customHeight="1">
      <c r="A1697" s="19" t="s">
        <v>223</v>
      </c>
      <c r="B1697" s="19" t="s">
        <v>99</v>
      </c>
      <c r="C1697" s="20" t="s">
        <v>100</v>
      </c>
      <c r="D1697" s="14" t="str">
        <f>VLOOKUP(C1697,'State Key'!$A$2:$B$210,2,False)</f>
        <v>Karnataka</v>
      </c>
      <c r="E1697" s="21">
        <v>1700.0</v>
      </c>
      <c r="F1697" s="22">
        <v>194.57527</v>
      </c>
      <c r="G1697" s="22">
        <v>178.40407</v>
      </c>
      <c r="H1697" s="22">
        <v>228.45509</v>
      </c>
      <c r="I1697" s="22">
        <v>0.0</v>
      </c>
      <c r="J1697" s="22">
        <v>0.0</v>
      </c>
      <c r="K1697" s="22">
        <v>0.0</v>
      </c>
      <c r="L1697" s="22">
        <v>601.43443</v>
      </c>
      <c r="M1697" s="22">
        <v>556.862</v>
      </c>
      <c r="N1697" s="22">
        <v>130.7791</v>
      </c>
      <c r="O1697" s="23">
        <v>7.0</v>
      </c>
      <c r="P1697" s="18">
        <f t="shared" si="1"/>
        <v>601.43443</v>
      </c>
    </row>
    <row r="1698" ht="15.75" customHeight="1">
      <c r="A1698" s="13" t="s">
        <v>223</v>
      </c>
      <c r="B1698" s="13" t="s">
        <v>99</v>
      </c>
      <c r="C1698" s="14" t="s">
        <v>101</v>
      </c>
      <c r="D1698" s="14" t="str">
        <f>VLOOKUP(C1698,'State Key'!$A$2:$B$210,2,False)</f>
        <v>Telangana</v>
      </c>
      <c r="E1698" s="15">
        <v>1080.0</v>
      </c>
      <c r="F1698" s="16">
        <v>0.0</v>
      </c>
      <c r="G1698" s="16">
        <v>406.281</v>
      </c>
      <c r="H1698" s="16">
        <v>0.0</v>
      </c>
      <c r="I1698" s="16">
        <v>0.0</v>
      </c>
      <c r="J1698" s="16">
        <v>0.0</v>
      </c>
      <c r="K1698" s="16">
        <v>0.0</v>
      </c>
      <c r="L1698" s="16">
        <v>406.281</v>
      </c>
      <c r="M1698" s="16">
        <v>462.164</v>
      </c>
      <c r="N1698" s="16">
        <v>89.798</v>
      </c>
      <c r="O1698" s="17">
        <v>5.8</v>
      </c>
      <c r="P1698" s="18">
        <f t="shared" si="1"/>
        <v>406.281</v>
      </c>
    </row>
    <row r="1699" ht="15.75" customHeight="1">
      <c r="A1699" s="19" t="s">
        <v>223</v>
      </c>
      <c r="B1699" s="19" t="s">
        <v>99</v>
      </c>
      <c r="C1699" s="20" t="s">
        <v>102</v>
      </c>
      <c r="D1699" s="14" t="str">
        <f>VLOOKUP(C1699,'State Key'!$A$2:$B$210,2,False)</f>
        <v>Andhra Pradesh</v>
      </c>
      <c r="E1699" s="21">
        <v>2400.0</v>
      </c>
      <c r="F1699" s="22">
        <v>386.16072</v>
      </c>
      <c r="G1699" s="22">
        <v>0.0</v>
      </c>
      <c r="H1699" s="22">
        <v>0.0</v>
      </c>
      <c r="I1699" s="22">
        <v>0.0</v>
      </c>
      <c r="J1699" s="22">
        <v>0.0</v>
      </c>
      <c r="K1699" s="22">
        <v>0.0</v>
      </c>
      <c r="L1699" s="22">
        <v>386.16072</v>
      </c>
      <c r="M1699" s="22">
        <v>353.989</v>
      </c>
      <c r="N1699" s="22">
        <v>120.46</v>
      </c>
      <c r="O1699" s="23">
        <v>10.2</v>
      </c>
      <c r="P1699" s="18">
        <f t="shared" si="1"/>
        <v>386.16072</v>
      </c>
    </row>
    <row r="1700" ht="15.75" customHeight="1">
      <c r="A1700" s="13" t="s">
        <v>223</v>
      </c>
      <c r="B1700" s="13" t="s">
        <v>99</v>
      </c>
      <c r="C1700" s="14" t="s">
        <v>103</v>
      </c>
      <c r="D1700" s="14" t="str">
        <f>VLOOKUP(C1700,'State Key'!$A$2:$B$210,2,False)</f>
        <v>Andhra Pradesh</v>
      </c>
      <c r="E1700" s="15">
        <v>2560.0</v>
      </c>
      <c r="F1700" s="16">
        <v>646.987</v>
      </c>
      <c r="G1700" s="16">
        <v>330.506</v>
      </c>
      <c r="H1700" s="16">
        <v>0.0</v>
      </c>
      <c r="I1700" s="16">
        <v>0.0</v>
      </c>
      <c r="J1700" s="16">
        <v>0.0</v>
      </c>
      <c r="K1700" s="16">
        <v>0.0</v>
      </c>
      <c r="L1700" s="16">
        <v>977.493</v>
      </c>
      <c r="M1700" s="16">
        <v>1005.887</v>
      </c>
      <c r="N1700" s="16">
        <v>95.48</v>
      </c>
      <c r="O1700" s="17">
        <v>2.8</v>
      </c>
      <c r="P1700" s="18">
        <f t="shared" si="1"/>
        <v>977.493</v>
      </c>
    </row>
    <row r="1701" ht="15.75" customHeight="1">
      <c r="A1701" s="19" t="s">
        <v>223</v>
      </c>
      <c r="B1701" s="19" t="s">
        <v>99</v>
      </c>
      <c r="C1701" s="20" t="s">
        <v>104</v>
      </c>
      <c r="D1701" s="14" t="str">
        <f>VLOOKUP(C1701,'State Key'!$A$2:$B$210,2,False)</f>
        <v>Tamil Nadu</v>
      </c>
      <c r="E1701" s="21">
        <v>1200.0</v>
      </c>
      <c r="F1701" s="22">
        <v>0.0</v>
      </c>
      <c r="G1701" s="22">
        <v>0.0</v>
      </c>
      <c r="H1701" s="22">
        <v>0.0</v>
      </c>
      <c r="I1701" s="22">
        <v>0.0</v>
      </c>
      <c r="J1701" s="22">
        <v>434.069</v>
      </c>
      <c r="K1701" s="22">
        <v>0.0</v>
      </c>
      <c r="L1701" s="22">
        <v>434.069</v>
      </c>
      <c r="M1701" s="22">
        <v>431.422</v>
      </c>
      <c r="N1701" s="22">
        <v>122.44</v>
      </c>
      <c r="O1701" s="23">
        <v>8.5</v>
      </c>
      <c r="P1701" s="18">
        <f t="shared" si="1"/>
        <v>434.069</v>
      </c>
    </row>
    <row r="1702" ht="15.75" customHeight="1">
      <c r="A1702" s="13" t="s">
        <v>223</v>
      </c>
      <c r="B1702" s="13" t="s">
        <v>99</v>
      </c>
      <c r="C1702" s="14" t="s">
        <v>105</v>
      </c>
      <c r="D1702" s="14" t="str">
        <f>VLOOKUP(C1702,'State Key'!$A$2:$B$210,2,False)</f>
        <v>Telangana</v>
      </c>
      <c r="E1702" s="15">
        <v>1100.0</v>
      </c>
      <c r="F1702" s="16">
        <v>0.0</v>
      </c>
      <c r="G1702" s="16">
        <v>419.652</v>
      </c>
      <c r="H1702" s="16">
        <v>0.0</v>
      </c>
      <c r="I1702" s="16">
        <v>0.0</v>
      </c>
      <c r="J1702" s="16">
        <v>0.0</v>
      </c>
      <c r="K1702" s="16">
        <v>0.0</v>
      </c>
      <c r="L1702" s="16">
        <v>419.652</v>
      </c>
      <c r="M1702" s="16">
        <v>410.27</v>
      </c>
      <c r="N1702" s="16">
        <v>319.063</v>
      </c>
      <c r="O1702" s="24">
        <v>23.3</v>
      </c>
      <c r="P1702" s="18">
        <f t="shared" si="1"/>
        <v>419.652</v>
      </c>
    </row>
    <row r="1703" ht="15.75" customHeight="1">
      <c r="A1703" s="19" t="s">
        <v>223</v>
      </c>
      <c r="B1703" s="19" t="s">
        <v>99</v>
      </c>
      <c r="C1703" s="20" t="s">
        <v>106</v>
      </c>
      <c r="D1703" s="14" t="str">
        <f>VLOOKUP(C1703,'State Key'!$A$2:$B$210,2,False)</f>
        <v>Telangana</v>
      </c>
      <c r="E1703" s="21">
        <v>1000.0</v>
      </c>
      <c r="F1703" s="22">
        <v>0.0</v>
      </c>
      <c r="G1703" s="22">
        <v>392.924</v>
      </c>
      <c r="H1703" s="22">
        <v>0.0</v>
      </c>
      <c r="I1703" s="22">
        <v>0.0</v>
      </c>
      <c r="J1703" s="22">
        <v>0.0</v>
      </c>
      <c r="K1703" s="22">
        <v>0.0</v>
      </c>
      <c r="L1703" s="22">
        <v>392.924</v>
      </c>
      <c r="M1703" s="22">
        <v>410.05</v>
      </c>
      <c r="N1703" s="22">
        <v>143.463</v>
      </c>
      <c r="O1703" s="23">
        <v>10.5</v>
      </c>
      <c r="P1703" s="18">
        <f t="shared" si="1"/>
        <v>392.924</v>
      </c>
    </row>
    <row r="1704" ht="15.75" customHeight="1">
      <c r="A1704" s="13" t="s">
        <v>223</v>
      </c>
      <c r="B1704" s="13" t="s">
        <v>99</v>
      </c>
      <c r="C1704" s="14" t="s">
        <v>107</v>
      </c>
      <c r="D1704" s="14" t="str">
        <f>VLOOKUP(C1704,'State Key'!$A$2:$B$210,2,False)</f>
        <v>Telangana</v>
      </c>
      <c r="E1704" s="15">
        <v>800.0</v>
      </c>
      <c r="F1704" s="16">
        <v>0.0</v>
      </c>
      <c r="G1704" s="16">
        <v>247.036</v>
      </c>
      <c r="H1704" s="16">
        <v>0.0</v>
      </c>
      <c r="I1704" s="16">
        <v>0.0</v>
      </c>
      <c r="J1704" s="16">
        <v>0.0</v>
      </c>
      <c r="K1704" s="16">
        <v>0.0</v>
      </c>
      <c r="L1704" s="16">
        <v>247.036</v>
      </c>
      <c r="M1704" s="16">
        <v>249.947</v>
      </c>
      <c r="N1704" s="16">
        <v>90.666</v>
      </c>
      <c r="O1704" s="23">
        <v>10.9</v>
      </c>
      <c r="P1704" s="18">
        <f t="shared" si="1"/>
        <v>247.036</v>
      </c>
    </row>
    <row r="1705" ht="15.75" customHeight="1">
      <c r="A1705" s="19" t="s">
        <v>223</v>
      </c>
      <c r="B1705" s="19" t="s">
        <v>99</v>
      </c>
      <c r="C1705" s="20" t="s">
        <v>108</v>
      </c>
      <c r="D1705" s="14" t="str">
        <f>VLOOKUP(C1705,'State Key'!$A$2:$B$210,2,False)</f>
        <v>Karnataka</v>
      </c>
      <c r="E1705" s="21">
        <v>2400.0</v>
      </c>
      <c r="F1705" s="22">
        <v>224.5</v>
      </c>
      <c r="G1705" s="22">
        <v>390.74</v>
      </c>
      <c r="H1705" s="22">
        <v>92.11</v>
      </c>
      <c r="I1705" s="22">
        <v>0.0</v>
      </c>
      <c r="J1705" s="22">
        <v>109.556</v>
      </c>
      <c r="K1705" s="22">
        <v>0.0</v>
      </c>
      <c r="L1705" s="22">
        <v>816.906</v>
      </c>
      <c r="M1705" s="22">
        <v>732.255</v>
      </c>
      <c r="N1705" s="22">
        <v>472.129</v>
      </c>
      <c r="O1705" s="24">
        <v>19.3</v>
      </c>
      <c r="P1705" s="18">
        <f t="shared" si="1"/>
        <v>816.906</v>
      </c>
    </row>
    <row r="1706" ht="15.75" customHeight="1">
      <c r="A1706" s="13" t="s">
        <v>223</v>
      </c>
      <c r="B1706" s="13" t="s">
        <v>99</v>
      </c>
      <c r="C1706" s="14" t="s">
        <v>109</v>
      </c>
      <c r="D1706" s="14" t="str">
        <f>VLOOKUP(C1706,'State Key'!$A$2:$B$210,2,False)</f>
        <v>Tamil Nadu</v>
      </c>
      <c r="E1706" s="15">
        <v>840.0</v>
      </c>
      <c r="F1706" s="16">
        <v>369.2059</v>
      </c>
      <c r="G1706" s="16">
        <v>159.7973</v>
      </c>
      <c r="H1706" s="16">
        <v>0.0</v>
      </c>
      <c r="I1706" s="16">
        <v>0.0</v>
      </c>
      <c r="J1706" s="16">
        <v>0.0</v>
      </c>
      <c r="K1706" s="16">
        <v>0.0</v>
      </c>
      <c r="L1706" s="16">
        <v>529.0032</v>
      </c>
      <c r="M1706" s="16">
        <v>406.045</v>
      </c>
      <c r="N1706" s="16">
        <v>182.398</v>
      </c>
      <c r="O1706" s="23">
        <v>13.5</v>
      </c>
      <c r="P1706" s="18">
        <f t="shared" si="1"/>
        <v>529.0032</v>
      </c>
    </row>
    <row r="1707" ht="15.75" customHeight="1">
      <c r="A1707" s="19" t="s">
        <v>223</v>
      </c>
      <c r="B1707" s="19" t="s">
        <v>99</v>
      </c>
      <c r="C1707" s="20" t="s">
        <v>110</v>
      </c>
      <c r="D1707" s="14" t="str">
        <f>VLOOKUP(C1707,'State Key'!$A$2:$B$210,2,False)</f>
        <v>Tamil Nadu</v>
      </c>
      <c r="E1707" s="21">
        <v>600.0</v>
      </c>
      <c r="F1707" s="22">
        <v>226.49</v>
      </c>
      <c r="G1707" s="22">
        <v>100.22</v>
      </c>
      <c r="H1707" s="22">
        <v>0.0</v>
      </c>
      <c r="I1707" s="22">
        <v>0.0</v>
      </c>
      <c r="J1707" s="22">
        <v>0.0</v>
      </c>
      <c r="K1707" s="22">
        <v>0.0</v>
      </c>
      <c r="L1707" s="22">
        <v>326.71</v>
      </c>
      <c r="M1707" s="22">
        <v>234.28</v>
      </c>
      <c r="N1707" s="22">
        <v>150.66</v>
      </c>
      <c r="O1707" s="24">
        <v>19.3</v>
      </c>
      <c r="P1707" s="18">
        <f t="shared" si="1"/>
        <v>326.71</v>
      </c>
    </row>
    <row r="1708" ht="15.75" customHeight="1">
      <c r="A1708" s="13" t="s">
        <v>223</v>
      </c>
      <c r="B1708" s="13" t="s">
        <v>99</v>
      </c>
      <c r="C1708" s="14" t="s">
        <v>111</v>
      </c>
      <c r="D1708" s="14" t="str">
        <f>VLOOKUP(C1708,'State Key'!$A$2:$B$210,2,False)</f>
        <v>Tamil Nadu</v>
      </c>
      <c r="E1708" s="15">
        <v>1200.0</v>
      </c>
      <c r="F1708" s="16">
        <v>0.0</v>
      </c>
      <c r="G1708" s="16">
        <v>0.0</v>
      </c>
      <c r="H1708" s="16">
        <v>0.0</v>
      </c>
      <c r="I1708" s="16">
        <v>0.0</v>
      </c>
      <c r="J1708" s="16">
        <v>318.26</v>
      </c>
      <c r="K1708" s="16">
        <v>0.0</v>
      </c>
      <c r="L1708" s="16">
        <v>318.26</v>
      </c>
      <c r="M1708" s="16">
        <v>327.055</v>
      </c>
      <c r="N1708" s="16">
        <v>173.14</v>
      </c>
      <c r="O1708" s="24">
        <v>15.9</v>
      </c>
      <c r="P1708" s="18">
        <f t="shared" si="1"/>
        <v>318.26</v>
      </c>
    </row>
    <row r="1709" ht="15.75" customHeight="1">
      <c r="A1709" s="19" t="s">
        <v>223</v>
      </c>
      <c r="B1709" s="19" t="s">
        <v>99</v>
      </c>
      <c r="C1709" s="20" t="s">
        <v>112</v>
      </c>
      <c r="D1709" s="14" t="str">
        <f>VLOOKUP(C1709,'State Key'!$A$2:$B$210,2,False)</f>
        <v>Tamil Nadu</v>
      </c>
      <c r="E1709" s="21">
        <v>1830.0</v>
      </c>
      <c r="F1709" s="22">
        <v>932.895</v>
      </c>
      <c r="G1709" s="22">
        <v>0.0</v>
      </c>
      <c r="H1709" s="22">
        <v>0.0</v>
      </c>
      <c r="I1709" s="22">
        <v>0.0</v>
      </c>
      <c r="J1709" s="22">
        <v>0.0</v>
      </c>
      <c r="K1709" s="22">
        <v>0.0</v>
      </c>
      <c r="L1709" s="22">
        <v>932.895</v>
      </c>
      <c r="M1709" s="22">
        <v>885.338</v>
      </c>
      <c r="N1709" s="22">
        <v>287.988</v>
      </c>
      <c r="O1709" s="23">
        <v>9.8</v>
      </c>
      <c r="P1709" s="18">
        <f t="shared" si="1"/>
        <v>932.895</v>
      </c>
    </row>
    <row r="1710" ht="15.75" customHeight="1">
      <c r="A1710" s="13" t="s">
        <v>223</v>
      </c>
      <c r="B1710" s="13" t="s">
        <v>99</v>
      </c>
      <c r="C1710" s="14" t="s">
        <v>113</v>
      </c>
      <c r="D1710" s="14" t="str">
        <f>VLOOKUP(C1710,'State Key'!$A$2:$B$210,2,False)</f>
        <v>Tamil Nadu</v>
      </c>
      <c r="E1710" s="15">
        <v>1000.0</v>
      </c>
      <c r="F1710" s="16">
        <v>131.661</v>
      </c>
      <c r="G1710" s="16">
        <v>0.0</v>
      </c>
      <c r="H1710" s="16">
        <v>229.259</v>
      </c>
      <c r="I1710" s="16">
        <v>0.0</v>
      </c>
      <c r="J1710" s="16">
        <v>0.0</v>
      </c>
      <c r="K1710" s="16">
        <v>0.0</v>
      </c>
      <c r="L1710" s="16">
        <v>360.92</v>
      </c>
      <c r="M1710" s="16">
        <v>344.734</v>
      </c>
      <c r="N1710" s="16">
        <v>266.816</v>
      </c>
      <c r="O1710" s="24">
        <v>23.2</v>
      </c>
      <c r="P1710" s="18">
        <f t="shared" si="1"/>
        <v>360.92</v>
      </c>
    </row>
    <row r="1711" ht="15.75" customHeight="1">
      <c r="A1711" s="19" t="s">
        <v>223</v>
      </c>
      <c r="B1711" s="19" t="s">
        <v>99</v>
      </c>
      <c r="C1711" s="20" t="s">
        <v>114</v>
      </c>
      <c r="D1711" s="14" t="str">
        <f>VLOOKUP(C1711,'State Key'!$A$2:$B$210,2,False)</f>
        <v>Andhra Pradesh</v>
      </c>
      <c r="E1711" s="21">
        <v>1320.0</v>
      </c>
      <c r="F1711" s="22">
        <v>456.071</v>
      </c>
      <c r="G1711" s="22">
        <v>0.0</v>
      </c>
      <c r="H1711" s="22">
        <v>0.0</v>
      </c>
      <c r="I1711" s="22">
        <v>0.0</v>
      </c>
      <c r="J1711" s="22">
        <v>121.185</v>
      </c>
      <c r="K1711" s="22">
        <v>0.0</v>
      </c>
      <c r="L1711" s="22">
        <v>577.256</v>
      </c>
      <c r="M1711" s="22">
        <v>532.422</v>
      </c>
      <c r="N1711" s="22">
        <v>290.37</v>
      </c>
      <c r="O1711" s="24">
        <v>16.4</v>
      </c>
      <c r="P1711" s="18">
        <f t="shared" si="1"/>
        <v>577.256</v>
      </c>
    </row>
    <row r="1712" ht="15.75" customHeight="1">
      <c r="A1712" s="13" t="s">
        <v>223</v>
      </c>
      <c r="B1712" s="13" t="s">
        <v>99</v>
      </c>
      <c r="C1712" s="14" t="s">
        <v>115</v>
      </c>
      <c r="D1712" s="14" t="str">
        <f>VLOOKUP(C1712,'State Key'!$A$2:$B$210,2,False)</f>
        <v>Karnataka</v>
      </c>
      <c r="E1712" s="15">
        <v>1720.0</v>
      </c>
      <c r="F1712" s="16">
        <v>423.6</v>
      </c>
      <c r="G1712" s="16">
        <v>361.863</v>
      </c>
      <c r="H1712" s="16">
        <v>0.0</v>
      </c>
      <c r="I1712" s="16">
        <v>0.0</v>
      </c>
      <c r="J1712" s="16">
        <v>0.0</v>
      </c>
      <c r="K1712" s="16">
        <v>0.0</v>
      </c>
      <c r="L1712" s="16">
        <v>785.463</v>
      </c>
      <c r="M1712" s="16">
        <v>696.476</v>
      </c>
      <c r="N1712" s="16">
        <v>369.35</v>
      </c>
      <c r="O1712" s="24">
        <v>15.9</v>
      </c>
      <c r="P1712" s="18">
        <f t="shared" si="1"/>
        <v>785.463</v>
      </c>
    </row>
    <row r="1713" ht="15.75" customHeight="1">
      <c r="A1713" s="19" t="s">
        <v>223</v>
      </c>
      <c r="B1713" s="19" t="s">
        <v>99</v>
      </c>
      <c r="C1713" s="20" t="s">
        <v>116</v>
      </c>
      <c r="D1713" s="14" t="str">
        <f>VLOOKUP(C1713,'State Key'!$A$2:$B$210,2,False)</f>
        <v>Telangana</v>
      </c>
      <c r="E1713" s="21">
        <v>2600.0</v>
      </c>
      <c r="F1713" s="22">
        <v>0.0</v>
      </c>
      <c r="G1713" s="22">
        <v>1039.4</v>
      </c>
      <c r="H1713" s="22">
        <v>0.0</v>
      </c>
      <c r="I1713" s="22">
        <v>0.0</v>
      </c>
      <c r="J1713" s="22">
        <v>0.0</v>
      </c>
      <c r="K1713" s="22">
        <v>0.0</v>
      </c>
      <c r="L1713" s="22">
        <v>1039.4</v>
      </c>
      <c r="M1713" s="22">
        <v>991.279</v>
      </c>
      <c r="N1713" s="22">
        <v>484.095</v>
      </c>
      <c r="O1713" s="24">
        <v>14.7</v>
      </c>
      <c r="P1713" s="18">
        <f t="shared" si="1"/>
        <v>1039.4</v>
      </c>
    </row>
    <row r="1714" ht="15.75" customHeight="1">
      <c r="A1714" s="13" t="s">
        <v>223</v>
      </c>
      <c r="B1714" s="13" t="s">
        <v>99</v>
      </c>
      <c r="C1714" s="14" t="s">
        <v>117</v>
      </c>
      <c r="D1714" s="14" t="str">
        <f>VLOOKUP(C1714,'State Key'!$A$2:$B$210,2,False)</f>
        <v>Telangana</v>
      </c>
      <c r="E1714" s="15">
        <v>62.5</v>
      </c>
      <c r="F1714" s="16">
        <v>0.0</v>
      </c>
      <c r="G1714" s="16">
        <v>26.293</v>
      </c>
      <c r="H1714" s="16">
        <v>0.0</v>
      </c>
      <c r="I1714" s="16">
        <v>0.0</v>
      </c>
      <c r="J1714" s="16">
        <v>0.0</v>
      </c>
      <c r="K1714" s="16">
        <v>0.0</v>
      </c>
      <c r="L1714" s="16">
        <v>26.293</v>
      </c>
      <c r="M1714" s="16">
        <v>27.5</v>
      </c>
      <c r="N1714" s="16">
        <v>6.269</v>
      </c>
      <c r="O1714" s="17">
        <v>6.8</v>
      </c>
      <c r="P1714" s="18">
        <f t="shared" si="1"/>
        <v>26.293</v>
      </c>
    </row>
    <row r="1715" ht="15.75" customHeight="1">
      <c r="A1715" s="19" t="s">
        <v>223</v>
      </c>
      <c r="B1715" s="19" t="s">
        <v>99</v>
      </c>
      <c r="C1715" s="20" t="s">
        <v>118</v>
      </c>
      <c r="D1715" s="14" t="str">
        <f>VLOOKUP(C1715,'State Key'!$A$2:$B$210,2,False)</f>
        <v>Andhra Pradesh</v>
      </c>
      <c r="E1715" s="21">
        <v>1650.0</v>
      </c>
      <c r="F1715" s="22">
        <v>658.411</v>
      </c>
      <c r="G1715" s="22">
        <v>113.388</v>
      </c>
      <c r="H1715" s="22">
        <v>0.0</v>
      </c>
      <c r="I1715" s="22">
        <v>0.0</v>
      </c>
      <c r="J1715" s="22">
        <v>0.0</v>
      </c>
      <c r="K1715" s="22">
        <v>0.0</v>
      </c>
      <c r="L1715" s="22">
        <v>771.799</v>
      </c>
      <c r="M1715" s="22">
        <v>760.047</v>
      </c>
      <c r="N1715" s="22">
        <v>57.556</v>
      </c>
      <c r="O1715" s="17">
        <v>2.3</v>
      </c>
      <c r="P1715" s="18">
        <f t="shared" si="1"/>
        <v>771.799</v>
      </c>
    </row>
    <row r="1716" ht="15.75" customHeight="1">
      <c r="A1716" s="13" t="s">
        <v>223</v>
      </c>
      <c r="B1716" s="13" t="s">
        <v>99</v>
      </c>
      <c r="C1716" s="14" t="s">
        <v>119</v>
      </c>
      <c r="D1716" s="14" t="str">
        <f>VLOOKUP(C1716,'State Key'!$A$2:$B$210,2,False)</f>
        <v>Andhra Pradesh</v>
      </c>
      <c r="E1716" s="15">
        <v>1320.0</v>
      </c>
      <c r="F1716" s="16">
        <v>188.611</v>
      </c>
      <c r="G1716" s="16">
        <v>0.0</v>
      </c>
      <c r="H1716" s="16">
        <v>0.0</v>
      </c>
      <c r="I1716" s="16">
        <v>0.0</v>
      </c>
      <c r="J1716" s="16">
        <v>191.76</v>
      </c>
      <c r="K1716" s="16">
        <v>0.0</v>
      </c>
      <c r="L1716" s="16">
        <v>380.371</v>
      </c>
      <c r="M1716" s="16">
        <v>396.335</v>
      </c>
      <c r="N1716" s="16">
        <v>409.95</v>
      </c>
      <c r="O1716" s="24">
        <v>31.0</v>
      </c>
      <c r="P1716" s="18">
        <f t="shared" si="1"/>
        <v>380.371</v>
      </c>
    </row>
    <row r="1717" ht="15.75" customHeight="1">
      <c r="A1717" s="19" t="s">
        <v>223</v>
      </c>
      <c r="B1717" s="19" t="s">
        <v>99</v>
      </c>
      <c r="C1717" s="20" t="s">
        <v>120</v>
      </c>
      <c r="D1717" s="14" t="str">
        <f>VLOOKUP(C1717,'State Key'!$A$2:$B$210,2,False)</f>
        <v>Andhra Pradesh</v>
      </c>
      <c r="E1717" s="21">
        <v>2000.0</v>
      </c>
      <c r="F1717" s="22">
        <v>694.4</v>
      </c>
      <c r="G1717" s="22">
        <v>31.9</v>
      </c>
      <c r="H1717" s="22">
        <v>7.89</v>
      </c>
      <c r="I1717" s="22">
        <v>0.0</v>
      </c>
      <c r="J1717" s="22">
        <v>119.43</v>
      </c>
      <c r="K1717" s="22">
        <v>0.0</v>
      </c>
      <c r="L1717" s="22">
        <v>853.62</v>
      </c>
      <c r="M1717" s="22">
        <v>871.806</v>
      </c>
      <c r="N1717" s="22">
        <v>229.539</v>
      </c>
      <c r="O1717" s="23">
        <v>7.9</v>
      </c>
      <c r="P1717" s="18">
        <f t="shared" si="1"/>
        <v>853.62</v>
      </c>
    </row>
    <row r="1718" ht="15.75" customHeight="1">
      <c r="A1718" s="13" t="s">
        <v>223</v>
      </c>
      <c r="B1718" s="13" t="s">
        <v>99</v>
      </c>
      <c r="C1718" s="14" t="s">
        <v>121</v>
      </c>
      <c r="D1718" s="14" t="str">
        <f>VLOOKUP(C1718,'State Key'!$A$2:$B$210,2,False)</f>
        <v>Andhra Pradesh</v>
      </c>
      <c r="E1718" s="15">
        <v>600.0</v>
      </c>
      <c r="F1718" s="16">
        <v>0.0</v>
      </c>
      <c r="G1718" s="16">
        <v>0.0</v>
      </c>
      <c r="H1718" s="16">
        <v>0.0</v>
      </c>
      <c r="I1718" s="16">
        <v>0.0</v>
      </c>
      <c r="J1718" s="16">
        <v>213.98</v>
      </c>
      <c r="K1718" s="16">
        <v>0.0</v>
      </c>
      <c r="L1718" s="16">
        <v>213.98</v>
      </c>
      <c r="M1718" s="16">
        <v>182.33</v>
      </c>
      <c r="N1718" s="16">
        <v>136.01</v>
      </c>
      <c r="O1718" s="24">
        <v>22.4</v>
      </c>
      <c r="P1718" s="18">
        <f t="shared" si="1"/>
        <v>213.98</v>
      </c>
    </row>
    <row r="1719" ht="15.75" customHeight="1">
      <c r="A1719" s="19" t="s">
        <v>223</v>
      </c>
      <c r="B1719" s="19" t="s">
        <v>99</v>
      </c>
      <c r="C1719" s="20" t="s">
        <v>122</v>
      </c>
      <c r="D1719" s="14" t="str">
        <f>VLOOKUP(C1719,'State Key'!$A$2:$B$210,2,False)</f>
        <v>Telangana</v>
      </c>
      <c r="E1719" s="21">
        <v>1200.0</v>
      </c>
      <c r="F1719" s="22">
        <v>0.0</v>
      </c>
      <c r="G1719" s="22">
        <v>509.109</v>
      </c>
      <c r="H1719" s="22">
        <v>0.0</v>
      </c>
      <c r="I1719" s="22">
        <v>0.0</v>
      </c>
      <c r="J1719" s="22">
        <v>0.0</v>
      </c>
      <c r="K1719" s="22">
        <v>0.0</v>
      </c>
      <c r="L1719" s="22">
        <v>509.109</v>
      </c>
      <c r="M1719" s="22">
        <v>495.554</v>
      </c>
      <c r="N1719" s="22">
        <v>173.31</v>
      </c>
      <c r="O1719" s="23">
        <v>10.5</v>
      </c>
      <c r="P1719" s="18">
        <f t="shared" si="1"/>
        <v>509.109</v>
      </c>
    </row>
    <row r="1720" ht="15.75" customHeight="1">
      <c r="A1720" s="13" t="s">
        <v>223</v>
      </c>
      <c r="B1720" s="13" t="s">
        <v>99</v>
      </c>
      <c r="C1720" s="14" t="s">
        <v>220</v>
      </c>
      <c r="D1720" s="14" t="str">
        <f>VLOOKUP(C1720,'State Key'!$A$2:$B$210,2,False)</f>
        <v>Telangana</v>
      </c>
      <c r="E1720" s="15">
        <v>800.0</v>
      </c>
      <c r="F1720" s="16">
        <v>0.0</v>
      </c>
      <c r="G1720" s="16">
        <v>242.53</v>
      </c>
      <c r="H1720" s="16">
        <v>0.0</v>
      </c>
      <c r="I1720" s="16">
        <v>0.0</v>
      </c>
      <c r="J1720" s="16">
        <v>0.0</v>
      </c>
      <c r="K1720" s="16">
        <v>0.0</v>
      </c>
      <c r="L1720" s="16">
        <v>242.53</v>
      </c>
      <c r="M1720" s="16">
        <v>263.196</v>
      </c>
      <c r="N1720" s="16">
        <v>175.913</v>
      </c>
      <c r="O1720" s="24">
        <v>20.1</v>
      </c>
      <c r="P1720" s="18">
        <f t="shared" si="1"/>
        <v>242.53</v>
      </c>
    </row>
    <row r="1721" ht="15.75" customHeight="1">
      <c r="A1721" s="19" t="s">
        <v>223</v>
      </c>
      <c r="B1721" s="19" t="s">
        <v>99</v>
      </c>
      <c r="C1721" s="20" t="s">
        <v>123</v>
      </c>
      <c r="D1721" s="14" t="str">
        <f>VLOOKUP(C1721,'State Key'!$A$2:$B$210,2,False)</f>
        <v>Andhra Pradesh</v>
      </c>
      <c r="E1721" s="21">
        <v>300.0</v>
      </c>
      <c r="F1721" s="22">
        <v>0.0</v>
      </c>
      <c r="G1721" s="22">
        <v>0.0</v>
      </c>
      <c r="H1721" s="22">
        <v>0.0</v>
      </c>
      <c r="I1721" s="22">
        <v>0.0</v>
      </c>
      <c r="J1721" s="22">
        <v>0.0</v>
      </c>
      <c r="K1721" s="22">
        <v>0.0</v>
      </c>
      <c r="L1721" s="22">
        <v>0.0</v>
      </c>
      <c r="M1721" s="22">
        <v>0.0</v>
      </c>
      <c r="N1721" s="22">
        <v>0.0</v>
      </c>
      <c r="O1721" s="19" t="s">
        <v>58</v>
      </c>
      <c r="P1721" s="18">
        <f t="shared" si="1"/>
        <v>0</v>
      </c>
    </row>
    <row r="1722" ht="15.75" customHeight="1">
      <c r="A1722" s="13" t="s">
        <v>223</v>
      </c>
      <c r="B1722" s="13" t="s">
        <v>99</v>
      </c>
      <c r="C1722" s="14" t="s">
        <v>124</v>
      </c>
      <c r="D1722" s="14" t="str">
        <f>VLOOKUP(C1722,'State Key'!$A$2:$B$210,2,False)</f>
        <v>Karnataka</v>
      </c>
      <c r="E1722" s="15">
        <v>260.0</v>
      </c>
      <c r="F1722" s="16">
        <v>0.0</v>
      </c>
      <c r="G1722" s="16">
        <v>0.0</v>
      </c>
      <c r="H1722" s="16">
        <v>0.0</v>
      </c>
      <c r="I1722" s="16">
        <v>0.0</v>
      </c>
      <c r="J1722" s="16">
        <v>29.89</v>
      </c>
      <c r="K1722" s="16">
        <v>0.0</v>
      </c>
      <c r="L1722" s="16">
        <v>29.89</v>
      </c>
      <c r="M1722" s="16">
        <v>29.89</v>
      </c>
      <c r="N1722" s="16">
        <v>0.0</v>
      </c>
      <c r="O1722" s="17">
        <v>0.0</v>
      </c>
      <c r="P1722" s="18">
        <f t="shared" si="1"/>
        <v>29.89</v>
      </c>
    </row>
    <row r="1723" ht="15.75" customHeight="1">
      <c r="A1723" s="19" t="s">
        <v>223</v>
      </c>
      <c r="B1723" s="19" t="s">
        <v>99</v>
      </c>
      <c r="C1723" s="20" t="s">
        <v>125</v>
      </c>
      <c r="D1723" s="14" t="str">
        <f>VLOOKUP(C1723,'State Key'!$A$2:$B$210,2,False)</f>
        <v>Karnataka</v>
      </c>
      <c r="E1723" s="21">
        <v>600.0</v>
      </c>
      <c r="F1723" s="22">
        <v>0.0</v>
      </c>
      <c r="G1723" s="22">
        <v>0.0</v>
      </c>
      <c r="H1723" s="22">
        <v>0.0</v>
      </c>
      <c r="I1723" s="22">
        <v>0.0</v>
      </c>
      <c r="J1723" s="22">
        <v>100.44</v>
      </c>
      <c r="K1723" s="22">
        <v>0.0</v>
      </c>
      <c r="L1723" s="22">
        <v>100.44</v>
      </c>
      <c r="M1723" s="22">
        <v>83.96</v>
      </c>
      <c r="N1723" s="22">
        <v>48.55</v>
      </c>
      <c r="O1723" s="24">
        <v>17.3</v>
      </c>
      <c r="P1723" s="18">
        <f t="shared" si="1"/>
        <v>100.44</v>
      </c>
    </row>
    <row r="1724" ht="15.75" customHeight="1">
      <c r="A1724" s="13" t="s">
        <v>223</v>
      </c>
      <c r="B1724" s="13" t="s">
        <v>99</v>
      </c>
      <c r="C1724" s="14" t="s">
        <v>126</v>
      </c>
      <c r="D1724" s="14" t="str">
        <f>VLOOKUP(C1724,'State Key'!$A$2:$B$210,2,False)</f>
        <v>Tamil Nadu</v>
      </c>
      <c r="E1724" s="15">
        <v>300.0</v>
      </c>
      <c r="F1724" s="16">
        <v>0.0</v>
      </c>
      <c r="G1724" s="16">
        <v>0.0</v>
      </c>
      <c r="H1724" s="16">
        <v>0.0</v>
      </c>
      <c r="I1724" s="16">
        <v>0.0</v>
      </c>
      <c r="J1724" s="16">
        <v>0.0</v>
      </c>
      <c r="K1724" s="16">
        <v>0.0</v>
      </c>
      <c r="L1724" s="16">
        <v>0.0</v>
      </c>
      <c r="M1724" s="16">
        <v>0.0</v>
      </c>
      <c r="N1724" s="16">
        <v>0.0</v>
      </c>
      <c r="O1724" s="13" t="s">
        <v>58</v>
      </c>
      <c r="P1724" s="18">
        <f t="shared" si="1"/>
        <v>0</v>
      </c>
    </row>
    <row r="1725" ht="15.75" customHeight="1">
      <c r="A1725" s="19" t="s">
        <v>223</v>
      </c>
      <c r="B1725" s="19" t="s">
        <v>99</v>
      </c>
      <c r="C1725" s="20" t="s">
        <v>127</v>
      </c>
      <c r="D1725" s="14" t="str">
        <f>VLOOKUP(C1725,'State Key'!$A$2:$B$210,2,False)</f>
        <v>Tamil Nadu</v>
      </c>
      <c r="E1725" s="21">
        <v>525.0</v>
      </c>
      <c r="F1725" s="22">
        <v>0.0</v>
      </c>
      <c r="G1725" s="22">
        <v>0.0</v>
      </c>
      <c r="H1725" s="22">
        <v>0.0</v>
      </c>
      <c r="I1725" s="22">
        <v>0.0</v>
      </c>
      <c r="J1725" s="22">
        <v>144.0</v>
      </c>
      <c r="K1725" s="22">
        <v>0.0</v>
      </c>
      <c r="L1725" s="22">
        <v>144.0</v>
      </c>
      <c r="M1725" s="22">
        <v>154.14</v>
      </c>
      <c r="N1725" s="22">
        <v>3.06</v>
      </c>
      <c r="O1725" s="17">
        <v>0.6</v>
      </c>
      <c r="P1725" s="18">
        <f t="shared" si="1"/>
        <v>144</v>
      </c>
    </row>
    <row r="1726" ht="15.75" customHeight="1">
      <c r="A1726" s="13" t="s">
        <v>223</v>
      </c>
      <c r="B1726" s="13" t="s">
        <v>99</v>
      </c>
      <c r="C1726" s="14" t="s">
        <v>128</v>
      </c>
      <c r="D1726" s="14" t="str">
        <f>VLOOKUP(C1726,'State Key'!$A$2:$B$210,2,False)</f>
        <v>Tamil Nadu</v>
      </c>
      <c r="E1726" s="15">
        <v>1050.0</v>
      </c>
      <c r="F1726" s="16">
        <v>394.989</v>
      </c>
      <c r="G1726" s="16">
        <v>0.0</v>
      </c>
      <c r="H1726" s="16">
        <v>0.0</v>
      </c>
      <c r="I1726" s="16">
        <v>0.0</v>
      </c>
      <c r="J1726" s="16">
        <v>0.0</v>
      </c>
      <c r="K1726" s="16">
        <v>0.0</v>
      </c>
      <c r="L1726" s="16">
        <v>394.989</v>
      </c>
      <c r="M1726" s="16">
        <v>438.34</v>
      </c>
      <c r="N1726" s="16">
        <v>173.77</v>
      </c>
      <c r="O1726" s="23">
        <v>11.9</v>
      </c>
      <c r="P1726" s="18">
        <f t="shared" si="1"/>
        <v>394.989</v>
      </c>
    </row>
    <row r="1727" ht="15.75" customHeight="1">
      <c r="A1727" s="19" t="s">
        <v>223</v>
      </c>
      <c r="B1727" s="19" t="s">
        <v>99</v>
      </c>
      <c r="C1727" s="20" t="s">
        <v>130</v>
      </c>
      <c r="D1727" s="14" t="str">
        <f>VLOOKUP(C1727,'State Key'!$A$2:$B$210,2,False)</f>
        <v>Tamil Nadu</v>
      </c>
      <c r="E1727" s="21">
        <v>1500.0</v>
      </c>
      <c r="F1727" s="22">
        <v>533.546</v>
      </c>
      <c r="G1727" s="22">
        <v>76.3</v>
      </c>
      <c r="H1727" s="22">
        <v>0.0</v>
      </c>
      <c r="I1727" s="22">
        <v>0.0</v>
      </c>
      <c r="J1727" s="22">
        <v>0.0</v>
      </c>
      <c r="K1727" s="22">
        <v>0.0</v>
      </c>
      <c r="L1727" s="22">
        <v>609.846</v>
      </c>
      <c r="M1727" s="22">
        <v>219.272</v>
      </c>
      <c r="N1727" s="22">
        <v>481.26</v>
      </c>
      <c r="O1727" s="24">
        <v>65.8</v>
      </c>
      <c r="P1727" s="18">
        <f t="shared" si="1"/>
        <v>609.846</v>
      </c>
    </row>
    <row r="1728" ht="15.75" customHeight="1">
      <c r="A1728" s="13" t="s">
        <v>223</v>
      </c>
      <c r="B1728" s="13" t="s">
        <v>99</v>
      </c>
      <c r="C1728" s="14" t="s">
        <v>131</v>
      </c>
      <c r="D1728" s="14" t="str">
        <f>VLOOKUP(C1728,'State Key'!$A$2:$B$210,2,False)</f>
        <v>Andhra Pradesh</v>
      </c>
      <c r="E1728" s="15">
        <v>1040.0</v>
      </c>
      <c r="F1728" s="16">
        <v>243.10645</v>
      </c>
      <c r="G1728" s="16">
        <v>0.0</v>
      </c>
      <c r="H1728" s="16">
        <v>0.0</v>
      </c>
      <c r="I1728" s="16">
        <v>0.0</v>
      </c>
      <c r="J1728" s="16">
        <v>72.45248</v>
      </c>
      <c r="K1728" s="16">
        <v>0.0</v>
      </c>
      <c r="L1728" s="16">
        <v>315.55893</v>
      </c>
      <c r="M1728" s="16">
        <v>302.669</v>
      </c>
      <c r="N1728" s="16">
        <v>130.2077</v>
      </c>
      <c r="O1728" s="23">
        <v>12.9</v>
      </c>
      <c r="P1728" s="18">
        <f t="shared" si="1"/>
        <v>315.55893</v>
      </c>
    </row>
    <row r="1729" ht="15.75" customHeight="1">
      <c r="A1729" s="19" t="s">
        <v>223</v>
      </c>
      <c r="B1729" s="19" t="s">
        <v>99</v>
      </c>
      <c r="C1729" s="20" t="s">
        <v>132</v>
      </c>
      <c r="D1729" s="14" t="str">
        <f>VLOOKUP(C1729,'State Key'!$A$2:$B$210,2,False)</f>
        <v>Karnataka</v>
      </c>
      <c r="E1729" s="21">
        <v>1600.0</v>
      </c>
      <c r="F1729" s="22">
        <v>0.0</v>
      </c>
      <c r="G1729" s="22">
        <v>269.518</v>
      </c>
      <c r="H1729" s="22">
        <v>0.0</v>
      </c>
      <c r="I1729" s="22">
        <v>0.0</v>
      </c>
      <c r="J1729" s="22">
        <v>34.792</v>
      </c>
      <c r="K1729" s="22">
        <v>0.0</v>
      </c>
      <c r="L1729" s="22">
        <v>304.31</v>
      </c>
      <c r="M1729" s="22">
        <v>313.005</v>
      </c>
      <c r="N1729" s="22">
        <v>282.274</v>
      </c>
      <c r="O1729" s="24">
        <v>27.1</v>
      </c>
      <c r="P1729" s="18">
        <f t="shared" si="1"/>
        <v>304.31</v>
      </c>
    </row>
    <row r="1730" ht="15.75" customHeight="1">
      <c r="A1730" s="13" t="s">
        <v>223</v>
      </c>
      <c r="B1730" s="13" t="s">
        <v>133</v>
      </c>
      <c r="C1730" s="14" t="s">
        <v>211</v>
      </c>
      <c r="D1730" s="14" t="str">
        <f>VLOOKUP(C1730,'State Key'!$A$2:$B$210,2,False)</f>
        <v>Gujarat</v>
      </c>
      <c r="E1730" s="15">
        <v>2640.0</v>
      </c>
      <c r="F1730" s="16">
        <v>0.0</v>
      </c>
      <c r="G1730" s="16">
        <v>0.0</v>
      </c>
      <c r="H1730" s="16">
        <v>0.0</v>
      </c>
      <c r="I1730" s="16">
        <v>0.0</v>
      </c>
      <c r="J1730" s="16">
        <v>663.526</v>
      </c>
      <c r="K1730" s="16">
        <v>0.0</v>
      </c>
      <c r="L1730" s="16">
        <v>663.526</v>
      </c>
      <c r="M1730" s="16">
        <v>753.007</v>
      </c>
      <c r="N1730" s="16">
        <v>17.405</v>
      </c>
      <c r="O1730" s="17">
        <v>0.7</v>
      </c>
      <c r="P1730" s="18">
        <f t="shared" si="1"/>
        <v>663.526</v>
      </c>
    </row>
    <row r="1731" ht="15.75" customHeight="1">
      <c r="A1731" s="19" t="s">
        <v>223</v>
      </c>
      <c r="B1731" s="19" t="s">
        <v>133</v>
      </c>
      <c r="C1731" s="20" t="s">
        <v>212</v>
      </c>
      <c r="D1731" s="14" t="str">
        <f>VLOOKUP(C1731,'State Key'!$A$2:$B$210,2,False)</f>
        <v>Gujarat</v>
      </c>
      <c r="E1731" s="21">
        <v>1980.0</v>
      </c>
      <c r="F1731" s="22">
        <v>0.0</v>
      </c>
      <c r="G1731" s="22">
        <v>0.0</v>
      </c>
      <c r="H1731" s="22">
        <v>0.0</v>
      </c>
      <c r="I1731" s="22">
        <v>0.0</v>
      </c>
      <c r="J1731" s="22">
        <v>518.705</v>
      </c>
      <c r="K1731" s="22">
        <v>0.0</v>
      </c>
      <c r="L1731" s="22">
        <v>518.705</v>
      </c>
      <c r="M1731" s="22">
        <v>593.005</v>
      </c>
      <c r="N1731" s="22">
        <v>22.995</v>
      </c>
      <c r="O1731" s="17">
        <v>1.2</v>
      </c>
      <c r="P1731" s="18">
        <f t="shared" si="1"/>
        <v>518.705</v>
      </c>
    </row>
    <row r="1732" ht="15.75" customHeight="1">
      <c r="A1732" s="13" t="s">
        <v>223</v>
      </c>
      <c r="B1732" s="13" t="s">
        <v>133</v>
      </c>
      <c r="C1732" s="14" t="s">
        <v>213</v>
      </c>
      <c r="D1732" s="14" t="str">
        <f>VLOOKUP(C1732,'State Key'!$A$2:$B$210,2,False)</f>
        <v>Chhattisgarh</v>
      </c>
      <c r="E1732" s="15">
        <v>600.0</v>
      </c>
      <c r="F1732" s="16">
        <v>130.426</v>
      </c>
      <c r="G1732" s="16">
        <v>0.0</v>
      </c>
      <c r="H1732" s="16">
        <v>0.0</v>
      </c>
      <c r="I1732" s="16">
        <v>0.0</v>
      </c>
      <c r="J1732" s="16">
        <v>10.789</v>
      </c>
      <c r="K1732" s="16">
        <v>3.892</v>
      </c>
      <c r="L1732" s="16">
        <v>145.107</v>
      </c>
      <c r="M1732" s="16">
        <v>287.893</v>
      </c>
      <c r="N1732" s="16">
        <v>77.77</v>
      </c>
      <c r="O1732" s="23">
        <v>8.1</v>
      </c>
      <c r="P1732" s="18">
        <f t="shared" si="1"/>
        <v>145.107</v>
      </c>
    </row>
    <row r="1733" ht="15.75" customHeight="1">
      <c r="A1733" s="19" t="s">
        <v>223</v>
      </c>
      <c r="B1733" s="19" t="s">
        <v>133</v>
      </c>
      <c r="C1733" s="20" t="s">
        <v>214</v>
      </c>
      <c r="D1733" s="14" t="str">
        <f>VLOOKUP(C1733,'State Key'!$A$2:$B$210,2,False)</f>
        <v>Chhattisgarh</v>
      </c>
      <c r="E1733" s="21">
        <v>1370.0</v>
      </c>
      <c r="F1733" s="22">
        <v>382.827</v>
      </c>
      <c r="G1733" s="22">
        <v>0.0</v>
      </c>
      <c r="H1733" s="22">
        <v>0.0</v>
      </c>
      <c r="I1733" s="22">
        <v>11.911</v>
      </c>
      <c r="J1733" s="22">
        <v>0.0</v>
      </c>
      <c r="K1733" s="22">
        <v>98.537</v>
      </c>
      <c r="L1733" s="22">
        <v>493.275</v>
      </c>
      <c r="M1733" s="22">
        <v>483.845</v>
      </c>
      <c r="N1733" s="22">
        <v>402.43</v>
      </c>
      <c r="O1733" s="24">
        <v>25.0</v>
      </c>
      <c r="P1733" s="18">
        <f t="shared" si="1"/>
        <v>493.275</v>
      </c>
    </row>
    <row r="1734" ht="15.75" customHeight="1">
      <c r="A1734" s="13" t="s">
        <v>223</v>
      </c>
      <c r="B1734" s="13" t="s">
        <v>133</v>
      </c>
      <c r="C1734" s="14" t="s">
        <v>215</v>
      </c>
      <c r="D1734" s="14" t="str">
        <f>VLOOKUP(C1734,'State Key'!$A$2:$B$210,2,False)</f>
        <v>Maharashtra</v>
      </c>
      <c r="E1734" s="15">
        <v>3300.0</v>
      </c>
      <c r="F1734" s="16">
        <v>1185.597</v>
      </c>
      <c r="G1734" s="16">
        <v>0.0</v>
      </c>
      <c r="H1734" s="16">
        <v>0.0</v>
      </c>
      <c r="I1734" s="16">
        <v>0.0</v>
      </c>
      <c r="J1734" s="16">
        <v>0.0</v>
      </c>
      <c r="K1734" s="16">
        <v>0.0</v>
      </c>
      <c r="L1734" s="16">
        <v>1185.597</v>
      </c>
      <c r="M1734" s="16">
        <v>1061.045</v>
      </c>
      <c r="N1734" s="16">
        <v>909.65</v>
      </c>
      <c r="O1734" s="24">
        <v>25.7</v>
      </c>
      <c r="P1734" s="18">
        <f t="shared" si="1"/>
        <v>1185.597</v>
      </c>
    </row>
    <row r="1735" ht="15.75" customHeight="1">
      <c r="A1735" s="19" t="s">
        <v>223</v>
      </c>
      <c r="B1735" s="19" t="s">
        <v>133</v>
      </c>
      <c r="C1735" s="20" t="s">
        <v>134</v>
      </c>
      <c r="D1735" s="14" t="str">
        <f>VLOOKUP(C1735,'State Key'!$A$2:$B$210,2,False)</f>
        <v>Chhattisgarh</v>
      </c>
      <c r="E1735" s="21">
        <v>1800.0</v>
      </c>
      <c r="F1735" s="22">
        <v>664.2183</v>
      </c>
      <c r="G1735" s="22">
        <v>0.0</v>
      </c>
      <c r="H1735" s="22">
        <v>0.0</v>
      </c>
      <c r="I1735" s="22">
        <v>33.9862</v>
      </c>
      <c r="J1735" s="22">
        <v>0.0</v>
      </c>
      <c r="K1735" s="22">
        <v>0.0</v>
      </c>
      <c r="L1735" s="22">
        <v>698.2045</v>
      </c>
      <c r="M1735" s="22">
        <v>669.597</v>
      </c>
      <c r="N1735" s="22">
        <v>311.88</v>
      </c>
      <c r="O1735" s="24">
        <v>14.0</v>
      </c>
      <c r="P1735" s="18">
        <f t="shared" si="1"/>
        <v>698.2045</v>
      </c>
    </row>
    <row r="1736" ht="15.75" customHeight="1">
      <c r="A1736" s="13" t="s">
        <v>223</v>
      </c>
      <c r="B1736" s="13" t="s">
        <v>133</v>
      </c>
      <c r="C1736" s="14" t="s">
        <v>135</v>
      </c>
      <c r="D1736" s="14" t="str">
        <f>VLOOKUP(C1736,'State Key'!$A$2:$B$210,2,False)</f>
        <v>Madhya Pradesh</v>
      </c>
      <c r="E1736" s="15">
        <v>210.0</v>
      </c>
      <c r="F1736" s="16">
        <v>98.806</v>
      </c>
      <c r="G1736" s="16">
        <v>0.0</v>
      </c>
      <c r="H1736" s="16">
        <v>0.0</v>
      </c>
      <c r="I1736" s="16">
        <v>0.0</v>
      </c>
      <c r="J1736" s="16">
        <v>0.0</v>
      </c>
      <c r="K1736" s="16">
        <v>0.0</v>
      </c>
      <c r="L1736" s="16">
        <v>98.806</v>
      </c>
      <c r="M1736" s="16">
        <v>93.774</v>
      </c>
      <c r="N1736" s="16">
        <v>36.308</v>
      </c>
      <c r="O1736" s="23">
        <v>11.6</v>
      </c>
      <c r="P1736" s="18">
        <f t="shared" si="1"/>
        <v>98.806</v>
      </c>
    </row>
    <row r="1737" ht="15.75" customHeight="1">
      <c r="A1737" s="19" t="s">
        <v>223</v>
      </c>
      <c r="B1737" s="19" t="s">
        <v>133</v>
      </c>
      <c r="C1737" s="20" t="s">
        <v>136</v>
      </c>
      <c r="D1737" s="14" t="str">
        <f>VLOOKUP(C1737,'State Key'!$A$2:$B$210,2,False)</f>
        <v>Maharashtra</v>
      </c>
      <c r="E1737" s="21">
        <v>1350.0</v>
      </c>
      <c r="F1737" s="22">
        <v>573.106</v>
      </c>
      <c r="G1737" s="22">
        <v>0.0</v>
      </c>
      <c r="H1737" s="22">
        <v>0.0</v>
      </c>
      <c r="I1737" s="22">
        <v>4.752</v>
      </c>
      <c r="J1737" s="22">
        <v>0.0</v>
      </c>
      <c r="K1737" s="22">
        <v>0.0</v>
      </c>
      <c r="L1737" s="22">
        <v>577.858</v>
      </c>
      <c r="M1737" s="22">
        <v>542.637</v>
      </c>
      <c r="N1737" s="22">
        <v>251.44</v>
      </c>
      <c r="O1737" s="23">
        <v>13.9</v>
      </c>
      <c r="P1737" s="18">
        <f t="shared" si="1"/>
        <v>577.858</v>
      </c>
    </row>
    <row r="1738" ht="15.75" customHeight="1">
      <c r="A1738" s="13" t="s">
        <v>223</v>
      </c>
      <c r="B1738" s="13" t="s">
        <v>133</v>
      </c>
      <c r="C1738" s="14" t="s">
        <v>137</v>
      </c>
      <c r="D1738" s="14" t="str">
        <f>VLOOKUP(C1738,'State Key'!$A$2:$B$210,2,False)</f>
        <v>Madhya Pradesh</v>
      </c>
      <c r="E1738" s="15">
        <v>1250.0</v>
      </c>
      <c r="F1738" s="16">
        <v>354.45</v>
      </c>
      <c r="G1738" s="16">
        <v>0.0</v>
      </c>
      <c r="H1738" s="16">
        <v>0.0</v>
      </c>
      <c r="I1738" s="16">
        <v>143.07</v>
      </c>
      <c r="J1738" s="16">
        <v>0.0</v>
      </c>
      <c r="K1738" s="16">
        <v>0.0</v>
      </c>
      <c r="L1738" s="16">
        <v>497.52</v>
      </c>
      <c r="M1738" s="16">
        <v>526.14</v>
      </c>
      <c r="N1738" s="16">
        <v>317.24</v>
      </c>
      <c r="O1738" s="24">
        <v>18.1</v>
      </c>
      <c r="P1738" s="18">
        <f t="shared" si="1"/>
        <v>497.52</v>
      </c>
    </row>
    <row r="1739" ht="15.75" customHeight="1">
      <c r="A1739" s="19" t="s">
        <v>223</v>
      </c>
      <c r="B1739" s="19" t="s">
        <v>133</v>
      </c>
      <c r="C1739" s="20" t="s">
        <v>139</v>
      </c>
      <c r="D1739" s="14" t="str">
        <f>VLOOKUP(C1739,'State Key'!$A$2:$B$210,2,False)</f>
        <v>Chhattisgarh</v>
      </c>
      <c r="E1739" s="21">
        <v>600.0</v>
      </c>
      <c r="F1739" s="22">
        <v>155.99</v>
      </c>
      <c r="G1739" s="22">
        <v>0.0</v>
      </c>
      <c r="H1739" s="22">
        <v>0.0</v>
      </c>
      <c r="I1739" s="22">
        <v>70.16</v>
      </c>
      <c r="J1739" s="22">
        <v>0.0</v>
      </c>
      <c r="K1739" s="22">
        <v>0.0</v>
      </c>
      <c r="L1739" s="22">
        <v>226.15</v>
      </c>
      <c r="M1739" s="22">
        <v>230.879</v>
      </c>
      <c r="N1739" s="22">
        <v>116.93</v>
      </c>
      <c r="O1739" s="24">
        <v>15.2</v>
      </c>
      <c r="P1739" s="18">
        <f t="shared" si="1"/>
        <v>226.15</v>
      </c>
    </row>
    <row r="1740" ht="15.75" customHeight="1">
      <c r="A1740" s="13" t="s">
        <v>223</v>
      </c>
      <c r="B1740" s="13" t="s">
        <v>133</v>
      </c>
      <c r="C1740" s="14" t="s">
        <v>140</v>
      </c>
      <c r="D1740" s="14" t="str">
        <f>VLOOKUP(C1740,'State Key'!$A$2:$B$210,2,False)</f>
        <v>Chhattisgarh</v>
      </c>
      <c r="E1740" s="15">
        <v>300.0</v>
      </c>
      <c r="F1740" s="16">
        <v>132.497</v>
      </c>
      <c r="G1740" s="16">
        <v>0.0</v>
      </c>
      <c r="H1740" s="16">
        <v>0.0</v>
      </c>
      <c r="I1740" s="16">
        <v>18.301</v>
      </c>
      <c r="J1740" s="16">
        <v>0.0</v>
      </c>
      <c r="K1740" s="16">
        <v>0.0</v>
      </c>
      <c r="L1740" s="16">
        <v>150.798</v>
      </c>
      <c r="M1740" s="16">
        <v>139.713</v>
      </c>
      <c r="N1740" s="16">
        <v>65.28</v>
      </c>
      <c r="O1740" s="24">
        <v>14.0</v>
      </c>
      <c r="P1740" s="18">
        <f t="shared" si="1"/>
        <v>150.798</v>
      </c>
    </row>
    <row r="1741" ht="15.75" customHeight="1">
      <c r="A1741" s="19" t="s">
        <v>223</v>
      </c>
      <c r="B1741" s="19" t="s">
        <v>133</v>
      </c>
      <c r="C1741" s="20" t="s">
        <v>141</v>
      </c>
      <c r="D1741" s="14" t="str">
        <f>VLOOKUP(C1741,'State Key'!$A$2:$B$210,2,False)</f>
        <v>Chhattisgarh</v>
      </c>
      <c r="E1741" s="21">
        <v>1200.0</v>
      </c>
      <c r="F1741" s="22">
        <v>276.081</v>
      </c>
      <c r="G1741" s="22">
        <v>0.0</v>
      </c>
      <c r="H1741" s="22">
        <v>0.0</v>
      </c>
      <c r="I1741" s="22">
        <v>293.639</v>
      </c>
      <c r="J1741" s="22">
        <v>0.0</v>
      </c>
      <c r="K1741" s="22">
        <v>0.0</v>
      </c>
      <c r="L1741" s="22">
        <v>569.72</v>
      </c>
      <c r="M1741" s="22">
        <v>541.914</v>
      </c>
      <c r="N1741" s="22">
        <v>148.44</v>
      </c>
      <c r="O1741" s="23">
        <v>8.2</v>
      </c>
      <c r="P1741" s="18">
        <f t="shared" si="1"/>
        <v>569.72</v>
      </c>
    </row>
    <row r="1742" ht="15.75" customHeight="1">
      <c r="A1742" s="13" t="s">
        <v>223</v>
      </c>
      <c r="B1742" s="13" t="s">
        <v>133</v>
      </c>
      <c r="C1742" s="14" t="s">
        <v>142</v>
      </c>
      <c r="D1742" s="14" t="str">
        <f>VLOOKUP(C1742,'State Key'!$A$2:$B$210,2,False)</f>
        <v>Maharashtra</v>
      </c>
      <c r="E1742" s="15">
        <v>270.0</v>
      </c>
      <c r="F1742" s="16">
        <v>64.854</v>
      </c>
      <c r="G1742" s="16">
        <v>0.0</v>
      </c>
      <c r="H1742" s="16">
        <v>0.0</v>
      </c>
      <c r="I1742" s="16">
        <v>47.814</v>
      </c>
      <c r="J1742" s="16">
        <v>0.0</v>
      </c>
      <c r="K1742" s="16">
        <v>0.0</v>
      </c>
      <c r="L1742" s="16">
        <v>112.668</v>
      </c>
      <c r="M1742" s="16">
        <v>105.512</v>
      </c>
      <c r="N1742" s="16">
        <v>61.99</v>
      </c>
      <c r="O1742" s="24">
        <v>17.6</v>
      </c>
      <c r="P1742" s="18">
        <f t="shared" si="1"/>
        <v>112.668</v>
      </c>
    </row>
    <row r="1743" ht="15.75" customHeight="1">
      <c r="A1743" s="19" t="s">
        <v>223</v>
      </c>
      <c r="B1743" s="19" t="s">
        <v>133</v>
      </c>
      <c r="C1743" s="20" t="s">
        <v>143</v>
      </c>
      <c r="D1743" s="14" t="str">
        <f>VLOOKUP(C1743,'State Key'!$A$2:$B$210,2,False)</f>
        <v>Chhattisgarh</v>
      </c>
      <c r="E1743" s="21">
        <v>500.0</v>
      </c>
      <c r="F1743" s="22">
        <v>254.936</v>
      </c>
      <c r="G1743" s="22">
        <v>16.415</v>
      </c>
      <c r="H1743" s="22">
        <v>0.0</v>
      </c>
      <c r="I1743" s="22">
        <v>0.0</v>
      </c>
      <c r="J1743" s="22">
        <v>18.777</v>
      </c>
      <c r="K1743" s="22">
        <v>0.0</v>
      </c>
      <c r="L1743" s="22">
        <v>290.128</v>
      </c>
      <c r="M1743" s="22">
        <v>240.003</v>
      </c>
      <c r="N1743" s="22">
        <v>188.88</v>
      </c>
      <c r="O1743" s="24">
        <v>23.6</v>
      </c>
      <c r="P1743" s="18">
        <f t="shared" si="1"/>
        <v>290.128</v>
      </c>
    </row>
    <row r="1744" ht="15.75" customHeight="1">
      <c r="A1744" s="13" t="s">
        <v>223</v>
      </c>
      <c r="B1744" s="13" t="s">
        <v>133</v>
      </c>
      <c r="C1744" s="14" t="s">
        <v>144</v>
      </c>
      <c r="D1744" s="14" t="str">
        <f>VLOOKUP(C1744,'State Key'!$A$2:$B$210,2,False)</f>
        <v>Maharashtra</v>
      </c>
      <c r="E1744" s="15">
        <v>1210.0</v>
      </c>
      <c r="F1744" s="16">
        <v>487.6</v>
      </c>
      <c r="G1744" s="16">
        <v>0.0</v>
      </c>
      <c r="H1744" s="16">
        <v>0.0</v>
      </c>
      <c r="I1744" s="16">
        <v>0.0</v>
      </c>
      <c r="J1744" s="16">
        <v>66.66</v>
      </c>
      <c r="K1744" s="16">
        <v>0.0</v>
      </c>
      <c r="L1744" s="16">
        <v>554.26</v>
      </c>
      <c r="M1744" s="16">
        <v>490.408</v>
      </c>
      <c r="N1744" s="16">
        <v>331.2588</v>
      </c>
      <c r="O1744" s="24">
        <v>20.3</v>
      </c>
      <c r="P1744" s="18">
        <f t="shared" si="1"/>
        <v>554.26</v>
      </c>
    </row>
    <row r="1745" ht="15.75" customHeight="1">
      <c r="A1745" s="19" t="s">
        <v>223</v>
      </c>
      <c r="B1745" s="19" t="s">
        <v>133</v>
      </c>
      <c r="C1745" s="20" t="s">
        <v>145</v>
      </c>
      <c r="D1745" s="14" t="str">
        <f>VLOOKUP(C1745,'State Key'!$A$2:$B$210,2,False)</f>
        <v>Madhya Pradesh</v>
      </c>
      <c r="E1745" s="21">
        <v>500.0</v>
      </c>
      <c r="F1745" s="22">
        <v>129.23</v>
      </c>
      <c r="G1745" s="22">
        <v>0.0</v>
      </c>
      <c r="H1745" s="22">
        <v>0.0</v>
      </c>
      <c r="I1745" s="22">
        <v>98.62</v>
      </c>
      <c r="J1745" s="22">
        <v>0.0</v>
      </c>
      <c r="K1745" s="22">
        <v>0.0</v>
      </c>
      <c r="L1745" s="22">
        <v>227.85</v>
      </c>
      <c r="M1745" s="22">
        <v>206.35</v>
      </c>
      <c r="N1745" s="22">
        <v>101.92</v>
      </c>
      <c r="O1745" s="24">
        <v>14.8</v>
      </c>
      <c r="P1745" s="18">
        <f t="shared" si="1"/>
        <v>227.85</v>
      </c>
    </row>
    <row r="1746" ht="15.75" customHeight="1">
      <c r="A1746" s="13" t="s">
        <v>223</v>
      </c>
      <c r="B1746" s="13" t="s">
        <v>133</v>
      </c>
      <c r="C1746" s="14" t="s">
        <v>146</v>
      </c>
      <c r="D1746" s="14" t="str">
        <f>VLOOKUP(C1746,'State Key'!$A$2:$B$210,2,False)</f>
        <v>Chhattisgarh</v>
      </c>
      <c r="E1746" s="15">
        <v>600.0</v>
      </c>
      <c r="F1746" s="16">
        <v>88.291</v>
      </c>
      <c r="G1746" s="16">
        <v>0.0</v>
      </c>
      <c r="H1746" s="16">
        <v>0.0</v>
      </c>
      <c r="I1746" s="16">
        <v>145.009</v>
      </c>
      <c r="J1746" s="16">
        <v>0.0</v>
      </c>
      <c r="K1746" s="16">
        <v>0.0</v>
      </c>
      <c r="L1746" s="16">
        <v>233.3</v>
      </c>
      <c r="M1746" s="16">
        <v>280.991</v>
      </c>
      <c r="N1746" s="16">
        <v>137.04</v>
      </c>
      <c r="O1746" s="24">
        <v>14.6</v>
      </c>
      <c r="P1746" s="18">
        <f t="shared" si="1"/>
        <v>233.3</v>
      </c>
    </row>
    <row r="1747" ht="15.75" customHeight="1">
      <c r="A1747" s="19" t="s">
        <v>223</v>
      </c>
      <c r="B1747" s="19" t="s">
        <v>133</v>
      </c>
      <c r="C1747" s="20" t="s">
        <v>147</v>
      </c>
      <c r="D1747" s="14" t="str">
        <f>VLOOKUP(C1747,'State Key'!$A$2:$B$210,2,False)</f>
        <v>Maharashtra</v>
      </c>
      <c r="E1747" s="21">
        <v>600.0</v>
      </c>
      <c r="F1747" s="22">
        <v>0.0</v>
      </c>
      <c r="G1747" s="22">
        <v>0.0</v>
      </c>
      <c r="H1747" s="22">
        <v>0.0</v>
      </c>
      <c r="I1747" s="22">
        <v>0.0</v>
      </c>
      <c r="J1747" s="22">
        <v>0.0</v>
      </c>
      <c r="K1747" s="22">
        <v>0.0</v>
      </c>
      <c r="L1747" s="22">
        <v>0.0</v>
      </c>
      <c r="M1747" s="22">
        <v>0.0</v>
      </c>
      <c r="N1747" s="22">
        <v>0.0</v>
      </c>
      <c r="O1747" s="19" t="s">
        <v>58</v>
      </c>
      <c r="P1747" s="18">
        <f t="shared" si="1"/>
        <v>0</v>
      </c>
    </row>
    <row r="1748" ht="15.75" customHeight="1">
      <c r="A1748" s="13" t="s">
        <v>223</v>
      </c>
      <c r="B1748" s="13" t="s">
        <v>133</v>
      </c>
      <c r="C1748" s="14" t="s">
        <v>148</v>
      </c>
      <c r="D1748" s="14" t="str">
        <f>VLOOKUP(C1748,'State Key'!$A$2:$B$210,2,False)</f>
        <v>Chhattisgarh</v>
      </c>
      <c r="E1748" s="15">
        <v>30.0</v>
      </c>
      <c r="F1748" s="16">
        <v>5.0</v>
      </c>
      <c r="G1748" s="16">
        <v>0.0</v>
      </c>
      <c r="H1748" s="16">
        <v>0.0</v>
      </c>
      <c r="I1748" s="16">
        <v>0.0</v>
      </c>
      <c r="J1748" s="16">
        <v>0.0</v>
      </c>
      <c r="K1748" s="16">
        <v>76.364</v>
      </c>
      <c r="L1748" s="16">
        <v>81.364</v>
      </c>
      <c r="M1748" s="16">
        <v>63.431</v>
      </c>
      <c r="N1748" s="16">
        <v>47.83</v>
      </c>
      <c r="O1748" s="24">
        <v>22.6</v>
      </c>
      <c r="P1748" s="18">
        <f t="shared" si="1"/>
        <v>81.364</v>
      </c>
    </row>
    <row r="1749" ht="15.75" customHeight="1">
      <c r="A1749" s="19" t="s">
        <v>223</v>
      </c>
      <c r="B1749" s="19" t="s">
        <v>133</v>
      </c>
      <c r="C1749" s="20" t="s">
        <v>149</v>
      </c>
      <c r="D1749" s="14" t="str">
        <f>VLOOKUP(C1749,'State Key'!$A$2:$B$210,2,False)</f>
        <v>Maharashtra</v>
      </c>
      <c r="E1749" s="21">
        <v>2920.0</v>
      </c>
      <c r="F1749" s="22">
        <v>1032.542</v>
      </c>
      <c r="G1749" s="22">
        <v>69.79</v>
      </c>
      <c r="H1749" s="22">
        <v>0.0</v>
      </c>
      <c r="I1749" s="22">
        <v>0.0</v>
      </c>
      <c r="J1749" s="22">
        <v>126.272</v>
      </c>
      <c r="K1749" s="22">
        <v>0.0</v>
      </c>
      <c r="L1749" s="22">
        <v>1228.604</v>
      </c>
      <c r="M1749" s="22">
        <v>1089.795</v>
      </c>
      <c r="N1749" s="22">
        <v>554.89</v>
      </c>
      <c r="O1749" s="24">
        <v>15.3</v>
      </c>
      <c r="P1749" s="18">
        <f t="shared" si="1"/>
        <v>1228.604</v>
      </c>
    </row>
    <row r="1750" ht="15.75" customHeight="1">
      <c r="A1750" s="13" t="s">
        <v>223</v>
      </c>
      <c r="B1750" s="13" t="s">
        <v>133</v>
      </c>
      <c r="C1750" s="14" t="s">
        <v>150</v>
      </c>
      <c r="D1750" s="14" t="str">
        <f>VLOOKUP(C1750,'State Key'!$A$2:$B$210,2,False)</f>
        <v>Maharashtra</v>
      </c>
      <c r="E1750" s="15">
        <v>500.0</v>
      </c>
      <c r="F1750" s="16">
        <v>216.129</v>
      </c>
      <c r="G1750" s="16">
        <v>0.0</v>
      </c>
      <c r="H1750" s="16">
        <v>0.0</v>
      </c>
      <c r="I1750" s="16">
        <v>0.0</v>
      </c>
      <c r="J1750" s="16">
        <v>0.0</v>
      </c>
      <c r="K1750" s="16">
        <v>0.0</v>
      </c>
      <c r="L1750" s="16">
        <v>216.129</v>
      </c>
      <c r="M1750" s="16">
        <v>118.29</v>
      </c>
      <c r="N1750" s="16">
        <v>109.58</v>
      </c>
      <c r="O1750" s="24">
        <v>27.8</v>
      </c>
      <c r="P1750" s="18">
        <f t="shared" si="1"/>
        <v>216.129</v>
      </c>
    </row>
    <row r="1751" ht="15.75" customHeight="1">
      <c r="A1751" s="19" t="s">
        <v>223</v>
      </c>
      <c r="B1751" s="19" t="s">
        <v>133</v>
      </c>
      <c r="C1751" s="20" t="s">
        <v>151</v>
      </c>
      <c r="D1751" s="14" t="str">
        <f>VLOOKUP(C1751,'State Key'!$A$2:$B$210,2,False)</f>
        <v>Maharashtra</v>
      </c>
      <c r="E1751" s="21">
        <v>600.0</v>
      </c>
      <c r="F1751" s="22">
        <v>228.396</v>
      </c>
      <c r="G1751" s="22">
        <v>0.0</v>
      </c>
      <c r="H1751" s="22">
        <v>0.0</v>
      </c>
      <c r="I1751" s="22">
        <v>43.212</v>
      </c>
      <c r="J1751" s="22">
        <v>0.0</v>
      </c>
      <c r="K1751" s="22">
        <v>0.0</v>
      </c>
      <c r="L1751" s="22">
        <v>271.608</v>
      </c>
      <c r="M1751" s="22">
        <v>250.787</v>
      </c>
      <c r="N1751" s="22">
        <v>182.47</v>
      </c>
      <c r="O1751" s="24">
        <v>21.8</v>
      </c>
      <c r="P1751" s="18">
        <f t="shared" si="1"/>
        <v>271.608</v>
      </c>
    </row>
    <row r="1752" ht="15.75" customHeight="1">
      <c r="A1752" s="13" t="s">
        <v>223</v>
      </c>
      <c r="B1752" s="13" t="s">
        <v>133</v>
      </c>
      <c r="C1752" s="14" t="s">
        <v>152</v>
      </c>
      <c r="D1752" s="14" t="str">
        <f>VLOOKUP(C1752,'State Key'!$A$2:$B$210,2,False)</f>
        <v>Chhattisgarh</v>
      </c>
      <c r="E1752" s="15">
        <v>500.0</v>
      </c>
      <c r="F1752" s="16">
        <v>315.008</v>
      </c>
      <c r="G1752" s="16">
        <v>0.0</v>
      </c>
      <c r="H1752" s="16">
        <v>0.0</v>
      </c>
      <c r="I1752" s="16">
        <v>0.0</v>
      </c>
      <c r="J1752" s="16">
        <v>0.0</v>
      </c>
      <c r="K1752" s="16">
        <v>0.0</v>
      </c>
      <c r="L1752" s="16">
        <v>315.008</v>
      </c>
      <c r="M1752" s="16">
        <v>233.208</v>
      </c>
      <c r="N1752" s="16">
        <v>382.21</v>
      </c>
      <c r="O1752" s="24">
        <v>49.2</v>
      </c>
      <c r="P1752" s="18">
        <f t="shared" si="1"/>
        <v>315.008</v>
      </c>
    </row>
    <row r="1753" ht="15.75" customHeight="1">
      <c r="A1753" s="19" t="s">
        <v>223</v>
      </c>
      <c r="B1753" s="19" t="s">
        <v>133</v>
      </c>
      <c r="C1753" s="20" t="s">
        <v>153</v>
      </c>
      <c r="D1753" s="14" t="str">
        <f>VLOOKUP(C1753,'State Key'!$A$2:$B$210,2,False)</f>
        <v>Madhya Pradesh</v>
      </c>
      <c r="E1753" s="21">
        <v>1600.0</v>
      </c>
      <c r="F1753" s="22">
        <v>273.35</v>
      </c>
      <c r="G1753" s="22">
        <v>8.17</v>
      </c>
      <c r="H1753" s="22">
        <v>125.56</v>
      </c>
      <c r="I1753" s="22">
        <v>0.0</v>
      </c>
      <c r="J1753" s="22">
        <v>0.0</v>
      </c>
      <c r="K1753" s="22">
        <v>0.0</v>
      </c>
      <c r="L1753" s="22">
        <v>407.08</v>
      </c>
      <c r="M1753" s="22">
        <v>612.885</v>
      </c>
      <c r="N1753" s="22">
        <v>157.356</v>
      </c>
      <c r="O1753" s="23">
        <v>7.7</v>
      </c>
      <c r="P1753" s="18">
        <f t="shared" si="1"/>
        <v>407.08</v>
      </c>
    </row>
    <row r="1754" ht="15.75" customHeight="1">
      <c r="A1754" s="13" t="s">
        <v>223</v>
      </c>
      <c r="B1754" s="13" t="s">
        <v>133</v>
      </c>
      <c r="C1754" s="14" t="s">
        <v>154</v>
      </c>
      <c r="D1754" s="14" t="str">
        <f>VLOOKUP(C1754,'State Key'!$A$2:$B$210,2,False)</f>
        <v>Gujarat</v>
      </c>
      <c r="E1754" s="15">
        <v>630.0</v>
      </c>
      <c r="F1754" s="16">
        <v>147.12</v>
      </c>
      <c r="G1754" s="16">
        <v>0.0</v>
      </c>
      <c r="H1754" s="16">
        <v>0.0</v>
      </c>
      <c r="I1754" s="16">
        <v>0.0</v>
      </c>
      <c r="J1754" s="16">
        <v>15.789</v>
      </c>
      <c r="K1754" s="16">
        <v>0.0</v>
      </c>
      <c r="L1754" s="16">
        <v>162.909</v>
      </c>
      <c r="M1754" s="16">
        <v>192.842</v>
      </c>
      <c r="N1754" s="16">
        <v>204.7</v>
      </c>
      <c r="O1754" s="24">
        <v>31.8</v>
      </c>
      <c r="P1754" s="18">
        <f t="shared" si="1"/>
        <v>162.909</v>
      </c>
    </row>
    <row r="1755" ht="15.75" customHeight="1">
      <c r="A1755" s="19" t="s">
        <v>223</v>
      </c>
      <c r="B1755" s="19" t="s">
        <v>133</v>
      </c>
      <c r="C1755" s="20" t="s">
        <v>155</v>
      </c>
      <c r="D1755" s="14" t="str">
        <f>VLOOKUP(C1755,'State Key'!$A$2:$B$210,2,False)</f>
        <v>Maharashtra</v>
      </c>
      <c r="E1755" s="21">
        <v>120.0</v>
      </c>
      <c r="F1755" s="22">
        <v>0.0</v>
      </c>
      <c r="G1755" s="22">
        <v>0.0</v>
      </c>
      <c r="H1755" s="22">
        <v>0.0</v>
      </c>
      <c r="I1755" s="22">
        <v>0.0</v>
      </c>
      <c r="J1755" s="22">
        <v>0.0</v>
      </c>
      <c r="K1755" s="22">
        <v>0.0</v>
      </c>
      <c r="L1755" s="22">
        <v>0.0</v>
      </c>
      <c r="M1755" s="22">
        <v>0.0</v>
      </c>
      <c r="N1755" s="22">
        <v>0.0</v>
      </c>
      <c r="O1755" s="19" t="s">
        <v>58</v>
      </c>
      <c r="P1755" s="18">
        <f t="shared" si="1"/>
        <v>0</v>
      </c>
    </row>
    <row r="1756" ht="15.75" customHeight="1">
      <c r="A1756" s="13" t="s">
        <v>223</v>
      </c>
      <c r="B1756" s="13" t="s">
        <v>133</v>
      </c>
      <c r="C1756" s="14" t="s">
        <v>156</v>
      </c>
      <c r="D1756" s="14" t="str">
        <f>VLOOKUP(C1756,'State Key'!$A$2:$B$210,2,False)</f>
        <v>Maharashtra</v>
      </c>
      <c r="E1756" s="15">
        <v>600.0</v>
      </c>
      <c r="F1756" s="16">
        <v>112.604</v>
      </c>
      <c r="G1756" s="16">
        <v>0.0</v>
      </c>
      <c r="H1756" s="16">
        <v>0.0</v>
      </c>
      <c r="I1756" s="16">
        <v>127.638</v>
      </c>
      <c r="J1756" s="16">
        <v>0.0</v>
      </c>
      <c r="K1756" s="16">
        <v>0.0</v>
      </c>
      <c r="L1756" s="16">
        <v>240.242</v>
      </c>
      <c r="M1756" s="16">
        <v>171.653</v>
      </c>
      <c r="N1756" s="16">
        <v>82.695</v>
      </c>
      <c r="O1756" s="24">
        <v>14.5</v>
      </c>
      <c r="P1756" s="18">
        <f t="shared" si="1"/>
        <v>240.242</v>
      </c>
    </row>
    <row r="1757" ht="15.75" customHeight="1">
      <c r="A1757" s="19" t="s">
        <v>223</v>
      </c>
      <c r="B1757" s="19" t="s">
        <v>133</v>
      </c>
      <c r="C1757" s="20" t="s">
        <v>157</v>
      </c>
      <c r="D1757" s="14" t="str">
        <f>VLOOKUP(C1757,'State Key'!$A$2:$B$210,2,False)</f>
        <v>Maharashtra</v>
      </c>
      <c r="E1757" s="21">
        <v>300.0</v>
      </c>
      <c r="F1757" s="22">
        <v>0.0</v>
      </c>
      <c r="G1757" s="22">
        <v>0.0</v>
      </c>
      <c r="H1757" s="22">
        <v>0.0</v>
      </c>
      <c r="I1757" s="22">
        <v>0.0</v>
      </c>
      <c r="J1757" s="22">
        <v>125.0</v>
      </c>
      <c r="K1757" s="22">
        <v>0.0</v>
      </c>
      <c r="L1757" s="22">
        <v>125.0</v>
      </c>
      <c r="M1757" s="22">
        <v>72.3</v>
      </c>
      <c r="N1757" s="22">
        <v>58.11</v>
      </c>
      <c r="O1757" s="24">
        <v>24.1</v>
      </c>
      <c r="P1757" s="18">
        <f t="shared" si="1"/>
        <v>125</v>
      </c>
    </row>
    <row r="1758" ht="15.75" customHeight="1">
      <c r="A1758" s="13" t="s">
        <v>223</v>
      </c>
      <c r="B1758" s="13" t="s">
        <v>133</v>
      </c>
      <c r="C1758" s="14" t="s">
        <v>158</v>
      </c>
      <c r="D1758" s="14" t="str">
        <f>VLOOKUP(C1758,'State Key'!$A$2:$B$210,2,False)</f>
        <v>Chhattisgarh</v>
      </c>
      <c r="E1758" s="15">
        <v>270.0</v>
      </c>
      <c r="F1758" s="16">
        <v>38.1592</v>
      </c>
      <c r="G1758" s="16">
        <v>0.0</v>
      </c>
      <c r="H1758" s="16">
        <v>0.0</v>
      </c>
      <c r="I1758" s="16">
        <v>0.0</v>
      </c>
      <c r="J1758" s="16">
        <v>0.0</v>
      </c>
      <c r="K1758" s="16">
        <v>184.0</v>
      </c>
      <c r="L1758" s="16">
        <v>222.1592</v>
      </c>
      <c r="M1758" s="16">
        <v>115.73</v>
      </c>
      <c r="N1758" s="16">
        <v>66.0938</v>
      </c>
      <c r="O1758" s="24">
        <v>17.1</v>
      </c>
      <c r="P1758" s="18">
        <f t="shared" si="1"/>
        <v>222.1592</v>
      </c>
    </row>
    <row r="1759" ht="15.75" customHeight="1">
      <c r="A1759" s="19" t="s">
        <v>223</v>
      </c>
      <c r="B1759" s="19" t="s">
        <v>133</v>
      </c>
      <c r="C1759" s="20" t="s">
        <v>159</v>
      </c>
      <c r="D1759" s="14" t="str">
        <f>VLOOKUP(C1759,'State Key'!$A$2:$B$210,2,False)</f>
        <v>Chhattisgarh</v>
      </c>
      <c r="E1759" s="21">
        <v>35.0</v>
      </c>
      <c r="F1759" s="22">
        <v>0.0</v>
      </c>
      <c r="G1759" s="22">
        <v>0.0</v>
      </c>
      <c r="H1759" s="22">
        <v>0.0</v>
      </c>
      <c r="I1759" s="22">
        <v>0.0</v>
      </c>
      <c r="J1759" s="22">
        <v>0.0</v>
      </c>
      <c r="K1759" s="22">
        <v>0.0</v>
      </c>
      <c r="L1759" s="22">
        <v>0.0</v>
      </c>
      <c r="M1759" s="22">
        <v>0.0</v>
      </c>
      <c r="N1759" s="22">
        <v>0.0</v>
      </c>
      <c r="O1759" s="19" t="s">
        <v>58</v>
      </c>
      <c r="P1759" s="18">
        <f t="shared" si="1"/>
        <v>0</v>
      </c>
    </row>
    <row r="1760" ht="15.75" customHeight="1">
      <c r="A1760" s="13" t="s">
        <v>223</v>
      </c>
      <c r="B1760" s="13" t="s">
        <v>133</v>
      </c>
      <c r="C1760" s="14" t="s">
        <v>160</v>
      </c>
      <c r="D1760" s="14" t="str">
        <f>VLOOKUP(C1760,'State Key'!$A$2:$B$210,2,False)</f>
        <v>Maharashtra</v>
      </c>
      <c r="E1760" s="15">
        <v>1340.0</v>
      </c>
      <c r="F1760" s="16">
        <v>542.964</v>
      </c>
      <c r="G1760" s="16">
        <v>0.0</v>
      </c>
      <c r="H1760" s="16">
        <v>0.0</v>
      </c>
      <c r="I1760" s="16">
        <v>0.0</v>
      </c>
      <c r="J1760" s="16">
        <v>41.334</v>
      </c>
      <c r="K1760" s="16">
        <v>0.0</v>
      </c>
      <c r="L1760" s="16">
        <v>584.298</v>
      </c>
      <c r="M1760" s="16">
        <v>582.487</v>
      </c>
      <c r="N1760" s="16">
        <v>178.34</v>
      </c>
      <c r="O1760" s="23">
        <v>9.2</v>
      </c>
      <c r="P1760" s="18">
        <f t="shared" si="1"/>
        <v>584.298</v>
      </c>
    </row>
    <row r="1761" ht="15.75" customHeight="1">
      <c r="A1761" s="19" t="s">
        <v>223</v>
      </c>
      <c r="B1761" s="19" t="s">
        <v>133</v>
      </c>
      <c r="C1761" s="20" t="s">
        <v>161</v>
      </c>
      <c r="D1761" s="14" t="str">
        <f>VLOOKUP(C1761,'State Key'!$A$2:$B$210,2,False)</f>
        <v>Madhya Pradesh</v>
      </c>
      <c r="E1761" s="21">
        <v>1320.0</v>
      </c>
      <c r="F1761" s="22">
        <v>397.94</v>
      </c>
      <c r="G1761" s="22">
        <v>16.3</v>
      </c>
      <c r="H1761" s="22">
        <v>108.65</v>
      </c>
      <c r="I1761" s="22">
        <v>0.0</v>
      </c>
      <c r="J1761" s="22">
        <v>69.07</v>
      </c>
      <c r="K1761" s="22">
        <v>0.0</v>
      </c>
      <c r="L1761" s="22">
        <v>591.96</v>
      </c>
      <c r="M1761" s="22">
        <v>482.591</v>
      </c>
      <c r="N1761" s="22">
        <v>444.2</v>
      </c>
      <c r="O1761" s="24">
        <v>27.6</v>
      </c>
      <c r="P1761" s="18">
        <f t="shared" si="1"/>
        <v>591.96</v>
      </c>
    </row>
    <row r="1762" ht="15.75" customHeight="1">
      <c r="A1762" s="13" t="s">
        <v>223</v>
      </c>
      <c r="B1762" s="13" t="s">
        <v>133</v>
      </c>
      <c r="C1762" s="14" t="s">
        <v>162</v>
      </c>
      <c r="D1762" s="14" t="str">
        <f>VLOOKUP(C1762,'State Key'!$A$2:$B$210,2,False)</f>
        <v>Maharashtra</v>
      </c>
      <c r="E1762" s="15">
        <v>2190.0</v>
      </c>
      <c r="F1762" s="16">
        <v>984.771</v>
      </c>
      <c r="G1762" s="16">
        <v>7.772</v>
      </c>
      <c r="H1762" s="16">
        <v>0.0</v>
      </c>
      <c r="I1762" s="16">
        <v>0.0</v>
      </c>
      <c r="J1762" s="16">
        <v>0.0</v>
      </c>
      <c r="K1762" s="16">
        <v>0.0</v>
      </c>
      <c r="L1762" s="16">
        <v>992.543</v>
      </c>
      <c r="M1762" s="16">
        <v>947.083</v>
      </c>
      <c r="N1762" s="16">
        <v>340.324</v>
      </c>
      <c r="O1762" s="23">
        <v>10.8</v>
      </c>
      <c r="P1762" s="18">
        <f t="shared" si="1"/>
        <v>992.543</v>
      </c>
    </row>
    <row r="1763" ht="15.75" customHeight="1">
      <c r="A1763" s="19" t="s">
        <v>223</v>
      </c>
      <c r="B1763" s="19" t="s">
        <v>133</v>
      </c>
      <c r="C1763" s="20" t="s">
        <v>163</v>
      </c>
      <c r="D1763" s="14" t="str">
        <f>VLOOKUP(C1763,'State Key'!$A$2:$B$210,2,False)</f>
        <v>Chhattisgarh</v>
      </c>
      <c r="E1763" s="21">
        <v>2600.0</v>
      </c>
      <c r="F1763" s="22">
        <v>1251.77</v>
      </c>
      <c r="G1763" s="22">
        <v>0.0</v>
      </c>
      <c r="H1763" s="22">
        <v>0.0</v>
      </c>
      <c r="I1763" s="22">
        <v>0.0</v>
      </c>
      <c r="J1763" s="22">
        <v>0.0</v>
      </c>
      <c r="K1763" s="22">
        <v>0.0</v>
      </c>
      <c r="L1763" s="22">
        <v>1251.77</v>
      </c>
      <c r="M1763" s="22">
        <v>1143.11</v>
      </c>
      <c r="N1763" s="22">
        <v>341.866</v>
      </c>
      <c r="O1763" s="23">
        <v>9.0</v>
      </c>
      <c r="P1763" s="18">
        <f t="shared" si="1"/>
        <v>1251.77</v>
      </c>
    </row>
    <row r="1764" ht="15.75" customHeight="1">
      <c r="A1764" s="13" t="s">
        <v>223</v>
      </c>
      <c r="B1764" s="13" t="s">
        <v>133</v>
      </c>
      <c r="C1764" s="14" t="s">
        <v>164</v>
      </c>
      <c r="D1764" s="14" t="str">
        <f>VLOOKUP(C1764,'State Key'!$A$2:$B$210,2,False)</f>
        <v>Chhattisgarh</v>
      </c>
      <c r="E1764" s="15">
        <v>1340.0</v>
      </c>
      <c r="F1764" s="16">
        <v>613.123</v>
      </c>
      <c r="G1764" s="16">
        <v>0.0</v>
      </c>
      <c r="H1764" s="16">
        <v>0.0</v>
      </c>
      <c r="I1764" s="16">
        <v>0.0</v>
      </c>
      <c r="J1764" s="16">
        <v>0.0</v>
      </c>
      <c r="K1764" s="16">
        <v>0.0</v>
      </c>
      <c r="L1764" s="16">
        <v>613.123</v>
      </c>
      <c r="M1764" s="16">
        <v>585.448</v>
      </c>
      <c r="N1764" s="16">
        <v>211.945</v>
      </c>
      <c r="O1764" s="23">
        <v>10.9</v>
      </c>
      <c r="P1764" s="18">
        <f t="shared" si="1"/>
        <v>613.123</v>
      </c>
    </row>
    <row r="1765" ht="15.75" customHeight="1">
      <c r="A1765" s="19" t="s">
        <v>223</v>
      </c>
      <c r="B1765" s="19" t="s">
        <v>133</v>
      </c>
      <c r="C1765" s="20" t="s">
        <v>165</v>
      </c>
      <c r="D1765" s="14" t="str">
        <f>VLOOKUP(C1765,'State Key'!$A$2:$B$210,2,False)</f>
        <v>Chhattisgarh</v>
      </c>
      <c r="E1765" s="21">
        <v>1600.0</v>
      </c>
      <c r="F1765" s="22">
        <v>11.11</v>
      </c>
      <c r="G1765" s="22">
        <v>0.0</v>
      </c>
      <c r="H1765" s="22">
        <v>667.67</v>
      </c>
      <c r="I1765" s="22">
        <v>0.0</v>
      </c>
      <c r="J1765" s="22">
        <v>0.0</v>
      </c>
      <c r="K1765" s="22">
        <v>0.0</v>
      </c>
      <c r="L1765" s="22">
        <v>678.78</v>
      </c>
      <c r="M1765" s="22">
        <v>757.012</v>
      </c>
      <c r="N1765" s="22">
        <v>455.74</v>
      </c>
      <c r="O1765" s="24">
        <v>18.1</v>
      </c>
      <c r="P1765" s="18">
        <f t="shared" si="1"/>
        <v>678.78</v>
      </c>
    </row>
    <row r="1766" ht="15.75" customHeight="1">
      <c r="A1766" s="13" t="s">
        <v>223</v>
      </c>
      <c r="B1766" s="13" t="s">
        <v>133</v>
      </c>
      <c r="C1766" s="14" t="s">
        <v>166</v>
      </c>
      <c r="D1766" s="14" t="str">
        <f>VLOOKUP(C1766,'State Key'!$A$2:$B$210,2,False)</f>
        <v>Madhya Pradesh</v>
      </c>
      <c r="E1766" s="15">
        <v>1200.0</v>
      </c>
      <c r="F1766" s="16">
        <v>100.386</v>
      </c>
      <c r="G1766" s="16">
        <v>0.0</v>
      </c>
      <c r="H1766" s="16">
        <v>0.0</v>
      </c>
      <c r="I1766" s="16">
        <v>0.0</v>
      </c>
      <c r="J1766" s="16">
        <v>0.0</v>
      </c>
      <c r="K1766" s="16">
        <v>250.19</v>
      </c>
      <c r="L1766" s="16">
        <v>350.576</v>
      </c>
      <c r="M1766" s="16">
        <v>419.553</v>
      </c>
      <c r="N1766" s="16">
        <v>316.6</v>
      </c>
      <c r="O1766" s="24">
        <v>22.6</v>
      </c>
      <c r="P1766" s="18">
        <f t="shared" si="1"/>
        <v>350.576</v>
      </c>
    </row>
    <row r="1767" ht="15.75" customHeight="1">
      <c r="A1767" s="19" t="s">
        <v>223</v>
      </c>
      <c r="B1767" s="19" t="s">
        <v>133</v>
      </c>
      <c r="C1767" s="20" t="s">
        <v>167</v>
      </c>
      <c r="D1767" s="14" t="str">
        <f>VLOOKUP(C1767,'State Key'!$A$2:$B$210,2,False)</f>
        <v>Chhattisgarh</v>
      </c>
      <c r="E1767" s="21">
        <v>1000.0</v>
      </c>
      <c r="F1767" s="22">
        <v>152.51</v>
      </c>
      <c r="G1767" s="22">
        <v>0.0</v>
      </c>
      <c r="H1767" s="22">
        <v>385.204</v>
      </c>
      <c r="I1767" s="22">
        <v>0.0</v>
      </c>
      <c r="J1767" s="22">
        <v>0.0</v>
      </c>
      <c r="K1767" s="22">
        <v>0.0</v>
      </c>
      <c r="L1767" s="22">
        <v>537.714</v>
      </c>
      <c r="M1767" s="22">
        <v>413.614</v>
      </c>
      <c r="N1767" s="22">
        <v>380.35</v>
      </c>
      <c r="O1767" s="24">
        <v>27.6</v>
      </c>
      <c r="P1767" s="18">
        <f t="shared" si="1"/>
        <v>537.714</v>
      </c>
    </row>
    <row r="1768" ht="15.75" customHeight="1">
      <c r="A1768" s="13" t="s">
        <v>223</v>
      </c>
      <c r="B1768" s="13" t="s">
        <v>133</v>
      </c>
      <c r="C1768" s="14" t="s">
        <v>168</v>
      </c>
      <c r="D1768" s="14" t="str">
        <f>VLOOKUP(C1768,'State Key'!$A$2:$B$210,2,False)</f>
        <v>Maharashtra</v>
      </c>
      <c r="E1768" s="15">
        <v>2320.0</v>
      </c>
      <c r="F1768" s="16">
        <v>871.44</v>
      </c>
      <c r="G1768" s="16">
        <v>69.53</v>
      </c>
      <c r="H1768" s="16">
        <v>0.0</v>
      </c>
      <c r="I1768" s="16">
        <v>0.0</v>
      </c>
      <c r="J1768" s="16">
        <v>147.07</v>
      </c>
      <c r="K1768" s="16">
        <v>0.0</v>
      </c>
      <c r="L1768" s="16">
        <v>1088.04</v>
      </c>
      <c r="M1768" s="16">
        <v>1006.848</v>
      </c>
      <c r="N1768" s="16">
        <v>562.718</v>
      </c>
      <c r="O1768" s="24">
        <v>16.8</v>
      </c>
      <c r="P1768" s="18">
        <f t="shared" si="1"/>
        <v>1088.04</v>
      </c>
    </row>
    <row r="1769" ht="15.75" customHeight="1">
      <c r="A1769" s="19" t="s">
        <v>223</v>
      </c>
      <c r="B1769" s="19" t="s">
        <v>133</v>
      </c>
      <c r="C1769" s="20" t="s">
        <v>169</v>
      </c>
      <c r="D1769" s="14" t="str">
        <f>VLOOKUP(C1769,'State Key'!$A$2:$B$210,2,False)</f>
        <v>Madhya Pradesh</v>
      </c>
      <c r="E1769" s="21">
        <v>246.0</v>
      </c>
      <c r="F1769" s="22">
        <v>0.0</v>
      </c>
      <c r="G1769" s="22">
        <v>0.0</v>
      </c>
      <c r="H1769" s="22">
        <v>0.0</v>
      </c>
      <c r="I1769" s="22">
        <v>0.0</v>
      </c>
      <c r="J1769" s="22">
        <v>0.0</v>
      </c>
      <c r="K1769" s="22">
        <v>0.0</v>
      </c>
      <c r="L1769" s="22">
        <v>0.0</v>
      </c>
      <c r="M1769" s="22">
        <v>0.0</v>
      </c>
      <c r="N1769" s="22">
        <v>0.0</v>
      </c>
      <c r="O1769" s="19" t="s">
        <v>58</v>
      </c>
      <c r="P1769" s="18">
        <f t="shared" si="1"/>
        <v>0</v>
      </c>
    </row>
    <row r="1770" ht="15.75" customHeight="1">
      <c r="A1770" s="13" t="s">
        <v>223</v>
      </c>
      <c r="B1770" s="13" t="s">
        <v>133</v>
      </c>
      <c r="C1770" s="14" t="s">
        <v>172</v>
      </c>
      <c r="D1770" s="14" t="str">
        <f>VLOOKUP(C1770,'State Key'!$A$2:$B$210,2,False)</f>
        <v>Gujarat</v>
      </c>
      <c r="E1770" s="15">
        <v>4000.0</v>
      </c>
      <c r="F1770" s="16">
        <v>0.0</v>
      </c>
      <c r="G1770" s="16">
        <v>0.0</v>
      </c>
      <c r="H1770" s="16">
        <v>0.0</v>
      </c>
      <c r="I1770" s="16">
        <v>0.0</v>
      </c>
      <c r="J1770" s="16">
        <v>517.488</v>
      </c>
      <c r="K1770" s="16">
        <v>0.0</v>
      </c>
      <c r="L1770" s="16">
        <v>517.488</v>
      </c>
      <c r="M1770" s="16">
        <v>760.806</v>
      </c>
      <c r="N1770" s="16">
        <v>442.75</v>
      </c>
      <c r="O1770" s="24">
        <v>17.5</v>
      </c>
      <c r="P1770" s="18">
        <f t="shared" si="1"/>
        <v>517.488</v>
      </c>
    </row>
    <row r="1771" ht="15.75" customHeight="1">
      <c r="A1771" s="19" t="s">
        <v>223</v>
      </c>
      <c r="B1771" s="19" t="s">
        <v>133</v>
      </c>
      <c r="C1771" s="20" t="s">
        <v>173</v>
      </c>
      <c r="D1771" s="14" t="str">
        <f>VLOOKUP(C1771,'State Key'!$A$2:$B$210,2,False)</f>
        <v>Maharashtra</v>
      </c>
      <c r="E1771" s="21">
        <v>1350.0</v>
      </c>
      <c r="F1771" s="22">
        <v>0.0</v>
      </c>
      <c r="G1771" s="22">
        <v>0.0</v>
      </c>
      <c r="H1771" s="22">
        <v>0.0</v>
      </c>
      <c r="I1771" s="22">
        <v>0.0</v>
      </c>
      <c r="J1771" s="22">
        <v>0.0</v>
      </c>
      <c r="K1771" s="22">
        <v>0.0</v>
      </c>
      <c r="L1771" s="22">
        <v>0.0</v>
      </c>
      <c r="M1771" s="22">
        <v>0.0</v>
      </c>
      <c r="N1771" s="22">
        <v>0.0</v>
      </c>
      <c r="O1771" s="19" t="s">
        <v>58</v>
      </c>
      <c r="P1771" s="18">
        <f t="shared" si="1"/>
        <v>0</v>
      </c>
    </row>
    <row r="1772" ht="15.75" customHeight="1">
      <c r="A1772" s="13" t="s">
        <v>223</v>
      </c>
      <c r="B1772" s="13" t="s">
        <v>133</v>
      </c>
      <c r="C1772" s="14" t="s">
        <v>174</v>
      </c>
      <c r="D1772" s="14" t="str">
        <f>VLOOKUP(C1772,'State Key'!$A$2:$B$210,2,False)</f>
        <v>Maharashtra</v>
      </c>
      <c r="E1772" s="15">
        <v>630.0</v>
      </c>
      <c r="F1772" s="16">
        <v>201.538</v>
      </c>
      <c r="G1772" s="16">
        <v>0.0</v>
      </c>
      <c r="H1772" s="16">
        <v>0.0</v>
      </c>
      <c r="I1772" s="16">
        <v>0.0</v>
      </c>
      <c r="J1772" s="16">
        <v>23.212</v>
      </c>
      <c r="K1772" s="16">
        <v>0.0</v>
      </c>
      <c r="L1772" s="16">
        <v>224.75</v>
      </c>
      <c r="M1772" s="16">
        <v>198.071</v>
      </c>
      <c r="N1772" s="16">
        <v>154.16</v>
      </c>
      <c r="O1772" s="24">
        <v>23.3</v>
      </c>
      <c r="P1772" s="18">
        <f t="shared" si="1"/>
        <v>224.75</v>
      </c>
    </row>
    <row r="1773" ht="15.75" customHeight="1">
      <c r="A1773" s="19" t="s">
        <v>223</v>
      </c>
      <c r="B1773" s="19" t="s">
        <v>133</v>
      </c>
      <c r="C1773" s="20" t="s">
        <v>175</v>
      </c>
      <c r="D1773" s="14" t="str">
        <f>VLOOKUP(C1773,'State Key'!$A$2:$B$210,2,False)</f>
        <v>Chhattisgarh</v>
      </c>
      <c r="E1773" s="21">
        <v>600.0</v>
      </c>
      <c r="F1773" s="22">
        <v>280.89</v>
      </c>
      <c r="G1773" s="22">
        <v>0.0</v>
      </c>
      <c r="H1773" s="22">
        <v>0.0</v>
      </c>
      <c r="I1773" s="22">
        <v>10.58</v>
      </c>
      <c r="J1773" s="22">
        <v>0.0</v>
      </c>
      <c r="K1773" s="22">
        <v>0.0</v>
      </c>
      <c r="L1773" s="22">
        <v>291.47</v>
      </c>
      <c r="M1773" s="22">
        <v>211.77</v>
      </c>
      <c r="N1773" s="22">
        <v>270.88</v>
      </c>
      <c r="O1773" s="24">
        <v>38.4</v>
      </c>
      <c r="P1773" s="18">
        <f t="shared" si="1"/>
        <v>291.47</v>
      </c>
    </row>
    <row r="1774" ht="15.75" customHeight="1">
      <c r="A1774" s="13" t="s">
        <v>223</v>
      </c>
      <c r="B1774" s="13" t="s">
        <v>133</v>
      </c>
      <c r="C1774" s="14" t="s">
        <v>176</v>
      </c>
      <c r="D1774" s="14" t="str">
        <f>VLOOKUP(C1774,'State Key'!$A$2:$B$210,2,False)</f>
        <v>Madhya Pradesh</v>
      </c>
      <c r="E1774" s="15">
        <v>1320.0</v>
      </c>
      <c r="F1774" s="16">
        <v>0.0</v>
      </c>
      <c r="G1774" s="16">
        <v>0.0</v>
      </c>
      <c r="H1774" s="16">
        <v>389.3112</v>
      </c>
      <c r="I1774" s="16">
        <v>138.1584</v>
      </c>
      <c r="J1774" s="16">
        <v>0.0</v>
      </c>
      <c r="K1774" s="16">
        <v>0.0</v>
      </c>
      <c r="L1774" s="16">
        <v>527.4696</v>
      </c>
      <c r="M1774" s="16">
        <v>478.102</v>
      </c>
      <c r="N1774" s="16">
        <v>345.6475</v>
      </c>
      <c r="O1774" s="24">
        <v>21.7</v>
      </c>
      <c r="P1774" s="18">
        <f t="shared" si="1"/>
        <v>527.4696</v>
      </c>
    </row>
    <row r="1775" ht="15.75" customHeight="1">
      <c r="A1775" s="19" t="s">
        <v>223</v>
      </c>
      <c r="B1775" s="19" t="s">
        <v>133</v>
      </c>
      <c r="C1775" s="20" t="s">
        <v>177</v>
      </c>
      <c r="D1775" s="14" t="str">
        <f>VLOOKUP(C1775,'State Key'!$A$2:$B$210,2,False)</f>
        <v>Madhya Pradesh</v>
      </c>
      <c r="E1775" s="21">
        <v>90.0</v>
      </c>
      <c r="F1775" s="22">
        <v>25.09</v>
      </c>
      <c r="G1775" s="22">
        <v>0.0</v>
      </c>
      <c r="H1775" s="22">
        <v>0.0</v>
      </c>
      <c r="I1775" s="22">
        <v>0.0</v>
      </c>
      <c r="J1775" s="22">
        <v>0.0</v>
      </c>
      <c r="K1775" s="22">
        <v>17.52</v>
      </c>
      <c r="L1775" s="22">
        <v>42.61</v>
      </c>
      <c r="M1775" s="22">
        <v>40.62</v>
      </c>
      <c r="N1775" s="22">
        <v>79.62</v>
      </c>
      <c r="O1775" s="24">
        <v>58.8</v>
      </c>
      <c r="P1775" s="18">
        <f t="shared" si="1"/>
        <v>42.61</v>
      </c>
    </row>
    <row r="1776" ht="15.75" customHeight="1">
      <c r="A1776" s="13" t="s">
        <v>223</v>
      </c>
      <c r="B1776" s="13" t="s">
        <v>133</v>
      </c>
      <c r="C1776" s="14" t="s">
        <v>178</v>
      </c>
      <c r="D1776" s="14" t="str">
        <f>VLOOKUP(C1776,'State Key'!$A$2:$B$210,2,False)</f>
        <v>Chhattisgarh</v>
      </c>
      <c r="E1776" s="15">
        <v>1000.0</v>
      </c>
      <c r="F1776" s="16">
        <v>0.0</v>
      </c>
      <c r="G1776" s="16">
        <v>0.0</v>
      </c>
      <c r="H1776" s="16">
        <v>0.0</v>
      </c>
      <c r="I1776" s="16">
        <v>303.828</v>
      </c>
      <c r="J1776" s="16">
        <v>0.0</v>
      </c>
      <c r="K1776" s="16">
        <v>38.92</v>
      </c>
      <c r="L1776" s="16">
        <v>342.748</v>
      </c>
      <c r="M1776" s="16">
        <v>451.063</v>
      </c>
      <c r="N1776" s="16">
        <v>253.623</v>
      </c>
      <c r="O1776" s="24">
        <v>16.9</v>
      </c>
      <c r="P1776" s="18">
        <f t="shared" si="1"/>
        <v>342.748</v>
      </c>
    </row>
    <row r="1777" ht="15.75" customHeight="1">
      <c r="A1777" s="19" t="s">
        <v>223</v>
      </c>
      <c r="B1777" s="19" t="s">
        <v>133</v>
      </c>
      <c r="C1777" s="20" t="s">
        <v>179</v>
      </c>
      <c r="D1777" s="14" t="str">
        <f>VLOOKUP(C1777,'State Key'!$A$2:$B$210,2,False)</f>
        <v>Maharashtra</v>
      </c>
      <c r="E1777" s="21">
        <v>500.0</v>
      </c>
      <c r="F1777" s="22">
        <v>237.625</v>
      </c>
      <c r="G1777" s="22">
        <v>0.0</v>
      </c>
      <c r="H1777" s="22">
        <v>0.0</v>
      </c>
      <c r="I1777" s="22">
        <v>0.0</v>
      </c>
      <c r="J1777" s="22">
        <v>0.0</v>
      </c>
      <c r="K1777" s="22">
        <v>0.0</v>
      </c>
      <c r="L1777" s="22">
        <v>237.625</v>
      </c>
      <c r="M1777" s="22">
        <v>242.553</v>
      </c>
      <c r="N1777" s="22">
        <v>70.6</v>
      </c>
      <c r="O1777" s="23">
        <v>8.7</v>
      </c>
      <c r="P1777" s="18">
        <f t="shared" si="1"/>
        <v>237.625</v>
      </c>
    </row>
    <row r="1778" ht="15.75" customHeight="1">
      <c r="A1778" s="13" t="s">
        <v>223</v>
      </c>
      <c r="B1778" s="13" t="s">
        <v>133</v>
      </c>
      <c r="C1778" s="14" t="s">
        <v>180</v>
      </c>
      <c r="D1778" s="14" t="str">
        <f>VLOOKUP(C1778,'State Key'!$A$2:$B$210,2,False)</f>
        <v>Maharashtra</v>
      </c>
      <c r="E1778" s="15">
        <v>750.0</v>
      </c>
      <c r="F1778" s="16">
        <v>59.823</v>
      </c>
      <c r="G1778" s="16">
        <v>190.796</v>
      </c>
      <c r="H1778" s="16">
        <v>0.0</v>
      </c>
      <c r="I1778" s="16">
        <v>0.0</v>
      </c>
      <c r="J1778" s="16">
        <v>0.0</v>
      </c>
      <c r="K1778" s="16">
        <v>0.0</v>
      </c>
      <c r="L1778" s="16">
        <v>250.619</v>
      </c>
      <c r="M1778" s="16">
        <v>270.106</v>
      </c>
      <c r="N1778" s="16">
        <v>77.21</v>
      </c>
      <c r="O1778" s="23">
        <v>8.6</v>
      </c>
      <c r="P1778" s="18">
        <f t="shared" si="1"/>
        <v>250.619</v>
      </c>
    </row>
    <row r="1779" ht="15.75" customHeight="1">
      <c r="A1779" s="19" t="s">
        <v>223</v>
      </c>
      <c r="B1779" s="19" t="s">
        <v>133</v>
      </c>
      <c r="C1779" s="20" t="s">
        <v>181</v>
      </c>
      <c r="D1779" s="14" t="str">
        <f>VLOOKUP(C1779,'State Key'!$A$2:$B$210,2,False)</f>
        <v>Chhattisgarh</v>
      </c>
      <c r="E1779" s="21">
        <v>600.0</v>
      </c>
      <c r="F1779" s="22">
        <v>217.89</v>
      </c>
      <c r="G1779" s="22">
        <v>0.0</v>
      </c>
      <c r="H1779" s="22">
        <v>0.0</v>
      </c>
      <c r="I1779" s="22">
        <v>0.0</v>
      </c>
      <c r="J1779" s="22">
        <v>0.0</v>
      </c>
      <c r="K1779" s="22">
        <v>0.0</v>
      </c>
      <c r="L1779" s="22">
        <v>217.89</v>
      </c>
      <c r="M1779" s="22">
        <v>239.06</v>
      </c>
      <c r="N1779" s="22">
        <v>194.98</v>
      </c>
      <c r="O1779" s="24">
        <v>24.5</v>
      </c>
      <c r="P1779" s="18">
        <f t="shared" si="1"/>
        <v>217.89</v>
      </c>
    </row>
    <row r="1780" ht="15.75" customHeight="1">
      <c r="A1780" s="13" t="s">
        <v>223</v>
      </c>
      <c r="B1780" s="13" t="s">
        <v>133</v>
      </c>
      <c r="C1780" s="14" t="s">
        <v>183</v>
      </c>
      <c r="D1780" s="14" t="str">
        <f>VLOOKUP(C1780,'State Key'!$A$2:$B$210,2,False)</f>
        <v>Chhattisgarh</v>
      </c>
      <c r="E1780" s="15">
        <v>100.0</v>
      </c>
      <c r="F1780" s="16">
        <v>5.0</v>
      </c>
      <c r="G1780" s="16">
        <v>0.0</v>
      </c>
      <c r="H1780" s="16">
        <v>0.0</v>
      </c>
      <c r="I1780" s="16">
        <v>0.0</v>
      </c>
      <c r="J1780" s="16">
        <v>0.0</v>
      </c>
      <c r="K1780" s="16">
        <v>73.452</v>
      </c>
      <c r="L1780" s="16">
        <v>78.452</v>
      </c>
      <c r="M1780" s="16">
        <v>77.348</v>
      </c>
      <c r="N1780" s="16">
        <v>23.41</v>
      </c>
      <c r="O1780" s="23">
        <v>9.1</v>
      </c>
      <c r="P1780" s="18">
        <f t="shared" si="1"/>
        <v>78.452</v>
      </c>
    </row>
    <row r="1781" ht="15.75" customHeight="1">
      <c r="A1781" s="19" t="s">
        <v>223</v>
      </c>
      <c r="B1781" s="19" t="s">
        <v>133</v>
      </c>
      <c r="C1781" s="20" t="s">
        <v>184</v>
      </c>
      <c r="D1781" s="14" t="str">
        <f>VLOOKUP(C1781,'State Key'!$A$2:$B$210,2,False)</f>
        <v>Gujarat</v>
      </c>
      <c r="E1781" s="21">
        <v>362.0</v>
      </c>
      <c r="F1781" s="22">
        <v>100.69</v>
      </c>
      <c r="G1781" s="22">
        <v>0.0</v>
      </c>
      <c r="H1781" s="22">
        <v>0.0</v>
      </c>
      <c r="I1781" s="22">
        <v>0.0</v>
      </c>
      <c r="J1781" s="22">
        <v>27.372</v>
      </c>
      <c r="K1781" s="22">
        <v>0.0</v>
      </c>
      <c r="L1781" s="22">
        <v>128.062</v>
      </c>
      <c r="M1781" s="22">
        <v>142.4289</v>
      </c>
      <c r="N1781" s="22">
        <v>109.05</v>
      </c>
      <c r="O1781" s="24">
        <v>23.0</v>
      </c>
      <c r="P1781" s="18">
        <f t="shared" si="1"/>
        <v>128.062</v>
      </c>
    </row>
    <row r="1782" ht="15.75" customHeight="1">
      <c r="A1782" s="13" t="s">
        <v>223</v>
      </c>
      <c r="B1782" s="13" t="s">
        <v>133</v>
      </c>
      <c r="C1782" s="14" t="s">
        <v>185</v>
      </c>
      <c r="D1782" s="14" t="str">
        <f>VLOOKUP(C1782,'State Key'!$A$2:$B$210,2,False)</f>
        <v>Gujarat</v>
      </c>
      <c r="E1782" s="15">
        <v>1200.0</v>
      </c>
      <c r="F1782" s="16">
        <v>0.0</v>
      </c>
      <c r="G1782" s="16">
        <v>0.0</v>
      </c>
      <c r="H1782" s="16">
        <v>0.0</v>
      </c>
      <c r="I1782" s="16">
        <v>0.0</v>
      </c>
      <c r="J1782" s="16">
        <v>124.617</v>
      </c>
      <c r="K1782" s="16">
        <v>0.0</v>
      </c>
      <c r="L1782" s="16">
        <v>124.617</v>
      </c>
      <c r="M1782" s="16">
        <v>77.097</v>
      </c>
      <c r="N1782" s="16">
        <v>66.36</v>
      </c>
      <c r="O1782" s="24">
        <v>25.8</v>
      </c>
      <c r="P1782" s="18">
        <f t="shared" si="1"/>
        <v>124.617</v>
      </c>
    </row>
    <row r="1783" ht="15.75" customHeight="1">
      <c r="A1783" s="19" t="s">
        <v>223</v>
      </c>
      <c r="B1783" s="19" t="s">
        <v>133</v>
      </c>
      <c r="C1783" s="20" t="s">
        <v>186</v>
      </c>
      <c r="D1783" s="14" t="str">
        <f>VLOOKUP(C1783,'State Key'!$A$2:$B$210,2,False)</f>
        <v>Chhattisgarh</v>
      </c>
      <c r="E1783" s="21">
        <v>135.0</v>
      </c>
      <c r="F1783" s="22">
        <v>0.0</v>
      </c>
      <c r="G1783" s="22">
        <v>0.0</v>
      </c>
      <c r="H1783" s="22">
        <v>0.0</v>
      </c>
      <c r="I1783" s="22">
        <v>0.0</v>
      </c>
      <c r="J1783" s="22">
        <v>0.0</v>
      </c>
      <c r="K1783" s="22">
        <v>0.0</v>
      </c>
      <c r="L1783" s="22">
        <v>0.0</v>
      </c>
      <c r="M1783" s="22">
        <v>0.0</v>
      </c>
      <c r="N1783" s="22">
        <v>0.0</v>
      </c>
      <c r="O1783" s="19" t="s">
        <v>58</v>
      </c>
      <c r="P1783" s="18">
        <f t="shared" si="1"/>
        <v>0</v>
      </c>
    </row>
    <row r="1784" ht="15.75" customHeight="1">
      <c r="A1784" s="13" t="s">
        <v>223</v>
      </c>
      <c r="B1784" s="13" t="s">
        <v>133</v>
      </c>
      <c r="C1784" s="14" t="s">
        <v>187</v>
      </c>
      <c r="D1784" s="14" t="str">
        <f>VLOOKUP(C1784,'State Key'!$A$2:$B$210,2,False)</f>
        <v>Madhya Pradesh</v>
      </c>
      <c r="E1784" s="15">
        <v>1340.0</v>
      </c>
      <c r="F1784" s="16">
        <v>597.158</v>
      </c>
      <c r="G1784" s="16">
        <v>0.0</v>
      </c>
      <c r="H1784" s="16">
        <v>0.0</v>
      </c>
      <c r="I1784" s="16">
        <v>0.0</v>
      </c>
      <c r="J1784" s="16">
        <v>0.0</v>
      </c>
      <c r="K1784" s="16">
        <v>0.0</v>
      </c>
      <c r="L1784" s="16">
        <v>597.158</v>
      </c>
      <c r="M1784" s="16">
        <v>466.06</v>
      </c>
      <c r="N1784" s="16">
        <v>247.06</v>
      </c>
      <c r="O1784" s="24">
        <v>15.9</v>
      </c>
      <c r="P1784" s="18">
        <f t="shared" si="1"/>
        <v>597.158</v>
      </c>
    </row>
    <row r="1785" ht="15.75" customHeight="1">
      <c r="A1785" s="19" t="s">
        <v>223</v>
      </c>
      <c r="B1785" s="19" t="s">
        <v>133</v>
      </c>
      <c r="C1785" s="20" t="s">
        <v>188</v>
      </c>
      <c r="D1785" s="14" t="str">
        <f>VLOOKUP(C1785,'State Key'!$A$2:$B$210,2,False)</f>
        <v>Madhya Pradesh</v>
      </c>
      <c r="E1785" s="21">
        <v>3960.0</v>
      </c>
      <c r="F1785" s="22">
        <v>0.0</v>
      </c>
      <c r="G1785" s="22">
        <v>0.0</v>
      </c>
      <c r="H1785" s="22">
        <v>1535.672</v>
      </c>
      <c r="I1785" s="22">
        <v>0.0</v>
      </c>
      <c r="J1785" s="22">
        <v>0.0</v>
      </c>
      <c r="K1785" s="22">
        <v>0.0</v>
      </c>
      <c r="L1785" s="22">
        <v>1535.672</v>
      </c>
      <c r="M1785" s="22">
        <v>1598.591</v>
      </c>
      <c r="N1785" s="22">
        <v>145.03</v>
      </c>
      <c r="O1785" s="17">
        <v>2.7</v>
      </c>
      <c r="P1785" s="18">
        <f t="shared" si="1"/>
        <v>1535.672</v>
      </c>
    </row>
    <row r="1786" ht="15.75" customHeight="1">
      <c r="A1786" s="13" t="s">
        <v>223</v>
      </c>
      <c r="B1786" s="13" t="s">
        <v>133</v>
      </c>
      <c r="C1786" s="14" t="s">
        <v>189</v>
      </c>
      <c r="D1786" s="14" t="str">
        <f>VLOOKUP(C1786,'State Key'!$A$2:$B$210,2,False)</f>
        <v>Madhya Pradesh</v>
      </c>
      <c r="E1786" s="15">
        <v>1330.0</v>
      </c>
      <c r="F1786" s="16">
        <v>209.892</v>
      </c>
      <c r="G1786" s="16">
        <v>0.0</v>
      </c>
      <c r="H1786" s="16">
        <v>0.0</v>
      </c>
      <c r="I1786" s="16">
        <v>0.0</v>
      </c>
      <c r="J1786" s="16">
        <v>0.0</v>
      </c>
      <c r="K1786" s="16">
        <v>0.0</v>
      </c>
      <c r="L1786" s="16">
        <v>209.892</v>
      </c>
      <c r="M1786" s="16">
        <v>227.35</v>
      </c>
      <c r="N1786" s="16">
        <v>80.12</v>
      </c>
      <c r="O1786" s="23">
        <v>10.6</v>
      </c>
      <c r="P1786" s="18">
        <f t="shared" si="1"/>
        <v>209.892</v>
      </c>
    </row>
    <row r="1787" ht="15.75" customHeight="1">
      <c r="A1787" s="19" t="s">
        <v>223</v>
      </c>
      <c r="B1787" s="19" t="s">
        <v>133</v>
      </c>
      <c r="C1787" s="20" t="s">
        <v>190</v>
      </c>
      <c r="D1787" s="14" t="str">
        <f>VLOOKUP(C1787,'State Key'!$A$2:$B$210,2,False)</f>
        <v>Madhya Pradesh</v>
      </c>
      <c r="E1787" s="21">
        <v>600.0</v>
      </c>
      <c r="F1787" s="22">
        <v>136.979</v>
      </c>
      <c r="G1787" s="22">
        <v>0.0</v>
      </c>
      <c r="H1787" s="22">
        <v>0.0</v>
      </c>
      <c r="I1787" s="22">
        <v>158.626</v>
      </c>
      <c r="J1787" s="22">
        <v>0.0</v>
      </c>
      <c r="K1787" s="22">
        <v>0.0</v>
      </c>
      <c r="L1787" s="22">
        <v>295.605</v>
      </c>
      <c r="M1787" s="22">
        <v>269.778</v>
      </c>
      <c r="N1787" s="22">
        <v>48.74</v>
      </c>
      <c r="O1787" s="17">
        <v>5.4</v>
      </c>
      <c r="P1787" s="18">
        <f t="shared" si="1"/>
        <v>295.605</v>
      </c>
    </row>
    <row r="1788" ht="15.75" customHeight="1">
      <c r="A1788" s="13" t="s">
        <v>223</v>
      </c>
      <c r="B1788" s="13" t="s">
        <v>133</v>
      </c>
      <c r="C1788" s="14" t="s">
        <v>191</v>
      </c>
      <c r="D1788" s="14" t="str">
        <f>VLOOKUP(C1788,'State Key'!$A$2:$B$210,2,False)</f>
        <v>Maharashtra</v>
      </c>
      <c r="E1788" s="15">
        <v>300.0</v>
      </c>
      <c r="F1788" s="16">
        <v>0.0</v>
      </c>
      <c r="G1788" s="16">
        <v>0.0</v>
      </c>
      <c r="H1788" s="16">
        <v>0.0</v>
      </c>
      <c r="I1788" s="16">
        <v>0.0</v>
      </c>
      <c r="J1788" s="16">
        <v>0.0</v>
      </c>
      <c r="K1788" s="16">
        <v>47.964</v>
      </c>
      <c r="L1788" s="16">
        <v>47.964</v>
      </c>
      <c r="M1788" s="16">
        <v>22.857</v>
      </c>
      <c r="N1788" s="16">
        <v>61.86</v>
      </c>
      <c r="O1788" s="24">
        <v>81.2</v>
      </c>
      <c r="P1788" s="18">
        <f t="shared" si="1"/>
        <v>47.964</v>
      </c>
    </row>
    <row r="1789" ht="15.75" customHeight="1">
      <c r="A1789" s="19" t="s">
        <v>223</v>
      </c>
      <c r="B1789" s="19" t="s">
        <v>133</v>
      </c>
      <c r="C1789" s="20" t="s">
        <v>192</v>
      </c>
      <c r="D1789" s="14" t="str">
        <f>VLOOKUP(C1789,'State Key'!$A$2:$B$210,2,False)</f>
        <v>Madhya Pradesh</v>
      </c>
      <c r="E1789" s="21">
        <v>2520.0</v>
      </c>
      <c r="F1789" s="22">
        <v>1048.465</v>
      </c>
      <c r="G1789" s="22">
        <v>0.0</v>
      </c>
      <c r="H1789" s="22">
        <v>0.0</v>
      </c>
      <c r="I1789" s="22">
        <v>0.0</v>
      </c>
      <c r="J1789" s="22">
        <v>0.0</v>
      </c>
      <c r="K1789" s="22">
        <v>0.0</v>
      </c>
      <c r="L1789" s="22">
        <v>1048.465</v>
      </c>
      <c r="M1789" s="22">
        <v>1060.476</v>
      </c>
      <c r="N1789" s="22">
        <v>304.68</v>
      </c>
      <c r="O1789" s="23">
        <v>8.6</v>
      </c>
      <c r="P1789" s="18">
        <f t="shared" si="1"/>
        <v>1048.465</v>
      </c>
    </row>
    <row r="1790" ht="15.75" customHeight="1">
      <c r="A1790" s="13" t="s">
        <v>223</v>
      </c>
      <c r="B1790" s="13" t="s">
        <v>133</v>
      </c>
      <c r="C1790" s="14" t="s">
        <v>193</v>
      </c>
      <c r="D1790" s="14" t="str">
        <f>VLOOKUP(C1790,'State Key'!$A$2:$B$210,2,False)</f>
        <v>Gujarat</v>
      </c>
      <c r="E1790" s="15">
        <v>500.0</v>
      </c>
      <c r="F1790" s="16">
        <v>0.0</v>
      </c>
      <c r="G1790" s="16">
        <v>0.0</v>
      </c>
      <c r="H1790" s="16">
        <v>0.0</v>
      </c>
      <c r="I1790" s="16">
        <v>0.0</v>
      </c>
      <c r="J1790" s="16">
        <v>95.224</v>
      </c>
      <c r="K1790" s="16">
        <v>0.0</v>
      </c>
      <c r="L1790" s="16">
        <v>95.224</v>
      </c>
      <c r="M1790" s="16">
        <v>81.419</v>
      </c>
      <c r="N1790" s="16">
        <v>69.14</v>
      </c>
      <c r="O1790" s="24">
        <v>25.5</v>
      </c>
      <c r="P1790" s="18">
        <f t="shared" si="1"/>
        <v>95.224</v>
      </c>
    </row>
    <row r="1791" ht="15.75" customHeight="1">
      <c r="A1791" s="19" t="s">
        <v>223</v>
      </c>
      <c r="B1791" s="19" t="s">
        <v>133</v>
      </c>
      <c r="C1791" s="20" t="s">
        <v>194</v>
      </c>
      <c r="D1791" s="14" t="str">
        <f>VLOOKUP(C1791,'State Key'!$A$2:$B$210,2,False)</f>
        <v>Chhattisgarh</v>
      </c>
      <c r="E1791" s="21">
        <v>2980.0</v>
      </c>
      <c r="F1791" s="22">
        <v>1518.82</v>
      </c>
      <c r="G1791" s="22">
        <v>0.0</v>
      </c>
      <c r="H1791" s="22">
        <v>0.0</v>
      </c>
      <c r="I1791" s="22">
        <v>0.0</v>
      </c>
      <c r="J1791" s="22">
        <v>0.0</v>
      </c>
      <c r="K1791" s="22">
        <v>0.0</v>
      </c>
      <c r="L1791" s="22">
        <v>1518.82</v>
      </c>
      <c r="M1791" s="22">
        <v>1359.122</v>
      </c>
      <c r="N1791" s="22">
        <v>394.448</v>
      </c>
      <c r="O1791" s="23">
        <v>8.7</v>
      </c>
      <c r="P1791" s="18">
        <f t="shared" si="1"/>
        <v>1518.82</v>
      </c>
    </row>
    <row r="1792" ht="15.75" customHeight="1">
      <c r="A1792" s="13" t="s">
        <v>223</v>
      </c>
      <c r="B1792" s="13" t="s">
        <v>133</v>
      </c>
      <c r="C1792" s="14" t="s">
        <v>195</v>
      </c>
      <c r="D1792" s="14" t="str">
        <f>VLOOKUP(C1792,'State Key'!$A$2:$B$210,2,False)</f>
        <v>Maharashtra</v>
      </c>
      <c r="E1792" s="15">
        <v>1320.0</v>
      </c>
      <c r="F1792" s="16">
        <v>236.75</v>
      </c>
      <c r="G1792" s="16">
        <v>195.14</v>
      </c>
      <c r="H1792" s="16">
        <v>7.39</v>
      </c>
      <c r="I1792" s="16">
        <v>0.0</v>
      </c>
      <c r="J1792" s="16">
        <v>106.43</v>
      </c>
      <c r="K1792" s="16">
        <v>0.0</v>
      </c>
      <c r="L1792" s="16">
        <v>545.71</v>
      </c>
      <c r="M1792" s="16">
        <v>393.291</v>
      </c>
      <c r="N1792" s="16">
        <v>453.732</v>
      </c>
      <c r="O1792" s="24">
        <v>34.6</v>
      </c>
      <c r="P1792" s="18">
        <f t="shared" si="1"/>
        <v>545.71</v>
      </c>
    </row>
    <row r="1793" ht="15.75" customHeight="1">
      <c r="A1793" s="19" t="s">
        <v>223</v>
      </c>
      <c r="B1793" s="19" t="s">
        <v>133</v>
      </c>
      <c r="C1793" s="20" t="s">
        <v>196</v>
      </c>
      <c r="D1793" s="14" t="str">
        <f>VLOOKUP(C1793,'State Key'!$A$2:$B$210,2,False)</f>
        <v>Chhattisgarh</v>
      </c>
      <c r="E1793" s="21">
        <v>63.0</v>
      </c>
      <c r="F1793" s="22">
        <v>8.7622</v>
      </c>
      <c r="G1793" s="22">
        <v>0.0</v>
      </c>
      <c r="H1793" s="22">
        <v>0.0</v>
      </c>
      <c r="I1793" s="22">
        <v>0.0</v>
      </c>
      <c r="J1793" s="22">
        <v>0.0</v>
      </c>
      <c r="K1793" s="22">
        <v>38.499</v>
      </c>
      <c r="L1793" s="22">
        <v>47.2612</v>
      </c>
      <c r="M1793" s="22">
        <v>53.096</v>
      </c>
      <c r="N1793" s="22">
        <v>37.29</v>
      </c>
      <c r="O1793" s="24">
        <v>21.1</v>
      </c>
      <c r="P1793" s="18">
        <f t="shared" si="1"/>
        <v>47.2612</v>
      </c>
    </row>
    <row r="1794" ht="15.75" customHeight="1">
      <c r="A1794" s="13" t="s">
        <v>223</v>
      </c>
      <c r="B1794" s="13" t="s">
        <v>133</v>
      </c>
      <c r="C1794" s="14" t="s">
        <v>197</v>
      </c>
      <c r="D1794" s="14" t="str">
        <f>VLOOKUP(C1794,'State Key'!$A$2:$B$210,2,False)</f>
        <v>Chhattisgarh</v>
      </c>
      <c r="E1794" s="15">
        <v>25.0</v>
      </c>
      <c r="F1794" s="16">
        <v>0.0</v>
      </c>
      <c r="G1794" s="16">
        <v>0.0</v>
      </c>
      <c r="H1794" s="16">
        <v>0.0</v>
      </c>
      <c r="I1794" s="16">
        <v>0.0</v>
      </c>
      <c r="J1794" s="16">
        <v>0.0</v>
      </c>
      <c r="K1794" s="16">
        <v>0.0</v>
      </c>
      <c r="L1794" s="16">
        <v>0.0</v>
      </c>
      <c r="M1794" s="16">
        <v>0.0</v>
      </c>
      <c r="N1794" s="16">
        <v>0.0</v>
      </c>
      <c r="O1794" s="13" t="s">
        <v>58</v>
      </c>
      <c r="P1794" s="18">
        <f t="shared" si="1"/>
        <v>0</v>
      </c>
    </row>
    <row r="1795" ht="15.75" customHeight="1">
      <c r="A1795" s="19" t="s">
        <v>223</v>
      </c>
      <c r="B1795" s="19" t="s">
        <v>133</v>
      </c>
      <c r="C1795" s="20" t="s">
        <v>198</v>
      </c>
      <c r="D1795" s="14" t="str">
        <f>VLOOKUP(C1795,'State Key'!$A$2:$B$210,2,False)</f>
        <v>Chhattisgarh</v>
      </c>
      <c r="E1795" s="21">
        <v>2400.0</v>
      </c>
      <c r="F1795" s="22">
        <v>310.263</v>
      </c>
      <c r="G1795" s="22">
        <v>0.0</v>
      </c>
      <c r="H1795" s="22">
        <v>0.0</v>
      </c>
      <c r="I1795" s="22">
        <v>708.542</v>
      </c>
      <c r="J1795" s="22">
        <v>19.406</v>
      </c>
      <c r="K1795" s="22">
        <v>104.212</v>
      </c>
      <c r="L1795" s="22">
        <v>1142.423</v>
      </c>
      <c r="M1795" s="22">
        <v>1176.712</v>
      </c>
      <c r="N1795" s="22">
        <v>157.902</v>
      </c>
      <c r="O1795" s="17">
        <v>4.0</v>
      </c>
      <c r="P1795" s="18">
        <f t="shared" si="1"/>
        <v>1142.423</v>
      </c>
    </row>
    <row r="1796" ht="15.75" customHeight="1">
      <c r="A1796" s="13" t="s">
        <v>223</v>
      </c>
      <c r="B1796" s="13" t="s">
        <v>133</v>
      </c>
      <c r="C1796" s="14" t="s">
        <v>200</v>
      </c>
      <c r="D1796" s="14" t="str">
        <f>VLOOKUP(C1796,'State Key'!$A$2:$B$210,2,False)</f>
        <v>Maharashtra</v>
      </c>
      <c r="E1796" s="15">
        <v>750.0</v>
      </c>
      <c r="F1796" s="16">
        <v>0.0</v>
      </c>
      <c r="G1796" s="16">
        <v>0.0</v>
      </c>
      <c r="H1796" s="16">
        <v>0.0</v>
      </c>
      <c r="I1796" s="16">
        <v>0.0</v>
      </c>
      <c r="J1796" s="16">
        <v>264.24295</v>
      </c>
      <c r="K1796" s="16">
        <v>0.0</v>
      </c>
      <c r="L1796" s="16">
        <v>264.24295</v>
      </c>
      <c r="M1796" s="16">
        <v>228.915</v>
      </c>
      <c r="N1796" s="16">
        <v>204.972</v>
      </c>
      <c r="O1796" s="24">
        <v>26.9</v>
      </c>
      <c r="P1796" s="18">
        <f t="shared" si="1"/>
        <v>264.24295</v>
      </c>
    </row>
    <row r="1797" ht="15.75" customHeight="1">
      <c r="A1797" s="19" t="s">
        <v>223</v>
      </c>
      <c r="B1797" s="19" t="s">
        <v>133</v>
      </c>
      <c r="C1797" s="20" t="s">
        <v>201</v>
      </c>
      <c r="D1797" s="14" t="str">
        <f>VLOOKUP(C1797,'State Key'!$A$2:$B$210,2,False)</f>
        <v>Chhattisgarh</v>
      </c>
      <c r="E1797" s="21">
        <v>1440.0</v>
      </c>
      <c r="F1797" s="22">
        <v>172.11</v>
      </c>
      <c r="G1797" s="22">
        <v>0.0</v>
      </c>
      <c r="H1797" s="22">
        <v>0.0</v>
      </c>
      <c r="I1797" s="22">
        <v>281.683</v>
      </c>
      <c r="J1797" s="22">
        <v>0.0</v>
      </c>
      <c r="K1797" s="22">
        <v>0.0</v>
      </c>
      <c r="L1797" s="22">
        <v>453.793</v>
      </c>
      <c r="M1797" s="22">
        <v>353.601</v>
      </c>
      <c r="N1797" s="22">
        <v>583.25</v>
      </c>
      <c r="O1797" s="24">
        <v>49.5</v>
      </c>
      <c r="P1797" s="18">
        <f t="shared" si="1"/>
        <v>453.793</v>
      </c>
    </row>
    <row r="1798" ht="15.75" customHeight="1">
      <c r="A1798" s="13" t="s">
        <v>223</v>
      </c>
      <c r="B1798" s="13" t="s">
        <v>133</v>
      </c>
      <c r="C1798" s="14" t="s">
        <v>202</v>
      </c>
      <c r="D1798" s="14" t="str">
        <f>VLOOKUP(C1798,'State Key'!$A$2:$B$210,2,False)</f>
        <v>Gujarat</v>
      </c>
      <c r="E1798" s="15">
        <v>1110.0</v>
      </c>
      <c r="F1798" s="16">
        <v>316.173</v>
      </c>
      <c r="G1798" s="16">
        <v>0.0</v>
      </c>
      <c r="H1798" s="16">
        <v>0.0</v>
      </c>
      <c r="I1798" s="16">
        <v>0.0</v>
      </c>
      <c r="J1798" s="16">
        <v>20.082</v>
      </c>
      <c r="K1798" s="16">
        <v>0.0</v>
      </c>
      <c r="L1798" s="16">
        <v>336.255</v>
      </c>
      <c r="M1798" s="16">
        <v>333.237</v>
      </c>
      <c r="N1798" s="16">
        <v>372.32</v>
      </c>
      <c r="O1798" s="24">
        <v>33.5</v>
      </c>
      <c r="P1798" s="18">
        <f t="shared" si="1"/>
        <v>336.255</v>
      </c>
    </row>
    <row r="1799" ht="15.75" customHeight="1">
      <c r="A1799" s="19" t="s">
        <v>223</v>
      </c>
      <c r="B1799" s="19" t="s">
        <v>133</v>
      </c>
      <c r="C1799" s="20" t="s">
        <v>203</v>
      </c>
      <c r="D1799" s="14" t="str">
        <f>VLOOKUP(C1799,'State Key'!$A$2:$B$210,2,False)</f>
        <v>Madhya Pradesh</v>
      </c>
      <c r="E1799" s="21">
        <v>4760.0</v>
      </c>
      <c r="F1799" s="22">
        <v>2030.59</v>
      </c>
      <c r="G1799" s="22">
        <v>0.0</v>
      </c>
      <c r="H1799" s="22">
        <v>0.0</v>
      </c>
      <c r="I1799" s="22">
        <v>0.0</v>
      </c>
      <c r="J1799" s="22">
        <v>0.0</v>
      </c>
      <c r="K1799" s="22">
        <v>0.0</v>
      </c>
      <c r="L1799" s="22">
        <v>2030.59</v>
      </c>
      <c r="M1799" s="22">
        <v>2018.102</v>
      </c>
      <c r="N1799" s="22">
        <v>1068.384</v>
      </c>
      <c r="O1799" s="24">
        <v>15.9</v>
      </c>
      <c r="P1799" s="18">
        <f t="shared" si="1"/>
        <v>2030.59</v>
      </c>
    </row>
    <row r="1800" ht="15.75" customHeight="1">
      <c r="A1800" s="13" t="s">
        <v>223</v>
      </c>
      <c r="B1800" s="13" t="s">
        <v>133</v>
      </c>
      <c r="C1800" s="14" t="s">
        <v>204</v>
      </c>
      <c r="D1800" s="14" t="str">
        <f>VLOOKUP(C1800,'State Key'!$A$2:$B$210,2,False)</f>
        <v>Gujarat</v>
      </c>
      <c r="E1800" s="15">
        <v>2270.0</v>
      </c>
      <c r="F1800" s="16">
        <v>709.825</v>
      </c>
      <c r="G1800" s="16">
        <v>0.0</v>
      </c>
      <c r="H1800" s="16">
        <v>0.0</v>
      </c>
      <c r="I1800" s="16">
        <v>0.0</v>
      </c>
      <c r="J1800" s="16">
        <v>36.201</v>
      </c>
      <c r="K1800" s="16">
        <v>0.0</v>
      </c>
      <c r="L1800" s="16">
        <v>746.026</v>
      </c>
      <c r="M1800" s="16">
        <v>884.587</v>
      </c>
      <c r="N1800" s="16">
        <v>227.75</v>
      </c>
      <c r="O1800" s="23">
        <v>7.7</v>
      </c>
      <c r="P1800" s="18">
        <f t="shared" si="1"/>
        <v>746.026</v>
      </c>
    </row>
    <row r="1801" ht="15.75" customHeight="1">
      <c r="A1801" s="19" t="s">
        <v>223</v>
      </c>
      <c r="B1801" s="19" t="s">
        <v>133</v>
      </c>
      <c r="C1801" s="20" t="s">
        <v>205</v>
      </c>
      <c r="D1801" s="14" t="str">
        <f>VLOOKUP(C1801,'State Key'!$A$2:$B$210,2,False)</f>
        <v>Maharashtra</v>
      </c>
      <c r="E1801" s="21">
        <v>540.0</v>
      </c>
      <c r="F1801" s="22">
        <v>144.65</v>
      </c>
      <c r="G1801" s="22">
        <v>0.0</v>
      </c>
      <c r="H1801" s="22">
        <v>0.0</v>
      </c>
      <c r="I1801" s="22">
        <v>10.43</v>
      </c>
      <c r="J1801" s="22">
        <v>0.0</v>
      </c>
      <c r="K1801" s="22">
        <v>22.3</v>
      </c>
      <c r="L1801" s="22">
        <v>177.38</v>
      </c>
      <c r="M1801" s="22">
        <v>241.95</v>
      </c>
      <c r="N1801" s="22">
        <v>87.5</v>
      </c>
      <c r="O1801" s="23">
        <v>10.8</v>
      </c>
      <c r="P1801" s="18">
        <f t="shared" si="1"/>
        <v>177.38</v>
      </c>
    </row>
    <row r="1802" ht="15.75" customHeight="1">
      <c r="A1802" s="13" t="s">
        <v>224</v>
      </c>
      <c r="B1802" s="13" t="s">
        <v>22</v>
      </c>
      <c r="C1802" s="14" t="s">
        <v>23</v>
      </c>
      <c r="D1802" s="14" t="str">
        <f>VLOOKUP(C1802,'State Key'!$A$2:$B$210,2,False)</f>
        <v>West Bengal</v>
      </c>
      <c r="E1802" s="15">
        <v>1050.0</v>
      </c>
      <c r="F1802" s="16">
        <v>38.278</v>
      </c>
      <c r="G1802" s="16">
        <v>0.0</v>
      </c>
      <c r="H1802" s="16">
        <v>455.547</v>
      </c>
      <c r="I1802" s="16">
        <v>0.0</v>
      </c>
      <c r="J1802" s="16">
        <v>0.0</v>
      </c>
      <c r="K1802" s="16">
        <v>0.0</v>
      </c>
      <c r="L1802" s="16">
        <v>493.825</v>
      </c>
      <c r="M1802" s="16">
        <v>457.531</v>
      </c>
      <c r="N1802" s="16">
        <v>104.016</v>
      </c>
      <c r="O1802" s="17">
        <v>6.8</v>
      </c>
      <c r="P1802" s="18">
        <f t="shared" si="1"/>
        <v>493.825</v>
      </c>
    </row>
    <row r="1803" ht="15.75" customHeight="1">
      <c r="A1803" s="19" t="s">
        <v>224</v>
      </c>
      <c r="B1803" s="19" t="s">
        <v>22</v>
      </c>
      <c r="C1803" s="20" t="s">
        <v>24</v>
      </c>
      <c r="D1803" s="14" t="str">
        <f>VLOOKUP(C1803,'State Key'!$A$2:$B$210,2,False)</f>
        <v>West Bengal</v>
      </c>
      <c r="E1803" s="21">
        <v>270.0</v>
      </c>
      <c r="F1803" s="22">
        <v>0.0</v>
      </c>
      <c r="G1803" s="22">
        <v>0.0</v>
      </c>
      <c r="H1803" s="22">
        <v>105.861</v>
      </c>
      <c r="I1803" s="22">
        <v>0.0</v>
      </c>
      <c r="J1803" s="22">
        <v>0.0</v>
      </c>
      <c r="K1803" s="22">
        <v>0.0</v>
      </c>
      <c r="L1803" s="22">
        <v>105.861</v>
      </c>
      <c r="M1803" s="22">
        <v>105.555</v>
      </c>
      <c r="N1803" s="22">
        <v>22.87</v>
      </c>
      <c r="O1803" s="17">
        <v>6.5</v>
      </c>
      <c r="P1803" s="18">
        <f t="shared" si="1"/>
        <v>105.861</v>
      </c>
    </row>
    <row r="1804" ht="15.75" customHeight="1">
      <c r="A1804" s="13" t="s">
        <v>224</v>
      </c>
      <c r="B1804" s="13" t="s">
        <v>22</v>
      </c>
      <c r="C1804" s="14" t="s">
        <v>25</v>
      </c>
      <c r="D1804" s="14" t="str">
        <f>VLOOKUP(C1804,'State Key'!$A$2:$B$210,2,False)</f>
        <v>Bihar</v>
      </c>
      <c r="E1804" s="15">
        <v>710.0</v>
      </c>
      <c r="F1804" s="16">
        <v>40.95</v>
      </c>
      <c r="G1804" s="16">
        <v>0.0</v>
      </c>
      <c r="H1804" s="16">
        <v>193.69</v>
      </c>
      <c r="I1804" s="16">
        <v>0.0</v>
      </c>
      <c r="J1804" s="16">
        <v>0.0</v>
      </c>
      <c r="K1804" s="16">
        <v>0.0</v>
      </c>
      <c r="L1804" s="16">
        <v>234.64</v>
      </c>
      <c r="M1804" s="16">
        <v>209.33</v>
      </c>
      <c r="N1804" s="16">
        <v>138.942</v>
      </c>
      <c r="O1804" s="24">
        <v>19.9</v>
      </c>
      <c r="P1804" s="18">
        <f t="shared" si="1"/>
        <v>234.64</v>
      </c>
    </row>
    <row r="1805" ht="15.75" customHeight="1">
      <c r="A1805" s="19" t="s">
        <v>224</v>
      </c>
      <c r="B1805" s="19" t="s">
        <v>22</v>
      </c>
      <c r="C1805" s="20" t="s">
        <v>26</v>
      </c>
      <c r="D1805" s="14" t="str">
        <f>VLOOKUP(C1805,'State Key'!$A$2:$B$210,2,False)</f>
        <v>Bihar</v>
      </c>
      <c r="E1805" s="21">
        <v>2640.0</v>
      </c>
      <c r="F1805" s="22">
        <v>451.94</v>
      </c>
      <c r="G1805" s="22">
        <v>0.0</v>
      </c>
      <c r="H1805" s="22">
        <v>310.26</v>
      </c>
      <c r="I1805" s="22">
        <v>0.0</v>
      </c>
      <c r="J1805" s="22">
        <v>162.531</v>
      </c>
      <c r="K1805" s="22">
        <v>0.0</v>
      </c>
      <c r="L1805" s="22">
        <v>924.731</v>
      </c>
      <c r="M1805" s="22">
        <v>907.284</v>
      </c>
      <c r="N1805" s="22">
        <v>673.974</v>
      </c>
      <c r="O1805" s="24">
        <v>22.3</v>
      </c>
      <c r="P1805" s="18">
        <f t="shared" si="1"/>
        <v>924.731</v>
      </c>
    </row>
    <row r="1806" ht="15.75" customHeight="1">
      <c r="A1806" s="13" t="s">
        <v>224</v>
      </c>
      <c r="B1806" s="13" t="s">
        <v>22</v>
      </c>
      <c r="C1806" s="14" t="s">
        <v>27</v>
      </c>
      <c r="D1806" s="14" t="str">
        <f>VLOOKUP(C1806,'State Key'!$A$2:$B$210,2,False)</f>
        <v>Jharkhand</v>
      </c>
      <c r="E1806" s="15">
        <v>500.0</v>
      </c>
      <c r="F1806" s="16">
        <v>247.234</v>
      </c>
      <c r="G1806" s="16">
        <v>0.0</v>
      </c>
      <c r="H1806" s="16">
        <v>3.819</v>
      </c>
      <c r="I1806" s="16">
        <v>0.0</v>
      </c>
      <c r="J1806" s="16">
        <v>0.0</v>
      </c>
      <c r="K1806" s="16">
        <v>0.0</v>
      </c>
      <c r="L1806" s="16">
        <v>251.053</v>
      </c>
      <c r="M1806" s="16">
        <v>187.625</v>
      </c>
      <c r="N1806" s="16">
        <v>242.0</v>
      </c>
      <c r="O1806" s="24">
        <v>38.7</v>
      </c>
      <c r="P1806" s="18">
        <f t="shared" si="1"/>
        <v>251.053</v>
      </c>
    </row>
    <row r="1807" ht="15.75" customHeight="1">
      <c r="A1807" s="19" t="s">
        <v>224</v>
      </c>
      <c r="B1807" s="19" t="s">
        <v>22</v>
      </c>
      <c r="C1807" s="20" t="s">
        <v>28</v>
      </c>
      <c r="D1807" s="14" t="str">
        <f>VLOOKUP(C1807,'State Key'!$A$2:$B$210,2,False)</f>
        <v>West Bengal</v>
      </c>
      <c r="E1807" s="21">
        <v>750.0</v>
      </c>
      <c r="F1807" s="22">
        <v>103.688</v>
      </c>
      <c r="G1807" s="22">
        <v>0.0</v>
      </c>
      <c r="H1807" s="22">
        <v>42.998</v>
      </c>
      <c r="I1807" s="22">
        <v>152.323</v>
      </c>
      <c r="J1807" s="22">
        <v>0.0</v>
      </c>
      <c r="K1807" s="22">
        <v>0.0</v>
      </c>
      <c r="L1807" s="22">
        <v>299.009</v>
      </c>
      <c r="M1807" s="22">
        <v>243.224</v>
      </c>
      <c r="N1807" s="22">
        <v>236.34</v>
      </c>
      <c r="O1807" s="24">
        <v>29.2</v>
      </c>
      <c r="P1807" s="18">
        <f t="shared" si="1"/>
        <v>299.009</v>
      </c>
    </row>
    <row r="1808" ht="15.75" customHeight="1">
      <c r="A1808" s="13" t="s">
        <v>224</v>
      </c>
      <c r="B1808" s="13" t="s">
        <v>22</v>
      </c>
      <c r="C1808" s="14" t="s">
        <v>29</v>
      </c>
      <c r="D1808" s="14" t="str">
        <f>VLOOKUP(C1808,'State Key'!$A$2:$B$210,2,False)</f>
        <v>Jharkhand</v>
      </c>
      <c r="E1808" s="15">
        <v>500.0</v>
      </c>
      <c r="F1808" s="16">
        <v>190.689</v>
      </c>
      <c r="G1808" s="16">
        <v>0.0</v>
      </c>
      <c r="H1808" s="16">
        <v>53.822</v>
      </c>
      <c r="I1808" s="16">
        <v>0.0</v>
      </c>
      <c r="J1808" s="16">
        <v>0.0</v>
      </c>
      <c r="K1808" s="16">
        <v>0.0</v>
      </c>
      <c r="L1808" s="16">
        <v>244.511</v>
      </c>
      <c r="M1808" s="16">
        <v>200.249</v>
      </c>
      <c r="N1808" s="16">
        <v>258.834</v>
      </c>
      <c r="O1808" s="24">
        <v>38.8</v>
      </c>
      <c r="P1808" s="18">
        <f t="shared" si="1"/>
        <v>244.511</v>
      </c>
    </row>
    <row r="1809" ht="15.75" customHeight="1">
      <c r="A1809" s="19" t="s">
        <v>224</v>
      </c>
      <c r="B1809" s="19" t="s">
        <v>22</v>
      </c>
      <c r="C1809" s="20" t="s">
        <v>30</v>
      </c>
      <c r="D1809" s="14" t="str">
        <f>VLOOKUP(C1809,'State Key'!$A$2:$B$210,2,False)</f>
        <v>West Bengal</v>
      </c>
      <c r="E1809" s="21">
        <v>550.0</v>
      </c>
      <c r="F1809" s="22">
        <v>48.347</v>
      </c>
      <c r="G1809" s="22">
        <v>0.0</v>
      </c>
      <c r="H1809" s="22">
        <v>139.22</v>
      </c>
      <c r="I1809" s="22">
        <v>0.0</v>
      </c>
      <c r="J1809" s="22">
        <v>0.0</v>
      </c>
      <c r="K1809" s="22">
        <v>0.0</v>
      </c>
      <c r="L1809" s="22">
        <v>187.567</v>
      </c>
      <c r="M1809" s="22">
        <v>140.801</v>
      </c>
      <c r="N1809" s="22">
        <v>153.31</v>
      </c>
      <c r="O1809" s="24">
        <v>32.7</v>
      </c>
      <c r="P1809" s="18">
        <f t="shared" si="1"/>
        <v>187.567</v>
      </c>
    </row>
    <row r="1810" ht="15.75" customHeight="1">
      <c r="A1810" s="13" t="s">
        <v>224</v>
      </c>
      <c r="B1810" s="13" t="s">
        <v>22</v>
      </c>
      <c r="C1810" s="14" t="s">
        <v>31</v>
      </c>
      <c r="D1810" s="14" t="str">
        <f>VLOOKUP(C1810,'State Key'!$A$2:$B$210,2,False)</f>
        <v>Odisha</v>
      </c>
      <c r="E1810" s="15">
        <v>1600.0</v>
      </c>
      <c r="F1810" s="16">
        <v>51.56</v>
      </c>
      <c r="G1810" s="16">
        <v>0.0</v>
      </c>
      <c r="H1810" s="16">
        <v>767.22</v>
      </c>
      <c r="I1810" s="16">
        <v>0.0</v>
      </c>
      <c r="J1810" s="16">
        <v>0.0</v>
      </c>
      <c r="K1810" s="16">
        <v>0.0</v>
      </c>
      <c r="L1810" s="16">
        <v>818.78</v>
      </c>
      <c r="M1810" s="16">
        <v>844.238</v>
      </c>
      <c r="N1810" s="16">
        <v>276.41</v>
      </c>
      <c r="O1810" s="23">
        <v>9.8</v>
      </c>
      <c r="P1810" s="18">
        <f t="shared" si="1"/>
        <v>818.78</v>
      </c>
    </row>
    <row r="1811" ht="15.75" customHeight="1">
      <c r="A1811" s="19" t="s">
        <v>224</v>
      </c>
      <c r="B1811" s="19" t="s">
        <v>22</v>
      </c>
      <c r="C1811" s="20" t="s">
        <v>32</v>
      </c>
      <c r="D1811" s="14" t="str">
        <f>VLOOKUP(C1811,'State Key'!$A$2:$B$210,2,False)</f>
        <v>Odisha</v>
      </c>
      <c r="E1811" s="21">
        <v>1200.0</v>
      </c>
      <c r="F1811" s="22">
        <v>284.414</v>
      </c>
      <c r="G1811" s="22">
        <v>0.0</v>
      </c>
      <c r="H1811" s="22">
        <v>0.0</v>
      </c>
      <c r="I1811" s="22">
        <v>362.905</v>
      </c>
      <c r="J1811" s="22">
        <v>0.0</v>
      </c>
      <c r="K1811" s="22">
        <v>0.0</v>
      </c>
      <c r="L1811" s="22">
        <v>647.319</v>
      </c>
      <c r="M1811" s="22">
        <v>352.514</v>
      </c>
      <c r="N1811" s="22">
        <v>1015.13</v>
      </c>
      <c r="O1811" s="24">
        <v>86.4</v>
      </c>
      <c r="P1811" s="18">
        <f t="shared" si="1"/>
        <v>647.319</v>
      </c>
    </row>
    <row r="1812" ht="15.75" customHeight="1">
      <c r="A1812" s="13" t="s">
        <v>224</v>
      </c>
      <c r="B1812" s="13" t="s">
        <v>22</v>
      </c>
      <c r="C1812" s="14" t="s">
        <v>33</v>
      </c>
      <c r="D1812" s="14" t="str">
        <f>VLOOKUP(C1812,'State Key'!$A$2:$B$210,2,False)</f>
        <v>West Bengal</v>
      </c>
      <c r="E1812" s="15">
        <v>12.0</v>
      </c>
      <c r="F1812" s="16">
        <v>3.921</v>
      </c>
      <c r="G1812" s="16">
        <v>0.0</v>
      </c>
      <c r="H1812" s="16">
        <v>0.0</v>
      </c>
      <c r="I1812" s="16">
        <v>0.0</v>
      </c>
      <c r="J1812" s="16">
        <v>0.0</v>
      </c>
      <c r="K1812" s="16">
        <v>0.0</v>
      </c>
      <c r="L1812" s="16">
        <v>3.921</v>
      </c>
      <c r="M1812" s="16">
        <v>4.458</v>
      </c>
      <c r="N1812" s="16">
        <v>0.09</v>
      </c>
      <c r="O1812" s="17">
        <v>0.6</v>
      </c>
      <c r="P1812" s="18">
        <f t="shared" si="1"/>
        <v>3.921</v>
      </c>
    </row>
    <row r="1813" ht="15.75" customHeight="1">
      <c r="A1813" s="19" t="s">
        <v>224</v>
      </c>
      <c r="B1813" s="19" t="s">
        <v>22</v>
      </c>
      <c r="C1813" s="20" t="s">
        <v>34</v>
      </c>
      <c r="D1813" s="14" t="str">
        <f>VLOOKUP(C1813,'State Key'!$A$2:$B$210,2,False)</f>
        <v>West Bengal</v>
      </c>
      <c r="E1813" s="21">
        <v>1000.0</v>
      </c>
      <c r="F1813" s="22">
        <v>258.23</v>
      </c>
      <c r="G1813" s="22">
        <v>0.0</v>
      </c>
      <c r="H1813" s="22">
        <v>0.0</v>
      </c>
      <c r="I1813" s="22">
        <v>0.0</v>
      </c>
      <c r="J1813" s="22">
        <v>0.0</v>
      </c>
      <c r="K1813" s="22">
        <v>0.0</v>
      </c>
      <c r="L1813" s="22">
        <v>258.23</v>
      </c>
      <c r="M1813" s="22">
        <v>233.07</v>
      </c>
      <c r="N1813" s="22">
        <v>380.06</v>
      </c>
      <c r="O1813" s="24">
        <v>48.9</v>
      </c>
      <c r="P1813" s="18">
        <f t="shared" si="1"/>
        <v>258.23</v>
      </c>
    </row>
    <row r="1814" ht="15.75" customHeight="1">
      <c r="A1814" s="13" t="s">
        <v>224</v>
      </c>
      <c r="B1814" s="13" t="s">
        <v>22</v>
      </c>
      <c r="C1814" s="14" t="s">
        <v>35</v>
      </c>
      <c r="D1814" s="14" t="str">
        <f>VLOOKUP(C1814,'State Key'!$A$2:$B$210,2,False)</f>
        <v>West Bengal</v>
      </c>
      <c r="E1814" s="15">
        <v>2100.0</v>
      </c>
      <c r="F1814" s="16">
        <v>591.03</v>
      </c>
      <c r="G1814" s="16">
        <v>0.0</v>
      </c>
      <c r="H1814" s="16">
        <v>3.53</v>
      </c>
      <c r="I1814" s="16">
        <v>0.0</v>
      </c>
      <c r="J1814" s="16">
        <v>92.626</v>
      </c>
      <c r="K1814" s="16">
        <v>0.0</v>
      </c>
      <c r="L1814" s="16">
        <v>687.186</v>
      </c>
      <c r="M1814" s="16">
        <v>584.314</v>
      </c>
      <c r="N1814" s="16">
        <v>697.28</v>
      </c>
      <c r="O1814" s="24">
        <v>35.8</v>
      </c>
      <c r="P1814" s="18">
        <f t="shared" si="1"/>
        <v>687.186</v>
      </c>
    </row>
    <row r="1815" ht="15.75" customHeight="1">
      <c r="A1815" s="19" t="s">
        <v>224</v>
      </c>
      <c r="B1815" s="19" t="s">
        <v>22</v>
      </c>
      <c r="C1815" s="20" t="s">
        <v>36</v>
      </c>
      <c r="D1815" s="14" t="str">
        <f>VLOOKUP(C1815,'State Key'!$A$2:$B$210,2,False)</f>
        <v>West Bengal</v>
      </c>
      <c r="E1815" s="21">
        <v>600.0</v>
      </c>
      <c r="F1815" s="22">
        <v>251.275</v>
      </c>
      <c r="G1815" s="22">
        <v>0.0</v>
      </c>
      <c r="H1815" s="22">
        <v>0.0</v>
      </c>
      <c r="I1815" s="22">
        <v>3.899</v>
      </c>
      <c r="J1815" s="22">
        <v>0.0</v>
      </c>
      <c r="K1815" s="22">
        <v>0.0</v>
      </c>
      <c r="L1815" s="22">
        <v>255.174</v>
      </c>
      <c r="M1815" s="22">
        <v>236.26</v>
      </c>
      <c r="N1815" s="22">
        <v>221.74</v>
      </c>
      <c r="O1815" s="24">
        <v>28.2</v>
      </c>
      <c r="P1815" s="18">
        <f t="shared" si="1"/>
        <v>255.174</v>
      </c>
    </row>
    <row r="1816" ht="15.75" customHeight="1">
      <c r="A1816" s="13" t="s">
        <v>224</v>
      </c>
      <c r="B1816" s="13" t="s">
        <v>22</v>
      </c>
      <c r="C1816" s="14" t="s">
        <v>37</v>
      </c>
      <c r="D1816" s="14" t="str">
        <f>VLOOKUP(C1816,'State Key'!$A$2:$B$210,2,False)</f>
        <v>West Bengal</v>
      </c>
      <c r="E1816" s="15">
        <v>300.0</v>
      </c>
      <c r="F1816" s="16">
        <v>126.249</v>
      </c>
      <c r="G1816" s="16">
        <v>0.0</v>
      </c>
      <c r="H1816" s="16">
        <v>0.0</v>
      </c>
      <c r="I1816" s="16">
        <v>0.0</v>
      </c>
      <c r="J1816" s="16">
        <v>0.0</v>
      </c>
      <c r="K1816" s="16">
        <v>0.0</v>
      </c>
      <c r="L1816" s="16">
        <v>126.249</v>
      </c>
      <c r="M1816" s="16">
        <v>143.677</v>
      </c>
      <c r="N1816" s="16">
        <v>13.58</v>
      </c>
      <c r="O1816" s="17">
        <v>2.8</v>
      </c>
      <c r="P1816" s="18">
        <f t="shared" si="1"/>
        <v>126.249</v>
      </c>
    </row>
    <row r="1817" ht="15.75" customHeight="1">
      <c r="A1817" s="19" t="s">
        <v>224</v>
      </c>
      <c r="B1817" s="19" t="s">
        <v>22</v>
      </c>
      <c r="C1817" s="20" t="s">
        <v>38</v>
      </c>
      <c r="D1817" s="14" t="str">
        <f>VLOOKUP(C1817,'State Key'!$A$2:$B$210,2,False)</f>
        <v>Odisha</v>
      </c>
      <c r="E1817" s="21">
        <v>1740.0</v>
      </c>
      <c r="F1817" s="22">
        <v>190.644</v>
      </c>
      <c r="G1817" s="22">
        <v>0.0</v>
      </c>
      <c r="H1817" s="22">
        <v>556.888</v>
      </c>
      <c r="I1817" s="22">
        <v>0.0</v>
      </c>
      <c r="J1817" s="22">
        <v>0.0</v>
      </c>
      <c r="K1817" s="22">
        <v>0.0</v>
      </c>
      <c r="L1817" s="22">
        <v>747.532</v>
      </c>
      <c r="M1817" s="22">
        <v>740.367</v>
      </c>
      <c r="N1817" s="22">
        <v>368.0</v>
      </c>
      <c r="O1817" s="24">
        <v>14.9</v>
      </c>
      <c r="P1817" s="18">
        <f t="shared" si="1"/>
        <v>747.532</v>
      </c>
    </row>
    <row r="1818" ht="15.75" customHeight="1">
      <c r="A1818" s="13" t="s">
        <v>224</v>
      </c>
      <c r="B1818" s="13" t="s">
        <v>22</v>
      </c>
      <c r="C1818" s="14" t="s">
        <v>39</v>
      </c>
      <c r="D1818" s="14" t="str">
        <f>VLOOKUP(C1818,'State Key'!$A$2:$B$210,2,False)</f>
        <v>Jharkhand</v>
      </c>
      <c r="E1818" s="15">
        <v>240.0</v>
      </c>
      <c r="F1818" s="16">
        <v>50.965</v>
      </c>
      <c r="G1818" s="16">
        <v>0.0</v>
      </c>
      <c r="H1818" s="16">
        <v>0.0</v>
      </c>
      <c r="I1818" s="16">
        <v>12.0</v>
      </c>
      <c r="J1818" s="16">
        <v>0.0</v>
      </c>
      <c r="K1818" s="16">
        <v>5.44</v>
      </c>
      <c r="L1818" s="16">
        <v>68.405</v>
      </c>
      <c r="M1818" s="16">
        <v>84.98</v>
      </c>
      <c r="N1818" s="16">
        <v>47.99</v>
      </c>
      <c r="O1818" s="24">
        <v>16.9</v>
      </c>
      <c r="P1818" s="18">
        <f t="shared" si="1"/>
        <v>68.405</v>
      </c>
    </row>
    <row r="1819" ht="15.75" customHeight="1">
      <c r="A1819" s="19" t="s">
        <v>224</v>
      </c>
      <c r="B1819" s="19" t="s">
        <v>22</v>
      </c>
      <c r="C1819" s="20" t="s">
        <v>40</v>
      </c>
      <c r="D1819" s="14" t="str">
        <f>VLOOKUP(C1819,'State Key'!$A$2:$B$210,2,False)</f>
        <v>Bihar</v>
      </c>
      <c r="E1819" s="21">
        <v>2340.0</v>
      </c>
      <c r="F1819" s="22">
        <v>1250.33</v>
      </c>
      <c r="G1819" s="22">
        <v>0.0</v>
      </c>
      <c r="H1819" s="22">
        <v>0.0</v>
      </c>
      <c r="I1819" s="22">
        <v>0.0</v>
      </c>
      <c r="J1819" s="22">
        <v>124.173</v>
      </c>
      <c r="K1819" s="22">
        <v>0.0</v>
      </c>
      <c r="L1819" s="22">
        <v>1374.503</v>
      </c>
      <c r="M1819" s="22">
        <v>1269.61</v>
      </c>
      <c r="N1819" s="22">
        <v>578.304</v>
      </c>
      <c r="O1819" s="23">
        <v>13.7</v>
      </c>
      <c r="P1819" s="18">
        <f t="shared" si="1"/>
        <v>1374.503</v>
      </c>
    </row>
    <row r="1820" ht="15.75" customHeight="1">
      <c r="A1820" s="13" t="s">
        <v>224</v>
      </c>
      <c r="B1820" s="13" t="s">
        <v>22</v>
      </c>
      <c r="C1820" s="14" t="s">
        <v>41</v>
      </c>
      <c r="D1820" s="14" t="str">
        <f>VLOOKUP(C1820,'State Key'!$A$2:$B$210,2,False)</f>
        <v>Odisha</v>
      </c>
      <c r="E1820" s="15">
        <v>1050.0</v>
      </c>
      <c r="F1820" s="16">
        <v>400.4073</v>
      </c>
      <c r="G1820" s="16">
        <v>0.0</v>
      </c>
      <c r="H1820" s="16">
        <v>0.0</v>
      </c>
      <c r="I1820" s="16">
        <v>115.82</v>
      </c>
      <c r="J1820" s="16">
        <v>0.0</v>
      </c>
      <c r="K1820" s="16">
        <v>0.0</v>
      </c>
      <c r="L1820" s="16">
        <v>516.2273</v>
      </c>
      <c r="M1820" s="16">
        <v>525.72</v>
      </c>
      <c r="N1820" s="16">
        <v>222.972</v>
      </c>
      <c r="O1820" s="23">
        <v>12.7</v>
      </c>
      <c r="P1820" s="18">
        <f t="shared" si="1"/>
        <v>516.2273</v>
      </c>
    </row>
    <row r="1821" ht="15.75" customHeight="1">
      <c r="A1821" s="19" t="s">
        <v>224</v>
      </c>
      <c r="B1821" s="19" t="s">
        <v>22</v>
      </c>
      <c r="C1821" s="20" t="s">
        <v>42</v>
      </c>
      <c r="D1821" s="14" t="str">
        <f>VLOOKUP(C1821,'State Key'!$A$2:$B$210,2,False)</f>
        <v>Jharkhand</v>
      </c>
      <c r="E1821" s="21">
        <v>1000.0</v>
      </c>
      <c r="F1821" s="22">
        <v>437.014</v>
      </c>
      <c r="G1821" s="22">
        <v>0.0</v>
      </c>
      <c r="H1821" s="22">
        <v>0.0</v>
      </c>
      <c r="I1821" s="22">
        <v>0.0</v>
      </c>
      <c r="J1821" s="22">
        <v>0.0</v>
      </c>
      <c r="K1821" s="22">
        <v>0.0</v>
      </c>
      <c r="L1821" s="22">
        <v>437.014</v>
      </c>
      <c r="M1821" s="22">
        <v>367.049</v>
      </c>
      <c r="N1821" s="22">
        <v>314.24</v>
      </c>
      <c r="O1821" s="24">
        <v>25.7</v>
      </c>
      <c r="P1821" s="18">
        <f t="shared" si="1"/>
        <v>437.014</v>
      </c>
    </row>
    <row r="1822" ht="15.75" customHeight="1">
      <c r="A1822" s="13" t="s">
        <v>224</v>
      </c>
      <c r="B1822" s="13" t="s">
        <v>22</v>
      </c>
      <c r="C1822" s="14" t="s">
        <v>43</v>
      </c>
      <c r="D1822" s="14" t="str">
        <f>VLOOKUP(C1822,'State Key'!$A$2:$B$210,2,False)</f>
        <v>West Bengal</v>
      </c>
      <c r="E1822" s="15">
        <v>840.0</v>
      </c>
      <c r="F1822" s="16">
        <v>68.571</v>
      </c>
      <c r="G1822" s="16">
        <v>0.0</v>
      </c>
      <c r="H1822" s="16">
        <v>276.211</v>
      </c>
      <c r="I1822" s="16">
        <v>0.0</v>
      </c>
      <c r="J1822" s="16">
        <v>0.0</v>
      </c>
      <c r="K1822" s="16">
        <v>0.0</v>
      </c>
      <c r="L1822" s="16">
        <v>344.782</v>
      </c>
      <c r="M1822" s="16">
        <v>313.291</v>
      </c>
      <c r="N1822" s="16">
        <v>84.26</v>
      </c>
      <c r="O1822" s="23">
        <v>8.1</v>
      </c>
      <c r="P1822" s="18">
        <f t="shared" si="1"/>
        <v>344.782</v>
      </c>
    </row>
    <row r="1823" ht="15.75" customHeight="1">
      <c r="A1823" s="19" t="s">
        <v>224</v>
      </c>
      <c r="B1823" s="19" t="s">
        <v>22</v>
      </c>
      <c r="C1823" s="20" t="s">
        <v>44</v>
      </c>
      <c r="D1823" s="14" t="str">
        <f>VLOOKUP(C1823,'State Key'!$A$2:$B$210,2,False)</f>
        <v>Jharkhand</v>
      </c>
      <c r="E1823" s="21">
        <v>540.0</v>
      </c>
      <c r="F1823" s="22">
        <v>154.885</v>
      </c>
      <c r="G1823" s="22">
        <v>0.0</v>
      </c>
      <c r="H1823" s="22">
        <v>0.0</v>
      </c>
      <c r="I1823" s="22">
        <v>0.0</v>
      </c>
      <c r="J1823" s="22">
        <v>0.0</v>
      </c>
      <c r="K1823" s="22">
        <v>106.247</v>
      </c>
      <c r="L1823" s="22">
        <v>261.132</v>
      </c>
      <c r="M1823" s="22">
        <v>246.02</v>
      </c>
      <c r="N1823" s="22">
        <v>42.55</v>
      </c>
      <c r="O1823" s="17">
        <v>5.2</v>
      </c>
      <c r="P1823" s="18">
        <f t="shared" si="1"/>
        <v>261.132</v>
      </c>
    </row>
    <row r="1824" ht="15.75" customHeight="1">
      <c r="A1824" s="13" t="s">
        <v>224</v>
      </c>
      <c r="B1824" s="13" t="s">
        <v>22</v>
      </c>
      <c r="C1824" s="14" t="s">
        <v>45</v>
      </c>
      <c r="D1824" s="14" t="str">
        <f>VLOOKUP(C1824,'State Key'!$A$2:$B$210,2,False)</f>
        <v>Jharkhand</v>
      </c>
      <c r="E1824" s="15">
        <v>1050.0</v>
      </c>
      <c r="F1824" s="16">
        <v>320.589</v>
      </c>
      <c r="G1824" s="16">
        <v>0.0</v>
      </c>
      <c r="H1824" s="16">
        <v>0.0</v>
      </c>
      <c r="I1824" s="16">
        <v>38.001</v>
      </c>
      <c r="J1824" s="16">
        <v>0.0</v>
      </c>
      <c r="K1824" s="16">
        <v>0.0</v>
      </c>
      <c r="L1824" s="16">
        <v>358.59</v>
      </c>
      <c r="M1824" s="16">
        <v>397.239</v>
      </c>
      <c r="N1824" s="16">
        <v>382.73</v>
      </c>
      <c r="O1824" s="24">
        <v>28.9</v>
      </c>
      <c r="P1824" s="18">
        <f t="shared" si="1"/>
        <v>358.59</v>
      </c>
    </row>
    <row r="1825" ht="15.75" customHeight="1">
      <c r="A1825" s="19" t="s">
        <v>224</v>
      </c>
      <c r="B1825" s="19" t="s">
        <v>22</v>
      </c>
      <c r="C1825" s="20" t="s">
        <v>46</v>
      </c>
      <c r="D1825" s="14" t="str">
        <f>VLOOKUP(C1825,'State Key'!$A$2:$B$210,2,False)</f>
        <v>West Bengal</v>
      </c>
      <c r="E1825" s="21">
        <v>2340.0</v>
      </c>
      <c r="F1825" s="22">
        <v>739.202</v>
      </c>
      <c r="G1825" s="22">
        <v>0.0</v>
      </c>
      <c r="H1825" s="22">
        <v>208.382</v>
      </c>
      <c r="I1825" s="22">
        <v>0.0</v>
      </c>
      <c r="J1825" s="22">
        <v>3.433</v>
      </c>
      <c r="K1825" s="22">
        <v>0.0</v>
      </c>
      <c r="L1825" s="22">
        <v>951.017</v>
      </c>
      <c r="M1825" s="22">
        <v>962.406</v>
      </c>
      <c r="N1825" s="22">
        <v>395.1</v>
      </c>
      <c r="O1825" s="23">
        <v>12.3</v>
      </c>
      <c r="P1825" s="18">
        <f t="shared" si="1"/>
        <v>951.017</v>
      </c>
    </row>
    <row r="1826" ht="15.75" customHeight="1">
      <c r="A1826" s="13" t="s">
        <v>224</v>
      </c>
      <c r="B1826" s="13" t="s">
        <v>22</v>
      </c>
      <c r="C1826" s="14" t="s">
        <v>47</v>
      </c>
      <c r="D1826" s="14" t="str">
        <f>VLOOKUP(C1826,'State Key'!$A$2:$B$210,2,False)</f>
        <v>Bihar</v>
      </c>
      <c r="E1826" s="15">
        <v>390.0</v>
      </c>
      <c r="F1826" s="16">
        <v>51.901</v>
      </c>
      <c r="G1826" s="16">
        <v>0.0</v>
      </c>
      <c r="H1826" s="16">
        <v>123.131</v>
      </c>
      <c r="I1826" s="16">
        <v>0.0</v>
      </c>
      <c r="J1826" s="16">
        <v>0.0</v>
      </c>
      <c r="K1826" s="16">
        <v>0.0</v>
      </c>
      <c r="L1826" s="16">
        <v>175.032</v>
      </c>
      <c r="M1826" s="16">
        <v>172.187</v>
      </c>
      <c r="N1826" s="16">
        <v>120.58</v>
      </c>
      <c r="O1826" s="24">
        <v>21.0</v>
      </c>
      <c r="P1826" s="18">
        <f t="shared" si="1"/>
        <v>175.032</v>
      </c>
    </row>
    <row r="1827" ht="15.75" customHeight="1">
      <c r="A1827" s="19" t="s">
        <v>224</v>
      </c>
      <c r="B1827" s="19" t="s">
        <v>22</v>
      </c>
      <c r="C1827" s="20" t="s">
        <v>48</v>
      </c>
      <c r="D1827" s="14" t="str">
        <f>VLOOKUP(C1827,'State Key'!$A$2:$B$210,2,False)</f>
        <v>Bihar</v>
      </c>
      <c r="E1827" s="21">
        <v>1980.0</v>
      </c>
      <c r="F1827" s="22">
        <v>502.84</v>
      </c>
      <c r="G1827" s="22">
        <v>0.0</v>
      </c>
      <c r="H1827" s="22">
        <v>126.14</v>
      </c>
      <c r="I1827" s="22">
        <v>0.0</v>
      </c>
      <c r="J1827" s="22">
        <v>40.4</v>
      </c>
      <c r="K1827" s="22">
        <v>0.0</v>
      </c>
      <c r="L1827" s="22">
        <v>669.38</v>
      </c>
      <c r="M1827" s="22">
        <v>632.66</v>
      </c>
      <c r="N1827" s="22">
        <v>666.37</v>
      </c>
      <c r="O1827" s="24">
        <v>31.6</v>
      </c>
      <c r="P1827" s="18">
        <f t="shared" si="1"/>
        <v>669.38</v>
      </c>
    </row>
    <row r="1828" ht="15.75" customHeight="1">
      <c r="A1828" s="13" t="s">
        <v>224</v>
      </c>
      <c r="B1828" s="13" t="s">
        <v>22</v>
      </c>
      <c r="C1828" s="14" t="s">
        <v>49</v>
      </c>
      <c r="D1828" s="14" t="str">
        <f>VLOOKUP(C1828,'State Key'!$A$2:$B$210,2,False)</f>
        <v>Bihar</v>
      </c>
      <c r="E1828" s="15">
        <v>1000.0</v>
      </c>
      <c r="F1828" s="16">
        <v>427.6864</v>
      </c>
      <c r="G1828" s="16">
        <v>0.0</v>
      </c>
      <c r="H1828" s="16">
        <v>0.0</v>
      </c>
      <c r="I1828" s="16">
        <v>0.0</v>
      </c>
      <c r="J1828" s="16">
        <v>3.8533</v>
      </c>
      <c r="K1828" s="16">
        <v>0.0</v>
      </c>
      <c r="L1828" s="16">
        <v>431.5397</v>
      </c>
      <c r="M1828" s="16">
        <v>415.05</v>
      </c>
      <c r="N1828" s="16">
        <v>132.07</v>
      </c>
      <c r="O1828" s="23">
        <v>9.5</v>
      </c>
      <c r="P1828" s="18">
        <f t="shared" si="1"/>
        <v>431.5397</v>
      </c>
    </row>
    <row r="1829" ht="15.75" customHeight="1">
      <c r="A1829" s="19" t="s">
        <v>224</v>
      </c>
      <c r="B1829" s="19" t="s">
        <v>22</v>
      </c>
      <c r="C1829" s="20" t="s">
        <v>50</v>
      </c>
      <c r="D1829" s="14" t="str">
        <f>VLOOKUP(C1829,'State Key'!$A$2:$B$210,2,False)</f>
        <v>Jharkhand</v>
      </c>
      <c r="E1829" s="21">
        <v>1320.0</v>
      </c>
      <c r="F1829" s="22">
        <v>278.09</v>
      </c>
      <c r="G1829" s="22">
        <v>0.0</v>
      </c>
      <c r="H1829" s="22">
        <v>183.33</v>
      </c>
      <c r="I1829" s="22">
        <v>0.0</v>
      </c>
      <c r="J1829" s="22">
        <v>0.0</v>
      </c>
      <c r="K1829" s="22">
        <v>0.0</v>
      </c>
      <c r="L1829" s="22">
        <v>461.42</v>
      </c>
      <c r="M1829" s="22">
        <v>278.707</v>
      </c>
      <c r="N1829" s="22">
        <v>251.155</v>
      </c>
      <c r="O1829" s="24">
        <v>27.0</v>
      </c>
      <c r="P1829" s="18">
        <f t="shared" si="1"/>
        <v>461.42</v>
      </c>
    </row>
    <row r="1830" ht="15.75" customHeight="1">
      <c r="A1830" s="13" t="s">
        <v>224</v>
      </c>
      <c r="B1830" s="13" t="s">
        <v>22</v>
      </c>
      <c r="C1830" s="14" t="s">
        <v>51</v>
      </c>
      <c r="D1830" s="14" t="str">
        <f>VLOOKUP(C1830,'State Key'!$A$2:$B$210,2,False)</f>
        <v>West Bengal</v>
      </c>
      <c r="E1830" s="15">
        <v>1200.0</v>
      </c>
      <c r="F1830" s="16">
        <v>539.115</v>
      </c>
      <c r="G1830" s="16">
        <v>0.0</v>
      </c>
      <c r="H1830" s="16">
        <v>0.0</v>
      </c>
      <c r="I1830" s="16">
        <v>0.0</v>
      </c>
      <c r="J1830" s="16">
        <v>0.0</v>
      </c>
      <c r="K1830" s="16">
        <v>0.0</v>
      </c>
      <c r="L1830" s="16">
        <v>539.115</v>
      </c>
      <c r="M1830" s="16">
        <v>375.499</v>
      </c>
      <c r="N1830" s="16">
        <v>354.945</v>
      </c>
      <c r="O1830" s="24">
        <v>28.4</v>
      </c>
      <c r="P1830" s="18">
        <f t="shared" si="1"/>
        <v>539.115</v>
      </c>
    </row>
    <row r="1831" ht="15.75" customHeight="1">
      <c r="A1831" s="19" t="s">
        <v>224</v>
      </c>
      <c r="B1831" s="19" t="s">
        <v>22</v>
      </c>
      <c r="C1831" s="20" t="s">
        <v>52</v>
      </c>
      <c r="D1831" s="14" t="str">
        <f>VLOOKUP(C1831,'State Key'!$A$2:$B$210,2,False)</f>
        <v>West Bengal</v>
      </c>
      <c r="E1831" s="21">
        <v>1600.0</v>
      </c>
      <c r="F1831" s="22">
        <v>46.59</v>
      </c>
      <c r="G1831" s="22">
        <v>0.0</v>
      </c>
      <c r="H1831" s="22">
        <v>678.586</v>
      </c>
      <c r="I1831" s="22">
        <v>0.0</v>
      </c>
      <c r="J1831" s="22">
        <v>0.0</v>
      </c>
      <c r="K1831" s="22">
        <v>0.0</v>
      </c>
      <c r="L1831" s="22">
        <v>725.176</v>
      </c>
      <c r="M1831" s="22">
        <v>702.178</v>
      </c>
      <c r="N1831" s="22">
        <v>199.99</v>
      </c>
      <c r="O1831" s="23">
        <v>8.5</v>
      </c>
      <c r="P1831" s="18">
        <f t="shared" si="1"/>
        <v>725.176</v>
      </c>
    </row>
    <row r="1832" ht="15.75" customHeight="1">
      <c r="A1832" s="13" t="s">
        <v>224</v>
      </c>
      <c r="B1832" s="13" t="s">
        <v>22</v>
      </c>
      <c r="C1832" s="14" t="s">
        <v>53</v>
      </c>
      <c r="D1832" s="14" t="str">
        <f>VLOOKUP(C1832,'State Key'!$A$2:$B$210,2,False)</f>
        <v>West Bengal</v>
      </c>
      <c r="E1832" s="15">
        <v>500.0</v>
      </c>
      <c r="F1832" s="16">
        <v>6.9</v>
      </c>
      <c r="G1832" s="16">
        <v>0.0</v>
      </c>
      <c r="H1832" s="16">
        <v>140.566</v>
      </c>
      <c r="I1832" s="16">
        <v>0.0</v>
      </c>
      <c r="J1832" s="16">
        <v>0.0</v>
      </c>
      <c r="K1832" s="16">
        <v>0.0</v>
      </c>
      <c r="L1832" s="16">
        <v>147.466</v>
      </c>
      <c r="M1832" s="16">
        <v>166.868</v>
      </c>
      <c r="N1832" s="16">
        <v>59.84</v>
      </c>
      <c r="O1832" s="23">
        <v>10.8</v>
      </c>
      <c r="P1832" s="18">
        <f t="shared" si="1"/>
        <v>147.466</v>
      </c>
    </row>
    <row r="1833" ht="15.75" customHeight="1">
      <c r="A1833" s="19" t="s">
        <v>224</v>
      </c>
      <c r="B1833" s="19" t="s">
        <v>22</v>
      </c>
      <c r="C1833" s="20" t="s">
        <v>54</v>
      </c>
      <c r="D1833" s="14" t="str">
        <f>VLOOKUP(C1833,'State Key'!$A$2:$B$210,2,False)</f>
        <v>West Bengal</v>
      </c>
      <c r="E1833" s="21">
        <v>135.0</v>
      </c>
      <c r="F1833" s="22">
        <v>14.623</v>
      </c>
      <c r="G1833" s="22">
        <v>0.0</v>
      </c>
      <c r="H1833" s="22">
        <v>0.0</v>
      </c>
      <c r="I1833" s="22">
        <v>19.705</v>
      </c>
      <c r="J1833" s="22">
        <v>0.0</v>
      </c>
      <c r="K1833" s="22">
        <v>0.0</v>
      </c>
      <c r="L1833" s="22">
        <v>34.328</v>
      </c>
      <c r="M1833" s="22">
        <v>4.37</v>
      </c>
      <c r="N1833" s="22">
        <v>64.1</v>
      </c>
      <c r="O1833" s="24">
        <v>440.0</v>
      </c>
      <c r="P1833" s="18">
        <f t="shared" si="1"/>
        <v>34.328</v>
      </c>
    </row>
    <row r="1834" ht="15.75" customHeight="1">
      <c r="A1834" s="13" t="s">
        <v>224</v>
      </c>
      <c r="B1834" s="13" t="s">
        <v>22</v>
      </c>
      <c r="C1834" s="14" t="s">
        <v>55</v>
      </c>
      <c r="D1834" s="14" t="str">
        <f>VLOOKUP(C1834,'State Key'!$A$2:$B$210,2,False)</f>
        <v>Odisha</v>
      </c>
      <c r="E1834" s="15">
        <v>3000.0</v>
      </c>
      <c r="F1834" s="16">
        <v>1354.49</v>
      </c>
      <c r="G1834" s="16">
        <v>0.0</v>
      </c>
      <c r="H1834" s="16">
        <v>0.0</v>
      </c>
      <c r="I1834" s="16">
        <v>0.0</v>
      </c>
      <c r="J1834" s="16">
        <v>0.33</v>
      </c>
      <c r="K1834" s="16">
        <v>0.0</v>
      </c>
      <c r="L1834" s="16">
        <v>1354.82</v>
      </c>
      <c r="M1834" s="16">
        <v>1298.681</v>
      </c>
      <c r="N1834" s="16">
        <v>785.432</v>
      </c>
      <c r="O1834" s="24">
        <v>18.1</v>
      </c>
      <c r="P1834" s="18">
        <f t="shared" si="1"/>
        <v>1354.82</v>
      </c>
    </row>
    <row r="1835" ht="15.75" customHeight="1">
      <c r="A1835" s="19" t="s">
        <v>224</v>
      </c>
      <c r="B1835" s="19" t="s">
        <v>22</v>
      </c>
      <c r="C1835" s="20" t="s">
        <v>56</v>
      </c>
      <c r="D1835" s="14" t="str">
        <f>VLOOKUP(C1835,'State Key'!$A$2:$B$210,2,False)</f>
        <v>Jharkhand</v>
      </c>
      <c r="E1835" s="21">
        <v>420.0</v>
      </c>
      <c r="F1835" s="22">
        <v>176.83</v>
      </c>
      <c r="G1835" s="22">
        <v>0.0</v>
      </c>
      <c r="H1835" s="22">
        <v>0.0</v>
      </c>
      <c r="I1835" s="22">
        <v>0.0</v>
      </c>
      <c r="J1835" s="22">
        <v>0.0</v>
      </c>
      <c r="K1835" s="22">
        <v>0.0</v>
      </c>
      <c r="L1835" s="22">
        <v>176.83</v>
      </c>
      <c r="M1835" s="22">
        <v>161.63</v>
      </c>
      <c r="N1835" s="22">
        <v>70.47</v>
      </c>
      <c r="O1835" s="23">
        <v>13.1</v>
      </c>
      <c r="P1835" s="18">
        <f t="shared" si="1"/>
        <v>176.83</v>
      </c>
    </row>
    <row r="1836" ht="15.75" customHeight="1">
      <c r="A1836" s="13" t="s">
        <v>224</v>
      </c>
      <c r="B1836" s="13" t="s">
        <v>22</v>
      </c>
      <c r="C1836" s="14" t="s">
        <v>57</v>
      </c>
      <c r="D1836" s="14" t="str">
        <f>VLOOKUP(C1836,'State Key'!$A$2:$B$210,2,False)</f>
        <v>West Bengal</v>
      </c>
      <c r="E1836" s="15">
        <v>240.0</v>
      </c>
      <c r="F1836" s="16">
        <v>0.0</v>
      </c>
      <c r="G1836" s="16">
        <v>0.0</v>
      </c>
      <c r="H1836" s="16">
        <v>0.0</v>
      </c>
      <c r="I1836" s="16">
        <v>0.0</v>
      </c>
      <c r="J1836" s="16">
        <v>0.0</v>
      </c>
      <c r="K1836" s="16">
        <v>0.0</v>
      </c>
      <c r="L1836" s="16">
        <v>0.0</v>
      </c>
      <c r="M1836" s="16">
        <v>0.0</v>
      </c>
      <c r="N1836" s="16">
        <v>0.0</v>
      </c>
      <c r="O1836" s="13" t="s">
        <v>58</v>
      </c>
      <c r="P1836" s="18">
        <f t="shared" si="1"/>
        <v>0</v>
      </c>
    </row>
    <row r="1837" ht="15.75" customHeight="1">
      <c r="A1837" s="19" t="s">
        <v>224</v>
      </c>
      <c r="B1837" s="19" t="s">
        <v>22</v>
      </c>
      <c r="C1837" s="20" t="s">
        <v>59</v>
      </c>
      <c r="D1837" s="14" t="str">
        <f>VLOOKUP(C1837,'State Key'!$A$2:$B$210,2,False)</f>
        <v>Odisha</v>
      </c>
      <c r="E1837" s="21">
        <v>350.0</v>
      </c>
      <c r="F1837" s="22">
        <v>0.0</v>
      </c>
      <c r="G1837" s="22">
        <v>0.0</v>
      </c>
      <c r="H1837" s="22">
        <v>0.0</v>
      </c>
      <c r="I1837" s="22">
        <v>0.0</v>
      </c>
      <c r="J1837" s="22">
        <v>0.0</v>
      </c>
      <c r="K1837" s="22">
        <v>0.0</v>
      </c>
      <c r="L1837" s="22">
        <v>0.0</v>
      </c>
      <c r="M1837" s="22">
        <v>0.0</v>
      </c>
      <c r="N1837" s="22">
        <v>0.0</v>
      </c>
      <c r="O1837" s="19" t="s">
        <v>58</v>
      </c>
      <c r="P1837" s="18">
        <f t="shared" si="1"/>
        <v>0</v>
      </c>
    </row>
    <row r="1838" ht="15.75" customHeight="1">
      <c r="A1838" s="13" t="s">
        <v>224</v>
      </c>
      <c r="B1838" s="13" t="s">
        <v>22</v>
      </c>
      <c r="C1838" s="14" t="s">
        <v>60</v>
      </c>
      <c r="D1838" s="14" t="str">
        <f>VLOOKUP(C1838,'State Key'!$A$2:$B$210,2,False)</f>
        <v>Odisha</v>
      </c>
      <c r="E1838" s="15">
        <v>600.0</v>
      </c>
      <c r="F1838" s="16">
        <v>229.2</v>
      </c>
      <c r="G1838" s="16">
        <v>0.0</v>
      </c>
      <c r="H1838" s="16">
        <v>0.0</v>
      </c>
      <c r="I1838" s="16">
        <v>0.0</v>
      </c>
      <c r="J1838" s="16">
        <v>0.0</v>
      </c>
      <c r="K1838" s="16">
        <v>0.0</v>
      </c>
      <c r="L1838" s="16">
        <v>229.2</v>
      </c>
      <c r="M1838" s="16">
        <v>259.54</v>
      </c>
      <c r="N1838" s="16">
        <v>162.88</v>
      </c>
      <c r="O1838" s="24">
        <v>18.8</v>
      </c>
      <c r="P1838" s="18">
        <f t="shared" si="1"/>
        <v>229.2</v>
      </c>
    </row>
    <row r="1839" ht="15.75" customHeight="1">
      <c r="A1839" s="19" t="s">
        <v>224</v>
      </c>
      <c r="B1839" s="19" t="s">
        <v>61</v>
      </c>
      <c r="C1839" s="20" t="s">
        <v>209</v>
      </c>
      <c r="D1839" s="14" t="str">
        <f>VLOOKUP(C1839,'State Key'!$A$2:$B$210,2,False)</f>
        <v>Rajasthan</v>
      </c>
      <c r="E1839" s="21">
        <v>1320.0</v>
      </c>
      <c r="F1839" s="22">
        <v>355.635</v>
      </c>
      <c r="G1839" s="22">
        <v>0.0</v>
      </c>
      <c r="H1839" s="22">
        <v>0.0</v>
      </c>
      <c r="I1839" s="22">
        <v>0.0</v>
      </c>
      <c r="J1839" s="22">
        <v>71.781</v>
      </c>
      <c r="K1839" s="22">
        <v>0.0</v>
      </c>
      <c r="L1839" s="22">
        <v>427.416</v>
      </c>
      <c r="M1839" s="22">
        <v>411.61</v>
      </c>
      <c r="N1839" s="22">
        <v>104.94</v>
      </c>
      <c r="O1839" s="23">
        <v>7.6</v>
      </c>
      <c r="P1839" s="18">
        <f t="shared" si="1"/>
        <v>427.416</v>
      </c>
    </row>
    <row r="1840" ht="15.75" customHeight="1">
      <c r="A1840" s="13" t="s">
        <v>224</v>
      </c>
      <c r="B1840" s="13" t="s">
        <v>61</v>
      </c>
      <c r="C1840" s="14" t="s">
        <v>62</v>
      </c>
      <c r="D1840" s="14" t="str">
        <f>VLOOKUP(C1840,'State Key'!$A$2:$B$210,2,False)</f>
        <v>Uttar Pradesh</v>
      </c>
      <c r="E1840" s="15">
        <v>1200.0</v>
      </c>
      <c r="F1840" s="16">
        <v>302.16</v>
      </c>
      <c r="G1840" s="16">
        <v>0.0</v>
      </c>
      <c r="H1840" s="16">
        <v>0.0</v>
      </c>
      <c r="I1840" s="16">
        <v>0.0</v>
      </c>
      <c r="J1840" s="16">
        <v>0.0</v>
      </c>
      <c r="K1840" s="16">
        <v>0.0</v>
      </c>
      <c r="L1840" s="16">
        <v>302.16</v>
      </c>
      <c r="M1840" s="16">
        <v>451.39</v>
      </c>
      <c r="N1840" s="16">
        <v>213.39</v>
      </c>
      <c r="O1840" s="24">
        <v>14.2</v>
      </c>
      <c r="P1840" s="18">
        <f t="shared" si="1"/>
        <v>302.16</v>
      </c>
    </row>
    <row r="1841" ht="15.75" customHeight="1">
      <c r="A1841" s="19" t="s">
        <v>224</v>
      </c>
      <c r="B1841" s="19" t="s">
        <v>61</v>
      </c>
      <c r="C1841" s="20" t="s">
        <v>63</v>
      </c>
      <c r="D1841" s="14" t="str">
        <f>VLOOKUP(C1841,'State Key'!$A$2:$B$210,2,False)</f>
        <v>Uttar Pradesh</v>
      </c>
      <c r="E1841" s="21">
        <v>2630.0</v>
      </c>
      <c r="F1841" s="22">
        <v>995.262</v>
      </c>
      <c r="G1841" s="22">
        <v>0.0</v>
      </c>
      <c r="H1841" s="22">
        <v>0.0</v>
      </c>
      <c r="I1841" s="22">
        <v>0.0</v>
      </c>
      <c r="J1841" s="22">
        <v>0.0</v>
      </c>
      <c r="K1841" s="22">
        <v>0.0</v>
      </c>
      <c r="L1841" s="22">
        <v>995.262</v>
      </c>
      <c r="M1841" s="22">
        <v>864.307</v>
      </c>
      <c r="N1841" s="22">
        <v>1006.77</v>
      </c>
      <c r="O1841" s="24">
        <v>34.9</v>
      </c>
      <c r="P1841" s="18">
        <f t="shared" si="1"/>
        <v>995.262</v>
      </c>
    </row>
    <row r="1842" ht="15.75" customHeight="1">
      <c r="A1842" s="13" t="s">
        <v>224</v>
      </c>
      <c r="B1842" s="13" t="s">
        <v>61</v>
      </c>
      <c r="C1842" s="14" t="s">
        <v>64</v>
      </c>
      <c r="D1842" s="14" t="str">
        <f>VLOOKUP(C1842,'State Key'!$A$2:$B$210,2,False)</f>
        <v>Uttar Pradesh</v>
      </c>
      <c r="E1842" s="15">
        <v>90.0</v>
      </c>
      <c r="F1842" s="16">
        <v>49.669</v>
      </c>
      <c r="G1842" s="16">
        <v>0.0</v>
      </c>
      <c r="H1842" s="16">
        <v>0.0</v>
      </c>
      <c r="I1842" s="16">
        <v>0.0</v>
      </c>
      <c r="J1842" s="16">
        <v>0.0</v>
      </c>
      <c r="K1842" s="16">
        <v>0.0</v>
      </c>
      <c r="L1842" s="16">
        <v>49.669</v>
      </c>
      <c r="M1842" s="16">
        <v>16.997</v>
      </c>
      <c r="N1842" s="16">
        <v>63.53</v>
      </c>
      <c r="O1842" s="24">
        <v>112.1</v>
      </c>
      <c r="P1842" s="18">
        <f t="shared" si="1"/>
        <v>49.669</v>
      </c>
    </row>
    <row r="1843" ht="15.75" customHeight="1">
      <c r="A1843" s="19" t="s">
        <v>224</v>
      </c>
      <c r="B1843" s="19" t="s">
        <v>61</v>
      </c>
      <c r="C1843" s="20" t="s">
        <v>65</v>
      </c>
      <c r="D1843" s="14" t="str">
        <f>VLOOKUP(C1843,'State Key'!$A$2:$B$210,2,False)</f>
        <v>Rajasthan</v>
      </c>
      <c r="E1843" s="21">
        <v>500.0</v>
      </c>
      <c r="F1843" s="22">
        <v>277.3</v>
      </c>
      <c r="G1843" s="22">
        <v>0.0</v>
      </c>
      <c r="H1843" s="22">
        <v>0.0</v>
      </c>
      <c r="I1843" s="22">
        <v>0.0</v>
      </c>
      <c r="J1843" s="22">
        <v>0.0</v>
      </c>
      <c r="K1843" s="22">
        <v>0.0</v>
      </c>
      <c r="L1843" s="22">
        <v>277.3</v>
      </c>
      <c r="M1843" s="22">
        <v>199.07</v>
      </c>
      <c r="N1843" s="22">
        <v>110.06</v>
      </c>
      <c r="O1843" s="24">
        <v>16.6</v>
      </c>
      <c r="P1843" s="18">
        <f t="shared" si="1"/>
        <v>277.3</v>
      </c>
    </row>
    <row r="1844" ht="15.75" customHeight="1">
      <c r="A1844" s="13" t="s">
        <v>224</v>
      </c>
      <c r="B1844" s="13" t="s">
        <v>61</v>
      </c>
      <c r="C1844" s="14" t="s">
        <v>66</v>
      </c>
      <c r="D1844" s="14" t="str">
        <f>VLOOKUP(C1844,'State Key'!$A$2:$B$210,2,False)</f>
        <v>Rajasthan</v>
      </c>
      <c r="E1844" s="15">
        <v>500.0</v>
      </c>
      <c r="F1844" s="16">
        <v>189.59</v>
      </c>
      <c r="G1844" s="16">
        <v>0.0</v>
      </c>
      <c r="H1844" s="16">
        <v>7.8</v>
      </c>
      <c r="I1844" s="16">
        <v>0.0</v>
      </c>
      <c r="J1844" s="16">
        <v>0.0</v>
      </c>
      <c r="K1844" s="16">
        <v>0.0</v>
      </c>
      <c r="L1844" s="16">
        <v>197.39</v>
      </c>
      <c r="M1844" s="16">
        <v>202.33</v>
      </c>
      <c r="N1844" s="16">
        <v>0.0</v>
      </c>
      <c r="O1844" s="17">
        <v>0.0</v>
      </c>
      <c r="P1844" s="18">
        <f t="shared" si="1"/>
        <v>197.39</v>
      </c>
    </row>
    <row r="1845" ht="15.75" customHeight="1">
      <c r="A1845" s="19" t="s">
        <v>224</v>
      </c>
      <c r="B1845" s="19" t="s">
        <v>61</v>
      </c>
      <c r="C1845" s="20" t="s">
        <v>67</v>
      </c>
      <c r="D1845" s="14" t="str">
        <f>VLOOKUP(C1845,'State Key'!$A$2:$B$210,2,False)</f>
        <v>Rajasthan</v>
      </c>
      <c r="E1845" s="21">
        <v>1320.0</v>
      </c>
      <c r="F1845" s="22">
        <v>247.08015</v>
      </c>
      <c r="G1845" s="22">
        <v>0.0</v>
      </c>
      <c r="H1845" s="22">
        <v>224.10408</v>
      </c>
      <c r="I1845" s="22">
        <v>0.0</v>
      </c>
      <c r="J1845" s="22">
        <v>0.0</v>
      </c>
      <c r="K1845" s="22">
        <v>0.0</v>
      </c>
      <c r="L1845" s="22">
        <v>471.18423</v>
      </c>
      <c r="M1845" s="22">
        <v>362.167</v>
      </c>
      <c r="N1845" s="22">
        <v>188.149</v>
      </c>
      <c r="O1845" s="24">
        <v>15.6</v>
      </c>
      <c r="P1845" s="18">
        <f t="shared" si="1"/>
        <v>471.18423</v>
      </c>
    </row>
    <row r="1846" ht="15.75" customHeight="1">
      <c r="A1846" s="13" t="s">
        <v>224</v>
      </c>
      <c r="B1846" s="13" t="s">
        <v>61</v>
      </c>
      <c r="C1846" s="14" t="s">
        <v>68</v>
      </c>
      <c r="D1846" s="14" t="str">
        <f>VLOOKUP(C1846,'State Key'!$A$2:$B$210,2,False)</f>
        <v>Uttar Pradesh</v>
      </c>
      <c r="E1846" s="15">
        <v>1820.0</v>
      </c>
      <c r="F1846" s="16">
        <v>438.31</v>
      </c>
      <c r="G1846" s="16">
        <v>0.0</v>
      </c>
      <c r="H1846" s="16">
        <v>141.99</v>
      </c>
      <c r="I1846" s="16">
        <v>0.0</v>
      </c>
      <c r="J1846" s="16">
        <v>118.38</v>
      </c>
      <c r="K1846" s="16">
        <v>0.0</v>
      </c>
      <c r="L1846" s="16">
        <v>698.68</v>
      </c>
      <c r="M1846" s="16">
        <v>516.757</v>
      </c>
      <c r="N1846" s="16">
        <v>393.8</v>
      </c>
      <c r="O1846" s="24">
        <v>22.9</v>
      </c>
      <c r="P1846" s="18">
        <f t="shared" si="1"/>
        <v>698.68</v>
      </c>
    </row>
    <row r="1847" ht="15.75" customHeight="1">
      <c r="A1847" s="19" t="s">
        <v>224</v>
      </c>
      <c r="B1847" s="19" t="s">
        <v>61</v>
      </c>
      <c r="C1847" s="20" t="s">
        <v>69</v>
      </c>
      <c r="D1847" s="14" t="str">
        <f>VLOOKUP(C1847,'State Key'!$A$2:$B$210,2,False)</f>
        <v>Punjab</v>
      </c>
      <c r="E1847" s="21">
        <v>920.0</v>
      </c>
      <c r="F1847" s="22">
        <v>49.826</v>
      </c>
      <c r="G1847" s="22">
        <v>0.0</v>
      </c>
      <c r="H1847" s="22">
        <v>219.657</v>
      </c>
      <c r="I1847" s="22">
        <v>0.0</v>
      </c>
      <c r="J1847" s="22">
        <v>0.0</v>
      </c>
      <c r="K1847" s="22">
        <v>0.0</v>
      </c>
      <c r="L1847" s="22">
        <v>269.483</v>
      </c>
      <c r="M1847" s="22">
        <v>254.199</v>
      </c>
      <c r="N1847" s="22">
        <v>290.39</v>
      </c>
      <c r="O1847" s="24">
        <v>34.3</v>
      </c>
      <c r="P1847" s="18">
        <f t="shared" si="1"/>
        <v>269.483</v>
      </c>
    </row>
    <row r="1848" ht="15.75" customHeight="1">
      <c r="A1848" s="13" t="s">
        <v>224</v>
      </c>
      <c r="B1848" s="13" t="s">
        <v>61</v>
      </c>
      <c r="C1848" s="14" t="s">
        <v>70</v>
      </c>
      <c r="D1848" s="14" t="str">
        <f>VLOOKUP(C1848,'State Key'!$A$2:$B$210,2,False)</f>
        <v>Punjab</v>
      </c>
      <c r="E1848" s="15">
        <v>540.0</v>
      </c>
      <c r="F1848" s="16">
        <v>158.23044</v>
      </c>
      <c r="G1848" s="16">
        <v>0.0</v>
      </c>
      <c r="H1848" s="16">
        <v>0.0</v>
      </c>
      <c r="I1848" s="16">
        <v>0.0</v>
      </c>
      <c r="J1848" s="16">
        <v>0.0</v>
      </c>
      <c r="K1848" s="16">
        <v>0.0</v>
      </c>
      <c r="L1848" s="16">
        <v>158.23044</v>
      </c>
      <c r="M1848" s="16">
        <v>147.5284</v>
      </c>
      <c r="N1848" s="16">
        <v>36.56</v>
      </c>
      <c r="O1848" s="23">
        <v>7.4</v>
      </c>
      <c r="P1848" s="18">
        <f t="shared" si="1"/>
        <v>158.23044</v>
      </c>
    </row>
    <row r="1849" ht="15.75" customHeight="1">
      <c r="A1849" s="19" t="s">
        <v>224</v>
      </c>
      <c r="B1849" s="19" t="s">
        <v>61</v>
      </c>
      <c r="C1849" s="20" t="s">
        <v>71</v>
      </c>
      <c r="D1849" s="14" t="str">
        <f>VLOOKUP(C1849,'State Key'!$A$2:$B$210,2,False)</f>
        <v>Uttar Pradesh</v>
      </c>
      <c r="E1849" s="21">
        <v>1265.0</v>
      </c>
      <c r="F1849" s="22">
        <v>475.617</v>
      </c>
      <c r="G1849" s="22">
        <v>0.0</v>
      </c>
      <c r="H1849" s="22">
        <v>0.0</v>
      </c>
      <c r="I1849" s="22">
        <v>0.0</v>
      </c>
      <c r="J1849" s="22">
        <v>0.0</v>
      </c>
      <c r="K1849" s="22">
        <v>0.0</v>
      </c>
      <c r="L1849" s="22">
        <v>475.617</v>
      </c>
      <c r="M1849" s="22">
        <v>424.155</v>
      </c>
      <c r="N1849" s="22">
        <v>229.6</v>
      </c>
      <c r="O1849" s="24">
        <v>16.2</v>
      </c>
      <c r="P1849" s="18">
        <f t="shared" si="1"/>
        <v>475.617</v>
      </c>
    </row>
    <row r="1850" ht="15.75" customHeight="1">
      <c r="A1850" s="13" t="s">
        <v>224</v>
      </c>
      <c r="B1850" s="13" t="s">
        <v>61</v>
      </c>
      <c r="C1850" s="14" t="s">
        <v>72</v>
      </c>
      <c r="D1850" s="14" t="str">
        <f>VLOOKUP(C1850,'State Key'!$A$2:$B$210,2,False)</f>
        <v>Haryana</v>
      </c>
      <c r="E1850" s="15">
        <v>1500.0</v>
      </c>
      <c r="F1850" s="16">
        <v>447.291</v>
      </c>
      <c r="G1850" s="16">
        <v>91.897</v>
      </c>
      <c r="H1850" s="16">
        <v>0.0</v>
      </c>
      <c r="I1850" s="16">
        <v>0.0</v>
      </c>
      <c r="J1850" s="16">
        <v>0.0</v>
      </c>
      <c r="K1850" s="16">
        <v>0.27</v>
      </c>
      <c r="L1850" s="16">
        <v>539.458</v>
      </c>
      <c r="M1850" s="16">
        <v>344.575</v>
      </c>
      <c r="N1850" s="16">
        <v>672.07</v>
      </c>
      <c r="O1850" s="24">
        <v>58.5</v>
      </c>
      <c r="P1850" s="18">
        <f t="shared" si="1"/>
        <v>539.458</v>
      </c>
    </row>
    <row r="1851" ht="15.75" customHeight="1">
      <c r="A1851" s="19" t="s">
        <v>224</v>
      </c>
      <c r="B1851" s="19" t="s">
        <v>61</v>
      </c>
      <c r="C1851" s="20" t="s">
        <v>73</v>
      </c>
      <c r="D1851" s="14" t="str">
        <f>VLOOKUP(C1851,'State Key'!$A$2:$B$210,2,False)</f>
        <v>Rajasthan</v>
      </c>
      <c r="E1851" s="21">
        <v>1200.0</v>
      </c>
      <c r="F1851" s="22">
        <v>91.169</v>
      </c>
      <c r="G1851" s="22">
        <v>0.0</v>
      </c>
      <c r="H1851" s="22">
        <v>302.793</v>
      </c>
      <c r="I1851" s="22">
        <v>0.0</v>
      </c>
      <c r="J1851" s="22">
        <v>0.0</v>
      </c>
      <c r="K1851" s="22">
        <v>0.0</v>
      </c>
      <c r="L1851" s="22">
        <v>393.962</v>
      </c>
      <c r="M1851" s="22">
        <v>353.443</v>
      </c>
      <c r="N1851" s="22">
        <v>121.65</v>
      </c>
      <c r="O1851" s="23">
        <v>10.3</v>
      </c>
      <c r="P1851" s="18">
        <f t="shared" si="1"/>
        <v>393.962</v>
      </c>
    </row>
    <row r="1852" ht="15.75" customHeight="1">
      <c r="A1852" s="13" t="s">
        <v>224</v>
      </c>
      <c r="B1852" s="13" t="s">
        <v>61</v>
      </c>
      <c r="C1852" s="14" t="s">
        <v>75</v>
      </c>
      <c r="D1852" s="14" t="str">
        <f>VLOOKUP(C1852,'State Key'!$A$2:$B$210,2,False)</f>
        <v>Uttar Pradesh</v>
      </c>
      <c r="E1852" s="15">
        <v>90.0</v>
      </c>
      <c r="F1852" s="16">
        <v>23.666</v>
      </c>
      <c r="G1852" s="16">
        <v>0.0</v>
      </c>
      <c r="H1852" s="16">
        <v>0.0</v>
      </c>
      <c r="I1852" s="16">
        <v>0.0</v>
      </c>
      <c r="J1852" s="16">
        <v>0.0</v>
      </c>
      <c r="K1852" s="16">
        <v>0.0</v>
      </c>
      <c r="L1852" s="16">
        <v>23.666</v>
      </c>
      <c r="M1852" s="16">
        <v>6.474</v>
      </c>
      <c r="N1852" s="16">
        <v>45.56</v>
      </c>
      <c r="O1852" s="24">
        <v>211.1</v>
      </c>
      <c r="P1852" s="18">
        <f t="shared" si="1"/>
        <v>23.666</v>
      </c>
    </row>
    <row r="1853" ht="15.75" customHeight="1">
      <c r="A1853" s="19" t="s">
        <v>224</v>
      </c>
      <c r="B1853" s="19" t="s">
        <v>61</v>
      </c>
      <c r="C1853" s="20" t="s">
        <v>76</v>
      </c>
      <c r="D1853" s="14" t="str">
        <f>VLOOKUP(C1853,'State Key'!$A$2:$B$210,2,False)</f>
        <v>Rajasthan</v>
      </c>
      <c r="E1853" s="21">
        <v>1240.0</v>
      </c>
      <c r="F1853" s="22">
        <v>525.39037</v>
      </c>
      <c r="G1853" s="22">
        <v>0.0</v>
      </c>
      <c r="H1853" s="22">
        <v>0.0</v>
      </c>
      <c r="I1853" s="22">
        <v>0.0</v>
      </c>
      <c r="J1853" s="22">
        <v>0.0</v>
      </c>
      <c r="K1853" s="22">
        <v>0.0</v>
      </c>
      <c r="L1853" s="22">
        <v>525.39037</v>
      </c>
      <c r="M1853" s="22">
        <v>470.8372</v>
      </c>
      <c r="N1853" s="22">
        <v>133.95</v>
      </c>
      <c r="O1853" s="23">
        <v>8.5</v>
      </c>
      <c r="P1853" s="18">
        <f t="shared" si="1"/>
        <v>525.39037</v>
      </c>
    </row>
    <row r="1854" ht="15.75" customHeight="1">
      <c r="A1854" s="13" t="s">
        <v>224</v>
      </c>
      <c r="B1854" s="13" t="s">
        <v>61</v>
      </c>
      <c r="C1854" s="14" t="s">
        <v>77</v>
      </c>
      <c r="D1854" s="14" t="str">
        <f>VLOOKUP(C1854,'State Key'!$A$2:$B$210,2,False)</f>
        <v>Uttar Pradesh</v>
      </c>
      <c r="E1854" s="15">
        <v>90.0</v>
      </c>
      <c r="F1854" s="16">
        <v>7.8</v>
      </c>
      <c r="G1854" s="16">
        <v>0.0</v>
      </c>
      <c r="H1854" s="16">
        <v>0.0</v>
      </c>
      <c r="I1854" s="16">
        <v>0.0</v>
      </c>
      <c r="J1854" s="16">
        <v>0.0</v>
      </c>
      <c r="K1854" s="16">
        <v>0.0</v>
      </c>
      <c r="L1854" s="16">
        <v>7.8</v>
      </c>
      <c r="M1854" s="16">
        <v>17.32</v>
      </c>
      <c r="N1854" s="16">
        <v>28.76</v>
      </c>
      <c r="O1854" s="24">
        <v>49.8</v>
      </c>
      <c r="P1854" s="18">
        <f t="shared" si="1"/>
        <v>7.8</v>
      </c>
    </row>
    <row r="1855" ht="15.75" customHeight="1">
      <c r="A1855" s="19" t="s">
        <v>224</v>
      </c>
      <c r="B1855" s="19" t="s">
        <v>61</v>
      </c>
      <c r="C1855" s="20" t="s">
        <v>78</v>
      </c>
      <c r="D1855" s="14" t="str">
        <f>VLOOKUP(C1855,'State Key'!$A$2:$B$210,2,False)</f>
        <v>Uttar Pradesh</v>
      </c>
      <c r="E1855" s="21">
        <v>1980.0</v>
      </c>
      <c r="F1855" s="22">
        <v>694.688</v>
      </c>
      <c r="G1855" s="22">
        <v>0.0</v>
      </c>
      <c r="H1855" s="22">
        <v>0.0</v>
      </c>
      <c r="I1855" s="22">
        <v>0.0</v>
      </c>
      <c r="J1855" s="22">
        <v>0.0</v>
      </c>
      <c r="K1855" s="22">
        <v>0.0</v>
      </c>
      <c r="L1855" s="22">
        <v>694.688</v>
      </c>
      <c r="M1855" s="22">
        <v>486.845</v>
      </c>
      <c r="N1855" s="22">
        <v>628.42</v>
      </c>
      <c r="O1855" s="24">
        <v>38.7</v>
      </c>
      <c r="P1855" s="18">
        <f t="shared" si="1"/>
        <v>694.688</v>
      </c>
    </row>
    <row r="1856" ht="15.75" customHeight="1">
      <c r="A1856" s="13" t="s">
        <v>224</v>
      </c>
      <c r="B1856" s="13" t="s">
        <v>61</v>
      </c>
      <c r="C1856" s="14" t="s">
        <v>79</v>
      </c>
      <c r="D1856" s="14" t="str">
        <f>VLOOKUP(C1856,'State Key'!$A$2:$B$210,2,False)</f>
        <v>Haryana</v>
      </c>
      <c r="E1856" s="15">
        <v>1320.0</v>
      </c>
      <c r="F1856" s="16">
        <v>582.854</v>
      </c>
      <c r="G1856" s="16">
        <v>0.0</v>
      </c>
      <c r="H1856" s="16">
        <v>0.0</v>
      </c>
      <c r="I1856" s="16">
        <v>0.0</v>
      </c>
      <c r="J1856" s="16">
        <v>35.267</v>
      </c>
      <c r="K1856" s="16">
        <v>0.0</v>
      </c>
      <c r="L1856" s="16">
        <v>618.121</v>
      </c>
      <c r="M1856" s="16">
        <v>340.552</v>
      </c>
      <c r="N1856" s="16">
        <v>472.242</v>
      </c>
      <c r="O1856" s="24">
        <v>41.6</v>
      </c>
      <c r="P1856" s="18">
        <f t="shared" si="1"/>
        <v>618.121</v>
      </c>
    </row>
    <row r="1857" ht="15.75" customHeight="1">
      <c r="A1857" s="19" t="s">
        <v>224</v>
      </c>
      <c r="B1857" s="19" t="s">
        <v>61</v>
      </c>
      <c r="C1857" s="20" t="s">
        <v>80</v>
      </c>
      <c r="D1857" s="14" t="str">
        <f>VLOOKUP(C1857,'State Key'!$A$2:$B$210,2,False)</f>
        <v>Uttar Pradesh</v>
      </c>
      <c r="E1857" s="21">
        <v>90.0</v>
      </c>
      <c r="F1857" s="22">
        <v>65.823</v>
      </c>
      <c r="G1857" s="22">
        <v>0.0</v>
      </c>
      <c r="H1857" s="22">
        <v>0.0</v>
      </c>
      <c r="I1857" s="22">
        <v>0.0</v>
      </c>
      <c r="J1857" s="22">
        <v>0.0</v>
      </c>
      <c r="K1857" s="22">
        <v>0.0</v>
      </c>
      <c r="L1857" s="22">
        <v>65.823</v>
      </c>
      <c r="M1857" s="22">
        <v>13.22</v>
      </c>
      <c r="N1857" s="22">
        <v>76.6</v>
      </c>
      <c r="O1857" s="24">
        <v>173.8</v>
      </c>
      <c r="P1857" s="18">
        <f t="shared" si="1"/>
        <v>65.823</v>
      </c>
    </row>
    <row r="1858" ht="15.75" customHeight="1">
      <c r="A1858" s="13" t="s">
        <v>224</v>
      </c>
      <c r="B1858" s="13" t="s">
        <v>61</v>
      </c>
      <c r="C1858" s="14" t="s">
        <v>81</v>
      </c>
      <c r="D1858" s="14" t="str">
        <f>VLOOKUP(C1858,'State Key'!$A$2:$B$210,2,False)</f>
        <v>Uttar Pradesh</v>
      </c>
      <c r="E1858" s="15">
        <v>1320.0</v>
      </c>
      <c r="F1858" s="16">
        <v>599.15</v>
      </c>
      <c r="G1858" s="16">
        <v>0.0</v>
      </c>
      <c r="H1858" s="16">
        <v>0.0</v>
      </c>
      <c r="I1858" s="16">
        <v>0.0</v>
      </c>
      <c r="J1858" s="16">
        <v>0.0</v>
      </c>
      <c r="K1858" s="16">
        <v>0.0</v>
      </c>
      <c r="L1858" s="16">
        <v>599.15</v>
      </c>
      <c r="M1858" s="16">
        <v>456.697</v>
      </c>
      <c r="N1858" s="16">
        <v>402.39</v>
      </c>
      <c r="O1858" s="24">
        <v>26.4</v>
      </c>
      <c r="P1858" s="18">
        <f t="shared" si="1"/>
        <v>599.15</v>
      </c>
    </row>
    <row r="1859" ht="15.75" customHeight="1">
      <c r="A1859" s="19" t="s">
        <v>224</v>
      </c>
      <c r="B1859" s="19" t="s">
        <v>61</v>
      </c>
      <c r="C1859" s="20" t="s">
        <v>82</v>
      </c>
      <c r="D1859" s="14" t="str">
        <f>VLOOKUP(C1859,'State Key'!$A$2:$B$210,2,False)</f>
        <v>Uttar Pradesh</v>
      </c>
      <c r="E1859" s="21">
        <v>1000.0</v>
      </c>
      <c r="F1859" s="22">
        <v>413.17</v>
      </c>
      <c r="G1859" s="22">
        <v>0.0</v>
      </c>
      <c r="H1859" s="22">
        <v>0.0</v>
      </c>
      <c r="I1859" s="22">
        <v>0.0</v>
      </c>
      <c r="J1859" s="22">
        <v>0.0</v>
      </c>
      <c r="K1859" s="22">
        <v>0.0</v>
      </c>
      <c r="L1859" s="22">
        <v>413.17</v>
      </c>
      <c r="M1859" s="22">
        <v>230.447</v>
      </c>
      <c r="N1859" s="22">
        <v>238.23</v>
      </c>
      <c r="O1859" s="24">
        <v>31.0</v>
      </c>
      <c r="P1859" s="18">
        <f t="shared" si="1"/>
        <v>413.17</v>
      </c>
    </row>
    <row r="1860" ht="15.75" customHeight="1">
      <c r="A1860" s="13" t="s">
        <v>224</v>
      </c>
      <c r="B1860" s="13" t="s">
        <v>61</v>
      </c>
      <c r="C1860" s="14" t="s">
        <v>83</v>
      </c>
      <c r="D1860" s="14" t="str">
        <f>VLOOKUP(C1860,'State Key'!$A$2:$B$210,2,False)</f>
        <v>Haryana</v>
      </c>
      <c r="E1860" s="15">
        <v>710.0</v>
      </c>
      <c r="F1860" s="16">
        <v>273.709</v>
      </c>
      <c r="G1860" s="16">
        <v>0.0</v>
      </c>
      <c r="H1860" s="16">
        <v>0.0</v>
      </c>
      <c r="I1860" s="16">
        <v>0.0</v>
      </c>
      <c r="J1860" s="16">
        <v>0.0</v>
      </c>
      <c r="K1860" s="16">
        <v>0.0</v>
      </c>
      <c r="L1860" s="16">
        <v>273.709</v>
      </c>
      <c r="M1860" s="16">
        <v>221.986</v>
      </c>
      <c r="N1860" s="16">
        <v>275.41</v>
      </c>
      <c r="O1860" s="24">
        <v>37.2</v>
      </c>
      <c r="P1860" s="18">
        <f t="shared" si="1"/>
        <v>273.709</v>
      </c>
    </row>
    <row r="1861" ht="15.75" customHeight="1">
      <c r="A1861" s="19" t="s">
        <v>224</v>
      </c>
      <c r="B1861" s="19" t="s">
        <v>61</v>
      </c>
      <c r="C1861" s="20" t="s">
        <v>84</v>
      </c>
      <c r="D1861" s="14" t="str">
        <f>VLOOKUP(C1861,'State Key'!$A$2:$B$210,2,False)</f>
        <v>Uttar Pradesh</v>
      </c>
      <c r="E1861" s="21">
        <v>920.0</v>
      </c>
      <c r="F1861" s="22">
        <v>293.51</v>
      </c>
      <c r="G1861" s="22">
        <v>0.0</v>
      </c>
      <c r="H1861" s="22">
        <v>0.0</v>
      </c>
      <c r="I1861" s="22">
        <v>0.0</v>
      </c>
      <c r="J1861" s="22">
        <v>0.0</v>
      </c>
      <c r="K1861" s="22">
        <v>0.0</v>
      </c>
      <c r="L1861" s="22">
        <v>293.51</v>
      </c>
      <c r="M1861" s="22">
        <v>324.281</v>
      </c>
      <c r="N1861" s="22">
        <v>222.074</v>
      </c>
      <c r="O1861" s="24">
        <v>20.5</v>
      </c>
      <c r="P1861" s="18">
        <f t="shared" si="1"/>
        <v>293.51</v>
      </c>
    </row>
    <row r="1862" ht="15.75" customHeight="1">
      <c r="A1862" s="13" t="s">
        <v>224</v>
      </c>
      <c r="B1862" s="13" t="s">
        <v>61</v>
      </c>
      <c r="C1862" s="14" t="s">
        <v>85</v>
      </c>
      <c r="D1862" s="14" t="str">
        <f>VLOOKUP(C1862,'State Key'!$A$2:$B$210,2,False)</f>
        <v>Uttar Pradesh</v>
      </c>
      <c r="E1862" s="15">
        <v>1980.0</v>
      </c>
      <c r="F1862" s="16">
        <v>677.606</v>
      </c>
      <c r="G1862" s="16">
        <v>0.0</v>
      </c>
      <c r="H1862" s="16">
        <v>0.0</v>
      </c>
      <c r="I1862" s="16">
        <v>0.0</v>
      </c>
      <c r="J1862" s="16">
        <v>0.0</v>
      </c>
      <c r="K1862" s="16">
        <v>0.0</v>
      </c>
      <c r="L1862" s="16">
        <v>677.606</v>
      </c>
      <c r="M1862" s="16">
        <v>449.2593</v>
      </c>
      <c r="N1862" s="16">
        <v>633.18</v>
      </c>
      <c r="O1862" s="24">
        <v>42.3</v>
      </c>
      <c r="P1862" s="18">
        <f t="shared" si="1"/>
        <v>677.606</v>
      </c>
    </row>
    <row r="1863" ht="15.75" customHeight="1">
      <c r="A1863" s="19" t="s">
        <v>224</v>
      </c>
      <c r="B1863" s="19" t="s">
        <v>61</v>
      </c>
      <c r="C1863" s="20" t="s">
        <v>86</v>
      </c>
      <c r="D1863" s="14" t="str">
        <f>VLOOKUP(C1863,'State Key'!$A$2:$B$210,2,False)</f>
        <v>Haryana</v>
      </c>
      <c r="E1863" s="21">
        <v>1200.0</v>
      </c>
      <c r="F1863" s="22">
        <v>374.884</v>
      </c>
      <c r="G1863" s="22">
        <v>0.0</v>
      </c>
      <c r="H1863" s="22">
        <v>0.0</v>
      </c>
      <c r="I1863" s="22">
        <v>0.0</v>
      </c>
      <c r="J1863" s="22">
        <v>0.0</v>
      </c>
      <c r="K1863" s="22">
        <v>0.0</v>
      </c>
      <c r="L1863" s="22">
        <v>374.884</v>
      </c>
      <c r="M1863" s="22">
        <v>184.644</v>
      </c>
      <c r="N1863" s="22">
        <v>492.614</v>
      </c>
      <c r="O1863" s="24">
        <v>80.0</v>
      </c>
      <c r="P1863" s="18">
        <f t="shared" si="1"/>
        <v>374.884</v>
      </c>
    </row>
    <row r="1864" ht="15.75" customHeight="1">
      <c r="A1864" s="13" t="s">
        <v>224</v>
      </c>
      <c r="B1864" s="13" t="s">
        <v>61</v>
      </c>
      <c r="C1864" s="14" t="s">
        <v>87</v>
      </c>
      <c r="D1864" s="14" t="str">
        <f>VLOOKUP(C1864,'State Key'!$A$2:$B$210,2,False)</f>
        <v>Punjab</v>
      </c>
      <c r="E1864" s="15">
        <v>1400.0</v>
      </c>
      <c r="F1864" s="16">
        <v>509.344</v>
      </c>
      <c r="G1864" s="16">
        <v>0.0</v>
      </c>
      <c r="H1864" s="16">
        <v>0.0</v>
      </c>
      <c r="I1864" s="16">
        <v>0.0</v>
      </c>
      <c r="J1864" s="16">
        <v>0.0</v>
      </c>
      <c r="K1864" s="16">
        <v>0.0</v>
      </c>
      <c r="L1864" s="16">
        <v>509.344</v>
      </c>
      <c r="M1864" s="16">
        <v>377.2086</v>
      </c>
      <c r="N1864" s="16">
        <v>415.86</v>
      </c>
      <c r="O1864" s="24">
        <v>33.1</v>
      </c>
      <c r="P1864" s="18">
        <f t="shared" si="1"/>
        <v>509.344</v>
      </c>
    </row>
    <row r="1865" ht="15.75" customHeight="1">
      <c r="A1865" s="19" t="s">
        <v>224</v>
      </c>
      <c r="B1865" s="19" t="s">
        <v>61</v>
      </c>
      <c r="C1865" s="20" t="s">
        <v>88</v>
      </c>
      <c r="D1865" s="14" t="str">
        <f>VLOOKUP(C1865,'State Key'!$A$2:$B$210,2,False)</f>
        <v>Uttar Pradesh</v>
      </c>
      <c r="E1865" s="21">
        <v>3000.0</v>
      </c>
      <c r="F1865" s="22">
        <v>990.14</v>
      </c>
      <c r="G1865" s="22">
        <v>0.0</v>
      </c>
      <c r="H1865" s="22">
        <v>0.0</v>
      </c>
      <c r="I1865" s="22">
        <v>0.0</v>
      </c>
      <c r="J1865" s="22">
        <v>0.0</v>
      </c>
      <c r="K1865" s="22">
        <v>0.0</v>
      </c>
      <c r="L1865" s="22">
        <v>990.14</v>
      </c>
      <c r="M1865" s="22">
        <v>1018.782</v>
      </c>
      <c r="N1865" s="22">
        <v>1100.124</v>
      </c>
      <c r="O1865" s="24">
        <v>32.4</v>
      </c>
      <c r="P1865" s="18">
        <f t="shared" si="1"/>
        <v>990.14</v>
      </c>
    </row>
    <row r="1866" ht="15.75" customHeight="1">
      <c r="A1866" s="13" t="s">
        <v>224</v>
      </c>
      <c r="B1866" s="13" t="s">
        <v>61</v>
      </c>
      <c r="C1866" s="14" t="s">
        <v>89</v>
      </c>
      <c r="D1866" s="14" t="str">
        <f>VLOOKUP(C1866,'State Key'!$A$2:$B$210,2,False)</f>
        <v>Punjab</v>
      </c>
      <c r="E1866" s="15">
        <v>840.0</v>
      </c>
      <c r="F1866" s="16">
        <v>105.06358</v>
      </c>
      <c r="G1866" s="16">
        <v>0.0</v>
      </c>
      <c r="H1866" s="16">
        <v>202.11618</v>
      </c>
      <c r="I1866" s="16">
        <v>0.0</v>
      </c>
      <c r="J1866" s="16">
        <v>0.0</v>
      </c>
      <c r="K1866" s="16">
        <v>0.0</v>
      </c>
      <c r="L1866" s="16">
        <v>307.17976</v>
      </c>
      <c r="M1866" s="16">
        <v>232.209</v>
      </c>
      <c r="N1866" s="16">
        <v>441.42</v>
      </c>
      <c r="O1866" s="24">
        <v>57.0</v>
      </c>
      <c r="P1866" s="18">
        <f t="shared" si="1"/>
        <v>307.17976</v>
      </c>
    </row>
    <row r="1867" ht="15.75" customHeight="1">
      <c r="A1867" s="19" t="s">
        <v>224</v>
      </c>
      <c r="B1867" s="19" t="s">
        <v>61</v>
      </c>
      <c r="C1867" s="20" t="s">
        <v>90</v>
      </c>
      <c r="D1867" s="14" t="str">
        <f>VLOOKUP(C1867,'State Key'!$A$2:$B$210,2,False)</f>
        <v>Uttar Pradesh</v>
      </c>
      <c r="E1867" s="21">
        <v>1200.0</v>
      </c>
      <c r="F1867" s="22">
        <v>454.949</v>
      </c>
      <c r="G1867" s="22">
        <v>0.0</v>
      </c>
      <c r="H1867" s="22">
        <v>0.0</v>
      </c>
      <c r="I1867" s="22">
        <v>0.0</v>
      </c>
      <c r="J1867" s="22">
        <v>0.0</v>
      </c>
      <c r="K1867" s="22">
        <v>0.0</v>
      </c>
      <c r="L1867" s="22">
        <v>454.949</v>
      </c>
      <c r="M1867" s="22">
        <v>371.206</v>
      </c>
      <c r="N1867" s="22">
        <v>191.8</v>
      </c>
      <c r="O1867" s="24">
        <v>15.5</v>
      </c>
      <c r="P1867" s="18">
        <f t="shared" si="1"/>
        <v>454.949</v>
      </c>
    </row>
    <row r="1868" ht="15.75" customHeight="1">
      <c r="A1868" s="13" t="s">
        <v>224</v>
      </c>
      <c r="B1868" s="13" t="s">
        <v>61</v>
      </c>
      <c r="C1868" s="14" t="s">
        <v>219</v>
      </c>
      <c r="D1868" s="14" t="str">
        <f>VLOOKUP(C1868,'State Key'!$A$2:$B$210,2,False)</f>
        <v>Rajasthan</v>
      </c>
      <c r="E1868" s="15">
        <v>300.0</v>
      </c>
      <c r="F1868" s="16">
        <v>0.0</v>
      </c>
      <c r="G1868" s="16">
        <v>0.0</v>
      </c>
      <c r="H1868" s="16">
        <v>0.0</v>
      </c>
      <c r="I1868" s="16">
        <v>0.0</v>
      </c>
      <c r="J1868" s="16">
        <v>0.0</v>
      </c>
      <c r="K1868" s="16">
        <v>0.0</v>
      </c>
      <c r="L1868" s="16">
        <v>0.0</v>
      </c>
      <c r="M1868" s="16">
        <v>0.0</v>
      </c>
      <c r="N1868" s="16">
        <v>27.8</v>
      </c>
      <c r="O1868" s="13" t="s">
        <v>58</v>
      </c>
      <c r="P1868" s="18">
        <f t="shared" si="1"/>
        <v>0</v>
      </c>
    </row>
    <row r="1869" ht="15.75" customHeight="1">
      <c r="A1869" s="19" t="s">
        <v>224</v>
      </c>
      <c r="B1869" s="19" t="s">
        <v>61</v>
      </c>
      <c r="C1869" s="20" t="s">
        <v>91</v>
      </c>
      <c r="D1869" s="14" t="str">
        <f>VLOOKUP(C1869,'State Key'!$A$2:$B$210,2,False)</f>
        <v>Uttar Pradesh</v>
      </c>
      <c r="E1869" s="21">
        <v>2000.0</v>
      </c>
      <c r="F1869" s="22">
        <v>840.68</v>
      </c>
      <c r="G1869" s="22">
        <v>0.0</v>
      </c>
      <c r="H1869" s="22">
        <v>0.0</v>
      </c>
      <c r="I1869" s="22">
        <v>0.0</v>
      </c>
      <c r="J1869" s="22">
        <v>0.0</v>
      </c>
      <c r="K1869" s="22">
        <v>0.0</v>
      </c>
      <c r="L1869" s="22">
        <v>840.68</v>
      </c>
      <c r="M1869" s="22">
        <v>731.752</v>
      </c>
      <c r="N1869" s="22">
        <v>453.162</v>
      </c>
      <c r="O1869" s="24">
        <v>18.6</v>
      </c>
      <c r="P1869" s="18">
        <f t="shared" si="1"/>
        <v>840.68</v>
      </c>
    </row>
    <row r="1870" ht="15.75" customHeight="1">
      <c r="A1870" s="13" t="s">
        <v>224</v>
      </c>
      <c r="B1870" s="13" t="s">
        <v>61</v>
      </c>
      <c r="C1870" s="14" t="s">
        <v>92</v>
      </c>
      <c r="D1870" s="14" t="str">
        <f>VLOOKUP(C1870,'State Key'!$A$2:$B$210,2,False)</f>
        <v>Rajasthan</v>
      </c>
      <c r="E1870" s="15">
        <v>1320.0</v>
      </c>
      <c r="F1870" s="16">
        <v>210.73603</v>
      </c>
      <c r="G1870" s="16">
        <v>0.0</v>
      </c>
      <c r="H1870" s="16">
        <v>0.0</v>
      </c>
      <c r="I1870" s="16">
        <v>0.0</v>
      </c>
      <c r="J1870" s="16">
        <v>0.0</v>
      </c>
      <c r="K1870" s="16">
        <v>0.0</v>
      </c>
      <c r="L1870" s="16">
        <v>210.73603</v>
      </c>
      <c r="M1870" s="16">
        <v>181.3955</v>
      </c>
      <c r="N1870" s="16">
        <v>103.71</v>
      </c>
      <c r="O1870" s="24">
        <v>17.2</v>
      </c>
      <c r="P1870" s="18">
        <f t="shared" si="1"/>
        <v>210.73603</v>
      </c>
    </row>
    <row r="1871" ht="15.75" customHeight="1">
      <c r="A1871" s="19" t="s">
        <v>224</v>
      </c>
      <c r="B1871" s="19" t="s">
        <v>61</v>
      </c>
      <c r="C1871" s="20" t="s">
        <v>93</v>
      </c>
      <c r="D1871" s="14" t="str">
        <f>VLOOKUP(C1871,'State Key'!$A$2:$B$210,2,False)</f>
        <v>Rajasthan</v>
      </c>
      <c r="E1871" s="21">
        <v>1500.0</v>
      </c>
      <c r="F1871" s="22">
        <v>578.954</v>
      </c>
      <c r="G1871" s="22">
        <v>0.0</v>
      </c>
      <c r="H1871" s="22">
        <v>11.729</v>
      </c>
      <c r="I1871" s="22">
        <v>0.0</v>
      </c>
      <c r="J1871" s="22">
        <v>0.0</v>
      </c>
      <c r="K1871" s="22">
        <v>0.0</v>
      </c>
      <c r="L1871" s="22">
        <v>590.683</v>
      </c>
      <c r="M1871" s="22">
        <v>837.23</v>
      </c>
      <c r="N1871" s="22">
        <v>113.53</v>
      </c>
      <c r="O1871" s="17">
        <v>4.1</v>
      </c>
      <c r="P1871" s="18">
        <f t="shared" si="1"/>
        <v>590.683</v>
      </c>
    </row>
    <row r="1872" ht="15.75" customHeight="1">
      <c r="A1872" s="13" t="s">
        <v>224</v>
      </c>
      <c r="B1872" s="13" t="s">
        <v>61</v>
      </c>
      <c r="C1872" s="14" t="s">
        <v>94</v>
      </c>
      <c r="D1872" s="14" t="str">
        <f>VLOOKUP(C1872,'State Key'!$A$2:$B$210,2,False)</f>
        <v>Punjab</v>
      </c>
      <c r="E1872" s="15">
        <v>1980.0</v>
      </c>
      <c r="F1872" s="16">
        <v>604.84</v>
      </c>
      <c r="G1872" s="16">
        <v>0.0</v>
      </c>
      <c r="H1872" s="16">
        <v>0.0</v>
      </c>
      <c r="I1872" s="16">
        <v>0.0</v>
      </c>
      <c r="J1872" s="16">
        <v>0.0</v>
      </c>
      <c r="K1872" s="16">
        <v>0.0</v>
      </c>
      <c r="L1872" s="16">
        <v>604.84</v>
      </c>
      <c r="M1872" s="16">
        <v>509.401</v>
      </c>
      <c r="N1872" s="16">
        <v>206.58</v>
      </c>
      <c r="O1872" s="23">
        <v>12.2</v>
      </c>
      <c r="P1872" s="18">
        <f t="shared" si="1"/>
        <v>604.84</v>
      </c>
    </row>
    <row r="1873" ht="15.75" customHeight="1">
      <c r="A1873" s="19" t="s">
        <v>224</v>
      </c>
      <c r="B1873" s="19" t="s">
        <v>61</v>
      </c>
      <c r="C1873" s="20" t="s">
        <v>95</v>
      </c>
      <c r="D1873" s="14" t="str">
        <f>VLOOKUP(C1873,'State Key'!$A$2:$B$210,2,False)</f>
        <v>Uttar Pradesh</v>
      </c>
      <c r="E1873" s="21">
        <v>1760.0</v>
      </c>
      <c r="F1873" s="22">
        <v>427.22</v>
      </c>
      <c r="G1873" s="22">
        <v>0.0</v>
      </c>
      <c r="H1873" s="22">
        <v>174.66</v>
      </c>
      <c r="I1873" s="22">
        <v>0.0</v>
      </c>
      <c r="J1873" s="22">
        <v>16.33</v>
      </c>
      <c r="K1873" s="22">
        <v>0.0</v>
      </c>
      <c r="L1873" s="22">
        <v>618.21</v>
      </c>
      <c r="M1873" s="22">
        <v>574.666</v>
      </c>
      <c r="N1873" s="22">
        <v>550.557</v>
      </c>
      <c r="O1873" s="24">
        <v>28.7</v>
      </c>
      <c r="P1873" s="18">
        <f t="shared" si="1"/>
        <v>618.21</v>
      </c>
    </row>
    <row r="1874" ht="15.75" customHeight="1">
      <c r="A1874" s="13" t="s">
        <v>224</v>
      </c>
      <c r="B1874" s="13" t="s">
        <v>61</v>
      </c>
      <c r="C1874" s="14" t="s">
        <v>96</v>
      </c>
      <c r="D1874" s="14" t="str">
        <f>VLOOKUP(C1874,'State Key'!$A$2:$B$210,2,False)</f>
        <v>Uttar Pradesh</v>
      </c>
      <c r="E1874" s="15">
        <v>1550.0</v>
      </c>
      <c r="F1874" s="16">
        <v>326.84</v>
      </c>
      <c r="G1874" s="16">
        <v>0.0</v>
      </c>
      <c r="H1874" s="16">
        <v>173.6</v>
      </c>
      <c r="I1874" s="16">
        <v>0.0</v>
      </c>
      <c r="J1874" s="16">
        <v>39.908</v>
      </c>
      <c r="K1874" s="16">
        <v>0.0</v>
      </c>
      <c r="L1874" s="16">
        <v>540.348</v>
      </c>
      <c r="M1874" s="16">
        <v>330.671</v>
      </c>
      <c r="N1874" s="16">
        <v>496.256</v>
      </c>
      <c r="O1874" s="24">
        <v>45.0</v>
      </c>
      <c r="P1874" s="18">
        <f t="shared" si="1"/>
        <v>540.348</v>
      </c>
    </row>
    <row r="1875" ht="15.75" customHeight="1">
      <c r="A1875" s="19" t="s">
        <v>224</v>
      </c>
      <c r="B1875" s="19" t="s">
        <v>61</v>
      </c>
      <c r="C1875" s="20" t="s">
        <v>97</v>
      </c>
      <c r="D1875" s="14" t="str">
        <f>VLOOKUP(C1875,'State Key'!$A$2:$B$210,2,False)</f>
        <v>Uttar Pradesh</v>
      </c>
      <c r="E1875" s="21">
        <v>90.0</v>
      </c>
      <c r="F1875" s="22">
        <v>30.878</v>
      </c>
      <c r="G1875" s="22">
        <v>0.0</v>
      </c>
      <c r="H1875" s="22">
        <v>0.0</v>
      </c>
      <c r="I1875" s="22">
        <v>0.0</v>
      </c>
      <c r="J1875" s="22">
        <v>0.0</v>
      </c>
      <c r="K1875" s="22">
        <v>0.0</v>
      </c>
      <c r="L1875" s="22">
        <v>30.878</v>
      </c>
      <c r="M1875" s="22">
        <v>28.04</v>
      </c>
      <c r="N1875" s="22">
        <v>44.065</v>
      </c>
      <c r="O1875" s="24">
        <v>47.1</v>
      </c>
      <c r="P1875" s="18">
        <f t="shared" si="1"/>
        <v>30.878</v>
      </c>
    </row>
    <row r="1876" ht="15.75" customHeight="1">
      <c r="A1876" s="13" t="s">
        <v>224</v>
      </c>
      <c r="B1876" s="13" t="s">
        <v>61</v>
      </c>
      <c r="C1876" s="14" t="s">
        <v>98</v>
      </c>
      <c r="D1876" s="14" t="str">
        <f>VLOOKUP(C1876,'State Key'!$A$2:$B$210,2,False)</f>
        <v>Haryana</v>
      </c>
      <c r="E1876" s="15">
        <v>600.0</v>
      </c>
      <c r="F1876" s="16">
        <v>277.135</v>
      </c>
      <c r="G1876" s="16">
        <v>0.0</v>
      </c>
      <c r="H1876" s="16">
        <v>0.0</v>
      </c>
      <c r="I1876" s="16">
        <v>0.0</v>
      </c>
      <c r="J1876" s="16">
        <v>0.0</v>
      </c>
      <c r="K1876" s="16">
        <v>0.0</v>
      </c>
      <c r="L1876" s="16">
        <v>277.135</v>
      </c>
      <c r="M1876" s="16">
        <v>258.02</v>
      </c>
      <c r="N1876" s="16">
        <v>169.01</v>
      </c>
      <c r="O1876" s="24">
        <v>19.7</v>
      </c>
      <c r="P1876" s="18">
        <f t="shared" si="1"/>
        <v>277.135</v>
      </c>
    </row>
    <row r="1877" ht="15.75" customHeight="1">
      <c r="A1877" s="19" t="s">
        <v>224</v>
      </c>
      <c r="B1877" s="19" t="s">
        <v>99</v>
      </c>
      <c r="C1877" s="20" t="s">
        <v>210</v>
      </c>
      <c r="D1877" s="14" t="str">
        <f>VLOOKUP(C1877,'State Key'!$A$2:$B$210,2,False)</f>
        <v>Karnataka</v>
      </c>
      <c r="E1877" s="21">
        <v>1200.0</v>
      </c>
      <c r="F1877" s="22">
        <v>0.0</v>
      </c>
      <c r="G1877" s="22">
        <v>0.0</v>
      </c>
      <c r="H1877" s="22">
        <v>0.0</v>
      </c>
      <c r="I1877" s="22">
        <v>0.0</v>
      </c>
      <c r="J1877" s="22">
        <v>264.116</v>
      </c>
      <c r="K1877" s="22">
        <v>0.0</v>
      </c>
      <c r="L1877" s="22">
        <v>264.116</v>
      </c>
      <c r="M1877" s="22">
        <v>234.772</v>
      </c>
      <c r="N1877" s="22">
        <v>77.48</v>
      </c>
      <c r="O1877" s="23">
        <v>9.9</v>
      </c>
      <c r="P1877" s="18">
        <f t="shared" si="1"/>
        <v>264.116</v>
      </c>
    </row>
    <row r="1878" ht="15.75" customHeight="1">
      <c r="A1878" s="13" t="s">
        <v>224</v>
      </c>
      <c r="B1878" s="13" t="s">
        <v>99</v>
      </c>
      <c r="C1878" s="14" t="s">
        <v>100</v>
      </c>
      <c r="D1878" s="14" t="str">
        <f>VLOOKUP(C1878,'State Key'!$A$2:$B$210,2,False)</f>
        <v>Karnataka</v>
      </c>
      <c r="E1878" s="15">
        <v>1700.0</v>
      </c>
      <c r="F1878" s="16">
        <v>170.23662</v>
      </c>
      <c r="G1878" s="16">
        <v>146.42758</v>
      </c>
      <c r="H1878" s="16">
        <v>261.64952</v>
      </c>
      <c r="I1878" s="16">
        <v>0.0</v>
      </c>
      <c r="J1878" s="16">
        <v>31.46446</v>
      </c>
      <c r="K1878" s="16">
        <v>0.0</v>
      </c>
      <c r="L1878" s="16">
        <v>609.77818</v>
      </c>
      <c r="M1878" s="16">
        <v>530.169</v>
      </c>
      <c r="N1878" s="16">
        <v>205.51</v>
      </c>
      <c r="O1878" s="23">
        <v>11.6</v>
      </c>
      <c r="P1878" s="18">
        <f t="shared" si="1"/>
        <v>609.77818</v>
      </c>
    </row>
    <row r="1879" ht="15.75" customHeight="1">
      <c r="A1879" s="19" t="s">
        <v>224</v>
      </c>
      <c r="B1879" s="19" t="s">
        <v>99</v>
      </c>
      <c r="C1879" s="20" t="s">
        <v>101</v>
      </c>
      <c r="D1879" s="14" t="str">
        <f>VLOOKUP(C1879,'State Key'!$A$2:$B$210,2,False)</f>
        <v>Telangana</v>
      </c>
      <c r="E1879" s="21">
        <v>1080.0</v>
      </c>
      <c r="F1879" s="22">
        <v>0.0</v>
      </c>
      <c r="G1879" s="22">
        <v>477.332</v>
      </c>
      <c r="H1879" s="22">
        <v>0.0</v>
      </c>
      <c r="I1879" s="22">
        <v>0.0</v>
      </c>
      <c r="J1879" s="22">
        <v>0.0</v>
      </c>
      <c r="K1879" s="22">
        <v>0.0</v>
      </c>
      <c r="L1879" s="22">
        <v>477.332</v>
      </c>
      <c r="M1879" s="22">
        <v>446.572</v>
      </c>
      <c r="N1879" s="22">
        <v>111.579</v>
      </c>
      <c r="O1879" s="23">
        <v>7.5</v>
      </c>
      <c r="P1879" s="18">
        <f t="shared" si="1"/>
        <v>477.332</v>
      </c>
    </row>
    <row r="1880" ht="15.75" customHeight="1">
      <c r="A1880" s="13" t="s">
        <v>224</v>
      </c>
      <c r="B1880" s="13" t="s">
        <v>99</v>
      </c>
      <c r="C1880" s="14" t="s">
        <v>102</v>
      </c>
      <c r="D1880" s="14" t="str">
        <f>VLOOKUP(C1880,'State Key'!$A$2:$B$210,2,False)</f>
        <v>Andhra Pradesh</v>
      </c>
      <c r="E1880" s="15">
        <v>2400.0</v>
      </c>
      <c r="F1880" s="16">
        <v>548.541</v>
      </c>
      <c r="G1880" s="16">
        <v>0.0</v>
      </c>
      <c r="H1880" s="16">
        <v>0.0</v>
      </c>
      <c r="I1880" s="16">
        <v>0.0</v>
      </c>
      <c r="J1880" s="16">
        <v>0.0</v>
      </c>
      <c r="K1880" s="16">
        <v>0.0</v>
      </c>
      <c r="L1880" s="16">
        <v>548.541</v>
      </c>
      <c r="M1880" s="16">
        <v>575.154</v>
      </c>
      <c r="N1880" s="16">
        <v>90.561</v>
      </c>
      <c r="O1880" s="17">
        <v>4.7</v>
      </c>
      <c r="P1880" s="18">
        <f t="shared" si="1"/>
        <v>548.541</v>
      </c>
    </row>
    <row r="1881" ht="15.75" customHeight="1">
      <c r="A1881" s="19" t="s">
        <v>224</v>
      </c>
      <c r="B1881" s="19" t="s">
        <v>99</v>
      </c>
      <c r="C1881" s="20" t="s">
        <v>103</v>
      </c>
      <c r="D1881" s="14" t="str">
        <f>VLOOKUP(C1881,'State Key'!$A$2:$B$210,2,False)</f>
        <v>Andhra Pradesh</v>
      </c>
      <c r="E1881" s="21">
        <v>2560.0</v>
      </c>
      <c r="F1881" s="22">
        <v>559.693</v>
      </c>
      <c r="G1881" s="22">
        <v>334.294</v>
      </c>
      <c r="H1881" s="22">
        <v>0.0</v>
      </c>
      <c r="I1881" s="22">
        <v>0.0</v>
      </c>
      <c r="J1881" s="22">
        <v>0.0</v>
      </c>
      <c r="K1881" s="22">
        <v>0.0</v>
      </c>
      <c r="L1881" s="22">
        <v>893.987</v>
      </c>
      <c r="M1881" s="22">
        <v>811.294</v>
      </c>
      <c r="N1881" s="22">
        <v>178.09</v>
      </c>
      <c r="O1881" s="17">
        <v>6.6</v>
      </c>
      <c r="P1881" s="18">
        <f t="shared" si="1"/>
        <v>893.987</v>
      </c>
    </row>
    <row r="1882" ht="15.75" customHeight="1">
      <c r="A1882" s="13" t="s">
        <v>224</v>
      </c>
      <c r="B1882" s="13" t="s">
        <v>99</v>
      </c>
      <c r="C1882" s="14" t="s">
        <v>104</v>
      </c>
      <c r="D1882" s="14" t="str">
        <f>VLOOKUP(C1882,'State Key'!$A$2:$B$210,2,False)</f>
        <v>Tamil Nadu</v>
      </c>
      <c r="E1882" s="15">
        <v>1200.0</v>
      </c>
      <c r="F1882" s="16">
        <v>0.0</v>
      </c>
      <c r="G1882" s="16">
        <v>0.0</v>
      </c>
      <c r="H1882" s="16">
        <v>0.0</v>
      </c>
      <c r="I1882" s="16">
        <v>0.0</v>
      </c>
      <c r="J1882" s="16">
        <v>401.526</v>
      </c>
      <c r="K1882" s="16">
        <v>0.0</v>
      </c>
      <c r="L1882" s="16">
        <v>401.526</v>
      </c>
      <c r="M1882" s="16">
        <v>456.618</v>
      </c>
      <c r="N1882" s="16">
        <v>67.35</v>
      </c>
      <c r="O1882" s="17">
        <v>4.4</v>
      </c>
      <c r="P1882" s="18">
        <f t="shared" si="1"/>
        <v>401.526</v>
      </c>
    </row>
    <row r="1883" ht="15.75" customHeight="1">
      <c r="A1883" s="19" t="s">
        <v>224</v>
      </c>
      <c r="B1883" s="19" t="s">
        <v>99</v>
      </c>
      <c r="C1883" s="20" t="s">
        <v>105</v>
      </c>
      <c r="D1883" s="14" t="str">
        <f>VLOOKUP(C1883,'State Key'!$A$2:$B$210,2,False)</f>
        <v>Telangana</v>
      </c>
      <c r="E1883" s="21">
        <v>1100.0</v>
      </c>
      <c r="F1883" s="22">
        <v>0.0</v>
      </c>
      <c r="G1883" s="22">
        <v>439.461</v>
      </c>
      <c r="H1883" s="22">
        <v>0.0</v>
      </c>
      <c r="I1883" s="22">
        <v>0.0</v>
      </c>
      <c r="J1883" s="22">
        <v>0.0</v>
      </c>
      <c r="K1883" s="22">
        <v>0.0</v>
      </c>
      <c r="L1883" s="22">
        <v>439.461</v>
      </c>
      <c r="M1883" s="22">
        <v>379.856</v>
      </c>
      <c r="N1883" s="22">
        <v>378.668</v>
      </c>
      <c r="O1883" s="24">
        <v>29.9</v>
      </c>
      <c r="P1883" s="18">
        <f t="shared" si="1"/>
        <v>439.461</v>
      </c>
    </row>
    <row r="1884" ht="15.75" customHeight="1">
      <c r="A1884" s="13" t="s">
        <v>224</v>
      </c>
      <c r="B1884" s="13" t="s">
        <v>99</v>
      </c>
      <c r="C1884" s="14" t="s">
        <v>106</v>
      </c>
      <c r="D1884" s="14" t="str">
        <f>VLOOKUP(C1884,'State Key'!$A$2:$B$210,2,False)</f>
        <v>Telangana</v>
      </c>
      <c r="E1884" s="15">
        <v>1000.0</v>
      </c>
      <c r="F1884" s="16">
        <v>0.0</v>
      </c>
      <c r="G1884" s="16">
        <v>369.944</v>
      </c>
      <c r="H1884" s="16">
        <v>0.0</v>
      </c>
      <c r="I1884" s="16">
        <v>0.0</v>
      </c>
      <c r="J1884" s="16">
        <v>0.0</v>
      </c>
      <c r="K1884" s="16">
        <v>0.0</v>
      </c>
      <c r="L1884" s="16">
        <v>369.944</v>
      </c>
      <c r="M1884" s="16">
        <v>382.39</v>
      </c>
      <c r="N1884" s="16">
        <v>131.017</v>
      </c>
      <c r="O1884" s="23">
        <v>10.3</v>
      </c>
      <c r="P1884" s="18">
        <f t="shared" si="1"/>
        <v>369.944</v>
      </c>
    </row>
    <row r="1885" ht="15.75" customHeight="1">
      <c r="A1885" s="19" t="s">
        <v>224</v>
      </c>
      <c r="B1885" s="19" t="s">
        <v>99</v>
      </c>
      <c r="C1885" s="20" t="s">
        <v>107</v>
      </c>
      <c r="D1885" s="14" t="str">
        <f>VLOOKUP(C1885,'State Key'!$A$2:$B$210,2,False)</f>
        <v>Telangana</v>
      </c>
      <c r="E1885" s="21">
        <v>800.0</v>
      </c>
      <c r="F1885" s="22">
        <v>0.0</v>
      </c>
      <c r="G1885" s="22">
        <v>245.397</v>
      </c>
      <c r="H1885" s="22">
        <v>0.0</v>
      </c>
      <c r="I1885" s="22">
        <v>0.0</v>
      </c>
      <c r="J1885" s="22">
        <v>0.0</v>
      </c>
      <c r="K1885" s="22">
        <v>0.0</v>
      </c>
      <c r="L1885" s="22">
        <v>245.397</v>
      </c>
      <c r="M1885" s="22">
        <v>256.53</v>
      </c>
      <c r="N1885" s="22">
        <v>74.837</v>
      </c>
      <c r="O1885" s="23">
        <v>8.8</v>
      </c>
      <c r="P1885" s="18">
        <f t="shared" si="1"/>
        <v>245.397</v>
      </c>
    </row>
    <row r="1886" ht="15.75" customHeight="1">
      <c r="A1886" s="13" t="s">
        <v>224</v>
      </c>
      <c r="B1886" s="13" t="s">
        <v>99</v>
      </c>
      <c r="C1886" s="14" t="s">
        <v>108</v>
      </c>
      <c r="D1886" s="14" t="str">
        <f>VLOOKUP(C1886,'State Key'!$A$2:$B$210,2,False)</f>
        <v>Karnataka</v>
      </c>
      <c r="E1886" s="15">
        <v>2400.0</v>
      </c>
      <c r="F1886" s="16">
        <v>199.96</v>
      </c>
      <c r="G1886" s="16">
        <v>288.32</v>
      </c>
      <c r="H1886" s="16">
        <v>72.63</v>
      </c>
      <c r="I1886" s="16">
        <v>0.0</v>
      </c>
      <c r="J1886" s="16">
        <v>192.411</v>
      </c>
      <c r="K1886" s="16">
        <v>0.0</v>
      </c>
      <c r="L1886" s="16">
        <v>753.321</v>
      </c>
      <c r="M1886" s="16">
        <v>707.037</v>
      </c>
      <c r="N1886" s="16">
        <v>515.523</v>
      </c>
      <c r="O1886" s="24">
        <v>21.9</v>
      </c>
      <c r="P1886" s="18">
        <f t="shared" si="1"/>
        <v>753.321</v>
      </c>
    </row>
    <row r="1887" ht="15.75" customHeight="1">
      <c r="A1887" s="19" t="s">
        <v>224</v>
      </c>
      <c r="B1887" s="19" t="s">
        <v>99</v>
      </c>
      <c r="C1887" s="20" t="s">
        <v>109</v>
      </c>
      <c r="D1887" s="14" t="str">
        <f>VLOOKUP(C1887,'State Key'!$A$2:$B$210,2,False)</f>
        <v>Tamil Nadu</v>
      </c>
      <c r="E1887" s="21">
        <v>840.0</v>
      </c>
      <c r="F1887" s="22">
        <v>203.6335</v>
      </c>
      <c r="G1887" s="22">
        <v>137.5051</v>
      </c>
      <c r="H1887" s="22">
        <v>0.0</v>
      </c>
      <c r="I1887" s="22">
        <v>0.0</v>
      </c>
      <c r="J1887" s="22">
        <v>0.0</v>
      </c>
      <c r="K1887" s="22">
        <v>0.0</v>
      </c>
      <c r="L1887" s="22">
        <v>341.1386</v>
      </c>
      <c r="M1887" s="22">
        <v>390.0657</v>
      </c>
      <c r="N1887" s="22">
        <v>133.47</v>
      </c>
      <c r="O1887" s="23">
        <v>10.3</v>
      </c>
      <c r="P1887" s="18">
        <f t="shared" si="1"/>
        <v>341.1386</v>
      </c>
    </row>
    <row r="1888" ht="15.75" customHeight="1">
      <c r="A1888" s="13" t="s">
        <v>224</v>
      </c>
      <c r="B1888" s="13" t="s">
        <v>99</v>
      </c>
      <c r="C1888" s="14" t="s">
        <v>110</v>
      </c>
      <c r="D1888" s="14" t="str">
        <f>VLOOKUP(C1888,'State Key'!$A$2:$B$210,2,False)</f>
        <v>Tamil Nadu</v>
      </c>
      <c r="E1888" s="15">
        <v>600.0</v>
      </c>
      <c r="F1888" s="16">
        <v>139.47</v>
      </c>
      <c r="G1888" s="16">
        <v>90.69</v>
      </c>
      <c r="H1888" s="16">
        <v>0.0</v>
      </c>
      <c r="I1888" s="16">
        <v>0.0</v>
      </c>
      <c r="J1888" s="16">
        <v>0.0</v>
      </c>
      <c r="K1888" s="16">
        <v>0.0</v>
      </c>
      <c r="L1888" s="16">
        <v>230.16</v>
      </c>
      <c r="M1888" s="16">
        <v>264.3</v>
      </c>
      <c r="N1888" s="16">
        <v>116.52</v>
      </c>
      <c r="O1888" s="23">
        <v>13.2</v>
      </c>
      <c r="P1888" s="18">
        <f t="shared" si="1"/>
        <v>230.16</v>
      </c>
    </row>
    <row r="1889" ht="15.75" customHeight="1">
      <c r="A1889" s="19" t="s">
        <v>224</v>
      </c>
      <c r="B1889" s="19" t="s">
        <v>99</v>
      </c>
      <c r="C1889" s="20" t="s">
        <v>111</v>
      </c>
      <c r="D1889" s="14" t="str">
        <f>VLOOKUP(C1889,'State Key'!$A$2:$B$210,2,False)</f>
        <v>Tamil Nadu</v>
      </c>
      <c r="E1889" s="21">
        <v>1200.0</v>
      </c>
      <c r="F1889" s="22">
        <v>0.0</v>
      </c>
      <c r="G1889" s="22">
        <v>0.0</v>
      </c>
      <c r="H1889" s="22">
        <v>0.0</v>
      </c>
      <c r="I1889" s="22">
        <v>0.0</v>
      </c>
      <c r="J1889" s="22">
        <v>321.943</v>
      </c>
      <c r="K1889" s="22">
        <v>0.0</v>
      </c>
      <c r="L1889" s="22">
        <v>321.943</v>
      </c>
      <c r="M1889" s="22">
        <v>335.045</v>
      </c>
      <c r="N1889" s="22">
        <v>162.327</v>
      </c>
      <c r="O1889" s="24">
        <v>14.5</v>
      </c>
      <c r="P1889" s="18">
        <f t="shared" si="1"/>
        <v>321.943</v>
      </c>
    </row>
    <row r="1890" ht="15.75" customHeight="1">
      <c r="A1890" s="13" t="s">
        <v>224</v>
      </c>
      <c r="B1890" s="13" t="s">
        <v>99</v>
      </c>
      <c r="C1890" s="14" t="s">
        <v>112</v>
      </c>
      <c r="D1890" s="14" t="str">
        <f>VLOOKUP(C1890,'State Key'!$A$2:$B$210,2,False)</f>
        <v>Tamil Nadu</v>
      </c>
      <c r="E1890" s="15">
        <v>1830.0</v>
      </c>
      <c r="F1890" s="16">
        <v>762.01</v>
      </c>
      <c r="G1890" s="16">
        <v>0.0</v>
      </c>
      <c r="H1890" s="16">
        <v>0.0</v>
      </c>
      <c r="I1890" s="16">
        <v>0.0</v>
      </c>
      <c r="J1890" s="16">
        <v>0.0</v>
      </c>
      <c r="K1890" s="16">
        <v>0.0</v>
      </c>
      <c r="L1890" s="16">
        <v>762.01</v>
      </c>
      <c r="M1890" s="16">
        <v>845.085</v>
      </c>
      <c r="N1890" s="16">
        <v>195.617</v>
      </c>
      <c r="O1890" s="17">
        <v>6.9</v>
      </c>
      <c r="P1890" s="18">
        <f t="shared" si="1"/>
        <v>762.01</v>
      </c>
    </row>
    <row r="1891" ht="15.75" customHeight="1">
      <c r="A1891" s="19" t="s">
        <v>224</v>
      </c>
      <c r="B1891" s="19" t="s">
        <v>99</v>
      </c>
      <c r="C1891" s="20" t="s">
        <v>113</v>
      </c>
      <c r="D1891" s="14" t="str">
        <f>VLOOKUP(C1891,'State Key'!$A$2:$B$210,2,False)</f>
        <v>Tamil Nadu</v>
      </c>
      <c r="E1891" s="21">
        <v>1000.0</v>
      </c>
      <c r="F1891" s="22">
        <v>151.692</v>
      </c>
      <c r="G1891" s="22">
        <v>0.0</v>
      </c>
      <c r="H1891" s="22">
        <v>207.034</v>
      </c>
      <c r="I1891" s="22">
        <v>0.0</v>
      </c>
      <c r="J1891" s="22">
        <v>0.0</v>
      </c>
      <c r="K1891" s="22">
        <v>0.0</v>
      </c>
      <c r="L1891" s="22">
        <v>358.726</v>
      </c>
      <c r="M1891" s="22">
        <v>317.584</v>
      </c>
      <c r="N1891" s="22">
        <v>307.96</v>
      </c>
      <c r="O1891" s="24">
        <v>29.1</v>
      </c>
      <c r="P1891" s="18">
        <f t="shared" si="1"/>
        <v>358.726</v>
      </c>
    </row>
    <row r="1892" ht="15.75" customHeight="1">
      <c r="A1892" s="13" t="s">
        <v>224</v>
      </c>
      <c r="B1892" s="13" t="s">
        <v>99</v>
      </c>
      <c r="C1892" s="14" t="s">
        <v>114</v>
      </c>
      <c r="D1892" s="14" t="str">
        <f>VLOOKUP(C1892,'State Key'!$A$2:$B$210,2,False)</f>
        <v>Andhra Pradesh</v>
      </c>
      <c r="E1892" s="15">
        <v>1320.0</v>
      </c>
      <c r="F1892" s="16">
        <v>389.422</v>
      </c>
      <c r="G1892" s="16">
        <v>0.0</v>
      </c>
      <c r="H1892" s="16">
        <v>0.0</v>
      </c>
      <c r="I1892" s="16">
        <v>0.0</v>
      </c>
      <c r="J1892" s="16">
        <v>104.051</v>
      </c>
      <c r="K1892" s="16">
        <v>0.0</v>
      </c>
      <c r="L1892" s="16">
        <v>493.473</v>
      </c>
      <c r="M1892" s="16">
        <v>526.0619</v>
      </c>
      <c r="N1892" s="16">
        <v>257.79</v>
      </c>
      <c r="O1892" s="24">
        <v>14.7</v>
      </c>
      <c r="P1892" s="18">
        <f t="shared" si="1"/>
        <v>493.473</v>
      </c>
    </row>
    <row r="1893" ht="15.75" customHeight="1">
      <c r="A1893" s="19" t="s">
        <v>224</v>
      </c>
      <c r="B1893" s="19" t="s">
        <v>99</v>
      </c>
      <c r="C1893" s="20" t="s">
        <v>115</v>
      </c>
      <c r="D1893" s="14" t="str">
        <f>VLOOKUP(C1893,'State Key'!$A$2:$B$210,2,False)</f>
        <v>Karnataka</v>
      </c>
      <c r="E1893" s="21">
        <v>1720.0</v>
      </c>
      <c r="F1893" s="22">
        <v>381.936</v>
      </c>
      <c r="G1893" s="22">
        <v>209.71</v>
      </c>
      <c r="H1893" s="22">
        <v>0.0</v>
      </c>
      <c r="I1893" s="22">
        <v>0.0</v>
      </c>
      <c r="J1893" s="22">
        <v>0.0</v>
      </c>
      <c r="K1893" s="22">
        <v>0.0</v>
      </c>
      <c r="L1893" s="22">
        <v>591.646</v>
      </c>
      <c r="M1893" s="22">
        <v>662.793</v>
      </c>
      <c r="N1893" s="22">
        <v>298.2</v>
      </c>
      <c r="O1893" s="23">
        <v>13.5</v>
      </c>
      <c r="P1893" s="18">
        <f t="shared" si="1"/>
        <v>591.646</v>
      </c>
    </row>
    <row r="1894" ht="15.75" customHeight="1">
      <c r="A1894" s="13" t="s">
        <v>224</v>
      </c>
      <c r="B1894" s="13" t="s">
        <v>99</v>
      </c>
      <c r="C1894" s="14" t="s">
        <v>116</v>
      </c>
      <c r="D1894" s="14" t="str">
        <f>VLOOKUP(C1894,'State Key'!$A$2:$B$210,2,False)</f>
        <v>Telangana</v>
      </c>
      <c r="E1894" s="15">
        <v>2600.0</v>
      </c>
      <c r="F1894" s="16">
        <v>0.0</v>
      </c>
      <c r="G1894" s="16">
        <v>1032.23</v>
      </c>
      <c r="H1894" s="16">
        <v>0.0</v>
      </c>
      <c r="I1894" s="16">
        <v>0.0</v>
      </c>
      <c r="J1894" s="16">
        <v>0.0</v>
      </c>
      <c r="K1894" s="16">
        <v>0.0</v>
      </c>
      <c r="L1894" s="16">
        <v>1032.23</v>
      </c>
      <c r="M1894" s="16">
        <v>858.306</v>
      </c>
      <c r="N1894" s="16">
        <v>650.811</v>
      </c>
      <c r="O1894" s="24">
        <v>22.7</v>
      </c>
      <c r="P1894" s="18">
        <f t="shared" si="1"/>
        <v>1032.23</v>
      </c>
    </row>
    <row r="1895" ht="15.75" customHeight="1">
      <c r="A1895" s="19" t="s">
        <v>224</v>
      </c>
      <c r="B1895" s="19" t="s">
        <v>99</v>
      </c>
      <c r="C1895" s="20" t="s">
        <v>117</v>
      </c>
      <c r="D1895" s="14" t="str">
        <f>VLOOKUP(C1895,'State Key'!$A$2:$B$210,2,False)</f>
        <v>Telangana</v>
      </c>
      <c r="E1895" s="21">
        <v>62.5</v>
      </c>
      <c r="F1895" s="22">
        <v>0.0</v>
      </c>
      <c r="G1895" s="22">
        <v>26.846</v>
      </c>
      <c r="H1895" s="22">
        <v>0.0</v>
      </c>
      <c r="I1895" s="22">
        <v>0.0</v>
      </c>
      <c r="J1895" s="22">
        <v>0.0</v>
      </c>
      <c r="K1895" s="22">
        <v>0.0</v>
      </c>
      <c r="L1895" s="22">
        <v>26.846</v>
      </c>
      <c r="M1895" s="22">
        <v>24.602</v>
      </c>
      <c r="N1895" s="22">
        <v>8.513</v>
      </c>
      <c r="O1895" s="23">
        <v>10.4</v>
      </c>
      <c r="P1895" s="18">
        <f t="shared" si="1"/>
        <v>26.846</v>
      </c>
    </row>
    <row r="1896" ht="15.75" customHeight="1">
      <c r="A1896" s="13" t="s">
        <v>224</v>
      </c>
      <c r="B1896" s="13" t="s">
        <v>99</v>
      </c>
      <c r="C1896" s="14" t="s">
        <v>118</v>
      </c>
      <c r="D1896" s="14" t="str">
        <f>VLOOKUP(C1896,'State Key'!$A$2:$B$210,2,False)</f>
        <v>Andhra Pradesh</v>
      </c>
      <c r="E1896" s="15">
        <v>1650.0</v>
      </c>
      <c r="F1896" s="16">
        <v>613.34</v>
      </c>
      <c r="G1896" s="16">
        <v>113.259</v>
      </c>
      <c r="H1896" s="16">
        <v>0.0</v>
      </c>
      <c r="I1896" s="16">
        <v>0.0</v>
      </c>
      <c r="J1896" s="16">
        <v>0.0</v>
      </c>
      <c r="K1896" s="16">
        <v>0.0</v>
      </c>
      <c r="L1896" s="16">
        <v>726.599</v>
      </c>
      <c r="M1896" s="16">
        <v>687.81</v>
      </c>
      <c r="N1896" s="16">
        <v>96.344</v>
      </c>
      <c r="O1896" s="17">
        <v>4.2</v>
      </c>
      <c r="P1896" s="18">
        <f t="shared" si="1"/>
        <v>726.599</v>
      </c>
    </row>
    <row r="1897" ht="15.75" customHeight="1">
      <c r="A1897" s="19" t="s">
        <v>224</v>
      </c>
      <c r="B1897" s="19" t="s">
        <v>99</v>
      </c>
      <c r="C1897" s="20" t="s">
        <v>119</v>
      </c>
      <c r="D1897" s="14" t="str">
        <f>VLOOKUP(C1897,'State Key'!$A$2:$B$210,2,False)</f>
        <v>Andhra Pradesh</v>
      </c>
      <c r="E1897" s="21">
        <v>1320.0</v>
      </c>
      <c r="F1897" s="22">
        <v>149.775</v>
      </c>
      <c r="G1897" s="22">
        <v>0.0</v>
      </c>
      <c r="H1897" s="22">
        <v>0.0</v>
      </c>
      <c r="I1897" s="22">
        <v>0.0</v>
      </c>
      <c r="J1897" s="22">
        <v>322.039</v>
      </c>
      <c r="K1897" s="22">
        <v>0.0</v>
      </c>
      <c r="L1897" s="22">
        <v>471.814</v>
      </c>
      <c r="M1897" s="22">
        <v>424.331</v>
      </c>
      <c r="N1897" s="22">
        <v>457.44</v>
      </c>
      <c r="O1897" s="24">
        <v>32.3</v>
      </c>
      <c r="P1897" s="18">
        <f t="shared" si="1"/>
        <v>471.814</v>
      </c>
    </row>
    <row r="1898" ht="15.75" customHeight="1">
      <c r="A1898" s="13" t="s">
        <v>224</v>
      </c>
      <c r="B1898" s="13" t="s">
        <v>99</v>
      </c>
      <c r="C1898" s="14" t="s">
        <v>120</v>
      </c>
      <c r="D1898" s="14" t="str">
        <f>VLOOKUP(C1898,'State Key'!$A$2:$B$210,2,False)</f>
        <v>Andhra Pradesh</v>
      </c>
      <c r="E1898" s="15">
        <v>2000.0</v>
      </c>
      <c r="F1898" s="16">
        <v>667.91</v>
      </c>
      <c r="G1898" s="16">
        <v>15.53</v>
      </c>
      <c r="H1898" s="16">
        <v>80.33</v>
      </c>
      <c r="I1898" s="16">
        <v>0.0</v>
      </c>
      <c r="J1898" s="16">
        <v>178.82</v>
      </c>
      <c r="K1898" s="16">
        <v>0.0</v>
      </c>
      <c r="L1898" s="16">
        <v>942.59</v>
      </c>
      <c r="M1898" s="16">
        <v>744.056</v>
      </c>
      <c r="N1898" s="16">
        <v>416.316</v>
      </c>
      <c r="O1898" s="24">
        <v>16.8</v>
      </c>
      <c r="P1898" s="18">
        <f t="shared" si="1"/>
        <v>942.59</v>
      </c>
    </row>
    <row r="1899" ht="15.75" customHeight="1">
      <c r="A1899" s="19" t="s">
        <v>224</v>
      </c>
      <c r="B1899" s="19" t="s">
        <v>99</v>
      </c>
      <c r="C1899" s="20" t="s">
        <v>121</v>
      </c>
      <c r="D1899" s="14" t="str">
        <f>VLOOKUP(C1899,'State Key'!$A$2:$B$210,2,False)</f>
        <v>Andhra Pradesh</v>
      </c>
      <c r="E1899" s="21">
        <v>600.0</v>
      </c>
      <c r="F1899" s="22">
        <v>0.0</v>
      </c>
      <c r="G1899" s="22">
        <v>0.0</v>
      </c>
      <c r="H1899" s="22">
        <v>0.0</v>
      </c>
      <c r="I1899" s="22">
        <v>0.0</v>
      </c>
      <c r="J1899" s="22">
        <v>141.574449</v>
      </c>
      <c r="K1899" s="22">
        <v>0.0</v>
      </c>
      <c r="L1899" s="22">
        <v>141.574449</v>
      </c>
      <c r="M1899" s="22">
        <v>184.32</v>
      </c>
      <c r="N1899" s="22">
        <v>94.24</v>
      </c>
      <c r="O1899" s="24">
        <v>15.3</v>
      </c>
      <c r="P1899" s="18">
        <f t="shared" si="1"/>
        <v>141.574449</v>
      </c>
    </row>
    <row r="1900" ht="15.75" customHeight="1">
      <c r="A1900" s="13" t="s">
        <v>224</v>
      </c>
      <c r="B1900" s="13" t="s">
        <v>99</v>
      </c>
      <c r="C1900" s="14" t="s">
        <v>122</v>
      </c>
      <c r="D1900" s="14" t="str">
        <f>VLOOKUP(C1900,'State Key'!$A$2:$B$210,2,False)</f>
        <v>Telangana</v>
      </c>
      <c r="E1900" s="15">
        <v>1200.0</v>
      </c>
      <c r="F1900" s="16">
        <v>0.0</v>
      </c>
      <c r="G1900" s="16">
        <v>367.826</v>
      </c>
      <c r="H1900" s="16">
        <v>0.0</v>
      </c>
      <c r="I1900" s="16">
        <v>0.0</v>
      </c>
      <c r="J1900" s="16">
        <v>0.0</v>
      </c>
      <c r="K1900" s="16">
        <v>0.0</v>
      </c>
      <c r="L1900" s="16">
        <v>367.826</v>
      </c>
      <c r="M1900" s="16">
        <v>402.962</v>
      </c>
      <c r="N1900" s="16">
        <v>138.17</v>
      </c>
      <c r="O1900" s="23">
        <v>10.3</v>
      </c>
      <c r="P1900" s="18">
        <f t="shared" si="1"/>
        <v>367.826</v>
      </c>
    </row>
    <row r="1901" ht="15.75" customHeight="1">
      <c r="A1901" s="19" t="s">
        <v>224</v>
      </c>
      <c r="B1901" s="19" t="s">
        <v>99</v>
      </c>
      <c r="C1901" s="20" t="s">
        <v>220</v>
      </c>
      <c r="D1901" s="14" t="str">
        <f>VLOOKUP(C1901,'State Key'!$A$2:$B$210,2,False)</f>
        <v>Telangana</v>
      </c>
      <c r="E1901" s="21">
        <v>1600.0</v>
      </c>
      <c r="F1901" s="22">
        <v>0.0</v>
      </c>
      <c r="G1901" s="22">
        <v>279.75</v>
      </c>
      <c r="H1901" s="22">
        <v>0.0</v>
      </c>
      <c r="I1901" s="22">
        <v>0.0</v>
      </c>
      <c r="J1901" s="22">
        <v>0.0</v>
      </c>
      <c r="K1901" s="22">
        <v>0.0</v>
      </c>
      <c r="L1901" s="22">
        <v>279.75</v>
      </c>
      <c r="M1901" s="22">
        <v>260.697</v>
      </c>
      <c r="N1901" s="22">
        <v>186.718</v>
      </c>
      <c r="O1901" s="24">
        <v>21.5</v>
      </c>
      <c r="P1901" s="18">
        <f t="shared" si="1"/>
        <v>279.75</v>
      </c>
    </row>
    <row r="1902" ht="15.75" customHeight="1">
      <c r="A1902" s="13" t="s">
        <v>224</v>
      </c>
      <c r="B1902" s="13" t="s">
        <v>99</v>
      </c>
      <c r="C1902" s="14" t="s">
        <v>123</v>
      </c>
      <c r="D1902" s="14" t="str">
        <f>VLOOKUP(C1902,'State Key'!$A$2:$B$210,2,False)</f>
        <v>Andhra Pradesh</v>
      </c>
      <c r="E1902" s="15">
        <v>300.0</v>
      </c>
      <c r="F1902" s="16">
        <v>0.0</v>
      </c>
      <c r="G1902" s="16">
        <v>0.0</v>
      </c>
      <c r="H1902" s="16">
        <v>0.0</v>
      </c>
      <c r="I1902" s="16">
        <v>0.0</v>
      </c>
      <c r="J1902" s="16">
        <v>0.0</v>
      </c>
      <c r="K1902" s="16">
        <v>0.0</v>
      </c>
      <c r="L1902" s="16">
        <v>0.0</v>
      </c>
      <c r="M1902" s="16">
        <v>0.0</v>
      </c>
      <c r="N1902" s="16">
        <v>0.0</v>
      </c>
      <c r="O1902" s="13" t="s">
        <v>58</v>
      </c>
      <c r="P1902" s="18">
        <f t="shared" si="1"/>
        <v>0</v>
      </c>
    </row>
    <row r="1903" ht="15.75" customHeight="1">
      <c r="A1903" s="19" t="s">
        <v>224</v>
      </c>
      <c r="B1903" s="19" t="s">
        <v>99</v>
      </c>
      <c r="C1903" s="20" t="s">
        <v>124</v>
      </c>
      <c r="D1903" s="14" t="str">
        <f>VLOOKUP(C1903,'State Key'!$A$2:$B$210,2,False)</f>
        <v>Karnataka</v>
      </c>
      <c r="E1903" s="21">
        <v>260.0</v>
      </c>
      <c r="F1903" s="22">
        <v>0.0</v>
      </c>
      <c r="G1903" s="22">
        <v>0.0</v>
      </c>
      <c r="H1903" s="22">
        <v>0.0</v>
      </c>
      <c r="I1903" s="22">
        <v>0.0</v>
      </c>
      <c r="J1903" s="22">
        <v>25.59</v>
      </c>
      <c r="K1903" s="22">
        <v>0.0</v>
      </c>
      <c r="L1903" s="22">
        <v>25.59</v>
      </c>
      <c r="M1903" s="22">
        <v>25.59</v>
      </c>
      <c r="N1903" s="22">
        <v>0.0</v>
      </c>
      <c r="O1903" s="17">
        <v>0.0</v>
      </c>
      <c r="P1903" s="18">
        <f t="shared" si="1"/>
        <v>25.59</v>
      </c>
    </row>
    <row r="1904" ht="15.75" customHeight="1">
      <c r="A1904" s="13" t="s">
        <v>224</v>
      </c>
      <c r="B1904" s="13" t="s">
        <v>99</v>
      </c>
      <c r="C1904" s="14" t="s">
        <v>125</v>
      </c>
      <c r="D1904" s="14" t="str">
        <f>VLOOKUP(C1904,'State Key'!$A$2:$B$210,2,False)</f>
        <v>Karnataka</v>
      </c>
      <c r="E1904" s="15">
        <v>600.0</v>
      </c>
      <c r="F1904" s="16">
        <v>0.0</v>
      </c>
      <c r="G1904" s="16">
        <v>0.0</v>
      </c>
      <c r="H1904" s="16">
        <v>0.0</v>
      </c>
      <c r="I1904" s="16">
        <v>0.0</v>
      </c>
      <c r="J1904" s="16">
        <v>44.47</v>
      </c>
      <c r="K1904" s="16">
        <v>0.0</v>
      </c>
      <c r="L1904" s="16">
        <v>44.47</v>
      </c>
      <c r="M1904" s="16">
        <v>70.72</v>
      </c>
      <c r="N1904" s="16">
        <v>22.3</v>
      </c>
      <c r="O1904" s="23">
        <v>9.5</v>
      </c>
      <c r="P1904" s="18">
        <f t="shared" si="1"/>
        <v>44.47</v>
      </c>
    </row>
    <row r="1905" ht="15.75" customHeight="1">
      <c r="A1905" s="19" t="s">
        <v>224</v>
      </c>
      <c r="B1905" s="19" t="s">
        <v>99</v>
      </c>
      <c r="C1905" s="20" t="s">
        <v>126</v>
      </c>
      <c r="D1905" s="14" t="str">
        <f>VLOOKUP(C1905,'State Key'!$A$2:$B$210,2,False)</f>
        <v>Tamil Nadu</v>
      </c>
      <c r="E1905" s="21">
        <v>300.0</v>
      </c>
      <c r="F1905" s="22">
        <v>0.0</v>
      </c>
      <c r="G1905" s="22">
        <v>0.0</v>
      </c>
      <c r="H1905" s="22">
        <v>0.0</v>
      </c>
      <c r="I1905" s="22">
        <v>0.0</v>
      </c>
      <c r="J1905" s="22">
        <v>0.0</v>
      </c>
      <c r="K1905" s="22">
        <v>0.0</v>
      </c>
      <c r="L1905" s="22">
        <v>0.0</v>
      </c>
      <c r="M1905" s="22">
        <v>0.0</v>
      </c>
      <c r="N1905" s="22">
        <v>0.0</v>
      </c>
      <c r="O1905" s="19" t="s">
        <v>58</v>
      </c>
      <c r="P1905" s="18">
        <f t="shared" si="1"/>
        <v>0</v>
      </c>
    </row>
    <row r="1906" ht="15.75" customHeight="1">
      <c r="A1906" s="13" t="s">
        <v>224</v>
      </c>
      <c r="B1906" s="13" t="s">
        <v>99</v>
      </c>
      <c r="C1906" s="14" t="s">
        <v>127</v>
      </c>
      <c r="D1906" s="14" t="str">
        <f>VLOOKUP(C1906,'State Key'!$A$2:$B$210,2,False)</f>
        <v>Tamil Nadu</v>
      </c>
      <c r="E1906" s="15">
        <v>525.0</v>
      </c>
      <c r="F1906" s="16">
        <v>0.0</v>
      </c>
      <c r="G1906" s="16">
        <v>0.0</v>
      </c>
      <c r="H1906" s="16">
        <v>0.0</v>
      </c>
      <c r="I1906" s="16">
        <v>0.0</v>
      </c>
      <c r="J1906" s="16">
        <v>158.599</v>
      </c>
      <c r="K1906" s="16">
        <v>0.0</v>
      </c>
      <c r="L1906" s="16">
        <v>158.599</v>
      </c>
      <c r="M1906" s="16">
        <v>152.462</v>
      </c>
      <c r="N1906" s="16">
        <v>9.2</v>
      </c>
      <c r="O1906" s="17">
        <v>1.8</v>
      </c>
      <c r="P1906" s="18">
        <f t="shared" si="1"/>
        <v>158.599</v>
      </c>
    </row>
    <row r="1907" ht="15.75" customHeight="1">
      <c r="A1907" s="19" t="s">
        <v>224</v>
      </c>
      <c r="B1907" s="19" t="s">
        <v>99</v>
      </c>
      <c r="C1907" s="20" t="s">
        <v>128</v>
      </c>
      <c r="D1907" s="14" t="str">
        <f>VLOOKUP(C1907,'State Key'!$A$2:$B$210,2,False)</f>
        <v>Tamil Nadu</v>
      </c>
      <c r="E1907" s="21">
        <v>1050.0</v>
      </c>
      <c r="F1907" s="22">
        <v>605.747</v>
      </c>
      <c r="G1907" s="22">
        <v>0.0</v>
      </c>
      <c r="H1907" s="22">
        <v>0.0</v>
      </c>
      <c r="I1907" s="22">
        <v>0.0</v>
      </c>
      <c r="J1907" s="22">
        <v>0.0</v>
      </c>
      <c r="K1907" s="22">
        <v>0.0</v>
      </c>
      <c r="L1907" s="22">
        <v>605.747</v>
      </c>
      <c r="M1907" s="22">
        <v>579.628</v>
      </c>
      <c r="N1907" s="22">
        <v>196.73</v>
      </c>
      <c r="O1907" s="23">
        <v>10.2</v>
      </c>
      <c r="P1907" s="18">
        <f t="shared" si="1"/>
        <v>605.747</v>
      </c>
    </row>
    <row r="1908" ht="15.75" customHeight="1">
      <c r="A1908" s="13" t="s">
        <v>224</v>
      </c>
      <c r="B1908" s="13" t="s">
        <v>99</v>
      </c>
      <c r="C1908" s="14" t="s">
        <v>130</v>
      </c>
      <c r="D1908" s="14" t="str">
        <f>VLOOKUP(C1908,'State Key'!$A$2:$B$210,2,False)</f>
        <v>Tamil Nadu</v>
      </c>
      <c r="E1908" s="15">
        <v>1500.0</v>
      </c>
      <c r="F1908" s="16">
        <v>174.214</v>
      </c>
      <c r="G1908" s="16">
        <v>86.625</v>
      </c>
      <c r="H1908" s="16">
        <v>0.0</v>
      </c>
      <c r="I1908" s="16">
        <v>0.0</v>
      </c>
      <c r="J1908" s="16">
        <v>0.0</v>
      </c>
      <c r="K1908" s="16">
        <v>0.0</v>
      </c>
      <c r="L1908" s="16">
        <v>260.839</v>
      </c>
      <c r="M1908" s="16">
        <v>188.415</v>
      </c>
      <c r="N1908" s="16">
        <v>553.68</v>
      </c>
      <c r="O1908" s="24">
        <v>88.2</v>
      </c>
      <c r="P1908" s="18">
        <f t="shared" si="1"/>
        <v>260.839</v>
      </c>
    </row>
    <row r="1909" ht="15.75" customHeight="1">
      <c r="A1909" s="19" t="s">
        <v>224</v>
      </c>
      <c r="B1909" s="19" t="s">
        <v>99</v>
      </c>
      <c r="C1909" s="20" t="s">
        <v>131</v>
      </c>
      <c r="D1909" s="14" t="str">
        <f>VLOOKUP(C1909,'State Key'!$A$2:$B$210,2,False)</f>
        <v>Andhra Pradesh</v>
      </c>
      <c r="E1909" s="21">
        <v>1040.0</v>
      </c>
      <c r="F1909" s="22">
        <v>211.14347</v>
      </c>
      <c r="G1909" s="22">
        <v>0.0</v>
      </c>
      <c r="H1909" s="22">
        <v>0.0</v>
      </c>
      <c r="I1909" s="22">
        <v>0.0</v>
      </c>
      <c r="J1909" s="22">
        <v>0.0</v>
      </c>
      <c r="K1909" s="22">
        <v>0.0</v>
      </c>
      <c r="L1909" s="22">
        <v>211.14347</v>
      </c>
      <c r="M1909" s="22">
        <v>283.66</v>
      </c>
      <c r="N1909" s="22">
        <v>59.1753</v>
      </c>
      <c r="O1909" s="17">
        <v>6.3</v>
      </c>
      <c r="P1909" s="18">
        <f t="shared" si="1"/>
        <v>211.14347</v>
      </c>
    </row>
    <row r="1910" ht="15.75" customHeight="1">
      <c r="A1910" s="13" t="s">
        <v>224</v>
      </c>
      <c r="B1910" s="13" t="s">
        <v>99</v>
      </c>
      <c r="C1910" s="14" t="s">
        <v>132</v>
      </c>
      <c r="D1910" s="14" t="str">
        <f>VLOOKUP(C1910,'State Key'!$A$2:$B$210,2,False)</f>
        <v>Karnataka</v>
      </c>
      <c r="E1910" s="15">
        <v>1600.0</v>
      </c>
      <c r="F1910" s="16">
        <v>0.0</v>
      </c>
      <c r="G1910" s="16">
        <v>290.87</v>
      </c>
      <c r="H1910" s="16">
        <v>0.0</v>
      </c>
      <c r="I1910" s="16">
        <v>0.0</v>
      </c>
      <c r="J1910" s="16">
        <v>28.431</v>
      </c>
      <c r="K1910" s="16">
        <v>0.0</v>
      </c>
      <c r="L1910" s="16">
        <v>319.301</v>
      </c>
      <c r="M1910" s="16">
        <v>346.668</v>
      </c>
      <c r="N1910" s="16">
        <v>253.473</v>
      </c>
      <c r="O1910" s="24">
        <v>21.9</v>
      </c>
      <c r="P1910" s="18">
        <f t="shared" si="1"/>
        <v>319.301</v>
      </c>
    </row>
    <row r="1911" ht="15.75" customHeight="1">
      <c r="A1911" s="19" t="s">
        <v>224</v>
      </c>
      <c r="B1911" s="19" t="s">
        <v>133</v>
      </c>
      <c r="C1911" s="20" t="s">
        <v>211</v>
      </c>
      <c r="D1911" s="14" t="str">
        <f>VLOOKUP(C1911,'State Key'!$A$2:$B$210,2,False)</f>
        <v>Gujarat</v>
      </c>
      <c r="E1911" s="21">
        <v>2640.0</v>
      </c>
      <c r="F1911" s="22">
        <v>0.0</v>
      </c>
      <c r="G1911" s="22">
        <v>0.0</v>
      </c>
      <c r="H1911" s="22">
        <v>0.0</v>
      </c>
      <c r="I1911" s="22">
        <v>0.0</v>
      </c>
      <c r="J1911" s="22">
        <v>685.554</v>
      </c>
      <c r="K1911" s="22">
        <v>0.0</v>
      </c>
      <c r="L1911" s="22">
        <v>685.554</v>
      </c>
      <c r="M1911" s="22">
        <v>660.121</v>
      </c>
      <c r="N1911" s="22">
        <v>40.629</v>
      </c>
      <c r="O1911" s="17">
        <v>1.8</v>
      </c>
      <c r="P1911" s="18">
        <f t="shared" si="1"/>
        <v>685.554</v>
      </c>
    </row>
    <row r="1912" ht="15.75" customHeight="1">
      <c r="A1912" s="13" t="s">
        <v>224</v>
      </c>
      <c r="B1912" s="13" t="s">
        <v>133</v>
      </c>
      <c r="C1912" s="14" t="s">
        <v>212</v>
      </c>
      <c r="D1912" s="14" t="str">
        <f>VLOOKUP(C1912,'State Key'!$A$2:$B$210,2,False)</f>
        <v>Gujarat</v>
      </c>
      <c r="E1912" s="15">
        <v>1980.0</v>
      </c>
      <c r="F1912" s="16">
        <v>0.0</v>
      </c>
      <c r="G1912" s="16">
        <v>0.0</v>
      </c>
      <c r="H1912" s="16">
        <v>0.0</v>
      </c>
      <c r="I1912" s="16">
        <v>0.0</v>
      </c>
      <c r="J1912" s="16">
        <v>570.189</v>
      </c>
      <c r="K1912" s="16">
        <v>0.0</v>
      </c>
      <c r="L1912" s="16">
        <v>570.189</v>
      </c>
      <c r="M1912" s="16">
        <v>523.761</v>
      </c>
      <c r="N1912" s="16">
        <v>67.766</v>
      </c>
      <c r="O1912" s="17">
        <v>3.9</v>
      </c>
      <c r="P1912" s="18">
        <f t="shared" si="1"/>
        <v>570.189</v>
      </c>
    </row>
    <row r="1913" ht="15.75" customHeight="1">
      <c r="A1913" s="19" t="s">
        <v>224</v>
      </c>
      <c r="B1913" s="19" t="s">
        <v>133</v>
      </c>
      <c r="C1913" s="20" t="s">
        <v>213</v>
      </c>
      <c r="D1913" s="14" t="str">
        <f>VLOOKUP(C1913,'State Key'!$A$2:$B$210,2,False)</f>
        <v>Chhattisgarh</v>
      </c>
      <c r="E1913" s="21">
        <v>600.0</v>
      </c>
      <c r="F1913" s="22">
        <v>217.531</v>
      </c>
      <c r="G1913" s="22">
        <v>0.0</v>
      </c>
      <c r="H1913" s="22">
        <v>0.0</v>
      </c>
      <c r="I1913" s="22">
        <v>15.157</v>
      </c>
      <c r="J1913" s="22">
        <v>0.0</v>
      </c>
      <c r="K1913" s="22">
        <v>0.0</v>
      </c>
      <c r="L1913" s="22">
        <v>232.688</v>
      </c>
      <c r="M1913" s="22">
        <v>227.359</v>
      </c>
      <c r="N1913" s="22">
        <v>83.1</v>
      </c>
      <c r="O1913" s="23">
        <v>11.0</v>
      </c>
      <c r="P1913" s="18">
        <f t="shared" si="1"/>
        <v>232.688</v>
      </c>
    </row>
    <row r="1914" ht="15.75" customHeight="1">
      <c r="A1914" s="13" t="s">
        <v>224</v>
      </c>
      <c r="B1914" s="13" t="s">
        <v>133</v>
      </c>
      <c r="C1914" s="14" t="s">
        <v>214</v>
      </c>
      <c r="D1914" s="14" t="str">
        <f>VLOOKUP(C1914,'State Key'!$A$2:$B$210,2,False)</f>
        <v>Chhattisgarh</v>
      </c>
      <c r="E1914" s="15">
        <v>1370.0</v>
      </c>
      <c r="F1914" s="16">
        <v>342.785</v>
      </c>
      <c r="G1914" s="16">
        <v>0.0</v>
      </c>
      <c r="H1914" s="16">
        <v>0.0</v>
      </c>
      <c r="I1914" s="16">
        <v>0.425</v>
      </c>
      <c r="J1914" s="16">
        <v>0.0</v>
      </c>
      <c r="K1914" s="16">
        <v>53.043</v>
      </c>
      <c r="L1914" s="16">
        <v>396.253</v>
      </c>
      <c r="M1914" s="16">
        <v>474.565</v>
      </c>
      <c r="N1914" s="16">
        <v>324.108</v>
      </c>
      <c r="O1914" s="24">
        <v>20.5</v>
      </c>
      <c r="P1914" s="18">
        <f t="shared" si="1"/>
        <v>396.253</v>
      </c>
    </row>
    <row r="1915" ht="15.75" customHeight="1">
      <c r="A1915" s="19" t="s">
        <v>224</v>
      </c>
      <c r="B1915" s="19" t="s">
        <v>133</v>
      </c>
      <c r="C1915" s="20" t="s">
        <v>215</v>
      </c>
      <c r="D1915" s="14" t="str">
        <f>VLOOKUP(C1915,'State Key'!$A$2:$B$210,2,False)</f>
        <v>Maharashtra</v>
      </c>
      <c r="E1915" s="21">
        <v>3300.0</v>
      </c>
      <c r="F1915" s="22">
        <v>1040.767</v>
      </c>
      <c r="G1915" s="22">
        <v>0.0</v>
      </c>
      <c r="H1915" s="22">
        <v>0.0</v>
      </c>
      <c r="I1915" s="22">
        <v>0.0</v>
      </c>
      <c r="J1915" s="22">
        <v>0.0</v>
      </c>
      <c r="K1915" s="22">
        <v>0.0</v>
      </c>
      <c r="L1915" s="22">
        <v>1040.767</v>
      </c>
      <c r="M1915" s="22">
        <v>1187.287</v>
      </c>
      <c r="N1915" s="22">
        <v>763.13</v>
      </c>
      <c r="O1915" s="24">
        <v>19.3</v>
      </c>
      <c r="P1915" s="18">
        <f t="shared" si="1"/>
        <v>1040.767</v>
      </c>
    </row>
    <row r="1916" ht="15.75" customHeight="1">
      <c r="A1916" s="13" t="s">
        <v>224</v>
      </c>
      <c r="B1916" s="13" t="s">
        <v>133</v>
      </c>
      <c r="C1916" s="14" t="s">
        <v>134</v>
      </c>
      <c r="D1916" s="14" t="str">
        <f>VLOOKUP(C1916,'State Key'!$A$2:$B$210,2,False)</f>
        <v>Chhattisgarh</v>
      </c>
      <c r="E1916" s="15">
        <v>1800.0</v>
      </c>
      <c r="F1916" s="16">
        <v>656.9519</v>
      </c>
      <c r="G1916" s="16">
        <v>0.0</v>
      </c>
      <c r="H1916" s="16">
        <v>0.0</v>
      </c>
      <c r="I1916" s="16">
        <v>0.0</v>
      </c>
      <c r="J1916" s="16">
        <v>0.0</v>
      </c>
      <c r="K1916" s="16">
        <v>0.0</v>
      </c>
      <c r="L1916" s="16">
        <v>656.9519</v>
      </c>
      <c r="M1916" s="16">
        <v>590.24</v>
      </c>
      <c r="N1916" s="16">
        <v>382.86</v>
      </c>
      <c r="O1916" s="24">
        <v>19.5</v>
      </c>
      <c r="P1916" s="18">
        <f t="shared" si="1"/>
        <v>656.9519</v>
      </c>
    </row>
    <row r="1917" ht="15.75" customHeight="1">
      <c r="A1917" s="19" t="s">
        <v>224</v>
      </c>
      <c r="B1917" s="19" t="s">
        <v>133</v>
      </c>
      <c r="C1917" s="20" t="s">
        <v>135</v>
      </c>
      <c r="D1917" s="14" t="str">
        <f>VLOOKUP(C1917,'State Key'!$A$2:$B$210,2,False)</f>
        <v>Madhya Pradesh</v>
      </c>
      <c r="E1917" s="21">
        <v>210.0</v>
      </c>
      <c r="F1917" s="22">
        <v>125.21</v>
      </c>
      <c r="G1917" s="22">
        <v>0.0</v>
      </c>
      <c r="H1917" s="22">
        <v>0.0</v>
      </c>
      <c r="I1917" s="22">
        <v>0.0</v>
      </c>
      <c r="J1917" s="22">
        <v>0.0</v>
      </c>
      <c r="K1917" s="22">
        <v>0.0</v>
      </c>
      <c r="L1917" s="22">
        <v>125.21</v>
      </c>
      <c r="M1917" s="22">
        <v>87.315</v>
      </c>
      <c r="N1917" s="22">
        <v>73.19</v>
      </c>
      <c r="O1917" s="24">
        <v>25.1</v>
      </c>
      <c r="P1917" s="18">
        <f t="shared" si="1"/>
        <v>125.21</v>
      </c>
    </row>
    <row r="1918" ht="15.75" customHeight="1">
      <c r="A1918" s="13" t="s">
        <v>224</v>
      </c>
      <c r="B1918" s="13" t="s">
        <v>133</v>
      </c>
      <c r="C1918" s="14" t="s">
        <v>136</v>
      </c>
      <c r="D1918" s="14" t="str">
        <f>VLOOKUP(C1918,'State Key'!$A$2:$B$210,2,False)</f>
        <v>Maharashtra</v>
      </c>
      <c r="E1918" s="15">
        <v>1350.0</v>
      </c>
      <c r="F1918" s="16">
        <v>497.76</v>
      </c>
      <c r="G1918" s="16">
        <v>0.0</v>
      </c>
      <c r="H1918" s="16">
        <v>0.0</v>
      </c>
      <c r="I1918" s="16">
        <v>5.512</v>
      </c>
      <c r="J1918" s="16">
        <v>0.0</v>
      </c>
      <c r="K1918" s="16">
        <v>0.0</v>
      </c>
      <c r="L1918" s="16">
        <v>503.272</v>
      </c>
      <c r="M1918" s="16">
        <v>586.108</v>
      </c>
      <c r="N1918" s="16">
        <v>168.6</v>
      </c>
      <c r="O1918" s="23">
        <v>8.6</v>
      </c>
      <c r="P1918" s="18">
        <f t="shared" si="1"/>
        <v>503.272</v>
      </c>
    </row>
    <row r="1919" ht="15.75" customHeight="1">
      <c r="A1919" s="19" t="s">
        <v>224</v>
      </c>
      <c r="B1919" s="19" t="s">
        <v>133</v>
      </c>
      <c r="C1919" s="20" t="s">
        <v>137</v>
      </c>
      <c r="D1919" s="14" t="str">
        <f>VLOOKUP(C1919,'State Key'!$A$2:$B$210,2,False)</f>
        <v>Madhya Pradesh</v>
      </c>
      <c r="E1919" s="21">
        <v>1250.0</v>
      </c>
      <c r="F1919" s="22">
        <v>395.57</v>
      </c>
      <c r="G1919" s="22">
        <v>0.0</v>
      </c>
      <c r="H1919" s="22">
        <v>0.0</v>
      </c>
      <c r="I1919" s="22">
        <v>85.58</v>
      </c>
      <c r="J1919" s="22">
        <v>0.0</v>
      </c>
      <c r="K1919" s="22">
        <v>0.0</v>
      </c>
      <c r="L1919" s="22">
        <v>481.15</v>
      </c>
      <c r="M1919" s="22">
        <v>282.52</v>
      </c>
      <c r="N1919" s="22">
        <v>515.87</v>
      </c>
      <c r="O1919" s="24">
        <v>54.8</v>
      </c>
      <c r="P1919" s="18">
        <f t="shared" si="1"/>
        <v>481.15</v>
      </c>
    </row>
    <row r="1920" ht="15.75" customHeight="1">
      <c r="A1920" s="13" t="s">
        <v>224</v>
      </c>
      <c r="B1920" s="13" t="s">
        <v>133</v>
      </c>
      <c r="C1920" s="14" t="s">
        <v>139</v>
      </c>
      <c r="D1920" s="14" t="str">
        <f>VLOOKUP(C1920,'State Key'!$A$2:$B$210,2,False)</f>
        <v>Chhattisgarh</v>
      </c>
      <c r="E1920" s="15">
        <v>600.0</v>
      </c>
      <c r="F1920" s="16">
        <v>99.87</v>
      </c>
      <c r="G1920" s="16">
        <v>0.0</v>
      </c>
      <c r="H1920" s="16">
        <v>0.0</v>
      </c>
      <c r="I1920" s="16">
        <v>8.8</v>
      </c>
      <c r="J1920" s="16">
        <v>0.0</v>
      </c>
      <c r="K1920" s="16">
        <v>0.0</v>
      </c>
      <c r="L1920" s="16">
        <v>108.67</v>
      </c>
      <c r="M1920" s="16">
        <v>166.9</v>
      </c>
      <c r="N1920" s="16">
        <v>58.7</v>
      </c>
      <c r="O1920" s="23">
        <v>10.6</v>
      </c>
      <c r="P1920" s="18">
        <f t="shared" si="1"/>
        <v>108.67</v>
      </c>
    </row>
    <row r="1921" ht="15.75" customHeight="1">
      <c r="A1921" s="19" t="s">
        <v>224</v>
      </c>
      <c r="B1921" s="19" t="s">
        <v>133</v>
      </c>
      <c r="C1921" s="20" t="s">
        <v>140</v>
      </c>
      <c r="D1921" s="14" t="str">
        <f>VLOOKUP(C1921,'State Key'!$A$2:$B$210,2,False)</f>
        <v>Chhattisgarh</v>
      </c>
      <c r="E1921" s="21">
        <v>300.0</v>
      </c>
      <c r="F1921" s="22">
        <v>104.057</v>
      </c>
      <c r="G1921" s="22">
        <v>0.0</v>
      </c>
      <c r="H1921" s="22">
        <v>0.0</v>
      </c>
      <c r="I1921" s="22">
        <v>9.055</v>
      </c>
      <c r="J1921" s="22">
        <v>0.0</v>
      </c>
      <c r="K1921" s="22">
        <v>0.0</v>
      </c>
      <c r="L1921" s="22">
        <v>113.112</v>
      </c>
      <c r="M1921" s="22">
        <v>92.884</v>
      </c>
      <c r="N1921" s="22">
        <v>85.51</v>
      </c>
      <c r="O1921" s="24">
        <v>27.6</v>
      </c>
      <c r="P1921" s="18">
        <f t="shared" si="1"/>
        <v>113.112</v>
      </c>
    </row>
    <row r="1922" ht="15.75" customHeight="1">
      <c r="A1922" s="13" t="s">
        <v>224</v>
      </c>
      <c r="B1922" s="13" t="s">
        <v>133</v>
      </c>
      <c r="C1922" s="14" t="s">
        <v>141</v>
      </c>
      <c r="D1922" s="14" t="str">
        <f>VLOOKUP(C1922,'State Key'!$A$2:$B$210,2,False)</f>
        <v>Chhattisgarh</v>
      </c>
      <c r="E1922" s="15">
        <v>1200.0</v>
      </c>
      <c r="F1922" s="16">
        <v>308.927</v>
      </c>
      <c r="G1922" s="16">
        <v>0.0</v>
      </c>
      <c r="H1922" s="16">
        <v>0.0</v>
      </c>
      <c r="I1922" s="16">
        <v>233.932</v>
      </c>
      <c r="J1922" s="16">
        <v>0.0</v>
      </c>
      <c r="K1922" s="16">
        <v>0.0</v>
      </c>
      <c r="L1922" s="16">
        <v>542.859</v>
      </c>
      <c r="M1922" s="16">
        <v>518.4009</v>
      </c>
      <c r="N1922" s="16">
        <v>172.9</v>
      </c>
      <c r="O1922" s="23">
        <v>10.0</v>
      </c>
      <c r="P1922" s="18">
        <f t="shared" si="1"/>
        <v>542.859</v>
      </c>
    </row>
    <row r="1923" ht="15.75" customHeight="1">
      <c r="A1923" s="19" t="s">
        <v>224</v>
      </c>
      <c r="B1923" s="19" t="s">
        <v>133</v>
      </c>
      <c r="C1923" s="20" t="s">
        <v>142</v>
      </c>
      <c r="D1923" s="14" t="str">
        <f>VLOOKUP(C1923,'State Key'!$A$2:$B$210,2,False)</f>
        <v>Maharashtra</v>
      </c>
      <c r="E1923" s="21">
        <v>270.0</v>
      </c>
      <c r="F1923" s="22">
        <v>78.85</v>
      </c>
      <c r="G1923" s="22">
        <v>0.0</v>
      </c>
      <c r="H1923" s="22">
        <v>0.0</v>
      </c>
      <c r="I1923" s="22">
        <v>58.13</v>
      </c>
      <c r="J1923" s="22">
        <v>0.0</v>
      </c>
      <c r="K1923" s="22">
        <v>0.0</v>
      </c>
      <c r="L1923" s="22">
        <v>136.98</v>
      </c>
      <c r="M1923" s="22">
        <v>98.0</v>
      </c>
      <c r="N1923" s="22">
        <v>100.97</v>
      </c>
      <c r="O1923" s="24">
        <v>30.9</v>
      </c>
      <c r="P1923" s="18">
        <f t="shared" si="1"/>
        <v>136.98</v>
      </c>
    </row>
    <row r="1924" ht="15.75" customHeight="1">
      <c r="A1924" s="13" t="s">
        <v>224</v>
      </c>
      <c r="B1924" s="13" t="s">
        <v>133</v>
      </c>
      <c r="C1924" s="14" t="s">
        <v>143</v>
      </c>
      <c r="D1924" s="14" t="str">
        <f>VLOOKUP(C1924,'State Key'!$A$2:$B$210,2,False)</f>
        <v>Chhattisgarh</v>
      </c>
      <c r="E1924" s="15">
        <v>500.0</v>
      </c>
      <c r="F1924" s="16">
        <v>252.878</v>
      </c>
      <c r="G1924" s="16">
        <v>4.048</v>
      </c>
      <c r="H1924" s="16">
        <v>0.0</v>
      </c>
      <c r="I1924" s="16">
        <v>0.0</v>
      </c>
      <c r="J1924" s="16">
        <v>46.451</v>
      </c>
      <c r="K1924" s="16">
        <v>0.0</v>
      </c>
      <c r="L1924" s="16">
        <v>303.377</v>
      </c>
      <c r="M1924" s="16">
        <v>119.437</v>
      </c>
      <c r="N1924" s="16">
        <v>364.45</v>
      </c>
      <c r="O1924" s="24">
        <v>91.5</v>
      </c>
      <c r="P1924" s="18">
        <f t="shared" si="1"/>
        <v>303.377</v>
      </c>
    </row>
    <row r="1925" ht="15.75" customHeight="1">
      <c r="A1925" s="19" t="s">
        <v>224</v>
      </c>
      <c r="B1925" s="19" t="s">
        <v>133</v>
      </c>
      <c r="C1925" s="20" t="s">
        <v>144</v>
      </c>
      <c r="D1925" s="14" t="str">
        <f>VLOOKUP(C1925,'State Key'!$A$2:$B$210,2,False)</f>
        <v>Maharashtra</v>
      </c>
      <c r="E1925" s="21">
        <v>1210.0</v>
      </c>
      <c r="F1925" s="22">
        <v>464.157</v>
      </c>
      <c r="G1925" s="22">
        <v>0.0</v>
      </c>
      <c r="H1925" s="22">
        <v>0.0</v>
      </c>
      <c r="I1925" s="22">
        <v>0.0</v>
      </c>
      <c r="J1925" s="22">
        <v>66.018</v>
      </c>
      <c r="K1925" s="22">
        <v>0.0</v>
      </c>
      <c r="L1925" s="22">
        <v>530.175</v>
      </c>
      <c r="M1925" s="22">
        <v>440.483</v>
      </c>
      <c r="N1925" s="22">
        <v>420.956</v>
      </c>
      <c r="O1925" s="24">
        <v>28.7</v>
      </c>
      <c r="P1925" s="18">
        <f t="shared" si="1"/>
        <v>530.175</v>
      </c>
    </row>
    <row r="1926" ht="15.75" customHeight="1">
      <c r="A1926" s="13" t="s">
        <v>224</v>
      </c>
      <c r="B1926" s="13" t="s">
        <v>133</v>
      </c>
      <c r="C1926" s="14" t="s">
        <v>145</v>
      </c>
      <c r="D1926" s="14" t="str">
        <f>VLOOKUP(C1926,'State Key'!$A$2:$B$210,2,False)</f>
        <v>Madhya Pradesh</v>
      </c>
      <c r="E1926" s="15">
        <v>500.0</v>
      </c>
      <c r="F1926" s="16">
        <v>121.59</v>
      </c>
      <c r="G1926" s="16">
        <v>0.0</v>
      </c>
      <c r="H1926" s="16">
        <v>0.0</v>
      </c>
      <c r="I1926" s="16">
        <v>91.65</v>
      </c>
      <c r="J1926" s="16">
        <v>0.0</v>
      </c>
      <c r="K1926" s="16">
        <v>0.0</v>
      </c>
      <c r="L1926" s="16">
        <v>213.24</v>
      </c>
      <c r="M1926" s="16">
        <v>207.73</v>
      </c>
      <c r="N1926" s="16">
        <v>107.43</v>
      </c>
      <c r="O1926" s="24">
        <v>15.5</v>
      </c>
      <c r="P1926" s="18">
        <f t="shared" si="1"/>
        <v>213.24</v>
      </c>
    </row>
    <row r="1927" ht="15.75" customHeight="1">
      <c r="A1927" s="19" t="s">
        <v>224</v>
      </c>
      <c r="B1927" s="19" t="s">
        <v>133</v>
      </c>
      <c r="C1927" s="20" t="s">
        <v>146</v>
      </c>
      <c r="D1927" s="14" t="str">
        <f>VLOOKUP(C1927,'State Key'!$A$2:$B$210,2,False)</f>
        <v>Chhattisgarh</v>
      </c>
      <c r="E1927" s="21">
        <v>600.0</v>
      </c>
      <c r="F1927" s="22">
        <v>83.707</v>
      </c>
      <c r="G1927" s="22">
        <v>0.0</v>
      </c>
      <c r="H1927" s="22">
        <v>0.0</v>
      </c>
      <c r="I1927" s="22">
        <v>112.043</v>
      </c>
      <c r="J1927" s="22">
        <v>0.0</v>
      </c>
      <c r="K1927" s="22">
        <v>0.0</v>
      </c>
      <c r="L1927" s="22">
        <v>195.75</v>
      </c>
      <c r="M1927" s="22">
        <v>205.718</v>
      </c>
      <c r="N1927" s="22">
        <v>114.85</v>
      </c>
      <c r="O1927" s="24">
        <v>16.7</v>
      </c>
      <c r="P1927" s="18">
        <f t="shared" si="1"/>
        <v>195.75</v>
      </c>
    </row>
    <row r="1928" ht="15.75" customHeight="1">
      <c r="A1928" s="13" t="s">
        <v>224</v>
      </c>
      <c r="B1928" s="13" t="s">
        <v>133</v>
      </c>
      <c r="C1928" s="14" t="s">
        <v>147</v>
      </c>
      <c r="D1928" s="14" t="str">
        <f>VLOOKUP(C1928,'State Key'!$A$2:$B$210,2,False)</f>
        <v>Maharashtra</v>
      </c>
      <c r="E1928" s="15">
        <v>600.0</v>
      </c>
      <c r="F1928" s="16">
        <v>0.0</v>
      </c>
      <c r="G1928" s="16">
        <v>0.0</v>
      </c>
      <c r="H1928" s="16">
        <v>0.0</v>
      </c>
      <c r="I1928" s="16">
        <v>0.0</v>
      </c>
      <c r="J1928" s="16">
        <v>0.0</v>
      </c>
      <c r="K1928" s="16">
        <v>0.0</v>
      </c>
      <c r="L1928" s="16">
        <v>0.0</v>
      </c>
      <c r="M1928" s="16">
        <v>0.0</v>
      </c>
      <c r="N1928" s="16">
        <v>0.0</v>
      </c>
      <c r="O1928" s="13" t="s">
        <v>58</v>
      </c>
      <c r="P1928" s="18">
        <f t="shared" si="1"/>
        <v>0</v>
      </c>
    </row>
    <row r="1929" ht="15.75" customHeight="1">
      <c r="A1929" s="19" t="s">
        <v>224</v>
      </c>
      <c r="B1929" s="19" t="s">
        <v>133</v>
      </c>
      <c r="C1929" s="20" t="s">
        <v>148</v>
      </c>
      <c r="D1929" s="14" t="str">
        <f>VLOOKUP(C1929,'State Key'!$A$2:$B$210,2,False)</f>
        <v>Chhattisgarh</v>
      </c>
      <c r="E1929" s="21">
        <v>30.0</v>
      </c>
      <c r="F1929" s="22">
        <v>2.63</v>
      </c>
      <c r="G1929" s="22">
        <v>0.0</v>
      </c>
      <c r="H1929" s="22">
        <v>0.0</v>
      </c>
      <c r="I1929" s="22">
        <v>0.0</v>
      </c>
      <c r="J1929" s="22">
        <v>0.0</v>
      </c>
      <c r="K1929" s="22">
        <v>94.126</v>
      </c>
      <c r="L1929" s="22">
        <v>96.756</v>
      </c>
      <c r="M1929" s="22">
        <v>68.146</v>
      </c>
      <c r="N1929" s="22">
        <v>76.44</v>
      </c>
      <c r="O1929" s="24">
        <v>33.7</v>
      </c>
      <c r="P1929" s="18">
        <f t="shared" si="1"/>
        <v>96.756</v>
      </c>
    </row>
    <row r="1930" ht="15.75" customHeight="1">
      <c r="A1930" s="13" t="s">
        <v>224</v>
      </c>
      <c r="B1930" s="13" t="s">
        <v>133</v>
      </c>
      <c r="C1930" s="14" t="s">
        <v>149</v>
      </c>
      <c r="D1930" s="14" t="str">
        <f>VLOOKUP(C1930,'State Key'!$A$2:$B$210,2,False)</f>
        <v>Maharashtra</v>
      </c>
      <c r="E1930" s="15">
        <v>2920.0</v>
      </c>
      <c r="F1930" s="16">
        <v>1003.401</v>
      </c>
      <c r="G1930" s="16">
        <v>32.298</v>
      </c>
      <c r="H1930" s="16">
        <v>0.0</v>
      </c>
      <c r="I1930" s="16">
        <v>0.0</v>
      </c>
      <c r="J1930" s="16">
        <v>115.235</v>
      </c>
      <c r="K1930" s="16">
        <v>0.0</v>
      </c>
      <c r="L1930" s="16">
        <v>1150.934</v>
      </c>
      <c r="M1930" s="16">
        <v>1033.959</v>
      </c>
      <c r="N1930" s="16">
        <v>671.86</v>
      </c>
      <c r="O1930" s="24">
        <v>19.5</v>
      </c>
      <c r="P1930" s="18">
        <f t="shared" si="1"/>
        <v>1150.934</v>
      </c>
    </row>
    <row r="1931" ht="15.75" customHeight="1">
      <c r="A1931" s="19" t="s">
        <v>224</v>
      </c>
      <c r="B1931" s="19" t="s">
        <v>133</v>
      </c>
      <c r="C1931" s="20" t="s">
        <v>150</v>
      </c>
      <c r="D1931" s="14" t="str">
        <f>VLOOKUP(C1931,'State Key'!$A$2:$B$210,2,False)</f>
        <v>Maharashtra</v>
      </c>
      <c r="E1931" s="21">
        <v>500.0</v>
      </c>
      <c r="F1931" s="22">
        <v>196.675</v>
      </c>
      <c r="G1931" s="22">
        <v>0.0</v>
      </c>
      <c r="H1931" s="22">
        <v>0.0</v>
      </c>
      <c r="I1931" s="22">
        <v>0.0</v>
      </c>
      <c r="J1931" s="22">
        <v>0.0</v>
      </c>
      <c r="K1931" s="22">
        <v>0.0</v>
      </c>
      <c r="L1931" s="22">
        <v>196.675</v>
      </c>
      <c r="M1931" s="22">
        <v>170.901</v>
      </c>
      <c r="N1931" s="22">
        <v>135.35</v>
      </c>
      <c r="O1931" s="24">
        <v>23.8</v>
      </c>
      <c r="P1931" s="18">
        <f t="shared" si="1"/>
        <v>196.675</v>
      </c>
    </row>
    <row r="1932" ht="15.75" customHeight="1">
      <c r="A1932" s="13" t="s">
        <v>224</v>
      </c>
      <c r="B1932" s="13" t="s">
        <v>133</v>
      </c>
      <c r="C1932" s="14" t="s">
        <v>151</v>
      </c>
      <c r="D1932" s="14" t="str">
        <f>VLOOKUP(C1932,'State Key'!$A$2:$B$210,2,False)</f>
        <v>Maharashtra</v>
      </c>
      <c r="E1932" s="15">
        <v>600.0</v>
      </c>
      <c r="F1932" s="16">
        <v>214.3</v>
      </c>
      <c r="G1932" s="16">
        <v>0.0</v>
      </c>
      <c r="H1932" s="16">
        <v>0.0</v>
      </c>
      <c r="I1932" s="16">
        <v>9.56</v>
      </c>
      <c r="J1932" s="16">
        <v>0.0</v>
      </c>
      <c r="K1932" s="16">
        <v>0.0</v>
      </c>
      <c r="L1932" s="16">
        <v>223.86</v>
      </c>
      <c r="M1932" s="16">
        <v>245.569</v>
      </c>
      <c r="N1932" s="16">
        <v>160.76</v>
      </c>
      <c r="O1932" s="24">
        <v>19.6</v>
      </c>
      <c r="P1932" s="18">
        <f t="shared" si="1"/>
        <v>223.86</v>
      </c>
    </row>
    <row r="1933" ht="15.75" customHeight="1">
      <c r="A1933" s="19" t="s">
        <v>224</v>
      </c>
      <c r="B1933" s="19" t="s">
        <v>133</v>
      </c>
      <c r="C1933" s="20" t="s">
        <v>152</v>
      </c>
      <c r="D1933" s="14" t="str">
        <f>VLOOKUP(C1933,'State Key'!$A$2:$B$210,2,False)</f>
        <v>Chhattisgarh</v>
      </c>
      <c r="E1933" s="21">
        <v>500.0</v>
      </c>
      <c r="F1933" s="22">
        <v>135.108</v>
      </c>
      <c r="G1933" s="22">
        <v>0.0</v>
      </c>
      <c r="H1933" s="22">
        <v>0.0</v>
      </c>
      <c r="I1933" s="22">
        <v>0.0</v>
      </c>
      <c r="J1933" s="22">
        <v>0.0</v>
      </c>
      <c r="K1933" s="22">
        <v>0.0</v>
      </c>
      <c r="L1933" s="22">
        <v>135.108</v>
      </c>
      <c r="M1933" s="22">
        <v>240.554</v>
      </c>
      <c r="N1933" s="22">
        <v>276.046</v>
      </c>
      <c r="O1933" s="24">
        <v>34.4</v>
      </c>
      <c r="P1933" s="18">
        <f t="shared" si="1"/>
        <v>135.108</v>
      </c>
    </row>
    <row r="1934" ht="15.75" customHeight="1">
      <c r="A1934" s="13" t="s">
        <v>224</v>
      </c>
      <c r="B1934" s="13" t="s">
        <v>133</v>
      </c>
      <c r="C1934" s="14" t="s">
        <v>153</v>
      </c>
      <c r="D1934" s="14" t="str">
        <f>VLOOKUP(C1934,'State Key'!$A$2:$B$210,2,False)</f>
        <v>Madhya Pradesh</v>
      </c>
      <c r="E1934" s="15">
        <v>1600.0</v>
      </c>
      <c r="F1934" s="16">
        <v>253.26</v>
      </c>
      <c r="G1934" s="16">
        <v>28.4</v>
      </c>
      <c r="H1934" s="16">
        <v>190.72</v>
      </c>
      <c r="I1934" s="16">
        <v>0.0</v>
      </c>
      <c r="J1934" s="16">
        <v>150.05</v>
      </c>
      <c r="K1934" s="16">
        <v>0.0</v>
      </c>
      <c r="L1934" s="16">
        <v>622.43</v>
      </c>
      <c r="M1934" s="16">
        <v>476.435</v>
      </c>
      <c r="N1934" s="16">
        <v>323.5</v>
      </c>
      <c r="O1934" s="24">
        <v>20.4</v>
      </c>
      <c r="P1934" s="18">
        <f t="shared" si="1"/>
        <v>622.43</v>
      </c>
    </row>
    <row r="1935" ht="15.75" customHeight="1">
      <c r="A1935" s="19" t="s">
        <v>224</v>
      </c>
      <c r="B1935" s="19" t="s">
        <v>133</v>
      </c>
      <c r="C1935" s="20" t="s">
        <v>154</v>
      </c>
      <c r="D1935" s="14" t="str">
        <f>VLOOKUP(C1935,'State Key'!$A$2:$B$210,2,False)</f>
        <v>Gujarat</v>
      </c>
      <c r="E1935" s="21">
        <v>630.0</v>
      </c>
      <c r="F1935" s="22">
        <v>109.32573</v>
      </c>
      <c r="G1935" s="22">
        <v>0.0</v>
      </c>
      <c r="H1935" s="22">
        <v>0.0</v>
      </c>
      <c r="I1935" s="22">
        <v>0.0</v>
      </c>
      <c r="J1935" s="22">
        <v>8.06</v>
      </c>
      <c r="K1935" s="22">
        <v>0.0</v>
      </c>
      <c r="L1935" s="22">
        <v>117.38573</v>
      </c>
      <c r="M1935" s="22">
        <v>174.713</v>
      </c>
      <c r="N1935" s="22">
        <v>147.38</v>
      </c>
      <c r="O1935" s="24">
        <v>25.3</v>
      </c>
      <c r="P1935" s="18">
        <f t="shared" si="1"/>
        <v>117.38573</v>
      </c>
    </row>
    <row r="1936" ht="15.75" customHeight="1">
      <c r="A1936" s="13" t="s">
        <v>224</v>
      </c>
      <c r="B1936" s="13" t="s">
        <v>133</v>
      </c>
      <c r="C1936" s="14" t="s">
        <v>155</v>
      </c>
      <c r="D1936" s="14" t="str">
        <f>VLOOKUP(C1936,'State Key'!$A$2:$B$210,2,False)</f>
        <v>Maharashtra</v>
      </c>
      <c r="E1936" s="15">
        <v>120.0</v>
      </c>
      <c r="F1936" s="16">
        <v>0.0</v>
      </c>
      <c r="G1936" s="16">
        <v>0.0</v>
      </c>
      <c r="H1936" s="16">
        <v>0.0</v>
      </c>
      <c r="I1936" s="16">
        <v>0.0</v>
      </c>
      <c r="J1936" s="16">
        <v>0.0</v>
      </c>
      <c r="K1936" s="16">
        <v>0.0</v>
      </c>
      <c r="L1936" s="16">
        <v>0.0</v>
      </c>
      <c r="M1936" s="16">
        <v>0.0</v>
      </c>
      <c r="N1936" s="16">
        <v>0.0</v>
      </c>
      <c r="O1936" s="13" t="s">
        <v>58</v>
      </c>
      <c r="P1936" s="18">
        <f t="shared" si="1"/>
        <v>0</v>
      </c>
    </row>
    <row r="1937" ht="15.75" customHeight="1">
      <c r="A1937" s="19" t="s">
        <v>224</v>
      </c>
      <c r="B1937" s="19" t="s">
        <v>133</v>
      </c>
      <c r="C1937" s="20" t="s">
        <v>156</v>
      </c>
      <c r="D1937" s="14" t="str">
        <f>VLOOKUP(C1937,'State Key'!$A$2:$B$210,2,False)</f>
        <v>Maharashtra</v>
      </c>
      <c r="E1937" s="21">
        <v>600.0</v>
      </c>
      <c r="F1937" s="22">
        <v>154.026</v>
      </c>
      <c r="G1937" s="22">
        <v>0.0</v>
      </c>
      <c r="H1937" s="22">
        <v>0.0</v>
      </c>
      <c r="I1937" s="22">
        <v>87.786</v>
      </c>
      <c r="J1937" s="22">
        <v>0.0</v>
      </c>
      <c r="K1937" s="22">
        <v>0.0</v>
      </c>
      <c r="L1937" s="22">
        <v>241.812</v>
      </c>
      <c r="M1937" s="22">
        <v>237.436</v>
      </c>
      <c r="N1937" s="22">
        <v>85.26</v>
      </c>
      <c r="O1937" s="23">
        <v>10.8</v>
      </c>
      <c r="P1937" s="18">
        <f t="shared" si="1"/>
        <v>241.812</v>
      </c>
    </row>
    <row r="1938" ht="15.75" customHeight="1">
      <c r="A1938" s="13" t="s">
        <v>224</v>
      </c>
      <c r="B1938" s="13" t="s">
        <v>133</v>
      </c>
      <c r="C1938" s="14" t="s">
        <v>157</v>
      </c>
      <c r="D1938" s="14" t="str">
        <f>VLOOKUP(C1938,'State Key'!$A$2:$B$210,2,False)</f>
        <v>Maharashtra</v>
      </c>
      <c r="E1938" s="15">
        <v>300.0</v>
      </c>
      <c r="F1938" s="16">
        <v>0.0</v>
      </c>
      <c r="G1938" s="16">
        <v>0.0</v>
      </c>
      <c r="H1938" s="16">
        <v>0.0</v>
      </c>
      <c r="I1938" s="16">
        <v>0.0</v>
      </c>
      <c r="J1938" s="16">
        <v>68.0</v>
      </c>
      <c r="K1938" s="16">
        <v>0.0</v>
      </c>
      <c r="L1938" s="16">
        <v>68.0</v>
      </c>
      <c r="M1938" s="16">
        <v>69.0</v>
      </c>
      <c r="N1938" s="16">
        <v>57.11</v>
      </c>
      <c r="O1938" s="24">
        <v>24.8</v>
      </c>
      <c r="P1938" s="18">
        <f t="shared" si="1"/>
        <v>68</v>
      </c>
    </row>
    <row r="1939" ht="15.75" customHeight="1">
      <c r="A1939" s="19" t="s">
        <v>224</v>
      </c>
      <c r="B1939" s="19" t="s">
        <v>133</v>
      </c>
      <c r="C1939" s="20" t="s">
        <v>158</v>
      </c>
      <c r="D1939" s="14" t="str">
        <f>VLOOKUP(C1939,'State Key'!$A$2:$B$210,2,False)</f>
        <v>Chhattisgarh</v>
      </c>
      <c r="E1939" s="21">
        <v>270.0</v>
      </c>
      <c r="F1939" s="22">
        <v>41.6772</v>
      </c>
      <c r="G1939" s="22">
        <v>0.0</v>
      </c>
      <c r="H1939" s="22">
        <v>0.0</v>
      </c>
      <c r="I1939" s="22">
        <v>0.0</v>
      </c>
      <c r="J1939" s="22">
        <v>0.0</v>
      </c>
      <c r="K1939" s="22">
        <v>156.4945</v>
      </c>
      <c r="L1939" s="22">
        <v>198.1717</v>
      </c>
      <c r="M1939" s="22">
        <v>85.36</v>
      </c>
      <c r="N1939" s="22">
        <v>88.96</v>
      </c>
      <c r="O1939" s="24">
        <v>31.3</v>
      </c>
      <c r="P1939" s="18">
        <f t="shared" si="1"/>
        <v>198.1717</v>
      </c>
    </row>
    <row r="1940" ht="15.75" customHeight="1">
      <c r="A1940" s="13" t="s">
        <v>224</v>
      </c>
      <c r="B1940" s="13" t="s">
        <v>133</v>
      </c>
      <c r="C1940" s="14" t="s">
        <v>159</v>
      </c>
      <c r="D1940" s="14" t="str">
        <f>VLOOKUP(C1940,'State Key'!$A$2:$B$210,2,False)</f>
        <v>Chhattisgarh</v>
      </c>
      <c r="E1940" s="15">
        <v>35.0</v>
      </c>
      <c r="F1940" s="16">
        <v>0.0</v>
      </c>
      <c r="G1940" s="16">
        <v>0.0</v>
      </c>
      <c r="H1940" s="16">
        <v>0.0</v>
      </c>
      <c r="I1940" s="16">
        <v>0.0</v>
      </c>
      <c r="J1940" s="16">
        <v>0.0</v>
      </c>
      <c r="K1940" s="16">
        <v>0.0</v>
      </c>
      <c r="L1940" s="16">
        <v>0.0</v>
      </c>
      <c r="M1940" s="16">
        <v>0.0</v>
      </c>
      <c r="N1940" s="16">
        <v>0.0</v>
      </c>
      <c r="O1940" s="13" t="s">
        <v>58</v>
      </c>
      <c r="P1940" s="18">
        <f t="shared" si="1"/>
        <v>0</v>
      </c>
    </row>
    <row r="1941" ht="15.75" customHeight="1">
      <c r="A1941" s="19" t="s">
        <v>224</v>
      </c>
      <c r="B1941" s="19" t="s">
        <v>133</v>
      </c>
      <c r="C1941" s="20" t="s">
        <v>160</v>
      </c>
      <c r="D1941" s="14" t="str">
        <f>VLOOKUP(C1941,'State Key'!$A$2:$B$210,2,False)</f>
        <v>Maharashtra</v>
      </c>
      <c r="E1941" s="21">
        <v>1340.0</v>
      </c>
      <c r="F1941" s="22">
        <v>535.011</v>
      </c>
      <c r="G1941" s="22">
        <v>0.0</v>
      </c>
      <c r="H1941" s="22">
        <v>0.0</v>
      </c>
      <c r="I1941" s="22">
        <v>0.0</v>
      </c>
      <c r="J1941" s="22">
        <v>53.278</v>
      </c>
      <c r="K1941" s="22">
        <v>0.309</v>
      </c>
      <c r="L1941" s="22">
        <v>588.598</v>
      </c>
      <c r="M1941" s="22">
        <v>586.523</v>
      </c>
      <c r="N1941" s="22">
        <v>180.41</v>
      </c>
      <c r="O1941" s="23">
        <v>9.2</v>
      </c>
      <c r="P1941" s="18">
        <f t="shared" si="1"/>
        <v>588.598</v>
      </c>
    </row>
    <row r="1942" ht="15.75" customHeight="1">
      <c r="A1942" s="13" t="s">
        <v>224</v>
      </c>
      <c r="B1942" s="13" t="s">
        <v>133</v>
      </c>
      <c r="C1942" s="14" t="s">
        <v>161</v>
      </c>
      <c r="D1942" s="14" t="str">
        <f>VLOOKUP(C1942,'State Key'!$A$2:$B$210,2,False)</f>
        <v>Madhya Pradesh</v>
      </c>
      <c r="E1942" s="15">
        <v>1320.0</v>
      </c>
      <c r="F1942" s="16">
        <v>436.76</v>
      </c>
      <c r="G1942" s="16">
        <v>44.97</v>
      </c>
      <c r="H1942" s="16">
        <v>20.18</v>
      </c>
      <c r="I1942" s="16">
        <v>0.0</v>
      </c>
      <c r="J1942" s="16">
        <v>60.79</v>
      </c>
      <c r="K1942" s="16">
        <v>0.0</v>
      </c>
      <c r="L1942" s="16">
        <v>562.7</v>
      </c>
      <c r="M1942" s="16">
        <v>406.331</v>
      </c>
      <c r="N1942" s="16">
        <v>596.031</v>
      </c>
      <c r="O1942" s="24">
        <v>44.0</v>
      </c>
      <c r="P1942" s="18">
        <f t="shared" si="1"/>
        <v>562.7</v>
      </c>
    </row>
    <row r="1943" ht="15.75" customHeight="1">
      <c r="A1943" s="19" t="s">
        <v>224</v>
      </c>
      <c r="B1943" s="19" t="s">
        <v>133</v>
      </c>
      <c r="C1943" s="20" t="s">
        <v>162</v>
      </c>
      <c r="D1943" s="14" t="str">
        <f>VLOOKUP(C1943,'State Key'!$A$2:$B$210,2,False)</f>
        <v>Maharashtra</v>
      </c>
      <c r="E1943" s="21">
        <v>2190.0</v>
      </c>
      <c r="F1943" s="22">
        <v>921.971</v>
      </c>
      <c r="G1943" s="22">
        <v>27.403</v>
      </c>
      <c r="H1943" s="22">
        <v>0.0</v>
      </c>
      <c r="I1943" s="22">
        <v>0.0</v>
      </c>
      <c r="J1943" s="22">
        <v>0.0</v>
      </c>
      <c r="K1943" s="22">
        <v>0.0</v>
      </c>
      <c r="L1943" s="22">
        <v>949.374</v>
      </c>
      <c r="M1943" s="22">
        <v>952.357</v>
      </c>
      <c r="N1943" s="22">
        <v>337.341</v>
      </c>
      <c r="O1943" s="23">
        <v>10.6</v>
      </c>
      <c r="P1943" s="18">
        <f t="shared" si="1"/>
        <v>949.374</v>
      </c>
    </row>
    <row r="1944" ht="15.75" customHeight="1">
      <c r="A1944" s="13" t="s">
        <v>224</v>
      </c>
      <c r="B1944" s="13" t="s">
        <v>133</v>
      </c>
      <c r="C1944" s="14" t="s">
        <v>163</v>
      </c>
      <c r="D1944" s="14" t="str">
        <f>VLOOKUP(C1944,'State Key'!$A$2:$B$210,2,False)</f>
        <v>Chhattisgarh</v>
      </c>
      <c r="E1944" s="15">
        <v>2600.0</v>
      </c>
      <c r="F1944" s="16">
        <v>1083.13</v>
      </c>
      <c r="G1944" s="16">
        <v>0.0</v>
      </c>
      <c r="H1944" s="16">
        <v>0.0</v>
      </c>
      <c r="I1944" s="16">
        <v>0.0</v>
      </c>
      <c r="J1944" s="16">
        <v>0.0</v>
      </c>
      <c r="K1944" s="16">
        <v>0.0</v>
      </c>
      <c r="L1944" s="16">
        <v>1083.13</v>
      </c>
      <c r="M1944" s="16">
        <v>950.573</v>
      </c>
      <c r="N1944" s="16">
        <v>474.32</v>
      </c>
      <c r="O1944" s="24">
        <v>15.0</v>
      </c>
      <c r="P1944" s="18">
        <f t="shared" si="1"/>
        <v>1083.13</v>
      </c>
    </row>
    <row r="1945" ht="15.75" customHeight="1">
      <c r="A1945" s="19" t="s">
        <v>224</v>
      </c>
      <c r="B1945" s="19" t="s">
        <v>133</v>
      </c>
      <c r="C1945" s="20" t="s">
        <v>164</v>
      </c>
      <c r="D1945" s="14" t="str">
        <f>VLOOKUP(C1945,'State Key'!$A$2:$B$210,2,False)</f>
        <v>Chhattisgarh</v>
      </c>
      <c r="E1945" s="21">
        <v>1340.0</v>
      </c>
      <c r="F1945" s="22">
        <v>539.394</v>
      </c>
      <c r="G1945" s="22">
        <v>0.0</v>
      </c>
      <c r="H1945" s="22">
        <v>0.0</v>
      </c>
      <c r="I1945" s="22">
        <v>0.0</v>
      </c>
      <c r="J1945" s="22">
        <v>0.0</v>
      </c>
      <c r="K1945" s="22">
        <v>0.0</v>
      </c>
      <c r="L1945" s="22">
        <v>539.394</v>
      </c>
      <c r="M1945" s="22">
        <v>571.684</v>
      </c>
      <c r="N1945" s="22">
        <v>179.65</v>
      </c>
      <c r="O1945" s="23">
        <v>9.4</v>
      </c>
      <c r="P1945" s="18">
        <f t="shared" si="1"/>
        <v>539.394</v>
      </c>
    </row>
    <row r="1946" ht="15.75" customHeight="1">
      <c r="A1946" s="13" t="s">
        <v>224</v>
      </c>
      <c r="B1946" s="13" t="s">
        <v>133</v>
      </c>
      <c r="C1946" s="14" t="s">
        <v>165</v>
      </c>
      <c r="D1946" s="14" t="str">
        <f>VLOOKUP(C1946,'State Key'!$A$2:$B$210,2,False)</f>
        <v>Chhattisgarh</v>
      </c>
      <c r="E1946" s="15">
        <v>1600.0</v>
      </c>
      <c r="F1946" s="16">
        <v>7.58</v>
      </c>
      <c r="G1946" s="16">
        <v>0.0</v>
      </c>
      <c r="H1946" s="16">
        <v>723.37</v>
      </c>
      <c r="I1946" s="16">
        <v>0.0</v>
      </c>
      <c r="J1946" s="16">
        <v>0.0</v>
      </c>
      <c r="K1946" s="16">
        <v>0.0</v>
      </c>
      <c r="L1946" s="16">
        <v>730.95</v>
      </c>
      <c r="M1946" s="16">
        <v>748.786</v>
      </c>
      <c r="N1946" s="16">
        <v>433.73</v>
      </c>
      <c r="O1946" s="24">
        <v>17.4</v>
      </c>
      <c r="P1946" s="18">
        <f t="shared" si="1"/>
        <v>730.95</v>
      </c>
    </row>
    <row r="1947" ht="15.75" customHeight="1">
      <c r="A1947" s="19" t="s">
        <v>224</v>
      </c>
      <c r="B1947" s="19" t="s">
        <v>133</v>
      </c>
      <c r="C1947" s="20" t="s">
        <v>166</v>
      </c>
      <c r="D1947" s="14" t="str">
        <f>VLOOKUP(C1947,'State Key'!$A$2:$B$210,2,False)</f>
        <v>Madhya Pradesh</v>
      </c>
      <c r="E1947" s="21">
        <v>1200.0</v>
      </c>
      <c r="F1947" s="22">
        <v>175.54</v>
      </c>
      <c r="G1947" s="22">
        <v>0.0</v>
      </c>
      <c r="H1947" s="22">
        <v>0.0</v>
      </c>
      <c r="I1947" s="22">
        <v>0.0</v>
      </c>
      <c r="J1947" s="22">
        <v>0.0</v>
      </c>
      <c r="K1947" s="22">
        <v>230.724</v>
      </c>
      <c r="L1947" s="22">
        <v>406.264</v>
      </c>
      <c r="M1947" s="22">
        <v>335.85</v>
      </c>
      <c r="N1947" s="22">
        <v>387.01</v>
      </c>
      <c r="O1947" s="24">
        <v>34.6</v>
      </c>
      <c r="P1947" s="18">
        <f t="shared" si="1"/>
        <v>406.264</v>
      </c>
    </row>
    <row r="1948" ht="15.75" customHeight="1">
      <c r="A1948" s="13" t="s">
        <v>224</v>
      </c>
      <c r="B1948" s="13" t="s">
        <v>133</v>
      </c>
      <c r="C1948" s="14" t="s">
        <v>167</v>
      </c>
      <c r="D1948" s="14" t="str">
        <f>VLOOKUP(C1948,'State Key'!$A$2:$B$210,2,False)</f>
        <v>Chhattisgarh</v>
      </c>
      <c r="E1948" s="15">
        <v>1000.0</v>
      </c>
      <c r="F1948" s="16">
        <v>232.698</v>
      </c>
      <c r="G1948" s="16">
        <v>0.0</v>
      </c>
      <c r="H1948" s="16">
        <v>248.041</v>
      </c>
      <c r="I1948" s="16">
        <v>0.0</v>
      </c>
      <c r="J1948" s="16">
        <v>0.0</v>
      </c>
      <c r="K1948" s="16">
        <v>0.0</v>
      </c>
      <c r="L1948" s="16">
        <v>480.739</v>
      </c>
      <c r="M1948" s="16">
        <v>452.2</v>
      </c>
      <c r="N1948" s="16">
        <v>408.89</v>
      </c>
      <c r="O1948" s="24">
        <v>27.1</v>
      </c>
      <c r="P1948" s="18">
        <f t="shared" si="1"/>
        <v>480.739</v>
      </c>
    </row>
    <row r="1949" ht="15.75" customHeight="1">
      <c r="A1949" s="19" t="s">
        <v>224</v>
      </c>
      <c r="B1949" s="19" t="s">
        <v>133</v>
      </c>
      <c r="C1949" s="20" t="s">
        <v>168</v>
      </c>
      <c r="D1949" s="14" t="str">
        <f>VLOOKUP(C1949,'State Key'!$A$2:$B$210,2,False)</f>
        <v>Maharashtra</v>
      </c>
      <c r="E1949" s="21">
        <v>2320.0</v>
      </c>
      <c r="F1949" s="22">
        <v>713.77</v>
      </c>
      <c r="G1949" s="22">
        <v>32.72</v>
      </c>
      <c r="H1949" s="22">
        <v>0.0</v>
      </c>
      <c r="I1949" s="22">
        <v>0.0</v>
      </c>
      <c r="J1949" s="22">
        <v>113.45</v>
      </c>
      <c r="K1949" s="22">
        <v>0.0</v>
      </c>
      <c r="L1949" s="22">
        <v>859.94</v>
      </c>
      <c r="M1949" s="22">
        <v>890.852</v>
      </c>
      <c r="N1949" s="22">
        <v>529.642</v>
      </c>
      <c r="O1949" s="24">
        <v>17.8</v>
      </c>
      <c r="P1949" s="18">
        <f t="shared" si="1"/>
        <v>859.94</v>
      </c>
    </row>
    <row r="1950" ht="15.75" customHeight="1">
      <c r="A1950" s="13" t="s">
        <v>224</v>
      </c>
      <c r="B1950" s="13" t="s">
        <v>133</v>
      </c>
      <c r="C1950" s="14" t="s">
        <v>169</v>
      </c>
      <c r="D1950" s="14" t="str">
        <f>VLOOKUP(C1950,'State Key'!$A$2:$B$210,2,False)</f>
        <v>Madhya Pradesh</v>
      </c>
      <c r="E1950" s="15">
        <v>246.01</v>
      </c>
      <c r="F1950" s="16">
        <v>0.0</v>
      </c>
      <c r="G1950" s="16">
        <v>0.0</v>
      </c>
      <c r="H1950" s="16">
        <v>0.0</v>
      </c>
      <c r="I1950" s="16">
        <v>0.0</v>
      </c>
      <c r="J1950" s="16">
        <v>0.0</v>
      </c>
      <c r="K1950" s="16">
        <v>0.0</v>
      </c>
      <c r="L1950" s="16">
        <v>0.0</v>
      </c>
      <c r="M1950" s="16">
        <v>0.0</v>
      </c>
      <c r="N1950" s="16">
        <v>0.0</v>
      </c>
      <c r="O1950" s="13" t="s">
        <v>58</v>
      </c>
      <c r="P1950" s="18">
        <f t="shared" si="1"/>
        <v>0</v>
      </c>
    </row>
    <row r="1951" ht="15.75" customHeight="1">
      <c r="A1951" s="19" t="s">
        <v>224</v>
      </c>
      <c r="B1951" s="19" t="s">
        <v>133</v>
      </c>
      <c r="C1951" s="20" t="s">
        <v>172</v>
      </c>
      <c r="D1951" s="14" t="str">
        <f>VLOOKUP(C1951,'State Key'!$A$2:$B$210,2,False)</f>
        <v>Gujarat</v>
      </c>
      <c r="E1951" s="21">
        <v>4000.0</v>
      </c>
      <c r="F1951" s="22">
        <v>0.0</v>
      </c>
      <c r="G1951" s="22">
        <v>0.0</v>
      </c>
      <c r="H1951" s="22">
        <v>0.0</v>
      </c>
      <c r="I1951" s="22">
        <v>0.0</v>
      </c>
      <c r="J1951" s="22">
        <v>954.584</v>
      </c>
      <c r="K1951" s="22">
        <v>0.0</v>
      </c>
      <c r="L1951" s="22">
        <v>954.584</v>
      </c>
      <c r="M1951" s="22">
        <v>708.108</v>
      </c>
      <c r="N1951" s="22">
        <v>689.232</v>
      </c>
      <c r="O1951" s="24">
        <v>29.2</v>
      </c>
      <c r="P1951" s="18">
        <f t="shared" si="1"/>
        <v>954.584</v>
      </c>
    </row>
    <row r="1952" ht="15.75" customHeight="1">
      <c r="A1952" s="13" t="s">
        <v>224</v>
      </c>
      <c r="B1952" s="13" t="s">
        <v>133</v>
      </c>
      <c r="C1952" s="14" t="s">
        <v>173</v>
      </c>
      <c r="D1952" s="14" t="str">
        <f>VLOOKUP(C1952,'State Key'!$A$2:$B$210,2,False)</f>
        <v>Maharashtra</v>
      </c>
      <c r="E1952" s="15">
        <v>1350.0</v>
      </c>
      <c r="F1952" s="16">
        <v>0.0</v>
      </c>
      <c r="G1952" s="16">
        <v>0.0</v>
      </c>
      <c r="H1952" s="16">
        <v>0.0</v>
      </c>
      <c r="I1952" s="16">
        <v>0.0</v>
      </c>
      <c r="J1952" s="16">
        <v>0.0</v>
      </c>
      <c r="K1952" s="16">
        <v>0.0</v>
      </c>
      <c r="L1952" s="16">
        <v>0.0</v>
      </c>
      <c r="M1952" s="16">
        <v>0.0</v>
      </c>
      <c r="N1952" s="16">
        <v>0.0</v>
      </c>
      <c r="O1952" s="13" t="s">
        <v>58</v>
      </c>
      <c r="P1952" s="18">
        <f t="shared" si="1"/>
        <v>0</v>
      </c>
    </row>
    <row r="1953" ht="15.75" customHeight="1">
      <c r="A1953" s="19" t="s">
        <v>224</v>
      </c>
      <c r="B1953" s="19" t="s">
        <v>133</v>
      </c>
      <c r="C1953" s="20" t="s">
        <v>174</v>
      </c>
      <c r="D1953" s="14" t="str">
        <f>VLOOKUP(C1953,'State Key'!$A$2:$B$210,2,False)</f>
        <v>Maharashtra</v>
      </c>
      <c r="E1953" s="21">
        <v>630.0</v>
      </c>
      <c r="F1953" s="22">
        <v>125.65</v>
      </c>
      <c r="G1953" s="22">
        <v>0.0</v>
      </c>
      <c r="H1953" s="22">
        <v>0.0</v>
      </c>
      <c r="I1953" s="22">
        <v>0.0</v>
      </c>
      <c r="J1953" s="22">
        <v>22.891</v>
      </c>
      <c r="K1953" s="22">
        <v>0.0</v>
      </c>
      <c r="L1953" s="22">
        <v>148.541</v>
      </c>
      <c r="M1953" s="22">
        <v>164.512</v>
      </c>
      <c r="N1953" s="22">
        <v>138.19</v>
      </c>
      <c r="O1953" s="24">
        <v>25.2</v>
      </c>
      <c r="P1953" s="18">
        <f t="shared" si="1"/>
        <v>148.541</v>
      </c>
    </row>
    <row r="1954" ht="15.75" customHeight="1">
      <c r="A1954" s="13" t="s">
        <v>224</v>
      </c>
      <c r="B1954" s="13" t="s">
        <v>133</v>
      </c>
      <c r="C1954" s="14" t="s">
        <v>175</v>
      </c>
      <c r="D1954" s="14" t="str">
        <f>VLOOKUP(C1954,'State Key'!$A$2:$B$210,2,False)</f>
        <v>Chhattisgarh</v>
      </c>
      <c r="E1954" s="15">
        <v>600.0</v>
      </c>
      <c r="F1954" s="16">
        <v>189.719</v>
      </c>
      <c r="G1954" s="16">
        <v>0.0</v>
      </c>
      <c r="H1954" s="16">
        <v>0.0</v>
      </c>
      <c r="I1954" s="16">
        <v>0.0</v>
      </c>
      <c r="J1954" s="16">
        <v>0.0</v>
      </c>
      <c r="K1954" s="16">
        <v>0.0</v>
      </c>
      <c r="L1954" s="16">
        <v>189.719</v>
      </c>
      <c r="M1954" s="16">
        <v>201.689</v>
      </c>
      <c r="N1954" s="16">
        <v>258.91</v>
      </c>
      <c r="O1954" s="24">
        <v>38.5</v>
      </c>
      <c r="P1954" s="18">
        <f t="shared" si="1"/>
        <v>189.719</v>
      </c>
    </row>
    <row r="1955" ht="15.75" customHeight="1">
      <c r="A1955" s="19" t="s">
        <v>224</v>
      </c>
      <c r="B1955" s="19" t="s">
        <v>133</v>
      </c>
      <c r="C1955" s="20" t="s">
        <v>176</v>
      </c>
      <c r="D1955" s="14" t="str">
        <f>VLOOKUP(C1955,'State Key'!$A$2:$B$210,2,False)</f>
        <v>Madhya Pradesh</v>
      </c>
      <c r="E1955" s="21">
        <v>1320.0</v>
      </c>
      <c r="F1955" s="22">
        <v>0.0</v>
      </c>
      <c r="G1955" s="22">
        <v>0.0</v>
      </c>
      <c r="H1955" s="22">
        <v>312.413</v>
      </c>
      <c r="I1955" s="22">
        <v>132.7958</v>
      </c>
      <c r="J1955" s="22">
        <v>0.0</v>
      </c>
      <c r="K1955" s="22">
        <v>0.0</v>
      </c>
      <c r="L1955" s="22">
        <v>445.2088</v>
      </c>
      <c r="M1955" s="22">
        <v>433.898</v>
      </c>
      <c r="N1955" s="22">
        <v>353.3966</v>
      </c>
      <c r="O1955" s="24">
        <v>24.4</v>
      </c>
      <c r="P1955" s="18">
        <f t="shared" si="1"/>
        <v>445.2088</v>
      </c>
    </row>
    <row r="1956" ht="15.75" customHeight="1">
      <c r="A1956" s="13" t="s">
        <v>224</v>
      </c>
      <c r="B1956" s="13" t="s">
        <v>133</v>
      </c>
      <c r="C1956" s="14" t="s">
        <v>177</v>
      </c>
      <c r="D1956" s="14" t="str">
        <f>VLOOKUP(C1956,'State Key'!$A$2:$B$210,2,False)</f>
        <v>Madhya Pradesh</v>
      </c>
      <c r="E1956" s="15">
        <v>90.0</v>
      </c>
      <c r="F1956" s="16">
        <v>16.95</v>
      </c>
      <c r="G1956" s="16">
        <v>0.0</v>
      </c>
      <c r="H1956" s="16">
        <v>0.0</v>
      </c>
      <c r="I1956" s="16">
        <v>0.0</v>
      </c>
      <c r="J1956" s="16">
        <v>0.0</v>
      </c>
      <c r="K1956" s="16">
        <v>18.22</v>
      </c>
      <c r="L1956" s="16">
        <v>35.17</v>
      </c>
      <c r="M1956" s="16">
        <v>28.61</v>
      </c>
      <c r="N1956" s="16">
        <v>86.18</v>
      </c>
      <c r="O1956" s="24">
        <v>90.4</v>
      </c>
      <c r="P1956" s="18">
        <f t="shared" si="1"/>
        <v>35.17</v>
      </c>
    </row>
    <row r="1957" ht="15.75" customHeight="1">
      <c r="A1957" s="19" t="s">
        <v>224</v>
      </c>
      <c r="B1957" s="19" t="s">
        <v>133</v>
      </c>
      <c r="C1957" s="20" t="s">
        <v>178</v>
      </c>
      <c r="D1957" s="14" t="str">
        <f>VLOOKUP(C1957,'State Key'!$A$2:$B$210,2,False)</f>
        <v>Chhattisgarh</v>
      </c>
      <c r="E1957" s="21">
        <v>1000.0</v>
      </c>
      <c r="F1957" s="22">
        <v>70.42</v>
      </c>
      <c r="G1957" s="22">
        <v>0.0</v>
      </c>
      <c r="H1957" s="22">
        <v>0.0</v>
      </c>
      <c r="I1957" s="22">
        <v>350.561</v>
      </c>
      <c r="J1957" s="22">
        <v>0.0</v>
      </c>
      <c r="K1957" s="22">
        <v>75.105</v>
      </c>
      <c r="L1957" s="22">
        <v>496.086</v>
      </c>
      <c r="M1957" s="22">
        <v>420.394</v>
      </c>
      <c r="N1957" s="22">
        <v>329.311</v>
      </c>
      <c r="O1957" s="24">
        <v>23.5</v>
      </c>
      <c r="P1957" s="18">
        <f t="shared" si="1"/>
        <v>496.086</v>
      </c>
    </row>
    <row r="1958" ht="15.75" customHeight="1">
      <c r="A1958" s="13" t="s">
        <v>224</v>
      </c>
      <c r="B1958" s="13" t="s">
        <v>133</v>
      </c>
      <c r="C1958" s="14" t="s">
        <v>179</v>
      </c>
      <c r="D1958" s="14" t="str">
        <f>VLOOKUP(C1958,'State Key'!$A$2:$B$210,2,False)</f>
        <v>Maharashtra</v>
      </c>
      <c r="E1958" s="15">
        <v>500.0</v>
      </c>
      <c r="F1958" s="16">
        <v>237.525</v>
      </c>
      <c r="G1958" s="16">
        <v>0.0</v>
      </c>
      <c r="H1958" s="16">
        <v>0.0</v>
      </c>
      <c r="I1958" s="16">
        <v>0.0</v>
      </c>
      <c r="J1958" s="16">
        <v>0.0</v>
      </c>
      <c r="K1958" s="16">
        <v>0.0</v>
      </c>
      <c r="L1958" s="16">
        <v>237.525</v>
      </c>
      <c r="M1958" s="16">
        <v>226.286</v>
      </c>
      <c r="N1958" s="16">
        <v>81.84</v>
      </c>
      <c r="O1958" s="23">
        <v>10.8</v>
      </c>
      <c r="P1958" s="18">
        <f t="shared" si="1"/>
        <v>237.525</v>
      </c>
    </row>
    <row r="1959" ht="15.75" customHeight="1">
      <c r="A1959" s="19" t="s">
        <v>224</v>
      </c>
      <c r="B1959" s="19" t="s">
        <v>133</v>
      </c>
      <c r="C1959" s="20" t="s">
        <v>180</v>
      </c>
      <c r="D1959" s="14" t="str">
        <f>VLOOKUP(C1959,'State Key'!$A$2:$B$210,2,False)</f>
        <v>Maharashtra</v>
      </c>
      <c r="E1959" s="21">
        <v>750.0</v>
      </c>
      <c r="F1959" s="22">
        <v>42.776</v>
      </c>
      <c r="G1959" s="22">
        <v>215.524</v>
      </c>
      <c r="H1959" s="22">
        <v>0.0</v>
      </c>
      <c r="I1959" s="22">
        <v>0.0</v>
      </c>
      <c r="J1959" s="22">
        <v>0.0</v>
      </c>
      <c r="K1959" s="22">
        <v>0.0</v>
      </c>
      <c r="L1959" s="22">
        <v>258.3</v>
      </c>
      <c r="M1959" s="22">
        <v>247.62</v>
      </c>
      <c r="N1959" s="22">
        <v>90.29</v>
      </c>
      <c r="O1959" s="23">
        <v>10.9</v>
      </c>
      <c r="P1959" s="18">
        <f t="shared" si="1"/>
        <v>258.3</v>
      </c>
    </row>
    <row r="1960" ht="15.75" customHeight="1">
      <c r="A1960" s="13" t="s">
        <v>224</v>
      </c>
      <c r="B1960" s="13" t="s">
        <v>133</v>
      </c>
      <c r="C1960" s="14" t="s">
        <v>181</v>
      </c>
      <c r="D1960" s="14" t="str">
        <f>VLOOKUP(C1960,'State Key'!$A$2:$B$210,2,False)</f>
        <v>Chhattisgarh</v>
      </c>
      <c r="E1960" s="15">
        <v>600.0</v>
      </c>
      <c r="F1960" s="16">
        <v>277.92</v>
      </c>
      <c r="G1960" s="16">
        <v>0.0</v>
      </c>
      <c r="H1960" s="16">
        <v>0.0</v>
      </c>
      <c r="I1960" s="16">
        <v>0.0</v>
      </c>
      <c r="J1960" s="16">
        <v>0.0</v>
      </c>
      <c r="K1960" s="16">
        <v>0.0</v>
      </c>
      <c r="L1960" s="16">
        <v>277.92</v>
      </c>
      <c r="M1960" s="16">
        <v>232.75</v>
      </c>
      <c r="N1960" s="16">
        <v>240.15</v>
      </c>
      <c r="O1960" s="24">
        <v>31.0</v>
      </c>
      <c r="P1960" s="18">
        <f t="shared" si="1"/>
        <v>277.92</v>
      </c>
    </row>
    <row r="1961" ht="15.75" customHeight="1">
      <c r="A1961" s="19" t="s">
        <v>224</v>
      </c>
      <c r="B1961" s="19" t="s">
        <v>133</v>
      </c>
      <c r="C1961" s="20" t="s">
        <v>183</v>
      </c>
      <c r="D1961" s="14" t="str">
        <f>VLOOKUP(C1961,'State Key'!$A$2:$B$210,2,False)</f>
        <v>Chhattisgarh</v>
      </c>
      <c r="E1961" s="21">
        <v>100.0</v>
      </c>
      <c r="F1961" s="22">
        <v>5.0</v>
      </c>
      <c r="G1961" s="22">
        <v>0.0</v>
      </c>
      <c r="H1961" s="22">
        <v>0.0</v>
      </c>
      <c r="I1961" s="22">
        <v>0.0</v>
      </c>
      <c r="J1961" s="22">
        <v>0.0</v>
      </c>
      <c r="K1961" s="22">
        <v>55.582</v>
      </c>
      <c r="L1961" s="22">
        <v>60.582</v>
      </c>
      <c r="M1961" s="22">
        <v>36.741</v>
      </c>
      <c r="N1961" s="22">
        <v>47.25</v>
      </c>
      <c r="O1961" s="24">
        <v>38.6</v>
      </c>
      <c r="P1961" s="18">
        <f t="shared" si="1"/>
        <v>60.582</v>
      </c>
    </row>
    <row r="1962" ht="15.75" customHeight="1">
      <c r="A1962" s="13" t="s">
        <v>224</v>
      </c>
      <c r="B1962" s="13" t="s">
        <v>133</v>
      </c>
      <c r="C1962" s="14" t="s">
        <v>184</v>
      </c>
      <c r="D1962" s="14" t="str">
        <f>VLOOKUP(C1962,'State Key'!$A$2:$B$210,2,False)</f>
        <v>Gujarat</v>
      </c>
      <c r="E1962" s="15">
        <v>362.0</v>
      </c>
      <c r="F1962" s="16">
        <v>128.766</v>
      </c>
      <c r="G1962" s="16">
        <v>0.0</v>
      </c>
      <c r="H1962" s="16">
        <v>0.0</v>
      </c>
      <c r="I1962" s="16">
        <v>0.0</v>
      </c>
      <c r="J1962" s="16">
        <v>23.967</v>
      </c>
      <c r="K1962" s="16">
        <v>0.0</v>
      </c>
      <c r="L1962" s="16">
        <v>152.733</v>
      </c>
      <c r="M1962" s="16">
        <v>127.463</v>
      </c>
      <c r="N1962" s="16">
        <v>134.32</v>
      </c>
      <c r="O1962" s="24">
        <v>31.6</v>
      </c>
      <c r="P1962" s="18">
        <f t="shared" si="1"/>
        <v>152.733</v>
      </c>
    </row>
    <row r="1963" ht="15.75" customHeight="1">
      <c r="A1963" s="19" t="s">
        <v>224</v>
      </c>
      <c r="B1963" s="19" t="s">
        <v>133</v>
      </c>
      <c r="C1963" s="20" t="s">
        <v>185</v>
      </c>
      <c r="D1963" s="14" t="str">
        <f>VLOOKUP(C1963,'State Key'!$A$2:$B$210,2,False)</f>
        <v>Gujarat</v>
      </c>
      <c r="E1963" s="21">
        <v>1200.0</v>
      </c>
      <c r="F1963" s="22">
        <v>0.0</v>
      </c>
      <c r="G1963" s="22">
        <v>0.0</v>
      </c>
      <c r="H1963" s="22">
        <v>0.0</v>
      </c>
      <c r="I1963" s="22">
        <v>0.0</v>
      </c>
      <c r="J1963" s="22">
        <v>86.802</v>
      </c>
      <c r="K1963" s="22">
        <v>0.0</v>
      </c>
      <c r="L1963" s="22">
        <v>86.802</v>
      </c>
      <c r="M1963" s="22">
        <v>111.015</v>
      </c>
      <c r="N1963" s="22">
        <v>42.15</v>
      </c>
      <c r="O1963" s="23">
        <v>11.4</v>
      </c>
      <c r="P1963" s="18">
        <f t="shared" si="1"/>
        <v>86.802</v>
      </c>
    </row>
    <row r="1964" ht="15.75" customHeight="1">
      <c r="A1964" s="13" t="s">
        <v>224</v>
      </c>
      <c r="B1964" s="13" t="s">
        <v>133</v>
      </c>
      <c r="C1964" s="14" t="s">
        <v>186</v>
      </c>
      <c r="D1964" s="14" t="str">
        <f>VLOOKUP(C1964,'State Key'!$A$2:$B$210,2,False)</f>
        <v>Chhattisgarh</v>
      </c>
      <c r="E1964" s="15">
        <v>135.0</v>
      </c>
      <c r="F1964" s="16">
        <v>0.0</v>
      </c>
      <c r="G1964" s="16">
        <v>0.0</v>
      </c>
      <c r="H1964" s="16">
        <v>0.0</v>
      </c>
      <c r="I1964" s="16">
        <v>0.0</v>
      </c>
      <c r="J1964" s="16">
        <v>0.0</v>
      </c>
      <c r="K1964" s="16">
        <v>0.0</v>
      </c>
      <c r="L1964" s="16">
        <v>0.0</v>
      </c>
      <c r="M1964" s="16">
        <v>0.0</v>
      </c>
      <c r="N1964" s="16">
        <v>0.0</v>
      </c>
      <c r="O1964" s="13" t="s">
        <v>58</v>
      </c>
      <c r="P1964" s="18">
        <f t="shared" si="1"/>
        <v>0</v>
      </c>
    </row>
    <row r="1965" ht="15.75" customHeight="1">
      <c r="A1965" s="19" t="s">
        <v>224</v>
      </c>
      <c r="B1965" s="19" t="s">
        <v>133</v>
      </c>
      <c r="C1965" s="20" t="s">
        <v>187</v>
      </c>
      <c r="D1965" s="14" t="str">
        <f>VLOOKUP(C1965,'State Key'!$A$2:$B$210,2,False)</f>
        <v>Madhya Pradesh</v>
      </c>
      <c r="E1965" s="21">
        <v>1340.0</v>
      </c>
      <c r="F1965" s="22">
        <v>383.704</v>
      </c>
      <c r="G1965" s="22">
        <v>0.0</v>
      </c>
      <c r="H1965" s="22">
        <v>0.0</v>
      </c>
      <c r="I1965" s="22">
        <v>0.0</v>
      </c>
      <c r="J1965" s="22">
        <v>0.0</v>
      </c>
      <c r="K1965" s="22">
        <v>0.0</v>
      </c>
      <c r="L1965" s="22">
        <v>383.704</v>
      </c>
      <c r="M1965" s="22">
        <v>293.267</v>
      </c>
      <c r="N1965" s="22">
        <v>331.67</v>
      </c>
      <c r="O1965" s="24">
        <v>33.9</v>
      </c>
      <c r="P1965" s="18">
        <f t="shared" si="1"/>
        <v>383.704</v>
      </c>
    </row>
    <row r="1966" ht="15.75" customHeight="1">
      <c r="A1966" s="13" t="s">
        <v>224</v>
      </c>
      <c r="B1966" s="13" t="s">
        <v>133</v>
      </c>
      <c r="C1966" s="14" t="s">
        <v>188</v>
      </c>
      <c r="D1966" s="14" t="str">
        <f>VLOOKUP(C1966,'State Key'!$A$2:$B$210,2,False)</f>
        <v>Madhya Pradesh</v>
      </c>
      <c r="E1966" s="15">
        <v>3960.0</v>
      </c>
      <c r="F1966" s="16">
        <v>0.0</v>
      </c>
      <c r="G1966" s="16">
        <v>0.0</v>
      </c>
      <c r="H1966" s="16">
        <v>1546.65</v>
      </c>
      <c r="I1966" s="16">
        <v>0.0</v>
      </c>
      <c r="J1966" s="16">
        <v>0.0</v>
      </c>
      <c r="K1966" s="16">
        <v>0.0</v>
      </c>
      <c r="L1966" s="16">
        <v>1546.65</v>
      </c>
      <c r="M1966" s="16">
        <v>1498.848</v>
      </c>
      <c r="N1966" s="16">
        <v>192.83</v>
      </c>
      <c r="O1966" s="17">
        <v>3.9</v>
      </c>
      <c r="P1966" s="18">
        <f t="shared" si="1"/>
        <v>1546.65</v>
      </c>
    </row>
    <row r="1967" ht="15.75" customHeight="1">
      <c r="A1967" s="19" t="s">
        <v>224</v>
      </c>
      <c r="B1967" s="19" t="s">
        <v>133</v>
      </c>
      <c r="C1967" s="20" t="s">
        <v>189</v>
      </c>
      <c r="D1967" s="14" t="str">
        <f>VLOOKUP(C1967,'State Key'!$A$2:$B$210,2,False)</f>
        <v>Madhya Pradesh</v>
      </c>
      <c r="E1967" s="21">
        <v>1330.0</v>
      </c>
      <c r="F1967" s="22">
        <v>281.781</v>
      </c>
      <c r="G1967" s="22">
        <v>0.0</v>
      </c>
      <c r="H1967" s="22">
        <v>0.0</v>
      </c>
      <c r="I1967" s="22">
        <v>0.0</v>
      </c>
      <c r="J1967" s="22">
        <v>0.0</v>
      </c>
      <c r="K1967" s="22">
        <v>0.0</v>
      </c>
      <c r="L1967" s="22">
        <v>281.781</v>
      </c>
      <c r="M1967" s="22">
        <v>217.252</v>
      </c>
      <c r="N1967" s="22">
        <v>140.65</v>
      </c>
      <c r="O1967" s="24">
        <v>19.4</v>
      </c>
      <c r="P1967" s="18">
        <f t="shared" si="1"/>
        <v>281.781</v>
      </c>
    </row>
    <row r="1968" ht="15.75" customHeight="1">
      <c r="A1968" s="13" t="s">
        <v>224</v>
      </c>
      <c r="B1968" s="13" t="s">
        <v>133</v>
      </c>
      <c r="C1968" s="14" t="s">
        <v>190</v>
      </c>
      <c r="D1968" s="14" t="str">
        <f>VLOOKUP(C1968,'State Key'!$A$2:$B$210,2,False)</f>
        <v>Madhya Pradesh</v>
      </c>
      <c r="E1968" s="15">
        <v>600.0</v>
      </c>
      <c r="F1968" s="16">
        <v>116.649</v>
      </c>
      <c r="G1968" s="16">
        <v>0.0</v>
      </c>
      <c r="H1968" s="16">
        <v>0.0</v>
      </c>
      <c r="I1968" s="16">
        <v>101.94</v>
      </c>
      <c r="J1968" s="16">
        <v>0.0</v>
      </c>
      <c r="K1968" s="16">
        <v>0.0</v>
      </c>
      <c r="L1968" s="16">
        <v>218.589</v>
      </c>
      <c r="M1968" s="16">
        <v>226.962</v>
      </c>
      <c r="N1968" s="16">
        <v>40.37</v>
      </c>
      <c r="O1968" s="17">
        <v>5.3</v>
      </c>
      <c r="P1968" s="18">
        <f t="shared" si="1"/>
        <v>218.589</v>
      </c>
    </row>
    <row r="1969" ht="15.75" customHeight="1">
      <c r="A1969" s="19" t="s">
        <v>224</v>
      </c>
      <c r="B1969" s="19" t="s">
        <v>133</v>
      </c>
      <c r="C1969" s="20" t="s">
        <v>191</v>
      </c>
      <c r="D1969" s="14" t="str">
        <f>VLOOKUP(C1969,'State Key'!$A$2:$B$210,2,False)</f>
        <v>Maharashtra</v>
      </c>
      <c r="E1969" s="21">
        <v>300.0</v>
      </c>
      <c r="F1969" s="22">
        <v>0.0</v>
      </c>
      <c r="G1969" s="22">
        <v>0.0</v>
      </c>
      <c r="H1969" s="22">
        <v>0.0</v>
      </c>
      <c r="I1969" s="22">
        <v>0.0</v>
      </c>
      <c r="J1969" s="22">
        <v>0.0</v>
      </c>
      <c r="K1969" s="22">
        <v>82.873</v>
      </c>
      <c r="L1969" s="22">
        <v>82.873</v>
      </c>
      <c r="M1969" s="22">
        <v>54.665</v>
      </c>
      <c r="N1969" s="22">
        <v>90.07</v>
      </c>
      <c r="O1969" s="24">
        <v>49.4</v>
      </c>
      <c r="P1969" s="18">
        <f t="shared" si="1"/>
        <v>82.873</v>
      </c>
    </row>
    <row r="1970" ht="15.75" customHeight="1">
      <c r="A1970" s="13" t="s">
        <v>224</v>
      </c>
      <c r="B1970" s="13" t="s">
        <v>133</v>
      </c>
      <c r="C1970" s="14" t="s">
        <v>192</v>
      </c>
      <c r="D1970" s="14" t="str">
        <f>VLOOKUP(C1970,'State Key'!$A$2:$B$210,2,False)</f>
        <v>Madhya Pradesh</v>
      </c>
      <c r="E1970" s="15">
        <v>2520.0</v>
      </c>
      <c r="F1970" s="16">
        <v>958.075</v>
      </c>
      <c r="G1970" s="16">
        <v>0.0</v>
      </c>
      <c r="H1970" s="16">
        <v>0.0</v>
      </c>
      <c r="I1970" s="16">
        <v>0.0</v>
      </c>
      <c r="J1970" s="16">
        <v>0.0</v>
      </c>
      <c r="K1970" s="16">
        <v>0.0</v>
      </c>
      <c r="L1970" s="16">
        <v>958.075</v>
      </c>
      <c r="M1970" s="16">
        <v>878.55</v>
      </c>
      <c r="N1970" s="16">
        <v>383.8</v>
      </c>
      <c r="O1970" s="23">
        <v>13.1</v>
      </c>
      <c r="P1970" s="18">
        <f t="shared" si="1"/>
        <v>958.075</v>
      </c>
    </row>
    <row r="1971" ht="15.75" customHeight="1">
      <c r="A1971" s="19" t="s">
        <v>224</v>
      </c>
      <c r="B1971" s="19" t="s">
        <v>133</v>
      </c>
      <c r="C1971" s="20" t="s">
        <v>193</v>
      </c>
      <c r="D1971" s="14" t="str">
        <f>VLOOKUP(C1971,'State Key'!$A$2:$B$210,2,False)</f>
        <v>Gujarat</v>
      </c>
      <c r="E1971" s="21">
        <v>500.0</v>
      </c>
      <c r="F1971" s="22">
        <v>0.0</v>
      </c>
      <c r="G1971" s="22">
        <v>0.0</v>
      </c>
      <c r="H1971" s="22">
        <v>0.0</v>
      </c>
      <c r="I1971" s="22">
        <v>0.0</v>
      </c>
      <c r="J1971" s="22">
        <v>56.531</v>
      </c>
      <c r="K1971" s="22">
        <v>0.0</v>
      </c>
      <c r="L1971" s="22">
        <v>56.531</v>
      </c>
      <c r="M1971" s="22">
        <v>31.939</v>
      </c>
      <c r="N1971" s="22">
        <v>93.73</v>
      </c>
      <c r="O1971" s="24">
        <v>88.0</v>
      </c>
      <c r="P1971" s="18">
        <f t="shared" si="1"/>
        <v>56.531</v>
      </c>
    </row>
    <row r="1972" ht="15.75" customHeight="1">
      <c r="A1972" s="13" t="s">
        <v>224</v>
      </c>
      <c r="B1972" s="13" t="s">
        <v>133</v>
      </c>
      <c r="C1972" s="14" t="s">
        <v>194</v>
      </c>
      <c r="D1972" s="14" t="str">
        <f>VLOOKUP(C1972,'State Key'!$A$2:$B$210,2,False)</f>
        <v>Chhattisgarh</v>
      </c>
      <c r="E1972" s="15">
        <v>2980.0</v>
      </c>
      <c r="F1972" s="16">
        <v>1395.59</v>
      </c>
      <c r="G1972" s="16">
        <v>0.0</v>
      </c>
      <c r="H1972" s="16">
        <v>0.0</v>
      </c>
      <c r="I1972" s="16">
        <v>0.0</v>
      </c>
      <c r="J1972" s="16">
        <v>0.0</v>
      </c>
      <c r="K1972" s="16">
        <v>0.0</v>
      </c>
      <c r="L1972" s="16">
        <v>1395.59</v>
      </c>
      <c r="M1972" s="16">
        <v>1356.963</v>
      </c>
      <c r="N1972" s="16">
        <v>424.819</v>
      </c>
      <c r="O1972" s="23">
        <v>9.4</v>
      </c>
      <c r="P1972" s="18">
        <f t="shared" si="1"/>
        <v>1395.59</v>
      </c>
    </row>
    <row r="1973" ht="15.75" customHeight="1">
      <c r="A1973" s="19" t="s">
        <v>224</v>
      </c>
      <c r="B1973" s="19" t="s">
        <v>133</v>
      </c>
      <c r="C1973" s="20" t="s">
        <v>195</v>
      </c>
      <c r="D1973" s="14" t="str">
        <f>VLOOKUP(C1973,'State Key'!$A$2:$B$210,2,False)</f>
        <v>Maharashtra</v>
      </c>
      <c r="E1973" s="21">
        <v>1320.0</v>
      </c>
      <c r="F1973" s="22">
        <v>165.9</v>
      </c>
      <c r="G1973" s="22">
        <v>211.78</v>
      </c>
      <c r="H1973" s="22">
        <v>4.03</v>
      </c>
      <c r="I1973" s="22">
        <v>0.0</v>
      </c>
      <c r="J1973" s="22">
        <v>90.5</v>
      </c>
      <c r="K1973" s="22">
        <v>0.0</v>
      </c>
      <c r="L1973" s="22">
        <v>472.21</v>
      </c>
      <c r="M1973" s="22">
        <v>373.164</v>
      </c>
      <c r="N1973" s="22">
        <v>552.444</v>
      </c>
      <c r="O1973" s="24">
        <v>44.4</v>
      </c>
      <c r="P1973" s="18">
        <f t="shared" si="1"/>
        <v>472.21</v>
      </c>
    </row>
    <row r="1974" ht="15.75" customHeight="1">
      <c r="A1974" s="13" t="s">
        <v>224</v>
      </c>
      <c r="B1974" s="13" t="s">
        <v>133</v>
      </c>
      <c r="C1974" s="14" t="s">
        <v>196</v>
      </c>
      <c r="D1974" s="14" t="str">
        <f>VLOOKUP(C1974,'State Key'!$A$2:$B$210,2,False)</f>
        <v>Chhattisgarh</v>
      </c>
      <c r="E1974" s="15">
        <v>63.0</v>
      </c>
      <c r="F1974" s="16">
        <v>0.0</v>
      </c>
      <c r="G1974" s="16">
        <v>0.0</v>
      </c>
      <c r="H1974" s="16">
        <v>0.0</v>
      </c>
      <c r="I1974" s="16">
        <v>0.0</v>
      </c>
      <c r="J1974" s="16">
        <v>0.0</v>
      </c>
      <c r="K1974" s="16">
        <v>129.12</v>
      </c>
      <c r="L1974" s="16">
        <v>129.12</v>
      </c>
      <c r="M1974" s="16">
        <v>72.545</v>
      </c>
      <c r="N1974" s="16">
        <v>93.86</v>
      </c>
      <c r="O1974" s="24">
        <v>38.8</v>
      </c>
      <c r="P1974" s="18">
        <f t="shared" si="1"/>
        <v>129.12</v>
      </c>
    </row>
    <row r="1975" ht="15.75" customHeight="1">
      <c r="A1975" s="19" t="s">
        <v>224</v>
      </c>
      <c r="B1975" s="19" t="s">
        <v>133</v>
      </c>
      <c r="C1975" s="20" t="s">
        <v>197</v>
      </c>
      <c r="D1975" s="14" t="str">
        <f>VLOOKUP(C1975,'State Key'!$A$2:$B$210,2,False)</f>
        <v>Chhattisgarh</v>
      </c>
      <c r="E1975" s="21">
        <v>25.0</v>
      </c>
      <c r="F1975" s="22">
        <v>0.0</v>
      </c>
      <c r="G1975" s="22">
        <v>0.0</v>
      </c>
      <c r="H1975" s="22">
        <v>0.0</v>
      </c>
      <c r="I1975" s="22">
        <v>0.0</v>
      </c>
      <c r="J1975" s="22">
        <v>0.0</v>
      </c>
      <c r="K1975" s="22">
        <v>0.0</v>
      </c>
      <c r="L1975" s="22">
        <v>0.0</v>
      </c>
      <c r="M1975" s="22">
        <v>0.0</v>
      </c>
      <c r="N1975" s="22">
        <v>0.0</v>
      </c>
      <c r="O1975" s="19" t="s">
        <v>58</v>
      </c>
      <c r="P1975" s="18">
        <f t="shared" si="1"/>
        <v>0</v>
      </c>
    </row>
    <row r="1976" ht="15.75" customHeight="1">
      <c r="A1976" s="13" t="s">
        <v>224</v>
      </c>
      <c r="B1976" s="13" t="s">
        <v>133</v>
      </c>
      <c r="C1976" s="14" t="s">
        <v>198</v>
      </c>
      <c r="D1976" s="14" t="str">
        <f>VLOOKUP(C1976,'State Key'!$A$2:$B$210,2,False)</f>
        <v>Chhattisgarh</v>
      </c>
      <c r="E1976" s="15">
        <v>2400.0</v>
      </c>
      <c r="F1976" s="16">
        <v>496.661</v>
      </c>
      <c r="G1976" s="16">
        <v>0.0</v>
      </c>
      <c r="H1976" s="16">
        <v>0.0</v>
      </c>
      <c r="I1976" s="16">
        <v>260.622</v>
      </c>
      <c r="J1976" s="16">
        <v>27.523</v>
      </c>
      <c r="K1976" s="16">
        <v>128.467</v>
      </c>
      <c r="L1976" s="16">
        <v>913.273</v>
      </c>
      <c r="M1976" s="16">
        <v>1036.942</v>
      </c>
      <c r="N1976" s="16">
        <v>34.23</v>
      </c>
      <c r="O1976" s="17">
        <v>1.0</v>
      </c>
      <c r="P1976" s="18">
        <f t="shared" si="1"/>
        <v>913.273</v>
      </c>
    </row>
    <row r="1977" ht="15.75" customHeight="1">
      <c r="A1977" s="19" t="s">
        <v>224</v>
      </c>
      <c r="B1977" s="19" t="s">
        <v>133</v>
      </c>
      <c r="C1977" s="20" t="s">
        <v>200</v>
      </c>
      <c r="D1977" s="14" t="str">
        <f>VLOOKUP(C1977,'State Key'!$A$2:$B$210,2,False)</f>
        <v>Maharashtra</v>
      </c>
      <c r="E1977" s="21">
        <v>750.0</v>
      </c>
      <c r="F1977" s="22">
        <v>0.0</v>
      </c>
      <c r="G1977" s="22">
        <v>0.0</v>
      </c>
      <c r="H1977" s="22">
        <v>0.0</v>
      </c>
      <c r="I1977" s="22">
        <v>0.0</v>
      </c>
      <c r="J1977" s="22">
        <v>126.443</v>
      </c>
      <c r="K1977" s="22">
        <v>0.0</v>
      </c>
      <c r="L1977" s="22">
        <v>126.443</v>
      </c>
      <c r="M1977" s="22">
        <v>171.293</v>
      </c>
      <c r="N1977" s="22">
        <v>160.12</v>
      </c>
      <c r="O1977" s="24">
        <v>28.0</v>
      </c>
      <c r="P1977" s="18">
        <f t="shared" si="1"/>
        <v>126.443</v>
      </c>
    </row>
    <row r="1978" ht="15.75" customHeight="1">
      <c r="A1978" s="13" t="s">
        <v>224</v>
      </c>
      <c r="B1978" s="13" t="s">
        <v>133</v>
      </c>
      <c r="C1978" s="14" t="s">
        <v>201</v>
      </c>
      <c r="D1978" s="14" t="str">
        <f>VLOOKUP(C1978,'State Key'!$A$2:$B$210,2,False)</f>
        <v>Chhattisgarh</v>
      </c>
      <c r="E1978" s="15">
        <v>1440.0</v>
      </c>
      <c r="F1978" s="16">
        <v>215.333</v>
      </c>
      <c r="G1978" s="16">
        <v>0.0</v>
      </c>
      <c r="H1978" s="16">
        <v>0.0</v>
      </c>
      <c r="I1978" s="16">
        <v>196.59529</v>
      </c>
      <c r="J1978" s="16">
        <v>0.0</v>
      </c>
      <c r="K1978" s="16">
        <v>0.0</v>
      </c>
      <c r="L1978" s="16">
        <v>411.92829</v>
      </c>
      <c r="M1978" s="16">
        <v>507.425</v>
      </c>
      <c r="N1978" s="16">
        <v>487.75</v>
      </c>
      <c r="O1978" s="24">
        <v>28.8</v>
      </c>
      <c r="P1978" s="18">
        <f t="shared" si="1"/>
        <v>411.92829</v>
      </c>
    </row>
    <row r="1979" ht="15.75" customHeight="1">
      <c r="A1979" s="19" t="s">
        <v>224</v>
      </c>
      <c r="B1979" s="19" t="s">
        <v>133</v>
      </c>
      <c r="C1979" s="20" t="s">
        <v>202</v>
      </c>
      <c r="D1979" s="14" t="str">
        <f>VLOOKUP(C1979,'State Key'!$A$2:$B$210,2,False)</f>
        <v>Gujarat</v>
      </c>
      <c r="E1979" s="21">
        <v>1110.0</v>
      </c>
      <c r="F1979" s="22">
        <v>272.802</v>
      </c>
      <c r="G1979" s="22">
        <v>0.0</v>
      </c>
      <c r="H1979" s="22">
        <v>0.0</v>
      </c>
      <c r="I1979" s="22">
        <v>0.0</v>
      </c>
      <c r="J1979" s="22">
        <v>8.00896</v>
      </c>
      <c r="K1979" s="22">
        <v>0.0</v>
      </c>
      <c r="L1979" s="22">
        <v>280.81096</v>
      </c>
      <c r="M1979" s="22">
        <v>328.358</v>
      </c>
      <c r="N1979" s="22">
        <v>324.77</v>
      </c>
      <c r="O1979" s="24">
        <v>29.7</v>
      </c>
      <c r="P1979" s="18">
        <f t="shared" si="1"/>
        <v>280.81096</v>
      </c>
    </row>
    <row r="1980" ht="15.75" customHeight="1">
      <c r="A1980" s="13" t="s">
        <v>224</v>
      </c>
      <c r="B1980" s="13" t="s">
        <v>133</v>
      </c>
      <c r="C1980" s="14" t="s">
        <v>203</v>
      </c>
      <c r="D1980" s="14" t="str">
        <f>VLOOKUP(C1980,'State Key'!$A$2:$B$210,2,False)</f>
        <v>Madhya Pradesh</v>
      </c>
      <c r="E1980" s="15">
        <v>4760.0</v>
      </c>
      <c r="F1980" s="16">
        <v>1655.37</v>
      </c>
      <c r="G1980" s="16">
        <v>0.0</v>
      </c>
      <c r="H1980" s="16">
        <v>0.0</v>
      </c>
      <c r="I1980" s="16">
        <v>0.0</v>
      </c>
      <c r="J1980" s="16">
        <v>0.0</v>
      </c>
      <c r="K1980" s="16">
        <v>0.0</v>
      </c>
      <c r="L1980" s="16">
        <v>1655.37</v>
      </c>
      <c r="M1980" s="16">
        <v>1701.429</v>
      </c>
      <c r="N1980" s="16">
        <v>1071.592</v>
      </c>
      <c r="O1980" s="24">
        <v>18.9</v>
      </c>
      <c r="P1980" s="18">
        <f t="shared" si="1"/>
        <v>1655.37</v>
      </c>
    </row>
    <row r="1981" ht="15.75" customHeight="1">
      <c r="A1981" s="19" t="s">
        <v>224</v>
      </c>
      <c r="B1981" s="19" t="s">
        <v>133</v>
      </c>
      <c r="C1981" s="20" t="s">
        <v>204</v>
      </c>
      <c r="D1981" s="14" t="str">
        <f>VLOOKUP(C1981,'State Key'!$A$2:$B$210,2,False)</f>
        <v>Gujarat</v>
      </c>
      <c r="E1981" s="21">
        <v>2270.0</v>
      </c>
      <c r="F1981" s="22">
        <v>738.211</v>
      </c>
      <c r="G1981" s="22">
        <v>0.0</v>
      </c>
      <c r="H1981" s="22">
        <v>0.0</v>
      </c>
      <c r="I1981" s="22">
        <v>0.0</v>
      </c>
      <c r="J1981" s="22">
        <v>16.204</v>
      </c>
      <c r="K1981" s="22">
        <v>0.0</v>
      </c>
      <c r="L1981" s="22">
        <v>754.415</v>
      </c>
      <c r="M1981" s="22">
        <v>710.099</v>
      </c>
      <c r="N1981" s="22">
        <v>272.07</v>
      </c>
      <c r="O1981" s="23">
        <v>11.5</v>
      </c>
      <c r="P1981" s="18">
        <f t="shared" si="1"/>
        <v>754.415</v>
      </c>
    </row>
    <row r="1982" ht="15.75" customHeight="1">
      <c r="A1982" s="13" t="s">
        <v>224</v>
      </c>
      <c r="B1982" s="13" t="s">
        <v>133</v>
      </c>
      <c r="C1982" s="14" t="s">
        <v>205</v>
      </c>
      <c r="D1982" s="14" t="str">
        <f>VLOOKUP(C1982,'State Key'!$A$2:$B$210,2,False)</f>
        <v>Maharashtra</v>
      </c>
      <c r="E1982" s="15">
        <v>540.0</v>
      </c>
      <c r="F1982" s="16">
        <v>255.45</v>
      </c>
      <c r="G1982" s="16">
        <v>0.0</v>
      </c>
      <c r="H1982" s="16">
        <v>0.0</v>
      </c>
      <c r="I1982" s="16">
        <v>12.7</v>
      </c>
      <c r="J1982" s="16">
        <v>0.0</v>
      </c>
      <c r="K1982" s="16">
        <v>5.36</v>
      </c>
      <c r="L1982" s="16">
        <v>273.51</v>
      </c>
      <c r="M1982" s="16">
        <v>227.941</v>
      </c>
      <c r="N1982" s="16">
        <v>133.07</v>
      </c>
      <c r="O1982" s="24">
        <v>17.5</v>
      </c>
      <c r="P1982" s="18">
        <f t="shared" si="1"/>
        <v>273.51</v>
      </c>
    </row>
    <row r="1983" ht="15.75" customHeight="1">
      <c r="A1983" s="19" t="s">
        <v>225</v>
      </c>
      <c r="B1983" s="19" t="s">
        <v>22</v>
      </c>
      <c r="C1983" s="20" t="s">
        <v>23</v>
      </c>
      <c r="D1983" s="14" t="str">
        <f>VLOOKUP(C1983,'State Key'!$A$2:$B$210,2,False)</f>
        <v>West Bengal</v>
      </c>
      <c r="E1983" s="21">
        <v>1050.0</v>
      </c>
      <c r="F1983" s="22">
        <v>88.775</v>
      </c>
      <c r="G1983" s="22">
        <v>0.0</v>
      </c>
      <c r="H1983" s="22">
        <v>479.154</v>
      </c>
      <c r="I1983" s="22">
        <v>0.0</v>
      </c>
      <c r="J1983" s="22">
        <v>0.0</v>
      </c>
      <c r="K1983" s="22">
        <v>0.0</v>
      </c>
      <c r="L1983" s="22">
        <v>567.929</v>
      </c>
      <c r="M1983" s="22">
        <v>494.938</v>
      </c>
      <c r="N1983" s="22">
        <v>176.84</v>
      </c>
      <c r="O1983" s="23">
        <v>10.7</v>
      </c>
      <c r="P1983" s="18">
        <f t="shared" si="1"/>
        <v>567.929</v>
      </c>
    </row>
    <row r="1984" ht="15.75" customHeight="1">
      <c r="A1984" s="13" t="s">
        <v>225</v>
      </c>
      <c r="B1984" s="13" t="s">
        <v>22</v>
      </c>
      <c r="C1984" s="14" t="s">
        <v>24</v>
      </c>
      <c r="D1984" s="14" t="str">
        <f>VLOOKUP(C1984,'State Key'!$A$2:$B$210,2,False)</f>
        <v>West Bengal</v>
      </c>
      <c r="E1984" s="15">
        <v>270.0</v>
      </c>
      <c r="F1984" s="16">
        <v>0.0</v>
      </c>
      <c r="G1984" s="16">
        <v>0.0</v>
      </c>
      <c r="H1984" s="16">
        <v>133.792</v>
      </c>
      <c r="I1984" s="16">
        <v>0.0</v>
      </c>
      <c r="J1984" s="16">
        <v>0.0</v>
      </c>
      <c r="K1984" s="16">
        <v>0.0</v>
      </c>
      <c r="L1984" s="16">
        <v>133.792</v>
      </c>
      <c r="M1984" s="16">
        <v>127.919</v>
      </c>
      <c r="N1984" s="16">
        <v>28.74</v>
      </c>
      <c r="O1984" s="17">
        <v>6.7</v>
      </c>
      <c r="P1984" s="18">
        <f t="shared" si="1"/>
        <v>133.792</v>
      </c>
    </row>
    <row r="1985" ht="15.75" customHeight="1">
      <c r="A1985" s="19" t="s">
        <v>225</v>
      </c>
      <c r="B1985" s="19" t="s">
        <v>22</v>
      </c>
      <c r="C1985" s="20" t="s">
        <v>25</v>
      </c>
      <c r="D1985" s="14" t="str">
        <f>VLOOKUP(C1985,'State Key'!$A$2:$B$210,2,False)</f>
        <v>Bihar</v>
      </c>
      <c r="E1985" s="21">
        <v>710.0</v>
      </c>
      <c r="F1985" s="22">
        <v>14.25</v>
      </c>
      <c r="G1985" s="22">
        <v>0.0</v>
      </c>
      <c r="H1985" s="22">
        <v>213.83</v>
      </c>
      <c r="I1985" s="22">
        <v>0.0</v>
      </c>
      <c r="J1985" s="22">
        <v>0.0</v>
      </c>
      <c r="K1985" s="22">
        <v>0.0</v>
      </c>
      <c r="L1985" s="22">
        <v>228.08</v>
      </c>
      <c r="M1985" s="22">
        <v>183.651</v>
      </c>
      <c r="N1985" s="22">
        <v>183.088</v>
      </c>
      <c r="O1985" s="24">
        <v>29.9</v>
      </c>
      <c r="P1985" s="18">
        <f t="shared" si="1"/>
        <v>228.08</v>
      </c>
    </row>
    <row r="1986" ht="15.75" customHeight="1">
      <c r="A1986" s="13" t="s">
        <v>225</v>
      </c>
      <c r="B1986" s="13" t="s">
        <v>22</v>
      </c>
      <c r="C1986" s="14" t="s">
        <v>26</v>
      </c>
      <c r="D1986" s="14" t="str">
        <f>VLOOKUP(C1986,'State Key'!$A$2:$B$210,2,False)</f>
        <v>Bihar</v>
      </c>
      <c r="E1986" s="15">
        <v>2640.0</v>
      </c>
      <c r="F1986" s="16">
        <v>543.25</v>
      </c>
      <c r="G1986" s="16">
        <v>0.0</v>
      </c>
      <c r="H1986" s="16">
        <v>385.56</v>
      </c>
      <c r="I1986" s="16">
        <v>0.0</v>
      </c>
      <c r="J1986" s="16">
        <v>38.171</v>
      </c>
      <c r="K1986" s="16">
        <v>0.0</v>
      </c>
      <c r="L1986" s="16">
        <v>966.981</v>
      </c>
      <c r="M1986" s="16">
        <v>944.072</v>
      </c>
      <c r="N1986" s="16">
        <v>689.093</v>
      </c>
      <c r="O1986" s="24">
        <v>21.9</v>
      </c>
      <c r="P1986" s="18">
        <f t="shared" si="1"/>
        <v>966.981</v>
      </c>
    </row>
    <row r="1987" ht="15.75" customHeight="1">
      <c r="A1987" s="19" t="s">
        <v>225</v>
      </c>
      <c r="B1987" s="19" t="s">
        <v>22</v>
      </c>
      <c r="C1987" s="20" t="s">
        <v>27</v>
      </c>
      <c r="D1987" s="14" t="str">
        <f>VLOOKUP(C1987,'State Key'!$A$2:$B$210,2,False)</f>
        <v>Jharkhand</v>
      </c>
      <c r="E1987" s="21">
        <v>500.0</v>
      </c>
      <c r="F1987" s="22">
        <v>255.878</v>
      </c>
      <c r="G1987" s="22">
        <v>0.0</v>
      </c>
      <c r="H1987" s="22">
        <v>0.0</v>
      </c>
      <c r="I1987" s="22">
        <v>0.0</v>
      </c>
      <c r="J1987" s="22">
        <v>0.0</v>
      </c>
      <c r="K1987" s="22">
        <v>0.0</v>
      </c>
      <c r="L1987" s="22">
        <v>255.878</v>
      </c>
      <c r="M1987" s="22">
        <v>167.461</v>
      </c>
      <c r="N1987" s="22">
        <v>329.6</v>
      </c>
      <c r="O1987" s="24">
        <v>59.0</v>
      </c>
      <c r="P1987" s="18">
        <f t="shared" si="1"/>
        <v>255.878</v>
      </c>
    </row>
    <row r="1988" ht="15.75" customHeight="1">
      <c r="A1988" s="13" t="s">
        <v>225</v>
      </c>
      <c r="B1988" s="13" t="s">
        <v>22</v>
      </c>
      <c r="C1988" s="14" t="s">
        <v>28</v>
      </c>
      <c r="D1988" s="14" t="str">
        <f>VLOOKUP(C1988,'State Key'!$A$2:$B$210,2,False)</f>
        <v>West Bengal</v>
      </c>
      <c r="E1988" s="15">
        <v>750.0</v>
      </c>
      <c r="F1988" s="16">
        <v>98.9</v>
      </c>
      <c r="G1988" s="16">
        <v>0.0</v>
      </c>
      <c r="H1988" s="16">
        <v>39.202</v>
      </c>
      <c r="I1988" s="16">
        <v>225.783</v>
      </c>
      <c r="J1988" s="16">
        <v>0.0</v>
      </c>
      <c r="K1988" s="16">
        <v>0.0</v>
      </c>
      <c r="L1988" s="16">
        <v>363.885</v>
      </c>
      <c r="M1988" s="16">
        <v>303.978</v>
      </c>
      <c r="N1988" s="16">
        <v>296.25</v>
      </c>
      <c r="O1988" s="24">
        <v>29.2</v>
      </c>
      <c r="P1988" s="18">
        <f t="shared" si="1"/>
        <v>363.885</v>
      </c>
    </row>
    <row r="1989" ht="15.75" customHeight="1">
      <c r="A1989" s="19" t="s">
        <v>225</v>
      </c>
      <c r="B1989" s="19" t="s">
        <v>22</v>
      </c>
      <c r="C1989" s="20" t="s">
        <v>29</v>
      </c>
      <c r="D1989" s="14" t="str">
        <f>VLOOKUP(C1989,'State Key'!$A$2:$B$210,2,False)</f>
        <v>Jharkhand</v>
      </c>
      <c r="E1989" s="21">
        <v>500.0</v>
      </c>
      <c r="F1989" s="22">
        <v>200.284</v>
      </c>
      <c r="G1989" s="22">
        <v>0.0</v>
      </c>
      <c r="H1989" s="22">
        <v>42.689</v>
      </c>
      <c r="I1989" s="22">
        <v>0.0</v>
      </c>
      <c r="J1989" s="22">
        <v>0.0</v>
      </c>
      <c r="K1989" s="22">
        <v>0.0</v>
      </c>
      <c r="L1989" s="22">
        <v>242.973</v>
      </c>
      <c r="M1989" s="22">
        <v>198.315</v>
      </c>
      <c r="N1989" s="22">
        <v>303.49</v>
      </c>
      <c r="O1989" s="24">
        <v>45.9</v>
      </c>
      <c r="P1989" s="18">
        <f t="shared" si="1"/>
        <v>242.973</v>
      </c>
    </row>
    <row r="1990" ht="15.75" customHeight="1">
      <c r="A1990" s="13" t="s">
        <v>225</v>
      </c>
      <c r="B1990" s="13" t="s">
        <v>22</v>
      </c>
      <c r="C1990" s="14" t="s">
        <v>30</v>
      </c>
      <c r="D1990" s="14" t="str">
        <f>VLOOKUP(C1990,'State Key'!$A$2:$B$210,2,False)</f>
        <v>West Bengal</v>
      </c>
      <c r="E1990" s="15">
        <v>550.0</v>
      </c>
      <c r="F1990" s="16">
        <v>105.232</v>
      </c>
      <c r="G1990" s="16">
        <v>0.0</v>
      </c>
      <c r="H1990" s="16">
        <v>145.375</v>
      </c>
      <c r="I1990" s="16">
        <v>0.0</v>
      </c>
      <c r="J1990" s="16">
        <v>0.0</v>
      </c>
      <c r="K1990" s="16">
        <v>0.0</v>
      </c>
      <c r="L1990" s="16">
        <v>250.607</v>
      </c>
      <c r="M1990" s="16">
        <v>196.52</v>
      </c>
      <c r="N1990" s="16">
        <v>207.4</v>
      </c>
      <c r="O1990" s="24">
        <v>31.7</v>
      </c>
      <c r="P1990" s="18">
        <f t="shared" si="1"/>
        <v>250.607</v>
      </c>
    </row>
    <row r="1991" ht="15.75" customHeight="1">
      <c r="A1991" s="19" t="s">
        <v>225</v>
      </c>
      <c r="B1991" s="19" t="s">
        <v>22</v>
      </c>
      <c r="C1991" s="20" t="s">
        <v>31</v>
      </c>
      <c r="D1991" s="14" t="str">
        <f>VLOOKUP(C1991,'State Key'!$A$2:$B$210,2,False)</f>
        <v>Odisha</v>
      </c>
      <c r="E1991" s="21">
        <v>1600.0</v>
      </c>
      <c r="F1991" s="22">
        <v>157.14</v>
      </c>
      <c r="G1991" s="22">
        <v>0.0</v>
      </c>
      <c r="H1991" s="22">
        <v>745.66</v>
      </c>
      <c r="I1991" s="22">
        <v>0.0</v>
      </c>
      <c r="J1991" s="22">
        <v>0.0</v>
      </c>
      <c r="K1991" s="22">
        <v>0.0</v>
      </c>
      <c r="L1991" s="22">
        <v>902.8</v>
      </c>
      <c r="M1991" s="22">
        <v>904.93</v>
      </c>
      <c r="N1991" s="22">
        <v>272.66</v>
      </c>
      <c r="O1991" s="23">
        <v>9.0</v>
      </c>
      <c r="P1991" s="18">
        <f t="shared" si="1"/>
        <v>902.8</v>
      </c>
    </row>
    <row r="1992" ht="15.75" customHeight="1">
      <c r="A1992" s="13" t="s">
        <v>225</v>
      </c>
      <c r="B1992" s="13" t="s">
        <v>22</v>
      </c>
      <c r="C1992" s="14" t="s">
        <v>32</v>
      </c>
      <c r="D1992" s="14" t="str">
        <f>VLOOKUP(C1992,'State Key'!$A$2:$B$210,2,False)</f>
        <v>Odisha</v>
      </c>
      <c r="E1992" s="15">
        <v>1200.0</v>
      </c>
      <c r="F1992" s="16">
        <v>328.549</v>
      </c>
      <c r="G1992" s="16">
        <v>0.0</v>
      </c>
      <c r="H1992" s="16">
        <v>0.0</v>
      </c>
      <c r="I1992" s="16">
        <v>339.332</v>
      </c>
      <c r="J1992" s="16">
        <v>0.0</v>
      </c>
      <c r="K1992" s="16">
        <v>0.0</v>
      </c>
      <c r="L1992" s="16">
        <v>667.881</v>
      </c>
      <c r="M1992" s="16">
        <v>429.99</v>
      </c>
      <c r="N1992" s="16">
        <v>1253.02</v>
      </c>
      <c r="O1992" s="24">
        <v>87.4</v>
      </c>
      <c r="P1992" s="18">
        <f t="shared" si="1"/>
        <v>667.881</v>
      </c>
    </row>
    <row r="1993" ht="15.75" customHeight="1">
      <c r="A1993" s="19" t="s">
        <v>225</v>
      </c>
      <c r="B1993" s="19" t="s">
        <v>22</v>
      </c>
      <c r="C1993" s="20" t="s">
        <v>33</v>
      </c>
      <c r="D1993" s="14" t="str">
        <f>VLOOKUP(C1993,'State Key'!$A$2:$B$210,2,False)</f>
        <v>West Bengal</v>
      </c>
      <c r="E1993" s="21">
        <v>12.0</v>
      </c>
      <c r="F1993" s="22">
        <v>10.99</v>
      </c>
      <c r="G1993" s="22">
        <v>0.0</v>
      </c>
      <c r="H1993" s="22">
        <v>0.0</v>
      </c>
      <c r="I1993" s="22">
        <v>0.0</v>
      </c>
      <c r="J1993" s="22">
        <v>0.0</v>
      </c>
      <c r="K1993" s="22">
        <v>0.0</v>
      </c>
      <c r="L1993" s="22">
        <v>10.99</v>
      </c>
      <c r="M1993" s="22">
        <v>0.97</v>
      </c>
      <c r="N1993" s="22">
        <v>10.11</v>
      </c>
      <c r="O1993" s="24">
        <v>312.7</v>
      </c>
      <c r="P1993" s="18">
        <f t="shared" si="1"/>
        <v>10.99</v>
      </c>
    </row>
    <row r="1994" ht="15.75" customHeight="1">
      <c r="A1994" s="13" t="s">
        <v>225</v>
      </c>
      <c r="B1994" s="13" t="s">
        <v>22</v>
      </c>
      <c r="C1994" s="14" t="s">
        <v>34</v>
      </c>
      <c r="D1994" s="14" t="str">
        <f>VLOOKUP(C1994,'State Key'!$A$2:$B$210,2,False)</f>
        <v>West Bengal</v>
      </c>
      <c r="E1994" s="15">
        <v>1000.0</v>
      </c>
      <c r="F1994" s="16">
        <v>340.388</v>
      </c>
      <c r="G1994" s="16">
        <v>0.0</v>
      </c>
      <c r="H1994" s="16">
        <v>7.674</v>
      </c>
      <c r="I1994" s="16">
        <v>0.0</v>
      </c>
      <c r="J1994" s="16">
        <v>7.554</v>
      </c>
      <c r="K1994" s="16">
        <v>0.0</v>
      </c>
      <c r="L1994" s="16">
        <v>355.616</v>
      </c>
      <c r="M1994" s="16">
        <v>358.26</v>
      </c>
      <c r="N1994" s="16">
        <v>384.111</v>
      </c>
      <c r="O1994" s="24">
        <v>32.2</v>
      </c>
      <c r="P1994" s="18">
        <f t="shared" si="1"/>
        <v>355.616</v>
      </c>
    </row>
    <row r="1995" ht="15.75" customHeight="1">
      <c r="A1995" s="19" t="s">
        <v>225</v>
      </c>
      <c r="B1995" s="19" t="s">
        <v>22</v>
      </c>
      <c r="C1995" s="20" t="s">
        <v>35</v>
      </c>
      <c r="D1995" s="14" t="str">
        <f>VLOOKUP(C1995,'State Key'!$A$2:$B$210,2,False)</f>
        <v>West Bengal</v>
      </c>
      <c r="E1995" s="21">
        <v>2100.0</v>
      </c>
      <c r="F1995" s="22">
        <v>853.7</v>
      </c>
      <c r="G1995" s="22">
        <v>0.0</v>
      </c>
      <c r="H1995" s="22">
        <v>0.0</v>
      </c>
      <c r="I1995" s="22">
        <v>0.0</v>
      </c>
      <c r="J1995" s="22">
        <v>27.243</v>
      </c>
      <c r="K1995" s="22">
        <v>0.0</v>
      </c>
      <c r="L1995" s="22">
        <v>880.943</v>
      </c>
      <c r="M1995" s="22">
        <v>778.632</v>
      </c>
      <c r="N1995" s="22">
        <v>800.093</v>
      </c>
      <c r="O1995" s="24">
        <v>30.8</v>
      </c>
      <c r="P1995" s="18">
        <f t="shared" si="1"/>
        <v>880.943</v>
      </c>
    </row>
    <row r="1996" ht="15.75" customHeight="1">
      <c r="A1996" s="13" t="s">
        <v>225</v>
      </c>
      <c r="B1996" s="13" t="s">
        <v>22</v>
      </c>
      <c r="C1996" s="14" t="s">
        <v>36</v>
      </c>
      <c r="D1996" s="14" t="str">
        <f>VLOOKUP(C1996,'State Key'!$A$2:$B$210,2,False)</f>
        <v>West Bengal</v>
      </c>
      <c r="E1996" s="15">
        <v>600.0</v>
      </c>
      <c r="F1996" s="16">
        <v>289.45</v>
      </c>
      <c r="G1996" s="16">
        <v>0.0</v>
      </c>
      <c r="H1996" s="16">
        <v>0.0</v>
      </c>
      <c r="I1996" s="16">
        <v>3.648</v>
      </c>
      <c r="J1996" s="16">
        <v>0.0</v>
      </c>
      <c r="K1996" s="16">
        <v>0.0</v>
      </c>
      <c r="L1996" s="16">
        <v>293.098</v>
      </c>
      <c r="M1996" s="16">
        <v>254.791</v>
      </c>
      <c r="N1996" s="16">
        <v>280.03</v>
      </c>
      <c r="O1996" s="24">
        <v>33.0</v>
      </c>
      <c r="P1996" s="18">
        <f t="shared" si="1"/>
        <v>293.098</v>
      </c>
    </row>
    <row r="1997" ht="15.75" customHeight="1">
      <c r="A1997" s="19" t="s">
        <v>225</v>
      </c>
      <c r="B1997" s="19" t="s">
        <v>22</v>
      </c>
      <c r="C1997" s="20" t="s">
        <v>37</v>
      </c>
      <c r="D1997" s="14" t="str">
        <f>VLOOKUP(C1997,'State Key'!$A$2:$B$210,2,False)</f>
        <v>West Bengal</v>
      </c>
      <c r="E1997" s="21">
        <v>300.0</v>
      </c>
      <c r="F1997" s="22">
        <v>132.101</v>
      </c>
      <c r="G1997" s="22">
        <v>0.0</v>
      </c>
      <c r="H1997" s="22">
        <v>0.0</v>
      </c>
      <c r="I1997" s="22">
        <v>0.0</v>
      </c>
      <c r="J1997" s="22">
        <v>0.0</v>
      </c>
      <c r="K1997" s="22">
        <v>0.0</v>
      </c>
      <c r="L1997" s="22">
        <v>132.101</v>
      </c>
      <c r="M1997" s="22">
        <v>139.156</v>
      </c>
      <c r="N1997" s="22">
        <v>6.53</v>
      </c>
      <c r="O1997" s="17">
        <v>1.4</v>
      </c>
      <c r="P1997" s="18">
        <f t="shared" si="1"/>
        <v>132.101</v>
      </c>
    </row>
    <row r="1998" ht="15.75" customHeight="1">
      <c r="A1998" s="13" t="s">
        <v>225</v>
      </c>
      <c r="B1998" s="13" t="s">
        <v>22</v>
      </c>
      <c r="C1998" s="14" t="s">
        <v>38</v>
      </c>
      <c r="D1998" s="14" t="str">
        <f>VLOOKUP(C1998,'State Key'!$A$2:$B$210,2,False)</f>
        <v>Odisha</v>
      </c>
      <c r="E1998" s="15">
        <v>1740.0</v>
      </c>
      <c r="F1998" s="16">
        <v>116.766</v>
      </c>
      <c r="G1998" s="16">
        <v>0.0</v>
      </c>
      <c r="H1998" s="16">
        <v>491.314</v>
      </c>
      <c r="I1998" s="16">
        <v>0.0</v>
      </c>
      <c r="J1998" s="16">
        <v>0.0</v>
      </c>
      <c r="K1998" s="16">
        <v>0.0</v>
      </c>
      <c r="L1998" s="16">
        <v>608.08</v>
      </c>
      <c r="M1998" s="16">
        <v>601.236</v>
      </c>
      <c r="N1998" s="16">
        <v>335.97</v>
      </c>
      <c r="O1998" s="24">
        <v>16.8</v>
      </c>
      <c r="P1998" s="18">
        <f t="shared" si="1"/>
        <v>608.08</v>
      </c>
    </row>
    <row r="1999" ht="15.75" customHeight="1">
      <c r="A1999" s="19" t="s">
        <v>225</v>
      </c>
      <c r="B1999" s="19" t="s">
        <v>22</v>
      </c>
      <c r="C1999" s="20" t="s">
        <v>39</v>
      </c>
      <c r="D1999" s="14" t="str">
        <f>VLOOKUP(C1999,'State Key'!$A$2:$B$210,2,False)</f>
        <v>Jharkhand</v>
      </c>
      <c r="E1999" s="21">
        <v>240.0</v>
      </c>
      <c r="F1999" s="22">
        <v>52.713</v>
      </c>
      <c r="G1999" s="22">
        <v>0.0</v>
      </c>
      <c r="H1999" s="22">
        <v>0.0</v>
      </c>
      <c r="I1999" s="22">
        <v>0.0</v>
      </c>
      <c r="J1999" s="22">
        <v>0.0</v>
      </c>
      <c r="K1999" s="22">
        <v>39.9437</v>
      </c>
      <c r="L1999" s="22">
        <v>92.6567</v>
      </c>
      <c r="M1999" s="22">
        <v>88.17</v>
      </c>
      <c r="N1999" s="22">
        <v>52.48</v>
      </c>
      <c r="O1999" s="24">
        <v>17.9</v>
      </c>
      <c r="P1999" s="18">
        <f t="shared" si="1"/>
        <v>92.6567</v>
      </c>
    </row>
    <row r="2000" ht="15.75" customHeight="1">
      <c r="A2000" s="13" t="s">
        <v>225</v>
      </c>
      <c r="B2000" s="13" t="s">
        <v>22</v>
      </c>
      <c r="C2000" s="14" t="s">
        <v>40</v>
      </c>
      <c r="D2000" s="14" t="str">
        <f>VLOOKUP(C2000,'State Key'!$A$2:$B$210,2,False)</f>
        <v>Bihar</v>
      </c>
      <c r="E2000" s="15">
        <v>2340.0</v>
      </c>
      <c r="F2000" s="16">
        <v>1403.6</v>
      </c>
      <c r="G2000" s="16">
        <v>0.0</v>
      </c>
      <c r="H2000" s="16">
        <v>0.0</v>
      </c>
      <c r="I2000" s="16">
        <v>0.0</v>
      </c>
      <c r="J2000" s="16">
        <v>65.281</v>
      </c>
      <c r="K2000" s="16">
        <v>0.0</v>
      </c>
      <c r="L2000" s="16">
        <v>1468.881</v>
      </c>
      <c r="M2000" s="16">
        <v>1371.4</v>
      </c>
      <c r="N2000" s="16">
        <v>674.449</v>
      </c>
      <c r="O2000" s="24">
        <v>14.8</v>
      </c>
      <c r="P2000" s="18">
        <f t="shared" si="1"/>
        <v>1468.881</v>
      </c>
    </row>
    <row r="2001" ht="15.75" customHeight="1">
      <c r="A2001" s="19" t="s">
        <v>225</v>
      </c>
      <c r="B2001" s="19" t="s">
        <v>22</v>
      </c>
      <c r="C2001" s="20" t="s">
        <v>41</v>
      </c>
      <c r="D2001" s="14" t="str">
        <f>VLOOKUP(C2001,'State Key'!$A$2:$B$210,2,False)</f>
        <v>Odisha</v>
      </c>
      <c r="E2001" s="21">
        <v>1050.0</v>
      </c>
      <c r="F2001" s="22">
        <v>397.08</v>
      </c>
      <c r="G2001" s="22">
        <v>0.0</v>
      </c>
      <c r="H2001" s="22">
        <v>0.0</v>
      </c>
      <c r="I2001" s="22">
        <v>125.578</v>
      </c>
      <c r="J2001" s="22">
        <v>0.3</v>
      </c>
      <c r="K2001" s="22">
        <v>0.0</v>
      </c>
      <c r="L2001" s="22">
        <v>522.958</v>
      </c>
      <c r="M2001" s="22">
        <v>586.08</v>
      </c>
      <c r="N2001" s="22">
        <v>166.5</v>
      </c>
      <c r="O2001" s="23">
        <v>8.5</v>
      </c>
      <c r="P2001" s="18">
        <f t="shared" si="1"/>
        <v>522.958</v>
      </c>
    </row>
    <row r="2002" ht="15.75" customHeight="1">
      <c r="A2002" s="13" t="s">
        <v>225</v>
      </c>
      <c r="B2002" s="13" t="s">
        <v>22</v>
      </c>
      <c r="C2002" s="14" t="s">
        <v>42</v>
      </c>
      <c r="D2002" s="14" t="str">
        <f>VLOOKUP(C2002,'State Key'!$A$2:$B$210,2,False)</f>
        <v>Jharkhand</v>
      </c>
      <c r="E2002" s="15">
        <v>1000.0</v>
      </c>
      <c r="F2002" s="16">
        <v>464.413</v>
      </c>
      <c r="G2002" s="16">
        <v>0.0</v>
      </c>
      <c r="H2002" s="16">
        <v>42.019</v>
      </c>
      <c r="I2002" s="16">
        <v>0.0</v>
      </c>
      <c r="J2002" s="16">
        <v>7.571</v>
      </c>
      <c r="K2002" s="16">
        <v>0.0</v>
      </c>
      <c r="L2002" s="16">
        <v>514.003</v>
      </c>
      <c r="M2002" s="16">
        <v>411.107</v>
      </c>
      <c r="N2002" s="16">
        <v>417.0</v>
      </c>
      <c r="O2002" s="24">
        <v>30.4</v>
      </c>
      <c r="P2002" s="18">
        <f t="shared" si="1"/>
        <v>514.003</v>
      </c>
    </row>
    <row r="2003" ht="15.75" customHeight="1">
      <c r="A2003" s="19" t="s">
        <v>225</v>
      </c>
      <c r="B2003" s="19" t="s">
        <v>22</v>
      </c>
      <c r="C2003" s="20" t="s">
        <v>43</v>
      </c>
      <c r="D2003" s="14" t="str">
        <f>VLOOKUP(C2003,'State Key'!$A$2:$B$210,2,False)</f>
        <v>West Bengal</v>
      </c>
      <c r="E2003" s="21">
        <v>840.0</v>
      </c>
      <c r="F2003" s="22">
        <v>104.596</v>
      </c>
      <c r="G2003" s="22">
        <v>0.0</v>
      </c>
      <c r="H2003" s="22">
        <v>284.466</v>
      </c>
      <c r="I2003" s="22">
        <v>0.0</v>
      </c>
      <c r="J2003" s="22">
        <v>0.0</v>
      </c>
      <c r="K2003" s="22">
        <v>0.0</v>
      </c>
      <c r="L2003" s="22">
        <v>389.062</v>
      </c>
      <c r="M2003" s="22">
        <v>396.23</v>
      </c>
      <c r="N2003" s="22">
        <v>77.09</v>
      </c>
      <c r="O2003" s="17">
        <v>5.8</v>
      </c>
      <c r="P2003" s="18">
        <f t="shared" si="1"/>
        <v>389.062</v>
      </c>
    </row>
    <row r="2004" ht="15.75" customHeight="1">
      <c r="A2004" s="13" t="s">
        <v>225</v>
      </c>
      <c r="B2004" s="13" t="s">
        <v>22</v>
      </c>
      <c r="C2004" s="14" t="s">
        <v>44</v>
      </c>
      <c r="D2004" s="14" t="str">
        <f>VLOOKUP(C2004,'State Key'!$A$2:$B$210,2,False)</f>
        <v>Jharkhand</v>
      </c>
      <c r="E2004" s="15">
        <v>540.0</v>
      </c>
      <c r="F2004" s="16">
        <v>162.474</v>
      </c>
      <c r="G2004" s="16">
        <v>0.0</v>
      </c>
      <c r="H2004" s="16">
        <v>0.0</v>
      </c>
      <c r="I2004" s="16">
        <v>0.0</v>
      </c>
      <c r="J2004" s="16">
        <v>0.0</v>
      </c>
      <c r="K2004" s="16">
        <v>97.043</v>
      </c>
      <c r="L2004" s="16">
        <v>259.517</v>
      </c>
      <c r="M2004" s="16">
        <v>258.248</v>
      </c>
      <c r="N2004" s="16">
        <v>43.82</v>
      </c>
      <c r="O2004" s="17">
        <v>5.1</v>
      </c>
      <c r="P2004" s="18">
        <f t="shared" si="1"/>
        <v>259.517</v>
      </c>
    </row>
    <row r="2005" ht="15.75" customHeight="1">
      <c r="A2005" s="19" t="s">
        <v>225</v>
      </c>
      <c r="B2005" s="19" t="s">
        <v>22</v>
      </c>
      <c r="C2005" s="20" t="s">
        <v>45</v>
      </c>
      <c r="D2005" s="14" t="str">
        <f>VLOOKUP(C2005,'State Key'!$A$2:$B$210,2,False)</f>
        <v>Jharkhand</v>
      </c>
      <c r="E2005" s="21">
        <v>1050.0</v>
      </c>
      <c r="F2005" s="22">
        <v>439.726</v>
      </c>
      <c r="G2005" s="22">
        <v>0.0</v>
      </c>
      <c r="H2005" s="22">
        <v>0.0</v>
      </c>
      <c r="I2005" s="22">
        <v>0.0</v>
      </c>
      <c r="J2005" s="22">
        <v>0.0</v>
      </c>
      <c r="K2005" s="22">
        <v>0.0</v>
      </c>
      <c r="L2005" s="22">
        <v>439.726</v>
      </c>
      <c r="M2005" s="22">
        <v>374.4</v>
      </c>
      <c r="N2005" s="22">
        <v>446.28</v>
      </c>
      <c r="O2005" s="24">
        <v>35.8</v>
      </c>
      <c r="P2005" s="18">
        <f t="shared" si="1"/>
        <v>439.726</v>
      </c>
    </row>
    <row r="2006" ht="15.75" customHeight="1">
      <c r="A2006" s="13" t="s">
        <v>225</v>
      </c>
      <c r="B2006" s="13" t="s">
        <v>22</v>
      </c>
      <c r="C2006" s="14" t="s">
        <v>46</v>
      </c>
      <c r="D2006" s="14" t="str">
        <f>VLOOKUP(C2006,'State Key'!$A$2:$B$210,2,False)</f>
        <v>West Bengal</v>
      </c>
      <c r="E2006" s="15">
        <v>2340.0</v>
      </c>
      <c r="F2006" s="16">
        <v>780.118</v>
      </c>
      <c r="G2006" s="16">
        <v>0.0</v>
      </c>
      <c r="H2006" s="16">
        <v>168.615</v>
      </c>
      <c r="I2006" s="16">
        <v>0.0</v>
      </c>
      <c r="J2006" s="16">
        <v>23.916</v>
      </c>
      <c r="K2006" s="16">
        <v>0.0</v>
      </c>
      <c r="L2006" s="16">
        <v>972.649</v>
      </c>
      <c r="M2006" s="16">
        <v>967.593</v>
      </c>
      <c r="N2006" s="16">
        <v>406.15</v>
      </c>
      <c r="O2006" s="23">
        <v>12.6</v>
      </c>
      <c r="P2006" s="18">
        <f t="shared" si="1"/>
        <v>972.649</v>
      </c>
    </row>
    <row r="2007" ht="15.75" customHeight="1">
      <c r="A2007" s="19" t="s">
        <v>225</v>
      </c>
      <c r="B2007" s="19" t="s">
        <v>22</v>
      </c>
      <c r="C2007" s="20" t="s">
        <v>47</v>
      </c>
      <c r="D2007" s="14" t="str">
        <f>VLOOKUP(C2007,'State Key'!$A$2:$B$210,2,False)</f>
        <v>Bihar</v>
      </c>
      <c r="E2007" s="21">
        <v>390.0</v>
      </c>
      <c r="F2007" s="22">
        <v>28.042</v>
      </c>
      <c r="G2007" s="22">
        <v>0.0</v>
      </c>
      <c r="H2007" s="22">
        <v>143.289</v>
      </c>
      <c r="I2007" s="22">
        <v>0.0</v>
      </c>
      <c r="J2007" s="22">
        <v>0.0</v>
      </c>
      <c r="K2007" s="22">
        <v>0.0</v>
      </c>
      <c r="L2007" s="22">
        <v>171.331</v>
      </c>
      <c r="M2007" s="22">
        <v>167.221</v>
      </c>
      <c r="N2007" s="22">
        <v>124.69</v>
      </c>
      <c r="O2007" s="24">
        <v>22.4</v>
      </c>
      <c r="P2007" s="18">
        <f t="shared" si="1"/>
        <v>171.331</v>
      </c>
    </row>
    <row r="2008" ht="15.75" customHeight="1">
      <c r="A2008" s="13" t="s">
        <v>225</v>
      </c>
      <c r="B2008" s="13" t="s">
        <v>22</v>
      </c>
      <c r="C2008" s="14" t="s">
        <v>48</v>
      </c>
      <c r="D2008" s="14" t="str">
        <f>VLOOKUP(C2008,'State Key'!$A$2:$B$210,2,False)</f>
        <v>Bihar</v>
      </c>
      <c r="E2008" s="15">
        <v>1980.0</v>
      </c>
      <c r="F2008" s="16">
        <v>522.766</v>
      </c>
      <c r="G2008" s="16">
        <v>0.0</v>
      </c>
      <c r="H2008" s="16">
        <v>109.846</v>
      </c>
      <c r="I2008" s="16">
        <v>0.0</v>
      </c>
      <c r="J2008" s="16">
        <v>72.446</v>
      </c>
      <c r="K2008" s="16">
        <v>0.0</v>
      </c>
      <c r="L2008" s="16">
        <v>705.058</v>
      </c>
      <c r="M2008" s="16">
        <v>626.22</v>
      </c>
      <c r="N2008" s="16">
        <v>711.74</v>
      </c>
      <c r="O2008" s="24">
        <v>34.1</v>
      </c>
      <c r="P2008" s="18">
        <f t="shared" si="1"/>
        <v>705.058</v>
      </c>
    </row>
    <row r="2009" ht="15.75" customHeight="1">
      <c r="A2009" s="19" t="s">
        <v>225</v>
      </c>
      <c r="B2009" s="19" t="s">
        <v>22</v>
      </c>
      <c r="C2009" s="20" t="s">
        <v>49</v>
      </c>
      <c r="D2009" s="14" t="str">
        <f>VLOOKUP(C2009,'State Key'!$A$2:$B$210,2,False)</f>
        <v>Bihar</v>
      </c>
      <c r="E2009" s="21">
        <v>1000.0</v>
      </c>
      <c r="F2009" s="22">
        <v>512.7199</v>
      </c>
      <c r="G2009" s="22">
        <v>0.0</v>
      </c>
      <c r="H2009" s="22">
        <v>0.0</v>
      </c>
      <c r="I2009" s="22">
        <v>0.0</v>
      </c>
      <c r="J2009" s="22">
        <v>0.0</v>
      </c>
      <c r="K2009" s="22">
        <v>0.0</v>
      </c>
      <c r="L2009" s="22">
        <v>512.7199</v>
      </c>
      <c r="M2009" s="22">
        <v>484.678</v>
      </c>
      <c r="N2009" s="22">
        <v>160.11</v>
      </c>
      <c r="O2009" s="23">
        <v>9.9</v>
      </c>
      <c r="P2009" s="18">
        <f t="shared" si="1"/>
        <v>512.7199</v>
      </c>
    </row>
    <row r="2010" ht="15.75" customHeight="1">
      <c r="A2010" s="13" t="s">
        <v>225</v>
      </c>
      <c r="B2010" s="13" t="s">
        <v>22</v>
      </c>
      <c r="C2010" s="14" t="s">
        <v>50</v>
      </c>
      <c r="D2010" s="14" t="str">
        <f>VLOOKUP(C2010,'State Key'!$A$2:$B$210,2,False)</f>
        <v>Jharkhand</v>
      </c>
      <c r="E2010" s="15">
        <v>1320.0</v>
      </c>
      <c r="F2010" s="16">
        <v>384.22</v>
      </c>
      <c r="G2010" s="16">
        <v>0.0</v>
      </c>
      <c r="H2010" s="16">
        <v>48.18</v>
      </c>
      <c r="I2010" s="16">
        <v>0.0</v>
      </c>
      <c r="J2010" s="16">
        <v>0.0</v>
      </c>
      <c r="K2010" s="16">
        <v>43.18</v>
      </c>
      <c r="L2010" s="16">
        <v>475.58</v>
      </c>
      <c r="M2010" s="16">
        <v>435.704</v>
      </c>
      <c r="N2010" s="16">
        <v>277.43</v>
      </c>
      <c r="O2010" s="24">
        <v>19.1</v>
      </c>
      <c r="P2010" s="18">
        <f t="shared" si="1"/>
        <v>475.58</v>
      </c>
    </row>
    <row r="2011" ht="15.75" customHeight="1">
      <c r="A2011" s="19" t="s">
        <v>225</v>
      </c>
      <c r="B2011" s="19" t="s">
        <v>22</v>
      </c>
      <c r="C2011" s="20" t="s">
        <v>51</v>
      </c>
      <c r="D2011" s="14" t="str">
        <f>VLOOKUP(C2011,'State Key'!$A$2:$B$210,2,False)</f>
        <v>West Bengal</v>
      </c>
      <c r="E2011" s="21">
        <v>1200.0</v>
      </c>
      <c r="F2011" s="22">
        <v>324.867</v>
      </c>
      <c r="G2011" s="22">
        <v>0.0</v>
      </c>
      <c r="H2011" s="22">
        <v>0.0</v>
      </c>
      <c r="I2011" s="22">
        <v>0.0</v>
      </c>
      <c r="J2011" s="22">
        <v>7.907</v>
      </c>
      <c r="K2011" s="22">
        <v>0.0</v>
      </c>
      <c r="L2011" s="22">
        <v>332.774</v>
      </c>
      <c r="M2011" s="22">
        <v>232.907</v>
      </c>
      <c r="N2011" s="22">
        <v>458.81</v>
      </c>
      <c r="O2011" s="24">
        <v>59.1</v>
      </c>
      <c r="P2011" s="18">
        <f t="shared" si="1"/>
        <v>332.774</v>
      </c>
    </row>
    <row r="2012" ht="15.75" customHeight="1">
      <c r="A2012" s="13" t="s">
        <v>225</v>
      </c>
      <c r="B2012" s="13" t="s">
        <v>22</v>
      </c>
      <c r="C2012" s="14" t="s">
        <v>52</v>
      </c>
      <c r="D2012" s="14" t="str">
        <f>VLOOKUP(C2012,'State Key'!$A$2:$B$210,2,False)</f>
        <v>West Bengal</v>
      </c>
      <c r="E2012" s="15">
        <v>1600.0</v>
      </c>
      <c r="F2012" s="16">
        <v>10.344</v>
      </c>
      <c r="G2012" s="16">
        <v>0.0</v>
      </c>
      <c r="H2012" s="16">
        <v>806.672</v>
      </c>
      <c r="I2012" s="16">
        <v>0.0</v>
      </c>
      <c r="J2012" s="16">
        <v>0.0</v>
      </c>
      <c r="K2012" s="16">
        <v>0.0</v>
      </c>
      <c r="L2012" s="16">
        <v>817.016</v>
      </c>
      <c r="M2012" s="16">
        <v>773.46</v>
      </c>
      <c r="N2012" s="16">
        <v>244.37</v>
      </c>
      <c r="O2012" s="23">
        <v>9.5</v>
      </c>
      <c r="P2012" s="18">
        <f t="shared" si="1"/>
        <v>817.016</v>
      </c>
    </row>
    <row r="2013" ht="15.75" customHeight="1">
      <c r="A2013" s="19" t="s">
        <v>225</v>
      </c>
      <c r="B2013" s="19" t="s">
        <v>22</v>
      </c>
      <c r="C2013" s="20" t="s">
        <v>53</v>
      </c>
      <c r="D2013" s="14" t="str">
        <f>VLOOKUP(C2013,'State Key'!$A$2:$B$210,2,False)</f>
        <v>West Bengal</v>
      </c>
      <c r="E2013" s="21">
        <v>500.0</v>
      </c>
      <c r="F2013" s="22">
        <v>71.852</v>
      </c>
      <c r="G2013" s="22">
        <v>0.0</v>
      </c>
      <c r="H2013" s="22">
        <v>194.076</v>
      </c>
      <c r="I2013" s="22">
        <v>0.0</v>
      </c>
      <c r="J2013" s="22">
        <v>0.0</v>
      </c>
      <c r="K2013" s="22">
        <v>0.0</v>
      </c>
      <c r="L2013" s="22">
        <v>265.928</v>
      </c>
      <c r="M2013" s="22">
        <v>234.82</v>
      </c>
      <c r="N2013" s="22">
        <v>91.38</v>
      </c>
      <c r="O2013" s="23">
        <v>11.7</v>
      </c>
      <c r="P2013" s="18">
        <f t="shared" si="1"/>
        <v>265.928</v>
      </c>
    </row>
    <row r="2014" ht="15.75" customHeight="1">
      <c r="A2014" s="13" t="s">
        <v>225</v>
      </c>
      <c r="B2014" s="13" t="s">
        <v>22</v>
      </c>
      <c r="C2014" s="14" t="s">
        <v>54</v>
      </c>
      <c r="D2014" s="14" t="str">
        <f>VLOOKUP(C2014,'State Key'!$A$2:$B$210,2,False)</f>
        <v>West Bengal</v>
      </c>
      <c r="E2014" s="15">
        <v>135.0</v>
      </c>
      <c r="F2014" s="16">
        <v>7.975</v>
      </c>
      <c r="G2014" s="16">
        <v>0.0</v>
      </c>
      <c r="H2014" s="16">
        <v>0.0</v>
      </c>
      <c r="I2014" s="16">
        <v>16.219</v>
      </c>
      <c r="J2014" s="16">
        <v>0.0</v>
      </c>
      <c r="K2014" s="16">
        <v>0.0</v>
      </c>
      <c r="L2014" s="16">
        <v>24.194</v>
      </c>
      <c r="M2014" s="16">
        <v>5.852</v>
      </c>
      <c r="N2014" s="16">
        <v>82.44</v>
      </c>
      <c r="O2014" s="24">
        <v>422.6</v>
      </c>
      <c r="P2014" s="18">
        <f t="shared" si="1"/>
        <v>24.194</v>
      </c>
    </row>
    <row r="2015" ht="15.75" customHeight="1">
      <c r="A2015" s="19" t="s">
        <v>225</v>
      </c>
      <c r="B2015" s="19" t="s">
        <v>22</v>
      </c>
      <c r="C2015" s="20" t="s">
        <v>55</v>
      </c>
      <c r="D2015" s="14" t="str">
        <f>VLOOKUP(C2015,'State Key'!$A$2:$B$210,2,False)</f>
        <v>Odisha</v>
      </c>
      <c r="E2015" s="21">
        <v>3000.0</v>
      </c>
      <c r="F2015" s="22">
        <v>1420.53</v>
      </c>
      <c r="G2015" s="22">
        <v>0.0</v>
      </c>
      <c r="H2015" s="22">
        <v>27.77</v>
      </c>
      <c r="I2015" s="22">
        <v>0.0</v>
      </c>
      <c r="J2015" s="22">
        <v>0.0</v>
      </c>
      <c r="K2015" s="22">
        <v>0.0</v>
      </c>
      <c r="L2015" s="22">
        <v>1448.3</v>
      </c>
      <c r="M2015" s="22">
        <v>1576.491</v>
      </c>
      <c r="N2015" s="22">
        <v>665.39</v>
      </c>
      <c r="O2015" s="23">
        <v>12.7</v>
      </c>
      <c r="P2015" s="18">
        <f t="shared" si="1"/>
        <v>1448.3</v>
      </c>
    </row>
    <row r="2016" ht="15.75" customHeight="1">
      <c r="A2016" s="13" t="s">
        <v>225</v>
      </c>
      <c r="B2016" s="13" t="s">
        <v>22</v>
      </c>
      <c r="C2016" s="14" t="s">
        <v>56</v>
      </c>
      <c r="D2016" s="14" t="str">
        <f>VLOOKUP(C2016,'State Key'!$A$2:$B$210,2,False)</f>
        <v>Jharkhand</v>
      </c>
      <c r="E2016" s="15">
        <v>420.0</v>
      </c>
      <c r="F2016" s="16">
        <v>196.92</v>
      </c>
      <c r="G2016" s="16">
        <v>0.0</v>
      </c>
      <c r="H2016" s="16">
        <v>0.0</v>
      </c>
      <c r="I2016" s="16">
        <v>0.0</v>
      </c>
      <c r="J2016" s="16">
        <v>0.0</v>
      </c>
      <c r="K2016" s="16">
        <v>0.0</v>
      </c>
      <c r="L2016" s="16">
        <v>196.92</v>
      </c>
      <c r="M2016" s="16">
        <v>176.62</v>
      </c>
      <c r="N2016" s="16">
        <v>90.77</v>
      </c>
      <c r="O2016" s="24">
        <v>15.4</v>
      </c>
      <c r="P2016" s="18">
        <f t="shared" si="1"/>
        <v>196.92</v>
      </c>
    </row>
    <row r="2017" ht="15.75" customHeight="1">
      <c r="A2017" s="19" t="s">
        <v>225</v>
      </c>
      <c r="B2017" s="19" t="s">
        <v>22</v>
      </c>
      <c r="C2017" s="20" t="s">
        <v>57</v>
      </c>
      <c r="D2017" s="14" t="str">
        <f>VLOOKUP(C2017,'State Key'!$A$2:$B$210,2,False)</f>
        <v>West Bengal</v>
      </c>
      <c r="E2017" s="21">
        <v>240.0</v>
      </c>
      <c r="F2017" s="22">
        <v>0.0</v>
      </c>
      <c r="G2017" s="22">
        <v>0.0</v>
      </c>
      <c r="H2017" s="22">
        <v>0.0</v>
      </c>
      <c r="I2017" s="22">
        <v>0.0</v>
      </c>
      <c r="J2017" s="22">
        <v>0.0</v>
      </c>
      <c r="K2017" s="22">
        <v>0.0</v>
      </c>
      <c r="L2017" s="22">
        <v>0.0</v>
      </c>
      <c r="M2017" s="22">
        <v>0.0</v>
      </c>
      <c r="N2017" s="22">
        <v>0.0</v>
      </c>
      <c r="O2017" s="19" t="s">
        <v>58</v>
      </c>
      <c r="P2017" s="18">
        <f t="shared" si="1"/>
        <v>0</v>
      </c>
    </row>
    <row r="2018" ht="15.75" customHeight="1">
      <c r="A2018" s="13" t="s">
        <v>225</v>
      </c>
      <c r="B2018" s="13" t="s">
        <v>22</v>
      </c>
      <c r="C2018" s="14" t="s">
        <v>59</v>
      </c>
      <c r="D2018" s="14" t="str">
        <f>VLOOKUP(C2018,'State Key'!$A$2:$B$210,2,False)</f>
        <v>Odisha</v>
      </c>
      <c r="E2018" s="15">
        <v>350.0</v>
      </c>
      <c r="F2018" s="16">
        <v>0.0</v>
      </c>
      <c r="G2018" s="16">
        <v>0.0</v>
      </c>
      <c r="H2018" s="16">
        <v>0.0</v>
      </c>
      <c r="I2018" s="16">
        <v>0.0</v>
      </c>
      <c r="J2018" s="16">
        <v>0.0</v>
      </c>
      <c r="K2018" s="16">
        <v>0.0</v>
      </c>
      <c r="L2018" s="16">
        <v>0.0</v>
      </c>
      <c r="M2018" s="16">
        <v>0.0</v>
      </c>
      <c r="N2018" s="16">
        <v>0.0</v>
      </c>
      <c r="O2018" s="13" t="s">
        <v>58</v>
      </c>
      <c r="P2018" s="18">
        <f t="shared" si="1"/>
        <v>0</v>
      </c>
    </row>
    <row r="2019" ht="15.75" customHeight="1">
      <c r="A2019" s="19" t="s">
        <v>225</v>
      </c>
      <c r="B2019" s="19" t="s">
        <v>22</v>
      </c>
      <c r="C2019" s="20" t="s">
        <v>60</v>
      </c>
      <c r="D2019" s="14" t="str">
        <f>VLOOKUP(C2019,'State Key'!$A$2:$B$210,2,False)</f>
        <v>Odisha</v>
      </c>
      <c r="E2019" s="21">
        <v>600.0</v>
      </c>
      <c r="F2019" s="22">
        <v>180.84</v>
      </c>
      <c r="G2019" s="22">
        <v>0.0</v>
      </c>
      <c r="H2019" s="22">
        <v>0.0</v>
      </c>
      <c r="I2019" s="22">
        <v>0.0</v>
      </c>
      <c r="J2019" s="22">
        <v>0.0</v>
      </c>
      <c r="K2019" s="22">
        <v>0.0</v>
      </c>
      <c r="L2019" s="22">
        <v>180.84</v>
      </c>
      <c r="M2019" s="22">
        <v>282.86</v>
      </c>
      <c r="N2019" s="22">
        <v>50.67</v>
      </c>
      <c r="O2019" s="17">
        <v>5.4</v>
      </c>
      <c r="P2019" s="18">
        <f t="shared" si="1"/>
        <v>180.84</v>
      </c>
    </row>
    <row r="2020" ht="15.75" customHeight="1">
      <c r="A2020" s="13" t="s">
        <v>225</v>
      </c>
      <c r="B2020" s="13" t="s">
        <v>61</v>
      </c>
      <c r="C2020" s="14" t="s">
        <v>209</v>
      </c>
      <c r="D2020" s="14" t="str">
        <f>VLOOKUP(C2020,'State Key'!$A$2:$B$210,2,False)</f>
        <v>Rajasthan</v>
      </c>
      <c r="E2020" s="15">
        <v>1320.0</v>
      </c>
      <c r="F2020" s="16">
        <v>401.551</v>
      </c>
      <c r="G2020" s="16">
        <v>0.0</v>
      </c>
      <c r="H2020" s="16">
        <v>0.0</v>
      </c>
      <c r="I2020" s="16">
        <v>0.0</v>
      </c>
      <c r="J2020" s="16">
        <v>99.097</v>
      </c>
      <c r="K2020" s="16">
        <v>0.0</v>
      </c>
      <c r="L2020" s="16">
        <v>500.648</v>
      </c>
      <c r="M2020" s="16">
        <v>442.201</v>
      </c>
      <c r="N2020" s="16">
        <v>163.38</v>
      </c>
      <c r="O2020" s="23">
        <v>11.1</v>
      </c>
      <c r="P2020" s="18">
        <f t="shared" si="1"/>
        <v>500.648</v>
      </c>
    </row>
    <row r="2021" ht="15.75" customHeight="1">
      <c r="A2021" s="19" t="s">
        <v>225</v>
      </c>
      <c r="B2021" s="19" t="s">
        <v>61</v>
      </c>
      <c r="C2021" s="20" t="s">
        <v>62</v>
      </c>
      <c r="D2021" s="14" t="str">
        <f>VLOOKUP(C2021,'State Key'!$A$2:$B$210,2,False)</f>
        <v>Uttar Pradesh</v>
      </c>
      <c r="E2021" s="21">
        <v>1200.0</v>
      </c>
      <c r="F2021" s="22">
        <v>368.46</v>
      </c>
      <c r="G2021" s="22">
        <v>0.0</v>
      </c>
      <c r="H2021" s="22">
        <v>0.0</v>
      </c>
      <c r="I2021" s="22">
        <v>0.0</v>
      </c>
      <c r="J2021" s="22">
        <v>0.0</v>
      </c>
      <c r="K2021" s="22">
        <v>0.0</v>
      </c>
      <c r="L2021" s="22">
        <v>368.46</v>
      </c>
      <c r="M2021" s="22">
        <v>474.4</v>
      </c>
      <c r="N2021" s="22">
        <v>107.45</v>
      </c>
      <c r="O2021" s="17">
        <v>6.8</v>
      </c>
      <c r="P2021" s="18">
        <f t="shared" si="1"/>
        <v>368.46</v>
      </c>
    </row>
    <row r="2022" ht="15.75" customHeight="1">
      <c r="A2022" s="13" t="s">
        <v>225</v>
      </c>
      <c r="B2022" s="13" t="s">
        <v>61</v>
      </c>
      <c r="C2022" s="14" t="s">
        <v>63</v>
      </c>
      <c r="D2022" s="14" t="str">
        <f>VLOOKUP(C2022,'State Key'!$A$2:$B$210,2,False)</f>
        <v>Uttar Pradesh</v>
      </c>
      <c r="E2022" s="15">
        <v>2630.0</v>
      </c>
      <c r="F2022" s="16">
        <v>857.31</v>
      </c>
      <c r="G2022" s="16">
        <v>0.0</v>
      </c>
      <c r="H2022" s="16">
        <v>0.0</v>
      </c>
      <c r="I2022" s="16">
        <v>0.0</v>
      </c>
      <c r="J2022" s="16">
        <v>0.0</v>
      </c>
      <c r="K2022" s="16">
        <v>0.0</v>
      </c>
      <c r="L2022" s="16">
        <v>857.31</v>
      </c>
      <c r="M2022" s="16">
        <v>1097.244</v>
      </c>
      <c r="N2022" s="16">
        <v>766.84</v>
      </c>
      <c r="O2022" s="24">
        <v>21.0</v>
      </c>
      <c r="P2022" s="18">
        <f t="shared" si="1"/>
        <v>857.31</v>
      </c>
    </row>
    <row r="2023" ht="15.75" customHeight="1">
      <c r="A2023" s="19" t="s">
        <v>225</v>
      </c>
      <c r="B2023" s="19" t="s">
        <v>61</v>
      </c>
      <c r="C2023" s="20" t="s">
        <v>64</v>
      </c>
      <c r="D2023" s="14" t="str">
        <f>VLOOKUP(C2023,'State Key'!$A$2:$B$210,2,False)</f>
        <v>Uttar Pradesh</v>
      </c>
      <c r="E2023" s="21">
        <v>90.0</v>
      </c>
      <c r="F2023" s="22">
        <v>37.777</v>
      </c>
      <c r="G2023" s="22">
        <v>0.0</v>
      </c>
      <c r="H2023" s="22">
        <v>0.0</v>
      </c>
      <c r="I2023" s="22">
        <v>0.0</v>
      </c>
      <c r="J2023" s="22">
        <v>0.0</v>
      </c>
      <c r="K2023" s="22">
        <v>0.0</v>
      </c>
      <c r="L2023" s="22">
        <v>37.777</v>
      </c>
      <c r="M2023" s="22">
        <v>5.162</v>
      </c>
      <c r="N2023" s="22">
        <v>95.84</v>
      </c>
      <c r="O2023" s="24">
        <v>557.0</v>
      </c>
      <c r="P2023" s="18">
        <f t="shared" si="1"/>
        <v>37.777</v>
      </c>
    </row>
    <row r="2024" ht="15.75" customHeight="1">
      <c r="A2024" s="13" t="s">
        <v>225</v>
      </c>
      <c r="B2024" s="13" t="s">
        <v>61</v>
      </c>
      <c r="C2024" s="14" t="s">
        <v>65</v>
      </c>
      <c r="D2024" s="14" t="str">
        <f>VLOOKUP(C2024,'State Key'!$A$2:$B$210,2,False)</f>
        <v>Rajasthan</v>
      </c>
      <c r="E2024" s="15">
        <v>500.0</v>
      </c>
      <c r="F2024" s="16">
        <v>149.54</v>
      </c>
      <c r="G2024" s="16">
        <v>0.0</v>
      </c>
      <c r="H2024" s="16">
        <v>0.0</v>
      </c>
      <c r="I2024" s="16">
        <v>0.0</v>
      </c>
      <c r="J2024" s="16">
        <v>0.0</v>
      </c>
      <c r="K2024" s="16">
        <v>0.0</v>
      </c>
      <c r="L2024" s="16">
        <v>149.54</v>
      </c>
      <c r="M2024" s="16">
        <v>200.1399</v>
      </c>
      <c r="N2024" s="16">
        <v>59.46</v>
      </c>
      <c r="O2024" s="23">
        <v>8.9</v>
      </c>
      <c r="P2024" s="18">
        <f t="shared" si="1"/>
        <v>149.54</v>
      </c>
    </row>
    <row r="2025" ht="15.75" customHeight="1">
      <c r="A2025" s="19" t="s">
        <v>225</v>
      </c>
      <c r="B2025" s="19" t="s">
        <v>61</v>
      </c>
      <c r="C2025" s="20" t="s">
        <v>66</v>
      </c>
      <c r="D2025" s="14" t="str">
        <f>VLOOKUP(C2025,'State Key'!$A$2:$B$210,2,False)</f>
        <v>Rajasthan</v>
      </c>
      <c r="E2025" s="21">
        <v>500.0</v>
      </c>
      <c r="F2025" s="22">
        <v>307.8</v>
      </c>
      <c r="G2025" s="22">
        <v>0.0</v>
      </c>
      <c r="H2025" s="22">
        <v>0.0</v>
      </c>
      <c r="I2025" s="22">
        <v>0.0</v>
      </c>
      <c r="J2025" s="22">
        <v>0.0</v>
      </c>
      <c r="K2025" s="22">
        <v>0.0</v>
      </c>
      <c r="L2025" s="22">
        <v>307.8</v>
      </c>
      <c r="M2025" s="22">
        <v>137.63</v>
      </c>
      <c r="N2025" s="22">
        <v>170.17</v>
      </c>
      <c r="O2025" s="24">
        <v>37.1</v>
      </c>
      <c r="P2025" s="18">
        <f t="shared" si="1"/>
        <v>307.8</v>
      </c>
    </row>
    <row r="2026" ht="15.75" customHeight="1">
      <c r="A2026" s="13" t="s">
        <v>225</v>
      </c>
      <c r="B2026" s="13" t="s">
        <v>61</v>
      </c>
      <c r="C2026" s="14" t="s">
        <v>67</v>
      </c>
      <c r="D2026" s="14" t="str">
        <f>VLOOKUP(C2026,'State Key'!$A$2:$B$210,2,False)</f>
        <v>Rajasthan</v>
      </c>
      <c r="E2026" s="15">
        <v>1320.0</v>
      </c>
      <c r="F2026" s="16">
        <v>39.78991</v>
      </c>
      <c r="G2026" s="16">
        <v>90.92848</v>
      </c>
      <c r="H2026" s="16">
        <v>250.45243</v>
      </c>
      <c r="I2026" s="16">
        <v>0.0</v>
      </c>
      <c r="J2026" s="16">
        <v>0.0</v>
      </c>
      <c r="K2026" s="16">
        <v>0.0</v>
      </c>
      <c r="L2026" s="16">
        <v>381.17082</v>
      </c>
      <c r="M2026" s="16">
        <v>446.546</v>
      </c>
      <c r="N2026" s="16">
        <v>122.773</v>
      </c>
      <c r="O2026" s="23">
        <v>8.2</v>
      </c>
      <c r="P2026" s="18">
        <f t="shared" si="1"/>
        <v>381.17082</v>
      </c>
    </row>
    <row r="2027" ht="15.75" customHeight="1">
      <c r="A2027" s="19" t="s">
        <v>225</v>
      </c>
      <c r="B2027" s="19" t="s">
        <v>61</v>
      </c>
      <c r="C2027" s="20" t="s">
        <v>68</v>
      </c>
      <c r="D2027" s="14" t="str">
        <f>VLOOKUP(C2027,'State Key'!$A$2:$B$210,2,False)</f>
        <v>Uttar Pradesh</v>
      </c>
      <c r="E2027" s="21">
        <v>1820.0</v>
      </c>
      <c r="F2027" s="22">
        <v>604.35</v>
      </c>
      <c r="G2027" s="22">
        <v>0.0</v>
      </c>
      <c r="H2027" s="22">
        <v>118.27</v>
      </c>
      <c r="I2027" s="22">
        <v>0.0</v>
      </c>
      <c r="J2027" s="22">
        <v>51.52</v>
      </c>
      <c r="K2027" s="22">
        <v>0.0</v>
      </c>
      <c r="L2027" s="22">
        <v>774.14</v>
      </c>
      <c r="M2027" s="22">
        <v>390.203</v>
      </c>
      <c r="N2027" s="22">
        <v>779.224</v>
      </c>
      <c r="O2027" s="24">
        <v>59.9</v>
      </c>
      <c r="P2027" s="18">
        <f t="shared" si="1"/>
        <v>774.14</v>
      </c>
    </row>
    <row r="2028" ht="15.75" customHeight="1">
      <c r="A2028" s="13" t="s">
        <v>225</v>
      </c>
      <c r="B2028" s="13" t="s">
        <v>61</v>
      </c>
      <c r="C2028" s="14" t="s">
        <v>69</v>
      </c>
      <c r="D2028" s="14" t="str">
        <f>VLOOKUP(C2028,'State Key'!$A$2:$B$210,2,False)</f>
        <v>Punjab</v>
      </c>
      <c r="E2028" s="15">
        <v>920.0</v>
      </c>
      <c r="F2028" s="16">
        <v>15.568</v>
      </c>
      <c r="G2028" s="16">
        <v>0.0</v>
      </c>
      <c r="H2028" s="16">
        <v>202.341</v>
      </c>
      <c r="I2028" s="16">
        <v>0.0</v>
      </c>
      <c r="J2028" s="16">
        <v>0.0</v>
      </c>
      <c r="K2028" s="16">
        <v>0.0</v>
      </c>
      <c r="L2028" s="16">
        <v>217.909</v>
      </c>
      <c r="M2028" s="16">
        <v>219.901</v>
      </c>
      <c r="N2028" s="16">
        <v>288.37</v>
      </c>
      <c r="O2028" s="24">
        <v>39.3</v>
      </c>
      <c r="P2028" s="18">
        <f t="shared" si="1"/>
        <v>217.909</v>
      </c>
    </row>
    <row r="2029" ht="15.75" customHeight="1">
      <c r="A2029" s="19" t="s">
        <v>225</v>
      </c>
      <c r="B2029" s="19" t="s">
        <v>61</v>
      </c>
      <c r="C2029" s="20" t="s">
        <v>70</v>
      </c>
      <c r="D2029" s="14" t="str">
        <f>VLOOKUP(C2029,'State Key'!$A$2:$B$210,2,False)</f>
        <v>Punjab</v>
      </c>
      <c r="E2029" s="21">
        <v>540.0</v>
      </c>
      <c r="F2029" s="22">
        <v>72.70286</v>
      </c>
      <c r="G2029" s="22">
        <v>0.0</v>
      </c>
      <c r="H2029" s="22">
        <v>168.5959</v>
      </c>
      <c r="I2029" s="22">
        <v>0.0</v>
      </c>
      <c r="J2029" s="22">
        <v>0.0</v>
      </c>
      <c r="K2029" s="22">
        <v>0.0</v>
      </c>
      <c r="L2029" s="22">
        <v>241.29876</v>
      </c>
      <c r="M2029" s="22">
        <v>122.8897</v>
      </c>
      <c r="N2029" s="22">
        <v>154.97</v>
      </c>
      <c r="O2029" s="24">
        <v>37.8</v>
      </c>
      <c r="P2029" s="18">
        <f t="shared" si="1"/>
        <v>241.29876</v>
      </c>
    </row>
    <row r="2030" ht="15.75" customHeight="1">
      <c r="A2030" s="13" t="s">
        <v>225</v>
      </c>
      <c r="B2030" s="13" t="s">
        <v>61</v>
      </c>
      <c r="C2030" s="14" t="s">
        <v>71</v>
      </c>
      <c r="D2030" s="14" t="str">
        <f>VLOOKUP(C2030,'State Key'!$A$2:$B$210,2,False)</f>
        <v>Uttar Pradesh</v>
      </c>
      <c r="E2030" s="15">
        <v>1265.0</v>
      </c>
      <c r="F2030" s="16">
        <v>563.316</v>
      </c>
      <c r="G2030" s="16">
        <v>0.0</v>
      </c>
      <c r="H2030" s="16">
        <v>0.0</v>
      </c>
      <c r="I2030" s="16">
        <v>0.0</v>
      </c>
      <c r="J2030" s="16">
        <v>0.0</v>
      </c>
      <c r="K2030" s="16">
        <v>0.0</v>
      </c>
      <c r="L2030" s="16">
        <v>563.316</v>
      </c>
      <c r="M2030" s="16">
        <v>293.308</v>
      </c>
      <c r="N2030" s="16">
        <v>499.61</v>
      </c>
      <c r="O2030" s="24">
        <v>51.1</v>
      </c>
      <c r="P2030" s="18">
        <f t="shared" si="1"/>
        <v>563.316</v>
      </c>
    </row>
    <row r="2031" ht="15.75" customHeight="1">
      <c r="A2031" s="19" t="s">
        <v>225</v>
      </c>
      <c r="B2031" s="19" t="s">
        <v>61</v>
      </c>
      <c r="C2031" s="20" t="s">
        <v>72</v>
      </c>
      <c r="D2031" s="14" t="str">
        <f>VLOOKUP(C2031,'State Key'!$A$2:$B$210,2,False)</f>
        <v>Haryana</v>
      </c>
      <c r="E2031" s="21">
        <v>1500.0</v>
      </c>
      <c r="F2031" s="22">
        <v>595.627</v>
      </c>
      <c r="G2031" s="22">
        <v>0.0</v>
      </c>
      <c r="H2031" s="22">
        <v>0.0</v>
      </c>
      <c r="I2031" s="22">
        <v>0.0</v>
      </c>
      <c r="J2031" s="22">
        <v>7.978</v>
      </c>
      <c r="K2031" s="22">
        <v>0.07</v>
      </c>
      <c r="L2031" s="22">
        <v>603.675</v>
      </c>
      <c r="M2031" s="22">
        <v>491.191</v>
      </c>
      <c r="N2031" s="22">
        <v>775.845</v>
      </c>
      <c r="O2031" s="24">
        <v>47.4</v>
      </c>
      <c r="P2031" s="18">
        <f t="shared" si="1"/>
        <v>603.675</v>
      </c>
    </row>
    <row r="2032" ht="15.75" customHeight="1">
      <c r="A2032" s="13" t="s">
        <v>225</v>
      </c>
      <c r="B2032" s="13" t="s">
        <v>61</v>
      </c>
      <c r="C2032" s="14" t="s">
        <v>226</v>
      </c>
      <c r="D2032" s="14" t="str">
        <f>VLOOKUP(C2032,'State Key'!$A$2:$B$210,2,False)</f>
        <v>Uttar Pradesh</v>
      </c>
      <c r="E2032" s="15">
        <v>660.0</v>
      </c>
      <c r="F2032" s="16">
        <v>19.0</v>
      </c>
      <c r="G2032" s="16">
        <v>0.0</v>
      </c>
      <c r="H2032" s="16">
        <v>0.0</v>
      </c>
      <c r="I2032" s="16">
        <v>0.0</v>
      </c>
      <c r="J2032" s="16">
        <v>0.0</v>
      </c>
      <c r="K2032" s="16">
        <v>0.0</v>
      </c>
      <c r="L2032" s="16">
        <v>19.0</v>
      </c>
      <c r="M2032" s="16">
        <v>0.0</v>
      </c>
      <c r="N2032" s="16">
        <v>19.0</v>
      </c>
      <c r="O2032" s="13" t="s">
        <v>58</v>
      </c>
      <c r="P2032" s="18">
        <f t="shared" si="1"/>
        <v>19</v>
      </c>
    </row>
    <row r="2033" ht="15.75" customHeight="1">
      <c r="A2033" s="19" t="s">
        <v>225</v>
      </c>
      <c r="B2033" s="19" t="s">
        <v>61</v>
      </c>
      <c r="C2033" s="20" t="s">
        <v>73</v>
      </c>
      <c r="D2033" s="14" t="str">
        <f>VLOOKUP(C2033,'State Key'!$A$2:$B$210,2,False)</f>
        <v>Rajasthan</v>
      </c>
      <c r="E2033" s="21">
        <v>1200.0</v>
      </c>
      <c r="F2033" s="22">
        <v>71.133</v>
      </c>
      <c r="G2033" s="22">
        <v>0.0</v>
      </c>
      <c r="H2033" s="22">
        <v>292.374</v>
      </c>
      <c r="I2033" s="22">
        <v>0.0</v>
      </c>
      <c r="J2033" s="22">
        <v>0.0</v>
      </c>
      <c r="K2033" s="22">
        <v>0.0</v>
      </c>
      <c r="L2033" s="22">
        <v>363.507</v>
      </c>
      <c r="M2033" s="22">
        <v>351.918</v>
      </c>
      <c r="N2033" s="22">
        <v>133.24</v>
      </c>
      <c r="O2033" s="23">
        <v>11.4</v>
      </c>
      <c r="P2033" s="18">
        <f t="shared" si="1"/>
        <v>363.507</v>
      </c>
    </row>
    <row r="2034" ht="15.75" customHeight="1">
      <c r="A2034" s="13" t="s">
        <v>225</v>
      </c>
      <c r="B2034" s="13" t="s">
        <v>61</v>
      </c>
      <c r="C2034" s="14" t="s">
        <v>75</v>
      </c>
      <c r="D2034" s="14" t="str">
        <f>VLOOKUP(C2034,'State Key'!$A$2:$B$210,2,False)</f>
        <v>Uttar Pradesh</v>
      </c>
      <c r="E2034" s="15">
        <v>90.0</v>
      </c>
      <c r="F2034" s="16">
        <v>62.371</v>
      </c>
      <c r="G2034" s="16">
        <v>0.0</v>
      </c>
      <c r="H2034" s="16">
        <v>0.0</v>
      </c>
      <c r="I2034" s="16">
        <v>0.0</v>
      </c>
      <c r="J2034" s="16">
        <v>0.0</v>
      </c>
      <c r="K2034" s="16">
        <v>0.0</v>
      </c>
      <c r="L2034" s="16">
        <v>62.371</v>
      </c>
      <c r="M2034" s="16">
        <v>14.0034</v>
      </c>
      <c r="N2034" s="16">
        <v>93.44</v>
      </c>
      <c r="O2034" s="24">
        <v>200.2</v>
      </c>
      <c r="P2034" s="18">
        <f t="shared" si="1"/>
        <v>62.371</v>
      </c>
    </row>
    <row r="2035" ht="15.75" customHeight="1">
      <c r="A2035" s="19" t="s">
        <v>225</v>
      </c>
      <c r="B2035" s="19" t="s">
        <v>61</v>
      </c>
      <c r="C2035" s="20" t="s">
        <v>76</v>
      </c>
      <c r="D2035" s="14" t="str">
        <f>VLOOKUP(C2035,'State Key'!$A$2:$B$210,2,False)</f>
        <v>Rajasthan</v>
      </c>
      <c r="E2035" s="21">
        <v>1240.0</v>
      </c>
      <c r="F2035" s="22">
        <v>578.76812</v>
      </c>
      <c r="G2035" s="22">
        <v>0.0</v>
      </c>
      <c r="H2035" s="22">
        <v>0.0</v>
      </c>
      <c r="I2035" s="22">
        <v>0.0</v>
      </c>
      <c r="J2035" s="22">
        <v>0.0</v>
      </c>
      <c r="K2035" s="22">
        <v>0.0</v>
      </c>
      <c r="L2035" s="22">
        <v>578.76812</v>
      </c>
      <c r="M2035" s="22">
        <v>594.2856</v>
      </c>
      <c r="N2035" s="22">
        <v>114.21</v>
      </c>
      <c r="O2035" s="17">
        <v>5.8</v>
      </c>
      <c r="P2035" s="18">
        <f t="shared" si="1"/>
        <v>578.76812</v>
      </c>
    </row>
    <row r="2036" ht="15.75" customHeight="1">
      <c r="A2036" s="13" t="s">
        <v>225</v>
      </c>
      <c r="B2036" s="13" t="s">
        <v>61</v>
      </c>
      <c r="C2036" s="14" t="s">
        <v>77</v>
      </c>
      <c r="D2036" s="14" t="str">
        <f>VLOOKUP(C2036,'State Key'!$A$2:$B$210,2,False)</f>
        <v>Uttar Pradesh</v>
      </c>
      <c r="E2036" s="15">
        <v>90.0</v>
      </c>
      <c r="F2036" s="16">
        <v>31.617</v>
      </c>
      <c r="G2036" s="16">
        <v>0.0</v>
      </c>
      <c r="H2036" s="16">
        <v>0.0</v>
      </c>
      <c r="I2036" s="16">
        <v>0.0</v>
      </c>
      <c r="J2036" s="16">
        <v>0.0</v>
      </c>
      <c r="K2036" s="16">
        <v>0.0</v>
      </c>
      <c r="L2036" s="16">
        <v>31.617</v>
      </c>
      <c r="M2036" s="16">
        <v>8.276</v>
      </c>
      <c r="N2036" s="16">
        <v>51.85</v>
      </c>
      <c r="O2036" s="24">
        <v>188.0</v>
      </c>
      <c r="P2036" s="18">
        <f t="shared" si="1"/>
        <v>31.617</v>
      </c>
    </row>
    <row r="2037" ht="15.75" customHeight="1">
      <c r="A2037" s="19" t="s">
        <v>225</v>
      </c>
      <c r="B2037" s="19" t="s">
        <v>61</v>
      </c>
      <c r="C2037" s="20" t="s">
        <v>78</v>
      </c>
      <c r="D2037" s="14" t="str">
        <f>VLOOKUP(C2037,'State Key'!$A$2:$B$210,2,False)</f>
        <v>Uttar Pradesh</v>
      </c>
      <c r="E2037" s="21">
        <v>1980.0</v>
      </c>
      <c r="F2037" s="22">
        <v>560.455</v>
      </c>
      <c r="G2037" s="22">
        <v>0.0</v>
      </c>
      <c r="H2037" s="22">
        <v>0.0</v>
      </c>
      <c r="I2037" s="22">
        <v>0.0</v>
      </c>
      <c r="J2037" s="22">
        <v>0.0</v>
      </c>
      <c r="K2037" s="22">
        <v>0.0</v>
      </c>
      <c r="L2037" s="22">
        <v>560.455</v>
      </c>
      <c r="M2037" s="22">
        <v>567.313</v>
      </c>
      <c r="N2037" s="22">
        <v>617.08</v>
      </c>
      <c r="O2037" s="24">
        <v>32.6</v>
      </c>
      <c r="P2037" s="18">
        <f t="shared" si="1"/>
        <v>560.455</v>
      </c>
    </row>
    <row r="2038" ht="15.75" customHeight="1">
      <c r="A2038" s="13" t="s">
        <v>225</v>
      </c>
      <c r="B2038" s="13" t="s">
        <v>61</v>
      </c>
      <c r="C2038" s="14" t="s">
        <v>79</v>
      </c>
      <c r="D2038" s="14" t="str">
        <f>VLOOKUP(C2038,'State Key'!$A$2:$B$210,2,False)</f>
        <v>Haryana</v>
      </c>
      <c r="E2038" s="15">
        <v>1320.0</v>
      </c>
      <c r="F2038" s="16">
        <v>330.568</v>
      </c>
      <c r="G2038" s="16">
        <v>0.0</v>
      </c>
      <c r="H2038" s="16">
        <v>0.0</v>
      </c>
      <c r="I2038" s="16">
        <v>0.0</v>
      </c>
      <c r="J2038" s="16">
        <v>52.476</v>
      </c>
      <c r="K2038" s="16">
        <v>0.0</v>
      </c>
      <c r="L2038" s="16">
        <v>383.044</v>
      </c>
      <c r="M2038" s="16">
        <v>199.737</v>
      </c>
      <c r="N2038" s="16">
        <v>670.038</v>
      </c>
      <c r="O2038" s="24">
        <v>100.6</v>
      </c>
      <c r="P2038" s="18">
        <f t="shared" si="1"/>
        <v>383.044</v>
      </c>
    </row>
    <row r="2039" ht="15.75" customHeight="1">
      <c r="A2039" s="19" t="s">
        <v>225</v>
      </c>
      <c r="B2039" s="19" t="s">
        <v>61</v>
      </c>
      <c r="C2039" s="20" t="s">
        <v>80</v>
      </c>
      <c r="D2039" s="14" t="str">
        <f>VLOOKUP(C2039,'State Key'!$A$2:$B$210,2,False)</f>
        <v>Uttar Pradesh</v>
      </c>
      <c r="E2039" s="21">
        <v>90.0</v>
      </c>
      <c r="F2039" s="22">
        <v>15.687</v>
      </c>
      <c r="G2039" s="22">
        <v>0.0</v>
      </c>
      <c r="H2039" s="22">
        <v>0.0</v>
      </c>
      <c r="I2039" s="22">
        <v>0.0</v>
      </c>
      <c r="J2039" s="22">
        <v>0.0</v>
      </c>
      <c r="K2039" s="22">
        <v>0.0</v>
      </c>
      <c r="L2039" s="22">
        <v>15.687</v>
      </c>
      <c r="M2039" s="22">
        <v>9.162</v>
      </c>
      <c r="N2039" s="22">
        <v>83.0</v>
      </c>
      <c r="O2039" s="24">
        <v>271.8</v>
      </c>
      <c r="P2039" s="18">
        <f t="shared" si="1"/>
        <v>15.687</v>
      </c>
    </row>
    <row r="2040" ht="15.75" customHeight="1">
      <c r="A2040" s="13" t="s">
        <v>225</v>
      </c>
      <c r="B2040" s="13" t="s">
        <v>61</v>
      </c>
      <c r="C2040" s="14" t="s">
        <v>81</v>
      </c>
      <c r="D2040" s="14" t="str">
        <f>VLOOKUP(C2040,'State Key'!$A$2:$B$210,2,False)</f>
        <v>Uttar Pradesh</v>
      </c>
      <c r="E2040" s="15">
        <v>1320.0</v>
      </c>
      <c r="F2040" s="16">
        <v>507.66934</v>
      </c>
      <c r="G2040" s="16">
        <v>0.0</v>
      </c>
      <c r="H2040" s="16">
        <v>0.0</v>
      </c>
      <c r="I2040" s="16">
        <v>0.0</v>
      </c>
      <c r="J2040" s="16">
        <v>0.0</v>
      </c>
      <c r="K2040" s="16">
        <v>0.0</v>
      </c>
      <c r="L2040" s="16">
        <v>507.66934</v>
      </c>
      <c r="M2040" s="16">
        <v>483.192</v>
      </c>
      <c r="N2040" s="16">
        <v>426.87</v>
      </c>
      <c r="O2040" s="24">
        <v>26.5</v>
      </c>
      <c r="P2040" s="18">
        <f t="shared" si="1"/>
        <v>507.66934</v>
      </c>
    </row>
    <row r="2041" ht="15.75" customHeight="1">
      <c r="A2041" s="19" t="s">
        <v>225</v>
      </c>
      <c r="B2041" s="19" t="s">
        <v>61</v>
      </c>
      <c r="C2041" s="20" t="s">
        <v>82</v>
      </c>
      <c r="D2041" s="14" t="str">
        <f>VLOOKUP(C2041,'State Key'!$A$2:$B$210,2,False)</f>
        <v>Uttar Pradesh</v>
      </c>
      <c r="E2041" s="21">
        <v>1000.0</v>
      </c>
      <c r="F2041" s="22">
        <v>397.081</v>
      </c>
      <c r="G2041" s="22">
        <v>0.0</v>
      </c>
      <c r="H2041" s="22">
        <v>0.0</v>
      </c>
      <c r="I2041" s="22">
        <v>0.0</v>
      </c>
      <c r="J2041" s="22">
        <v>0.0</v>
      </c>
      <c r="K2041" s="22">
        <v>0.0</v>
      </c>
      <c r="L2041" s="22">
        <v>397.081</v>
      </c>
      <c r="M2041" s="22">
        <v>330.571</v>
      </c>
      <c r="N2041" s="22">
        <v>295.133</v>
      </c>
      <c r="O2041" s="24">
        <v>26.8</v>
      </c>
      <c r="P2041" s="18">
        <f t="shared" si="1"/>
        <v>397.081</v>
      </c>
    </row>
    <row r="2042" ht="15.75" customHeight="1">
      <c r="A2042" s="13" t="s">
        <v>225</v>
      </c>
      <c r="B2042" s="13" t="s">
        <v>61</v>
      </c>
      <c r="C2042" s="14" t="s">
        <v>227</v>
      </c>
      <c r="D2042" s="14" t="str">
        <f>VLOOKUP(C2042,'State Key'!$A$2:$B$210,2,False)</f>
        <v>Uttar Pradesh</v>
      </c>
      <c r="E2042" s="15">
        <v>660.0</v>
      </c>
      <c r="F2042" s="16">
        <v>0.0</v>
      </c>
      <c r="G2042" s="16">
        <v>0.0</v>
      </c>
      <c r="H2042" s="16">
        <v>0.0</v>
      </c>
      <c r="I2042" s="16">
        <v>0.0</v>
      </c>
      <c r="J2042" s="16">
        <v>0.0</v>
      </c>
      <c r="K2042" s="16">
        <v>0.0</v>
      </c>
      <c r="L2042" s="16">
        <v>0.0</v>
      </c>
      <c r="M2042" s="16">
        <v>0.0</v>
      </c>
      <c r="N2042" s="16">
        <v>0.0</v>
      </c>
      <c r="O2042" s="13" t="s">
        <v>58</v>
      </c>
      <c r="P2042" s="18">
        <f t="shared" si="1"/>
        <v>0</v>
      </c>
    </row>
    <row r="2043" ht="15.75" customHeight="1">
      <c r="A2043" s="19" t="s">
        <v>225</v>
      </c>
      <c r="B2043" s="19" t="s">
        <v>61</v>
      </c>
      <c r="C2043" s="20" t="s">
        <v>83</v>
      </c>
      <c r="D2043" s="14" t="str">
        <f>VLOOKUP(C2043,'State Key'!$A$2:$B$210,2,False)</f>
        <v>Haryana</v>
      </c>
      <c r="E2043" s="21">
        <v>710.0</v>
      </c>
      <c r="F2043" s="22">
        <v>370.328</v>
      </c>
      <c r="G2043" s="22">
        <v>0.0</v>
      </c>
      <c r="H2043" s="22">
        <v>0.0</v>
      </c>
      <c r="I2043" s="22">
        <v>0.0</v>
      </c>
      <c r="J2043" s="22">
        <v>0.0</v>
      </c>
      <c r="K2043" s="22">
        <v>0.0</v>
      </c>
      <c r="L2043" s="22">
        <v>370.328</v>
      </c>
      <c r="M2043" s="22">
        <v>179.644</v>
      </c>
      <c r="N2043" s="22">
        <v>466.098</v>
      </c>
      <c r="O2043" s="24">
        <v>77.8</v>
      </c>
      <c r="P2043" s="18">
        <f t="shared" si="1"/>
        <v>370.328</v>
      </c>
    </row>
    <row r="2044" ht="15.75" customHeight="1">
      <c r="A2044" s="13" t="s">
        <v>225</v>
      </c>
      <c r="B2044" s="13" t="s">
        <v>61</v>
      </c>
      <c r="C2044" s="14" t="s">
        <v>84</v>
      </c>
      <c r="D2044" s="14" t="str">
        <f>VLOOKUP(C2044,'State Key'!$A$2:$B$210,2,False)</f>
        <v>Uttar Pradesh</v>
      </c>
      <c r="E2044" s="15">
        <v>920.0</v>
      </c>
      <c r="F2044" s="16">
        <v>349.413</v>
      </c>
      <c r="G2044" s="16">
        <v>0.0</v>
      </c>
      <c r="H2044" s="16">
        <v>0.0</v>
      </c>
      <c r="I2044" s="16">
        <v>0.0</v>
      </c>
      <c r="J2044" s="16">
        <v>0.0</v>
      </c>
      <c r="K2044" s="16">
        <v>0.0</v>
      </c>
      <c r="L2044" s="16">
        <v>349.413</v>
      </c>
      <c r="M2044" s="16">
        <v>340.156</v>
      </c>
      <c r="N2044" s="16">
        <v>231.331</v>
      </c>
      <c r="O2044" s="24">
        <v>20.4</v>
      </c>
      <c r="P2044" s="18">
        <f t="shared" si="1"/>
        <v>349.413</v>
      </c>
    </row>
    <row r="2045" ht="15.75" customHeight="1">
      <c r="A2045" s="19" t="s">
        <v>225</v>
      </c>
      <c r="B2045" s="19" t="s">
        <v>61</v>
      </c>
      <c r="C2045" s="20" t="s">
        <v>85</v>
      </c>
      <c r="D2045" s="14" t="str">
        <f>VLOOKUP(C2045,'State Key'!$A$2:$B$210,2,False)</f>
        <v>Uttar Pradesh</v>
      </c>
      <c r="E2045" s="21">
        <v>1980.0</v>
      </c>
      <c r="F2045" s="22">
        <v>841.784</v>
      </c>
      <c r="G2045" s="22">
        <v>0.0</v>
      </c>
      <c r="H2045" s="22">
        <v>0.0</v>
      </c>
      <c r="I2045" s="22">
        <v>0.0</v>
      </c>
      <c r="J2045" s="22">
        <v>0.0</v>
      </c>
      <c r="K2045" s="22">
        <v>0.0</v>
      </c>
      <c r="L2045" s="22">
        <v>841.784</v>
      </c>
      <c r="M2045" s="22">
        <v>654.6589</v>
      </c>
      <c r="N2045" s="22">
        <v>820.31</v>
      </c>
      <c r="O2045" s="24">
        <v>37.6</v>
      </c>
      <c r="P2045" s="18">
        <f t="shared" si="1"/>
        <v>841.784</v>
      </c>
    </row>
    <row r="2046" ht="15.75" customHeight="1">
      <c r="A2046" s="13" t="s">
        <v>225</v>
      </c>
      <c r="B2046" s="13" t="s">
        <v>61</v>
      </c>
      <c r="C2046" s="14" t="s">
        <v>86</v>
      </c>
      <c r="D2046" s="14" t="str">
        <f>VLOOKUP(C2046,'State Key'!$A$2:$B$210,2,False)</f>
        <v>Haryana</v>
      </c>
      <c r="E2046" s="15">
        <v>1200.0</v>
      </c>
      <c r="F2046" s="16">
        <v>445.305</v>
      </c>
      <c r="G2046" s="16">
        <v>0.0</v>
      </c>
      <c r="H2046" s="16">
        <v>0.0</v>
      </c>
      <c r="I2046" s="16">
        <v>0.0</v>
      </c>
      <c r="J2046" s="16">
        <v>0.0</v>
      </c>
      <c r="K2046" s="16">
        <v>0.0</v>
      </c>
      <c r="L2046" s="16">
        <v>445.305</v>
      </c>
      <c r="M2046" s="16">
        <v>224.387</v>
      </c>
      <c r="N2046" s="16">
        <v>713.531</v>
      </c>
      <c r="O2046" s="24">
        <v>95.4</v>
      </c>
      <c r="P2046" s="18">
        <f t="shared" si="1"/>
        <v>445.305</v>
      </c>
    </row>
    <row r="2047" ht="15.75" customHeight="1">
      <c r="A2047" s="19" t="s">
        <v>225</v>
      </c>
      <c r="B2047" s="19" t="s">
        <v>61</v>
      </c>
      <c r="C2047" s="20" t="s">
        <v>87</v>
      </c>
      <c r="D2047" s="14" t="str">
        <f>VLOOKUP(C2047,'State Key'!$A$2:$B$210,2,False)</f>
        <v>Punjab</v>
      </c>
      <c r="E2047" s="21">
        <v>1400.0</v>
      </c>
      <c r="F2047" s="22">
        <v>491.2374</v>
      </c>
      <c r="G2047" s="22">
        <v>0.0</v>
      </c>
      <c r="H2047" s="22">
        <v>0.0</v>
      </c>
      <c r="I2047" s="22">
        <v>0.0</v>
      </c>
      <c r="J2047" s="22">
        <v>0.0</v>
      </c>
      <c r="K2047" s="22">
        <v>0.0</v>
      </c>
      <c r="L2047" s="22">
        <v>491.2374</v>
      </c>
      <c r="M2047" s="22">
        <v>506.981</v>
      </c>
      <c r="N2047" s="22">
        <v>400.12</v>
      </c>
      <c r="O2047" s="24">
        <v>23.7</v>
      </c>
      <c r="P2047" s="18">
        <f t="shared" si="1"/>
        <v>491.2374</v>
      </c>
    </row>
    <row r="2048" ht="15.75" customHeight="1">
      <c r="A2048" s="13" t="s">
        <v>225</v>
      </c>
      <c r="B2048" s="13" t="s">
        <v>61</v>
      </c>
      <c r="C2048" s="14" t="s">
        <v>88</v>
      </c>
      <c r="D2048" s="14" t="str">
        <f>VLOOKUP(C2048,'State Key'!$A$2:$B$210,2,False)</f>
        <v>Uttar Pradesh</v>
      </c>
      <c r="E2048" s="15">
        <v>3000.0</v>
      </c>
      <c r="F2048" s="16">
        <v>1192.59</v>
      </c>
      <c r="G2048" s="16">
        <v>0.0</v>
      </c>
      <c r="H2048" s="16">
        <v>0.0</v>
      </c>
      <c r="I2048" s="16">
        <v>0.0</v>
      </c>
      <c r="J2048" s="16">
        <v>0.0</v>
      </c>
      <c r="K2048" s="16">
        <v>0.0</v>
      </c>
      <c r="L2048" s="16">
        <v>1192.59</v>
      </c>
      <c r="M2048" s="16">
        <v>1304.59</v>
      </c>
      <c r="N2048" s="16">
        <v>988.01</v>
      </c>
      <c r="O2048" s="24">
        <v>22.7</v>
      </c>
      <c r="P2048" s="18">
        <f t="shared" si="1"/>
        <v>1192.59</v>
      </c>
    </row>
    <row r="2049" ht="15.75" customHeight="1">
      <c r="A2049" s="19" t="s">
        <v>225</v>
      </c>
      <c r="B2049" s="19" t="s">
        <v>61</v>
      </c>
      <c r="C2049" s="20" t="s">
        <v>89</v>
      </c>
      <c r="D2049" s="14" t="str">
        <f>VLOOKUP(C2049,'State Key'!$A$2:$B$210,2,False)</f>
        <v>Punjab</v>
      </c>
      <c r="E2049" s="21">
        <v>840.0</v>
      </c>
      <c r="F2049" s="22">
        <v>42.442</v>
      </c>
      <c r="G2049" s="22">
        <v>0.0</v>
      </c>
      <c r="H2049" s="22">
        <v>240.228</v>
      </c>
      <c r="I2049" s="22">
        <v>0.0</v>
      </c>
      <c r="J2049" s="22">
        <v>0.0</v>
      </c>
      <c r="K2049" s="22">
        <v>0.0</v>
      </c>
      <c r="L2049" s="22">
        <v>282.67</v>
      </c>
      <c r="M2049" s="22">
        <v>196.318</v>
      </c>
      <c r="N2049" s="22">
        <v>532.81</v>
      </c>
      <c r="O2049" s="24">
        <v>81.4</v>
      </c>
      <c r="P2049" s="18">
        <f t="shared" si="1"/>
        <v>282.67</v>
      </c>
    </row>
    <row r="2050" ht="15.75" customHeight="1">
      <c r="A2050" s="13" t="s">
        <v>225</v>
      </c>
      <c r="B2050" s="13" t="s">
        <v>61</v>
      </c>
      <c r="C2050" s="14" t="s">
        <v>90</v>
      </c>
      <c r="D2050" s="14" t="str">
        <f>VLOOKUP(C2050,'State Key'!$A$2:$B$210,2,False)</f>
        <v>Uttar Pradesh</v>
      </c>
      <c r="E2050" s="15">
        <v>1200.0</v>
      </c>
      <c r="F2050" s="16">
        <v>496.522</v>
      </c>
      <c r="G2050" s="16">
        <v>0.0</v>
      </c>
      <c r="H2050" s="16">
        <v>0.0</v>
      </c>
      <c r="I2050" s="16">
        <v>0.0</v>
      </c>
      <c r="J2050" s="16">
        <v>0.0</v>
      </c>
      <c r="K2050" s="16">
        <v>0.0</v>
      </c>
      <c r="L2050" s="16">
        <v>496.522</v>
      </c>
      <c r="M2050" s="16">
        <v>403.17</v>
      </c>
      <c r="N2050" s="16">
        <v>285.15</v>
      </c>
      <c r="O2050" s="24">
        <v>21.2</v>
      </c>
      <c r="P2050" s="18">
        <f t="shared" si="1"/>
        <v>496.522</v>
      </c>
    </row>
    <row r="2051" ht="15.75" customHeight="1">
      <c r="A2051" s="19" t="s">
        <v>225</v>
      </c>
      <c r="B2051" s="19" t="s">
        <v>61</v>
      </c>
      <c r="C2051" s="20" t="s">
        <v>219</v>
      </c>
      <c r="D2051" s="14" t="str">
        <f>VLOOKUP(C2051,'State Key'!$A$2:$B$210,2,False)</f>
        <v>Rajasthan</v>
      </c>
      <c r="E2051" s="21">
        <v>300.0</v>
      </c>
      <c r="F2051" s="22">
        <v>0.0</v>
      </c>
      <c r="G2051" s="22">
        <v>0.0</v>
      </c>
      <c r="H2051" s="22">
        <v>0.0</v>
      </c>
      <c r="I2051" s="22">
        <v>0.0</v>
      </c>
      <c r="J2051" s="22">
        <v>83.5</v>
      </c>
      <c r="K2051" s="22">
        <v>0.0</v>
      </c>
      <c r="L2051" s="22">
        <v>83.5</v>
      </c>
      <c r="M2051" s="22">
        <v>83.5</v>
      </c>
      <c r="N2051" s="22">
        <v>27.8</v>
      </c>
      <c r="O2051" s="23">
        <v>10.0</v>
      </c>
      <c r="P2051" s="18">
        <f t="shared" si="1"/>
        <v>83.5</v>
      </c>
    </row>
    <row r="2052" ht="15.75" customHeight="1">
      <c r="A2052" s="13" t="s">
        <v>225</v>
      </c>
      <c r="B2052" s="13" t="s">
        <v>61</v>
      </c>
      <c r="C2052" s="14" t="s">
        <v>91</v>
      </c>
      <c r="D2052" s="14" t="str">
        <f>VLOOKUP(C2052,'State Key'!$A$2:$B$210,2,False)</f>
        <v>Uttar Pradesh</v>
      </c>
      <c r="E2052" s="15">
        <v>2000.0</v>
      </c>
      <c r="F2052" s="16">
        <v>852.4</v>
      </c>
      <c r="G2052" s="16">
        <v>0.0</v>
      </c>
      <c r="H2052" s="16">
        <v>0.0</v>
      </c>
      <c r="I2052" s="16">
        <v>0.0</v>
      </c>
      <c r="J2052" s="16">
        <v>0.0</v>
      </c>
      <c r="K2052" s="16">
        <v>0.0</v>
      </c>
      <c r="L2052" s="16">
        <v>852.4</v>
      </c>
      <c r="M2052" s="16">
        <v>866.704</v>
      </c>
      <c r="N2052" s="16">
        <v>438.08</v>
      </c>
      <c r="O2052" s="24">
        <v>15.2</v>
      </c>
      <c r="P2052" s="18">
        <f t="shared" si="1"/>
        <v>852.4</v>
      </c>
    </row>
    <row r="2053" ht="15.75" customHeight="1">
      <c r="A2053" s="19" t="s">
        <v>225</v>
      </c>
      <c r="B2053" s="19" t="s">
        <v>61</v>
      </c>
      <c r="C2053" s="20" t="s">
        <v>92</v>
      </c>
      <c r="D2053" s="14" t="str">
        <f>VLOOKUP(C2053,'State Key'!$A$2:$B$210,2,False)</f>
        <v>Rajasthan</v>
      </c>
      <c r="E2053" s="21">
        <v>1320.0</v>
      </c>
      <c r="F2053" s="22">
        <v>229.97831</v>
      </c>
      <c r="G2053" s="22">
        <v>0.0</v>
      </c>
      <c r="H2053" s="22">
        <v>167.26448</v>
      </c>
      <c r="I2053" s="22">
        <v>0.0</v>
      </c>
      <c r="J2053" s="22">
        <v>0.0</v>
      </c>
      <c r="K2053" s="22">
        <v>0.0</v>
      </c>
      <c r="L2053" s="22">
        <v>397.24279</v>
      </c>
      <c r="M2053" s="22">
        <v>371.186</v>
      </c>
      <c r="N2053" s="22">
        <v>129.77</v>
      </c>
      <c r="O2053" s="23">
        <v>10.5</v>
      </c>
      <c r="P2053" s="18">
        <f t="shared" si="1"/>
        <v>397.24279</v>
      </c>
    </row>
    <row r="2054" ht="15.75" customHeight="1">
      <c r="A2054" s="13" t="s">
        <v>225</v>
      </c>
      <c r="B2054" s="13" t="s">
        <v>61</v>
      </c>
      <c r="C2054" s="14" t="s">
        <v>93</v>
      </c>
      <c r="D2054" s="14" t="str">
        <f>VLOOKUP(C2054,'State Key'!$A$2:$B$210,2,False)</f>
        <v>Rajasthan</v>
      </c>
      <c r="E2054" s="15">
        <v>1500.0</v>
      </c>
      <c r="F2054" s="16">
        <v>458.33</v>
      </c>
      <c r="G2054" s="16">
        <v>0.0</v>
      </c>
      <c r="H2054" s="16">
        <v>7.977</v>
      </c>
      <c r="I2054" s="16">
        <v>0.0</v>
      </c>
      <c r="J2054" s="16">
        <v>0.0</v>
      </c>
      <c r="K2054" s="16">
        <v>0.0</v>
      </c>
      <c r="L2054" s="16">
        <v>466.307</v>
      </c>
      <c r="M2054" s="16">
        <v>413.36</v>
      </c>
      <c r="N2054" s="16">
        <v>166.48</v>
      </c>
      <c r="O2054" s="23">
        <v>12.1</v>
      </c>
      <c r="P2054" s="18">
        <f t="shared" si="1"/>
        <v>466.307</v>
      </c>
    </row>
    <row r="2055" ht="15.75" customHeight="1">
      <c r="A2055" s="19" t="s">
        <v>225</v>
      </c>
      <c r="B2055" s="19" t="s">
        <v>61</v>
      </c>
      <c r="C2055" s="20" t="s">
        <v>94</v>
      </c>
      <c r="D2055" s="14" t="str">
        <f>VLOOKUP(C2055,'State Key'!$A$2:$B$210,2,False)</f>
        <v>Punjab</v>
      </c>
      <c r="E2055" s="21">
        <v>1980.0</v>
      </c>
      <c r="F2055" s="22">
        <v>600.225</v>
      </c>
      <c r="G2055" s="22">
        <v>0.0</v>
      </c>
      <c r="H2055" s="22">
        <v>0.0</v>
      </c>
      <c r="I2055" s="22">
        <v>0.0</v>
      </c>
      <c r="J2055" s="22">
        <v>0.0</v>
      </c>
      <c r="K2055" s="22">
        <v>0.0</v>
      </c>
      <c r="L2055" s="22">
        <v>600.225</v>
      </c>
      <c r="M2055" s="22">
        <v>507.8</v>
      </c>
      <c r="N2055" s="22">
        <v>299.01</v>
      </c>
      <c r="O2055" s="24">
        <v>17.7</v>
      </c>
      <c r="P2055" s="18">
        <f t="shared" si="1"/>
        <v>600.225</v>
      </c>
    </row>
    <row r="2056" ht="15.75" customHeight="1">
      <c r="A2056" s="13" t="s">
        <v>225</v>
      </c>
      <c r="B2056" s="13" t="s">
        <v>61</v>
      </c>
      <c r="C2056" s="14" t="s">
        <v>95</v>
      </c>
      <c r="D2056" s="14" t="str">
        <f>VLOOKUP(C2056,'State Key'!$A$2:$B$210,2,False)</f>
        <v>Uttar Pradesh</v>
      </c>
      <c r="E2056" s="15">
        <v>1760.0</v>
      </c>
      <c r="F2056" s="16">
        <v>551.25</v>
      </c>
      <c r="G2056" s="16">
        <v>0.0</v>
      </c>
      <c r="H2056" s="16">
        <v>140.57</v>
      </c>
      <c r="I2056" s="16">
        <v>0.0</v>
      </c>
      <c r="J2056" s="16">
        <v>0.0</v>
      </c>
      <c r="K2056" s="16">
        <v>0.0</v>
      </c>
      <c r="L2056" s="16">
        <v>691.82</v>
      </c>
      <c r="M2056" s="16">
        <v>536.546</v>
      </c>
      <c r="N2056" s="16">
        <v>695.81</v>
      </c>
      <c r="O2056" s="24">
        <v>38.9</v>
      </c>
      <c r="P2056" s="18">
        <f t="shared" si="1"/>
        <v>691.82</v>
      </c>
    </row>
    <row r="2057" ht="15.75" customHeight="1">
      <c r="A2057" s="19" t="s">
        <v>225</v>
      </c>
      <c r="B2057" s="19" t="s">
        <v>61</v>
      </c>
      <c r="C2057" s="20" t="s">
        <v>96</v>
      </c>
      <c r="D2057" s="14" t="str">
        <f>VLOOKUP(C2057,'State Key'!$A$2:$B$210,2,False)</f>
        <v>Uttar Pradesh</v>
      </c>
      <c r="E2057" s="21">
        <v>1550.0</v>
      </c>
      <c r="F2057" s="22">
        <v>379.62</v>
      </c>
      <c r="G2057" s="22">
        <v>0.0</v>
      </c>
      <c r="H2057" s="22">
        <v>78.76</v>
      </c>
      <c r="I2057" s="22">
        <v>0.0</v>
      </c>
      <c r="J2057" s="22">
        <v>46.534</v>
      </c>
      <c r="K2057" s="22">
        <v>0.0</v>
      </c>
      <c r="L2057" s="22">
        <v>504.914</v>
      </c>
      <c r="M2057" s="22">
        <v>461.073</v>
      </c>
      <c r="N2057" s="22">
        <v>509.682</v>
      </c>
      <c r="O2057" s="24">
        <v>33.2</v>
      </c>
      <c r="P2057" s="18">
        <f t="shared" si="1"/>
        <v>504.914</v>
      </c>
    </row>
    <row r="2058" ht="15.75" customHeight="1">
      <c r="A2058" s="13" t="s">
        <v>225</v>
      </c>
      <c r="B2058" s="13" t="s">
        <v>61</v>
      </c>
      <c r="C2058" s="14" t="s">
        <v>97</v>
      </c>
      <c r="D2058" s="14" t="str">
        <f>VLOOKUP(C2058,'State Key'!$A$2:$B$210,2,False)</f>
        <v>Uttar Pradesh</v>
      </c>
      <c r="E2058" s="15">
        <v>90.0</v>
      </c>
      <c r="F2058" s="16">
        <v>19.854</v>
      </c>
      <c r="G2058" s="16">
        <v>0.0</v>
      </c>
      <c r="H2058" s="16">
        <v>0.0</v>
      </c>
      <c r="I2058" s="16">
        <v>0.0</v>
      </c>
      <c r="J2058" s="16">
        <v>0.0</v>
      </c>
      <c r="K2058" s="16">
        <v>0.0</v>
      </c>
      <c r="L2058" s="16">
        <v>19.854</v>
      </c>
      <c r="M2058" s="16">
        <v>6.176</v>
      </c>
      <c r="N2058" s="16">
        <v>57.58</v>
      </c>
      <c r="O2058" s="24">
        <v>279.7</v>
      </c>
      <c r="P2058" s="18">
        <f t="shared" si="1"/>
        <v>19.854</v>
      </c>
    </row>
    <row r="2059" ht="15.75" customHeight="1">
      <c r="A2059" s="19" t="s">
        <v>225</v>
      </c>
      <c r="B2059" s="19" t="s">
        <v>61</v>
      </c>
      <c r="C2059" s="20" t="s">
        <v>98</v>
      </c>
      <c r="D2059" s="14" t="str">
        <f>VLOOKUP(C2059,'State Key'!$A$2:$B$210,2,False)</f>
        <v>Haryana</v>
      </c>
      <c r="E2059" s="21">
        <v>600.0</v>
      </c>
      <c r="F2059" s="22">
        <v>323.767</v>
      </c>
      <c r="G2059" s="22">
        <v>0.0</v>
      </c>
      <c r="H2059" s="22">
        <v>0.0</v>
      </c>
      <c r="I2059" s="22">
        <v>0.0</v>
      </c>
      <c r="J2059" s="22">
        <v>0.0</v>
      </c>
      <c r="K2059" s="22">
        <v>0.0</v>
      </c>
      <c r="L2059" s="22">
        <v>323.767</v>
      </c>
      <c r="M2059" s="22">
        <v>209.035</v>
      </c>
      <c r="N2059" s="22">
        <v>283.75</v>
      </c>
      <c r="O2059" s="24">
        <v>40.7</v>
      </c>
      <c r="P2059" s="18">
        <f t="shared" si="1"/>
        <v>323.767</v>
      </c>
    </row>
    <row r="2060" ht="15.75" customHeight="1">
      <c r="A2060" s="13" t="s">
        <v>225</v>
      </c>
      <c r="B2060" s="13" t="s">
        <v>99</v>
      </c>
      <c r="C2060" s="14" t="s">
        <v>210</v>
      </c>
      <c r="D2060" s="14" t="str">
        <f>VLOOKUP(C2060,'State Key'!$A$2:$B$210,2,False)</f>
        <v>Karnataka</v>
      </c>
      <c r="E2060" s="15">
        <v>1200.0</v>
      </c>
      <c r="F2060" s="16">
        <v>0.0</v>
      </c>
      <c r="G2060" s="16">
        <v>0.0</v>
      </c>
      <c r="H2060" s="16">
        <v>0.0</v>
      </c>
      <c r="I2060" s="16">
        <v>0.0</v>
      </c>
      <c r="J2060" s="16">
        <v>468.396</v>
      </c>
      <c r="K2060" s="16">
        <v>0.0</v>
      </c>
      <c r="L2060" s="16">
        <v>468.396</v>
      </c>
      <c r="M2060" s="16">
        <v>255.103</v>
      </c>
      <c r="N2060" s="16">
        <v>290.77</v>
      </c>
      <c r="O2060" s="24">
        <v>34.2</v>
      </c>
      <c r="P2060" s="18">
        <f t="shared" si="1"/>
        <v>468.396</v>
      </c>
    </row>
    <row r="2061" ht="15.75" customHeight="1">
      <c r="A2061" s="19" t="s">
        <v>225</v>
      </c>
      <c r="B2061" s="19" t="s">
        <v>99</v>
      </c>
      <c r="C2061" s="20" t="s">
        <v>100</v>
      </c>
      <c r="D2061" s="14" t="str">
        <f>VLOOKUP(C2061,'State Key'!$A$2:$B$210,2,False)</f>
        <v>Karnataka</v>
      </c>
      <c r="E2061" s="21">
        <v>1700.0</v>
      </c>
      <c r="F2061" s="22">
        <v>179.41097</v>
      </c>
      <c r="G2061" s="22">
        <v>179.16824</v>
      </c>
      <c r="H2061" s="22">
        <v>319.69962</v>
      </c>
      <c r="I2061" s="22">
        <v>0.0</v>
      </c>
      <c r="J2061" s="22">
        <v>19.8788</v>
      </c>
      <c r="K2061" s="22">
        <v>0.0</v>
      </c>
      <c r="L2061" s="22">
        <v>698.15763</v>
      </c>
      <c r="M2061" s="22">
        <v>651.317</v>
      </c>
      <c r="N2061" s="22">
        <v>246.7654</v>
      </c>
      <c r="O2061" s="23">
        <v>11.4</v>
      </c>
      <c r="P2061" s="18">
        <f t="shared" si="1"/>
        <v>698.15763</v>
      </c>
    </row>
    <row r="2062" ht="15.75" customHeight="1">
      <c r="A2062" s="13" t="s">
        <v>225</v>
      </c>
      <c r="B2062" s="13" t="s">
        <v>99</v>
      </c>
      <c r="C2062" s="14" t="s">
        <v>101</v>
      </c>
      <c r="D2062" s="14" t="str">
        <f>VLOOKUP(C2062,'State Key'!$A$2:$B$210,2,False)</f>
        <v>Telangana</v>
      </c>
      <c r="E2062" s="15">
        <v>1080.0</v>
      </c>
      <c r="F2062" s="16">
        <v>0.0</v>
      </c>
      <c r="G2062" s="16">
        <v>521.294</v>
      </c>
      <c r="H2062" s="16">
        <v>0.0</v>
      </c>
      <c r="I2062" s="16">
        <v>0.0</v>
      </c>
      <c r="J2062" s="16">
        <v>0.0</v>
      </c>
      <c r="K2062" s="16">
        <v>0.0</v>
      </c>
      <c r="L2062" s="16">
        <v>521.294</v>
      </c>
      <c r="M2062" s="16">
        <v>449.34</v>
      </c>
      <c r="N2062" s="16">
        <v>183.533</v>
      </c>
      <c r="O2062" s="23">
        <v>12.3</v>
      </c>
      <c r="P2062" s="18">
        <f t="shared" si="1"/>
        <v>521.294</v>
      </c>
    </row>
    <row r="2063" ht="15.75" customHeight="1">
      <c r="A2063" s="19" t="s">
        <v>225</v>
      </c>
      <c r="B2063" s="19" t="s">
        <v>99</v>
      </c>
      <c r="C2063" s="20" t="s">
        <v>102</v>
      </c>
      <c r="D2063" s="14" t="str">
        <f>VLOOKUP(C2063,'State Key'!$A$2:$B$210,2,False)</f>
        <v>Andhra Pradesh</v>
      </c>
      <c r="E2063" s="21">
        <v>2400.0</v>
      </c>
      <c r="F2063" s="22">
        <v>619.659</v>
      </c>
      <c r="G2063" s="22">
        <v>0.0</v>
      </c>
      <c r="H2063" s="22">
        <v>0.0</v>
      </c>
      <c r="I2063" s="22">
        <v>0.0</v>
      </c>
      <c r="J2063" s="22">
        <v>0.0</v>
      </c>
      <c r="K2063" s="22">
        <v>0.0</v>
      </c>
      <c r="L2063" s="22">
        <v>619.659</v>
      </c>
      <c r="M2063" s="22">
        <v>667.849</v>
      </c>
      <c r="N2063" s="22">
        <v>39.647</v>
      </c>
      <c r="O2063" s="17">
        <v>1.8</v>
      </c>
      <c r="P2063" s="18">
        <f t="shared" si="1"/>
        <v>619.659</v>
      </c>
    </row>
    <row r="2064" ht="15.75" customHeight="1">
      <c r="A2064" s="13" t="s">
        <v>225</v>
      </c>
      <c r="B2064" s="13" t="s">
        <v>99</v>
      </c>
      <c r="C2064" s="14" t="s">
        <v>103</v>
      </c>
      <c r="D2064" s="14" t="str">
        <f>VLOOKUP(C2064,'State Key'!$A$2:$B$210,2,False)</f>
        <v>Andhra Pradesh</v>
      </c>
      <c r="E2064" s="15">
        <v>2560.0</v>
      </c>
      <c r="F2064" s="16">
        <v>600.575</v>
      </c>
      <c r="G2064" s="16">
        <v>371.603</v>
      </c>
      <c r="H2064" s="16">
        <v>0.0</v>
      </c>
      <c r="I2064" s="16">
        <v>0.0</v>
      </c>
      <c r="J2064" s="16">
        <v>0.0</v>
      </c>
      <c r="K2064" s="16">
        <v>0.0</v>
      </c>
      <c r="L2064" s="16">
        <v>972.178</v>
      </c>
      <c r="M2064" s="16">
        <v>1007.407</v>
      </c>
      <c r="N2064" s="16">
        <v>142.98</v>
      </c>
      <c r="O2064" s="17">
        <v>4.3</v>
      </c>
      <c r="P2064" s="18">
        <f t="shared" si="1"/>
        <v>972.178</v>
      </c>
    </row>
    <row r="2065" ht="15.75" customHeight="1">
      <c r="A2065" s="19" t="s">
        <v>225</v>
      </c>
      <c r="B2065" s="19" t="s">
        <v>99</v>
      </c>
      <c r="C2065" s="20" t="s">
        <v>104</v>
      </c>
      <c r="D2065" s="14" t="str">
        <f>VLOOKUP(C2065,'State Key'!$A$2:$B$210,2,False)</f>
        <v>Tamil Nadu</v>
      </c>
      <c r="E2065" s="21">
        <v>1200.0</v>
      </c>
      <c r="F2065" s="22">
        <v>0.0</v>
      </c>
      <c r="G2065" s="22">
        <v>0.0</v>
      </c>
      <c r="H2065" s="22">
        <v>0.0</v>
      </c>
      <c r="I2065" s="22">
        <v>0.0</v>
      </c>
      <c r="J2065" s="22">
        <v>468.3164</v>
      </c>
      <c r="K2065" s="22">
        <v>0.0</v>
      </c>
      <c r="L2065" s="22">
        <v>468.3164</v>
      </c>
      <c r="M2065" s="22">
        <v>431.5488</v>
      </c>
      <c r="N2065" s="22">
        <v>104.12</v>
      </c>
      <c r="O2065" s="23">
        <v>7.2</v>
      </c>
      <c r="P2065" s="18">
        <f t="shared" si="1"/>
        <v>468.3164</v>
      </c>
    </row>
    <row r="2066" ht="15.75" customHeight="1">
      <c r="A2066" s="13" t="s">
        <v>225</v>
      </c>
      <c r="B2066" s="13" t="s">
        <v>99</v>
      </c>
      <c r="C2066" s="14" t="s">
        <v>105</v>
      </c>
      <c r="D2066" s="14" t="str">
        <f>VLOOKUP(C2066,'State Key'!$A$2:$B$210,2,False)</f>
        <v>Telangana</v>
      </c>
      <c r="E2066" s="15">
        <v>1100.0</v>
      </c>
      <c r="F2066" s="16">
        <v>0.0</v>
      </c>
      <c r="G2066" s="16">
        <v>422.014</v>
      </c>
      <c r="H2066" s="16">
        <v>0.0</v>
      </c>
      <c r="I2066" s="16">
        <v>0.0</v>
      </c>
      <c r="J2066" s="16">
        <v>0.0</v>
      </c>
      <c r="K2066" s="16">
        <v>0.0</v>
      </c>
      <c r="L2066" s="16">
        <v>422.014</v>
      </c>
      <c r="M2066" s="16">
        <v>413.461</v>
      </c>
      <c r="N2066" s="16">
        <v>387.22</v>
      </c>
      <c r="O2066" s="24">
        <v>28.1</v>
      </c>
      <c r="P2066" s="18">
        <f t="shared" si="1"/>
        <v>422.014</v>
      </c>
    </row>
    <row r="2067" ht="15.75" customHeight="1">
      <c r="A2067" s="19" t="s">
        <v>225</v>
      </c>
      <c r="B2067" s="19" t="s">
        <v>99</v>
      </c>
      <c r="C2067" s="20" t="s">
        <v>106</v>
      </c>
      <c r="D2067" s="14" t="str">
        <f>VLOOKUP(C2067,'State Key'!$A$2:$B$210,2,False)</f>
        <v>Telangana</v>
      </c>
      <c r="E2067" s="21">
        <v>1000.0</v>
      </c>
      <c r="F2067" s="22">
        <v>0.0</v>
      </c>
      <c r="G2067" s="22">
        <v>416.57</v>
      </c>
      <c r="H2067" s="22">
        <v>0.0</v>
      </c>
      <c r="I2067" s="22">
        <v>0.0</v>
      </c>
      <c r="J2067" s="22">
        <v>0.0</v>
      </c>
      <c r="K2067" s="22">
        <v>0.0</v>
      </c>
      <c r="L2067" s="22">
        <v>416.57</v>
      </c>
      <c r="M2067" s="22">
        <v>386.09</v>
      </c>
      <c r="N2067" s="22">
        <v>156.131</v>
      </c>
      <c r="O2067" s="23">
        <v>12.1</v>
      </c>
      <c r="P2067" s="18">
        <f t="shared" si="1"/>
        <v>416.57</v>
      </c>
    </row>
    <row r="2068" ht="15.75" customHeight="1">
      <c r="A2068" s="13" t="s">
        <v>225</v>
      </c>
      <c r="B2068" s="13" t="s">
        <v>99</v>
      </c>
      <c r="C2068" s="14" t="s">
        <v>107</v>
      </c>
      <c r="D2068" s="14" t="str">
        <f>VLOOKUP(C2068,'State Key'!$A$2:$B$210,2,False)</f>
        <v>Telangana</v>
      </c>
      <c r="E2068" s="15">
        <v>800.0</v>
      </c>
      <c r="F2068" s="16">
        <v>0.0</v>
      </c>
      <c r="G2068" s="16">
        <v>290.794</v>
      </c>
      <c r="H2068" s="16">
        <v>0.0</v>
      </c>
      <c r="I2068" s="16">
        <v>0.0</v>
      </c>
      <c r="J2068" s="16">
        <v>0.0</v>
      </c>
      <c r="K2068" s="16">
        <v>0.0</v>
      </c>
      <c r="L2068" s="16">
        <v>290.794</v>
      </c>
      <c r="M2068" s="16">
        <v>271.175</v>
      </c>
      <c r="N2068" s="16">
        <v>94.456</v>
      </c>
      <c r="O2068" s="23">
        <v>10.4</v>
      </c>
      <c r="P2068" s="18">
        <f t="shared" si="1"/>
        <v>290.794</v>
      </c>
    </row>
    <row r="2069" ht="15.75" customHeight="1">
      <c r="A2069" s="19" t="s">
        <v>225</v>
      </c>
      <c r="B2069" s="19" t="s">
        <v>99</v>
      </c>
      <c r="C2069" s="20" t="s">
        <v>108</v>
      </c>
      <c r="D2069" s="14" t="str">
        <f>VLOOKUP(C2069,'State Key'!$A$2:$B$210,2,False)</f>
        <v>Karnataka</v>
      </c>
      <c r="E2069" s="21">
        <v>2400.0</v>
      </c>
      <c r="F2069" s="22">
        <v>271.25</v>
      </c>
      <c r="G2069" s="22">
        <v>188.6</v>
      </c>
      <c r="H2069" s="22">
        <v>67.07</v>
      </c>
      <c r="I2069" s="22">
        <v>0.0</v>
      </c>
      <c r="J2069" s="22">
        <v>240.264</v>
      </c>
      <c r="K2069" s="22">
        <v>0.0</v>
      </c>
      <c r="L2069" s="22">
        <v>767.184</v>
      </c>
      <c r="M2069" s="22">
        <v>698.673</v>
      </c>
      <c r="N2069" s="22">
        <v>580.93</v>
      </c>
      <c r="O2069" s="24">
        <v>24.9</v>
      </c>
      <c r="P2069" s="18">
        <f t="shared" si="1"/>
        <v>767.184</v>
      </c>
    </row>
    <row r="2070" ht="15.75" customHeight="1">
      <c r="A2070" s="13" t="s">
        <v>225</v>
      </c>
      <c r="B2070" s="13" t="s">
        <v>99</v>
      </c>
      <c r="C2070" s="14" t="s">
        <v>109</v>
      </c>
      <c r="D2070" s="14" t="str">
        <f>VLOOKUP(C2070,'State Key'!$A$2:$B$210,2,False)</f>
        <v>Tamil Nadu</v>
      </c>
      <c r="E2070" s="15">
        <v>840.0</v>
      </c>
      <c r="F2070" s="16">
        <v>214.948</v>
      </c>
      <c r="G2070" s="16">
        <v>262.7583</v>
      </c>
      <c r="H2070" s="16">
        <v>0.0</v>
      </c>
      <c r="I2070" s="16">
        <v>0.0</v>
      </c>
      <c r="J2070" s="16">
        <v>0.0</v>
      </c>
      <c r="K2070" s="16">
        <v>0.0</v>
      </c>
      <c r="L2070" s="16">
        <v>477.7063</v>
      </c>
      <c r="M2070" s="16">
        <v>425.7603</v>
      </c>
      <c r="N2070" s="16">
        <v>185.417</v>
      </c>
      <c r="O2070" s="23">
        <v>13.1</v>
      </c>
      <c r="P2070" s="18">
        <f t="shared" si="1"/>
        <v>477.7063</v>
      </c>
    </row>
    <row r="2071" ht="15.75" customHeight="1">
      <c r="A2071" s="19" t="s">
        <v>225</v>
      </c>
      <c r="B2071" s="19" t="s">
        <v>99</v>
      </c>
      <c r="C2071" s="20" t="s">
        <v>110</v>
      </c>
      <c r="D2071" s="14" t="str">
        <f>VLOOKUP(C2071,'State Key'!$A$2:$B$210,2,False)</f>
        <v>Tamil Nadu</v>
      </c>
      <c r="E2071" s="21">
        <v>600.0</v>
      </c>
      <c r="F2071" s="22">
        <v>119.02</v>
      </c>
      <c r="G2071" s="22">
        <v>140.41</v>
      </c>
      <c r="H2071" s="22">
        <v>0.0</v>
      </c>
      <c r="I2071" s="22">
        <v>0.0</v>
      </c>
      <c r="J2071" s="22">
        <v>0.0</v>
      </c>
      <c r="K2071" s="22">
        <v>0.0</v>
      </c>
      <c r="L2071" s="22">
        <v>259.43</v>
      </c>
      <c r="M2071" s="22">
        <v>169.97</v>
      </c>
      <c r="N2071" s="22">
        <v>205.98</v>
      </c>
      <c r="O2071" s="24">
        <v>36.4</v>
      </c>
      <c r="P2071" s="18">
        <f t="shared" si="1"/>
        <v>259.43</v>
      </c>
    </row>
    <row r="2072" ht="15.75" customHeight="1">
      <c r="A2072" s="13" t="s">
        <v>225</v>
      </c>
      <c r="B2072" s="13" t="s">
        <v>99</v>
      </c>
      <c r="C2072" s="14" t="s">
        <v>111</v>
      </c>
      <c r="D2072" s="14" t="str">
        <f>VLOOKUP(C2072,'State Key'!$A$2:$B$210,2,False)</f>
        <v>Tamil Nadu</v>
      </c>
      <c r="E2072" s="15">
        <v>1200.0</v>
      </c>
      <c r="F2072" s="16">
        <v>0.0</v>
      </c>
      <c r="G2072" s="16">
        <v>0.0</v>
      </c>
      <c r="H2072" s="16">
        <v>0.0</v>
      </c>
      <c r="I2072" s="16">
        <v>0.0</v>
      </c>
      <c r="J2072" s="16">
        <v>386.255</v>
      </c>
      <c r="K2072" s="16">
        <v>0.0</v>
      </c>
      <c r="L2072" s="16">
        <v>386.255</v>
      </c>
      <c r="M2072" s="16">
        <v>411.328</v>
      </c>
      <c r="N2072" s="16">
        <v>133.34</v>
      </c>
      <c r="O2072" s="23">
        <v>9.7</v>
      </c>
      <c r="P2072" s="18">
        <f t="shared" si="1"/>
        <v>386.255</v>
      </c>
    </row>
    <row r="2073" ht="15.75" customHeight="1">
      <c r="A2073" s="19" t="s">
        <v>225</v>
      </c>
      <c r="B2073" s="19" t="s">
        <v>99</v>
      </c>
      <c r="C2073" s="20" t="s">
        <v>112</v>
      </c>
      <c r="D2073" s="14" t="str">
        <f>VLOOKUP(C2073,'State Key'!$A$2:$B$210,2,False)</f>
        <v>Tamil Nadu</v>
      </c>
      <c r="E2073" s="21">
        <v>1830.0</v>
      </c>
      <c r="F2073" s="22">
        <v>1018.534</v>
      </c>
      <c r="G2073" s="22">
        <v>0.0</v>
      </c>
      <c r="H2073" s="22">
        <v>0.0</v>
      </c>
      <c r="I2073" s="22">
        <v>0.0</v>
      </c>
      <c r="J2073" s="22">
        <v>75.0</v>
      </c>
      <c r="K2073" s="22">
        <v>0.0</v>
      </c>
      <c r="L2073" s="22">
        <v>1093.534</v>
      </c>
      <c r="M2073" s="22">
        <v>918.943</v>
      </c>
      <c r="N2073" s="22">
        <v>363.952</v>
      </c>
      <c r="O2073" s="23">
        <v>11.9</v>
      </c>
      <c r="P2073" s="18">
        <f t="shared" si="1"/>
        <v>1093.534</v>
      </c>
    </row>
    <row r="2074" ht="15.75" customHeight="1">
      <c r="A2074" s="13" t="s">
        <v>225</v>
      </c>
      <c r="B2074" s="13" t="s">
        <v>99</v>
      </c>
      <c r="C2074" s="14" t="s">
        <v>113</v>
      </c>
      <c r="D2074" s="14" t="str">
        <f>VLOOKUP(C2074,'State Key'!$A$2:$B$210,2,False)</f>
        <v>Tamil Nadu</v>
      </c>
      <c r="E2074" s="15">
        <v>1000.0</v>
      </c>
      <c r="F2074" s="16">
        <v>191.675</v>
      </c>
      <c r="G2074" s="16">
        <v>0.0</v>
      </c>
      <c r="H2074" s="16">
        <v>71.655</v>
      </c>
      <c r="I2074" s="16">
        <v>0.0</v>
      </c>
      <c r="J2074" s="16">
        <v>69.5</v>
      </c>
      <c r="K2074" s="16">
        <v>0.0</v>
      </c>
      <c r="L2074" s="16">
        <v>332.83</v>
      </c>
      <c r="M2074" s="16">
        <v>398.228</v>
      </c>
      <c r="N2074" s="16">
        <v>253.28</v>
      </c>
      <c r="O2074" s="24">
        <v>19.1</v>
      </c>
      <c r="P2074" s="18">
        <f t="shared" si="1"/>
        <v>332.83</v>
      </c>
    </row>
    <row r="2075" ht="15.75" customHeight="1">
      <c r="A2075" s="19" t="s">
        <v>225</v>
      </c>
      <c r="B2075" s="19" t="s">
        <v>99</v>
      </c>
      <c r="C2075" s="20" t="s">
        <v>228</v>
      </c>
      <c r="D2075" s="14" t="str">
        <f>VLOOKUP(C2075,'State Key'!$A$2:$B$210,2,False)</f>
        <v>Tamil Nadu</v>
      </c>
      <c r="E2075" s="21">
        <v>414.0</v>
      </c>
      <c r="F2075" s="22">
        <v>0.0</v>
      </c>
      <c r="G2075" s="22">
        <v>0.0</v>
      </c>
      <c r="H2075" s="22">
        <v>0.0</v>
      </c>
      <c r="I2075" s="22">
        <v>0.0</v>
      </c>
      <c r="J2075" s="22">
        <v>34.0</v>
      </c>
      <c r="K2075" s="22">
        <v>0.0</v>
      </c>
      <c r="L2075" s="22">
        <v>34.0</v>
      </c>
      <c r="M2075" s="22">
        <v>34.0</v>
      </c>
      <c r="N2075" s="22">
        <v>0.0</v>
      </c>
      <c r="O2075" s="17">
        <v>0.0</v>
      </c>
      <c r="P2075" s="18">
        <f t="shared" si="1"/>
        <v>34</v>
      </c>
    </row>
    <row r="2076" ht="15.75" customHeight="1">
      <c r="A2076" s="13" t="s">
        <v>225</v>
      </c>
      <c r="B2076" s="13" t="s">
        <v>99</v>
      </c>
      <c r="C2076" s="14" t="s">
        <v>114</v>
      </c>
      <c r="D2076" s="14" t="str">
        <f>VLOOKUP(C2076,'State Key'!$A$2:$B$210,2,False)</f>
        <v>Andhra Pradesh</v>
      </c>
      <c r="E2076" s="15">
        <v>1320.0</v>
      </c>
      <c r="F2076" s="16">
        <v>381.936</v>
      </c>
      <c r="G2076" s="16">
        <v>0.0</v>
      </c>
      <c r="H2076" s="16">
        <v>0.0</v>
      </c>
      <c r="I2076" s="16">
        <v>0.0</v>
      </c>
      <c r="J2076" s="16">
        <v>139.444</v>
      </c>
      <c r="K2076" s="16">
        <v>0.0</v>
      </c>
      <c r="L2076" s="16">
        <v>521.38</v>
      </c>
      <c r="M2076" s="16">
        <v>558.318</v>
      </c>
      <c r="N2076" s="16">
        <v>208.975</v>
      </c>
      <c r="O2076" s="23">
        <v>11.2</v>
      </c>
      <c r="P2076" s="18">
        <f t="shared" si="1"/>
        <v>521.38</v>
      </c>
    </row>
    <row r="2077" ht="15.75" customHeight="1">
      <c r="A2077" s="19" t="s">
        <v>225</v>
      </c>
      <c r="B2077" s="19" t="s">
        <v>99</v>
      </c>
      <c r="C2077" s="20" t="s">
        <v>115</v>
      </c>
      <c r="D2077" s="14" t="str">
        <f>VLOOKUP(C2077,'State Key'!$A$2:$B$210,2,False)</f>
        <v>Karnataka</v>
      </c>
      <c r="E2077" s="21">
        <v>1720.0</v>
      </c>
      <c r="F2077" s="22">
        <v>369.789</v>
      </c>
      <c r="G2077" s="22">
        <v>249.534</v>
      </c>
      <c r="H2077" s="22">
        <v>0.0</v>
      </c>
      <c r="I2077" s="22">
        <v>0.0</v>
      </c>
      <c r="J2077" s="22">
        <v>35.93</v>
      </c>
      <c r="K2077" s="22">
        <v>0.0</v>
      </c>
      <c r="L2077" s="22">
        <v>655.253</v>
      </c>
      <c r="M2077" s="22">
        <v>565.077</v>
      </c>
      <c r="N2077" s="22">
        <v>385.92</v>
      </c>
      <c r="O2077" s="24">
        <v>20.5</v>
      </c>
      <c r="P2077" s="18">
        <f t="shared" si="1"/>
        <v>655.253</v>
      </c>
    </row>
    <row r="2078" ht="15.75" customHeight="1">
      <c r="A2078" s="13" t="s">
        <v>225</v>
      </c>
      <c r="B2078" s="13" t="s">
        <v>99</v>
      </c>
      <c r="C2078" s="14" t="s">
        <v>116</v>
      </c>
      <c r="D2078" s="14" t="str">
        <f>VLOOKUP(C2078,'State Key'!$A$2:$B$210,2,False)</f>
        <v>Telangana</v>
      </c>
      <c r="E2078" s="15">
        <v>2600.0</v>
      </c>
      <c r="F2078" s="16">
        <v>0.0</v>
      </c>
      <c r="G2078" s="16">
        <v>1017.11</v>
      </c>
      <c r="H2078" s="16">
        <v>0.0</v>
      </c>
      <c r="I2078" s="16">
        <v>0.0</v>
      </c>
      <c r="J2078" s="16">
        <v>0.0</v>
      </c>
      <c r="K2078" s="16">
        <v>0.0</v>
      </c>
      <c r="L2078" s="16">
        <v>1017.11</v>
      </c>
      <c r="M2078" s="16">
        <v>1047.554</v>
      </c>
      <c r="N2078" s="16">
        <v>610.01</v>
      </c>
      <c r="O2078" s="24">
        <v>17.5</v>
      </c>
      <c r="P2078" s="18">
        <f t="shared" si="1"/>
        <v>1017.11</v>
      </c>
    </row>
    <row r="2079" ht="15.75" customHeight="1">
      <c r="A2079" s="19" t="s">
        <v>225</v>
      </c>
      <c r="B2079" s="19" t="s">
        <v>99</v>
      </c>
      <c r="C2079" s="20" t="s">
        <v>117</v>
      </c>
      <c r="D2079" s="14" t="str">
        <f>VLOOKUP(C2079,'State Key'!$A$2:$B$210,2,False)</f>
        <v>Telangana</v>
      </c>
      <c r="E2079" s="21">
        <v>62.5</v>
      </c>
      <c r="F2079" s="22">
        <v>0.0</v>
      </c>
      <c r="G2079" s="22">
        <v>17.047</v>
      </c>
      <c r="H2079" s="22">
        <v>0.0</v>
      </c>
      <c r="I2079" s="22">
        <v>0.0</v>
      </c>
      <c r="J2079" s="22">
        <v>0.0</v>
      </c>
      <c r="K2079" s="22">
        <v>0.0</v>
      </c>
      <c r="L2079" s="22">
        <v>17.047</v>
      </c>
      <c r="M2079" s="22">
        <v>18.522</v>
      </c>
      <c r="N2079" s="22">
        <v>7.037</v>
      </c>
      <c r="O2079" s="23">
        <v>11.4</v>
      </c>
      <c r="P2079" s="18">
        <f t="shared" si="1"/>
        <v>17.047</v>
      </c>
    </row>
    <row r="2080" ht="15.75" customHeight="1">
      <c r="A2080" s="13" t="s">
        <v>225</v>
      </c>
      <c r="B2080" s="13" t="s">
        <v>99</v>
      </c>
      <c r="C2080" s="14" t="s">
        <v>118</v>
      </c>
      <c r="D2080" s="14" t="str">
        <f>VLOOKUP(C2080,'State Key'!$A$2:$B$210,2,False)</f>
        <v>Andhra Pradesh</v>
      </c>
      <c r="E2080" s="15">
        <v>1650.0</v>
      </c>
      <c r="F2080" s="16">
        <v>612.242</v>
      </c>
      <c r="G2080" s="16">
        <v>136.78</v>
      </c>
      <c r="H2080" s="16">
        <v>0.0</v>
      </c>
      <c r="I2080" s="16">
        <v>0.0</v>
      </c>
      <c r="J2080" s="16">
        <v>0.0</v>
      </c>
      <c r="K2080" s="16">
        <v>0.0</v>
      </c>
      <c r="L2080" s="16">
        <v>749.022</v>
      </c>
      <c r="M2080" s="16">
        <v>691.71</v>
      </c>
      <c r="N2080" s="16">
        <v>153.656</v>
      </c>
      <c r="O2080" s="17">
        <v>6.7</v>
      </c>
      <c r="P2080" s="18">
        <f t="shared" si="1"/>
        <v>749.022</v>
      </c>
    </row>
    <row r="2081" ht="15.75" customHeight="1">
      <c r="A2081" s="19" t="s">
        <v>225</v>
      </c>
      <c r="B2081" s="19" t="s">
        <v>99</v>
      </c>
      <c r="C2081" s="20" t="s">
        <v>119</v>
      </c>
      <c r="D2081" s="14" t="str">
        <f>VLOOKUP(C2081,'State Key'!$A$2:$B$210,2,False)</f>
        <v>Andhra Pradesh</v>
      </c>
      <c r="E2081" s="21">
        <v>1320.0</v>
      </c>
      <c r="F2081" s="22">
        <v>226.693</v>
      </c>
      <c r="G2081" s="22">
        <v>0.0</v>
      </c>
      <c r="H2081" s="22">
        <v>0.0</v>
      </c>
      <c r="I2081" s="22">
        <v>0.0</v>
      </c>
      <c r="J2081" s="22">
        <v>169.985</v>
      </c>
      <c r="K2081" s="22">
        <v>0.0</v>
      </c>
      <c r="L2081" s="22">
        <v>396.678</v>
      </c>
      <c r="M2081" s="22">
        <v>473.44</v>
      </c>
      <c r="N2081" s="22">
        <v>369.349</v>
      </c>
      <c r="O2081" s="24">
        <v>23.4</v>
      </c>
      <c r="P2081" s="18">
        <f t="shared" si="1"/>
        <v>396.678</v>
      </c>
    </row>
    <row r="2082" ht="15.75" customHeight="1">
      <c r="A2082" s="13" t="s">
        <v>225</v>
      </c>
      <c r="B2082" s="13" t="s">
        <v>99</v>
      </c>
      <c r="C2082" s="14" t="s">
        <v>120</v>
      </c>
      <c r="D2082" s="14" t="str">
        <f>VLOOKUP(C2082,'State Key'!$A$2:$B$210,2,False)</f>
        <v>Andhra Pradesh</v>
      </c>
      <c r="E2082" s="15">
        <v>2000.0</v>
      </c>
      <c r="F2082" s="16">
        <v>631.76</v>
      </c>
      <c r="G2082" s="16">
        <v>7.57</v>
      </c>
      <c r="H2082" s="16">
        <v>152.83</v>
      </c>
      <c r="I2082" s="16">
        <v>0.0</v>
      </c>
      <c r="J2082" s="16">
        <v>105.965</v>
      </c>
      <c r="K2082" s="16">
        <v>0.0</v>
      </c>
      <c r="L2082" s="16">
        <v>898.125</v>
      </c>
      <c r="M2082" s="16">
        <v>687.424</v>
      </c>
      <c r="N2082" s="16">
        <v>628.24</v>
      </c>
      <c r="O2082" s="24">
        <v>27.4</v>
      </c>
      <c r="P2082" s="18">
        <f t="shared" si="1"/>
        <v>898.125</v>
      </c>
    </row>
    <row r="2083" ht="15.75" customHeight="1">
      <c r="A2083" s="19" t="s">
        <v>225</v>
      </c>
      <c r="B2083" s="19" t="s">
        <v>99</v>
      </c>
      <c r="C2083" s="20" t="s">
        <v>121</v>
      </c>
      <c r="D2083" s="14" t="str">
        <f>VLOOKUP(C2083,'State Key'!$A$2:$B$210,2,False)</f>
        <v>Andhra Pradesh</v>
      </c>
      <c r="E2083" s="21">
        <v>600.0</v>
      </c>
      <c r="F2083" s="22">
        <v>0.0</v>
      </c>
      <c r="G2083" s="22">
        <v>0.0</v>
      </c>
      <c r="H2083" s="22">
        <v>0.0</v>
      </c>
      <c r="I2083" s="22">
        <v>0.0</v>
      </c>
      <c r="J2083" s="22">
        <v>165.801843</v>
      </c>
      <c r="K2083" s="22">
        <v>0.0</v>
      </c>
      <c r="L2083" s="22">
        <v>165.801843</v>
      </c>
      <c r="M2083" s="22">
        <v>191.925</v>
      </c>
      <c r="N2083" s="22">
        <v>68.05</v>
      </c>
      <c r="O2083" s="23">
        <v>10.6</v>
      </c>
      <c r="P2083" s="18">
        <f t="shared" si="1"/>
        <v>165.801843</v>
      </c>
    </row>
    <row r="2084" ht="15.75" customHeight="1">
      <c r="A2084" s="13" t="s">
        <v>225</v>
      </c>
      <c r="B2084" s="13" t="s">
        <v>99</v>
      </c>
      <c r="C2084" s="14" t="s">
        <v>122</v>
      </c>
      <c r="D2084" s="14" t="str">
        <f>VLOOKUP(C2084,'State Key'!$A$2:$B$210,2,False)</f>
        <v>Telangana</v>
      </c>
      <c r="E2084" s="15">
        <v>1200.0</v>
      </c>
      <c r="F2084" s="16">
        <v>0.0</v>
      </c>
      <c r="G2084" s="16">
        <v>484.731</v>
      </c>
      <c r="H2084" s="16">
        <v>0.0</v>
      </c>
      <c r="I2084" s="16">
        <v>0.0</v>
      </c>
      <c r="J2084" s="16">
        <v>0.0</v>
      </c>
      <c r="K2084" s="16">
        <v>0.0</v>
      </c>
      <c r="L2084" s="16">
        <v>484.731</v>
      </c>
      <c r="M2084" s="16">
        <v>447.6077</v>
      </c>
      <c r="N2084" s="16">
        <v>175.29</v>
      </c>
      <c r="O2084" s="23">
        <v>11.7</v>
      </c>
      <c r="P2084" s="18">
        <f t="shared" si="1"/>
        <v>484.731</v>
      </c>
    </row>
    <row r="2085" ht="15.75" customHeight="1">
      <c r="A2085" s="19" t="s">
        <v>225</v>
      </c>
      <c r="B2085" s="19" t="s">
        <v>99</v>
      </c>
      <c r="C2085" s="20" t="s">
        <v>220</v>
      </c>
      <c r="D2085" s="14" t="str">
        <f>VLOOKUP(C2085,'State Key'!$A$2:$B$210,2,False)</f>
        <v>Telangana</v>
      </c>
      <c r="E2085" s="21">
        <v>1600.0</v>
      </c>
      <c r="F2085" s="22">
        <v>0.0</v>
      </c>
      <c r="G2085" s="22">
        <v>478.64</v>
      </c>
      <c r="H2085" s="22">
        <v>0.0</v>
      </c>
      <c r="I2085" s="22">
        <v>0.0</v>
      </c>
      <c r="J2085" s="22">
        <v>0.0</v>
      </c>
      <c r="K2085" s="22">
        <v>0.0</v>
      </c>
      <c r="L2085" s="22">
        <v>478.64</v>
      </c>
      <c r="M2085" s="22">
        <v>519.576</v>
      </c>
      <c r="N2085" s="22">
        <v>182.602</v>
      </c>
      <c r="O2085" s="23">
        <v>10.5</v>
      </c>
      <c r="P2085" s="18">
        <f t="shared" si="1"/>
        <v>478.64</v>
      </c>
    </row>
    <row r="2086" ht="15.75" customHeight="1">
      <c r="A2086" s="13" t="s">
        <v>225</v>
      </c>
      <c r="B2086" s="13" t="s">
        <v>99</v>
      </c>
      <c r="C2086" s="14" t="s">
        <v>123</v>
      </c>
      <c r="D2086" s="14" t="str">
        <f>VLOOKUP(C2086,'State Key'!$A$2:$B$210,2,False)</f>
        <v>Andhra Pradesh</v>
      </c>
      <c r="E2086" s="15">
        <v>300.0</v>
      </c>
      <c r="F2086" s="16">
        <v>0.0</v>
      </c>
      <c r="G2086" s="16">
        <v>0.0</v>
      </c>
      <c r="H2086" s="16">
        <v>0.0</v>
      </c>
      <c r="I2086" s="16">
        <v>0.0</v>
      </c>
      <c r="J2086" s="16">
        <v>0.0</v>
      </c>
      <c r="K2086" s="16">
        <v>0.0</v>
      </c>
      <c r="L2086" s="16">
        <v>0.0</v>
      </c>
      <c r="M2086" s="16">
        <v>0.0</v>
      </c>
      <c r="N2086" s="16">
        <v>0.0</v>
      </c>
      <c r="O2086" s="13" t="s">
        <v>58</v>
      </c>
      <c r="P2086" s="18">
        <f t="shared" si="1"/>
        <v>0</v>
      </c>
    </row>
    <row r="2087" ht="15.75" customHeight="1">
      <c r="A2087" s="19" t="s">
        <v>225</v>
      </c>
      <c r="B2087" s="19" t="s">
        <v>99</v>
      </c>
      <c r="C2087" s="20" t="s">
        <v>124</v>
      </c>
      <c r="D2087" s="14" t="str">
        <f>VLOOKUP(C2087,'State Key'!$A$2:$B$210,2,False)</f>
        <v>Karnataka</v>
      </c>
      <c r="E2087" s="21">
        <v>260.0</v>
      </c>
      <c r="F2087" s="22">
        <v>0.0</v>
      </c>
      <c r="G2087" s="22">
        <v>0.0</v>
      </c>
      <c r="H2087" s="22">
        <v>0.0</v>
      </c>
      <c r="I2087" s="22">
        <v>0.0</v>
      </c>
      <c r="J2087" s="22">
        <v>57.69</v>
      </c>
      <c r="K2087" s="22">
        <v>0.0</v>
      </c>
      <c r="L2087" s="22">
        <v>57.69</v>
      </c>
      <c r="M2087" s="22">
        <v>57.6899</v>
      </c>
      <c r="N2087" s="22">
        <v>0.0</v>
      </c>
      <c r="O2087" s="17">
        <v>0.0</v>
      </c>
      <c r="P2087" s="18">
        <f t="shared" si="1"/>
        <v>57.69</v>
      </c>
    </row>
    <row r="2088" ht="15.75" customHeight="1">
      <c r="A2088" s="13" t="s">
        <v>225</v>
      </c>
      <c r="B2088" s="13" t="s">
        <v>99</v>
      </c>
      <c r="C2088" s="14" t="s">
        <v>125</v>
      </c>
      <c r="D2088" s="14" t="str">
        <f>VLOOKUP(C2088,'State Key'!$A$2:$B$210,2,False)</f>
        <v>Karnataka</v>
      </c>
      <c r="E2088" s="15">
        <v>600.0</v>
      </c>
      <c r="F2088" s="16">
        <v>0.0</v>
      </c>
      <c r="G2088" s="16">
        <v>0.0</v>
      </c>
      <c r="H2088" s="16">
        <v>0.0</v>
      </c>
      <c r="I2088" s="16">
        <v>0.0</v>
      </c>
      <c r="J2088" s="16">
        <v>111.49</v>
      </c>
      <c r="K2088" s="16">
        <v>0.0</v>
      </c>
      <c r="L2088" s="16">
        <v>111.49</v>
      </c>
      <c r="M2088" s="16">
        <v>126.05</v>
      </c>
      <c r="N2088" s="16">
        <v>7.73</v>
      </c>
      <c r="O2088" s="17">
        <v>1.8</v>
      </c>
      <c r="P2088" s="18">
        <f t="shared" si="1"/>
        <v>111.49</v>
      </c>
    </row>
    <row r="2089" ht="15.75" customHeight="1">
      <c r="A2089" s="19" t="s">
        <v>225</v>
      </c>
      <c r="B2089" s="19" t="s">
        <v>99</v>
      </c>
      <c r="C2089" s="20" t="s">
        <v>126</v>
      </c>
      <c r="D2089" s="14" t="str">
        <f>VLOOKUP(C2089,'State Key'!$A$2:$B$210,2,False)</f>
        <v>Tamil Nadu</v>
      </c>
      <c r="E2089" s="21">
        <v>300.0</v>
      </c>
      <c r="F2089" s="22">
        <v>0.0</v>
      </c>
      <c r="G2089" s="22">
        <v>0.0</v>
      </c>
      <c r="H2089" s="22">
        <v>0.0</v>
      </c>
      <c r="I2089" s="22">
        <v>0.0</v>
      </c>
      <c r="J2089" s="22">
        <v>0.0</v>
      </c>
      <c r="K2089" s="22">
        <v>0.0</v>
      </c>
      <c r="L2089" s="22">
        <v>0.0</v>
      </c>
      <c r="M2089" s="22">
        <v>0.0</v>
      </c>
      <c r="N2089" s="22">
        <v>0.0</v>
      </c>
      <c r="O2089" s="19" t="s">
        <v>58</v>
      </c>
      <c r="P2089" s="18">
        <f t="shared" si="1"/>
        <v>0</v>
      </c>
    </row>
    <row r="2090" ht="15.75" customHeight="1">
      <c r="A2090" s="13" t="s">
        <v>225</v>
      </c>
      <c r="B2090" s="13" t="s">
        <v>99</v>
      </c>
      <c r="C2090" s="14" t="s">
        <v>127</v>
      </c>
      <c r="D2090" s="14" t="str">
        <f>VLOOKUP(C2090,'State Key'!$A$2:$B$210,2,False)</f>
        <v>Tamil Nadu</v>
      </c>
      <c r="E2090" s="15">
        <v>525.0</v>
      </c>
      <c r="F2090" s="16">
        <v>0.0</v>
      </c>
      <c r="G2090" s="16">
        <v>0.0</v>
      </c>
      <c r="H2090" s="16">
        <v>0.0</v>
      </c>
      <c r="I2090" s="16">
        <v>0.0</v>
      </c>
      <c r="J2090" s="16">
        <v>134.148</v>
      </c>
      <c r="K2090" s="16">
        <v>0.0</v>
      </c>
      <c r="L2090" s="16">
        <v>134.148</v>
      </c>
      <c r="M2090" s="16">
        <v>122.085</v>
      </c>
      <c r="N2090" s="16">
        <v>21.26</v>
      </c>
      <c r="O2090" s="17">
        <v>5.2</v>
      </c>
      <c r="P2090" s="18">
        <f t="shared" si="1"/>
        <v>134.148</v>
      </c>
    </row>
    <row r="2091" ht="15.75" customHeight="1">
      <c r="A2091" s="19" t="s">
        <v>225</v>
      </c>
      <c r="B2091" s="19" t="s">
        <v>99</v>
      </c>
      <c r="C2091" s="20" t="s">
        <v>128</v>
      </c>
      <c r="D2091" s="14" t="str">
        <f>VLOOKUP(C2091,'State Key'!$A$2:$B$210,2,False)</f>
        <v>Tamil Nadu</v>
      </c>
      <c r="E2091" s="21">
        <v>1050.0</v>
      </c>
      <c r="F2091" s="22">
        <v>562.974</v>
      </c>
      <c r="G2091" s="22">
        <v>0.0</v>
      </c>
      <c r="H2091" s="22">
        <v>0.0</v>
      </c>
      <c r="I2091" s="22">
        <v>0.0</v>
      </c>
      <c r="J2091" s="22">
        <v>0.0</v>
      </c>
      <c r="K2091" s="22">
        <v>0.0</v>
      </c>
      <c r="L2091" s="22">
        <v>562.974</v>
      </c>
      <c r="M2091" s="22">
        <v>578.116</v>
      </c>
      <c r="N2091" s="22">
        <v>176.58</v>
      </c>
      <c r="O2091" s="23">
        <v>9.2</v>
      </c>
      <c r="P2091" s="18">
        <f t="shared" si="1"/>
        <v>562.974</v>
      </c>
    </row>
    <row r="2092" ht="15.75" customHeight="1">
      <c r="A2092" s="13" t="s">
        <v>225</v>
      </c>
      <c r="B2092" s="13" t="s">
        <v>99</v>
      </c>
      <c r="C2092" s="14" t="s">
        <v>130</v>
      </c>
      <c r="D2092" s="14" t="str">
        <f>VLOOKUP(C2092,'State Key'!$A$2:$B$210,2,False)</f>
        <v>Tamil Nadu</v>
      </c>
      <c r="E2092" s="15">
        <v>1500.0</v>
      </c>
      <c r="F2092" s="16">
        <v>285.105</v>
      </c>
      <c r="G2092" s="16">
        <v>0.0</v>
      </c>
      <c r="H2092" s="16">
        <v>0.0</v>
      </c>
      <c r="I2092" s="16">
        <v>0.0</v>
      </c>
      <c r="J2092" s="16">
        <v>0.0</v>
      </c>
      <c r="K2092" s="16">
        <v>0.0</v>
      </c>
      <c r="L2092" s="16">
        <v>285.105</v>
      </c>
      <c r="M2092" s="16">
        <v>238.034</v>
      </c>
      <c r="N2092" s="16">
        <v>600.76</v>
      </c>
      <c r="O2092" s="24">
        <v>75.7</v>
      </c>
      <c r="P2092" s="18">
        <f t="shared" si="1"/>
        <v>285.105</v>
      </c>
    </row>
    <row r="2093" ht="15.75" customHeight="1">
      <c r="A2093" s="19" t="s">
        <v>225</v>
      </c>
      <c r="B2093" s="19" t="s">
        <v>99</v>
      </c>
      <c r="C2093" s="20" t="s">
        <v>131</v>
      </c>
      <c r="D2093" s="14" t="str">
        <f>VLOOKUP(C2093,'State Key'!$A$2:$B$210,2,False)</f>
        <v>Andhra Pradesh</v>
      </c>
      <c r="E2093" s="21">
        <v>1040.0</v>
      </c>
      <c r="F2093" s="22">
        <v>408.58748</v>
      </c>
      <c r="G2093" s="22">
        <v>0.0</v>
      </c>
      <c r="H2093" s="22">
        <v>0.0</v>
      </c>
      <c r="I2093" s="22">
        <v>0.0</v>
      </c>
      <c r="J2093" s="22">
        <v>67.8249</v>
      </c>
      <c r="K2093" s="22">
        <v>0.0</v>
      </c>
      <c r="L2093" s="22">
        <v>476.41238</v>
      </c>
      <c r="M2093" s="22">
        <v>362.611</v>
      </c>
      <c r="N2093" s="22">
        <v>172.982</v>
      </c>
      <c r="O2093" s="24">
        <v>14.3</v>
      </c>
      <c r="P2093" s="18">
        <f t="shared" si="1"/>
        <v>476.41238</v>
      </c>
    </row>
    <row r="2094" ht="15.75" customHeight="1">
      <c r="A2094" s="13" t="s">
        <v>225</v>
      </c>
      <c r="B2094" s="13" t="s">
        <v>99</v>
      </c>
      <c r="C2094" s="14" t="s">
        <v>132</v>
      </c>
      <c r="D2094" s="14" t="str">
        <f>VLOOKUP(C2094,'State Key'!$A$2:$B$210,2,False)</f>
        <v>Karnataka</v>
      </c>
      <c r="E2094" s="15">
        <v>1600.0</v>
      </c>
      <c r="F2094" s="16">
        <v>0.0</v>
      </c>
      <c r="G2094" s="16">
        <v>348.126</v>
      </c>
      <c r="H2094" s="16">
        <v>0.0</v>
      </c>
      <c r="I2094" s="16">
        <v>0.0</v>
      </c>
      <c r="J2094" s="16">
        <v>23.873</v>
      </c>
      <c r="K2094" s="16">
        <v>0.0</v>
      </c>
      <c r="L2094" s="16">
        <v>371.999</v>
      </c>
      <c r="M2094" s="16">
        <v>346.881</v>
      </c>
      <c r="N2094" s="16">
        <v>277.258</v>
      </c>
      <c r="O2094" s="24">
        <v>24.0</v>
      </c>
      <c r="P2094" s="18">
        <f t="shared" si="1"/>
        <v>371.999</v>
      </c>
    </row>
    <row r="2095" ht="15.75" customHeight="1">
      <c r="A2095" s="19" t="s">
        <v>225</v>
      </c>
      <c r="B2095" s="19" t="s">
        <v>133</v>
      </c>
      <c r="C2095" s="20" t="s">
        <v>211</v>
      </c>
      <c r="D2095" s="14" t="str">
        <f>VLOOKUP(C2095,'State Key'!$A$2:$B$210,2,False)</f>
        <v>Gujarat</v>
      </c>
      <c r="E2095" s="21">
        <v>2640.0</v>
      </c>
      <c r="F2095" s="22">
        <v>0.0</v>
      </c>
      <c r="G2095" s="22">
        <v>0.0</v>
      </c>
      <c r="H2095" s="22">
        <v>0.0</v>
      </c>
      <c r="I2095" s="22">
        <v>0.0</v>
      </c>
      <c r="J2095" s="22">
        <v>793.188</v>
      </c>
      <c r="K2095" s="22">
        <v>0.0</v>
      </c>
      <c r="L2095" s="22">
        <v>793.188</v>
      </c>
      <c r="M2095" s="22">
        <v>699.834</v>
      </c>
      <c r="N2095" s="22">
        <v>131.668</v>
      </c>
      <c r="O2095" s="17">
        <v>5.6</v>
      </c>
      <c r="P2095" s="18">
        <f t="shared" si="1"/>
        <v>793.188</v>
      </c>
    </row>
    <row r="2096" ht="15.75" customHeight="1">
      <c r="A2096" s="13" t="s">
        <v>225</v>
      </c>
      <c r="B2096" s="13" t="s">
        <v>133</v>
      </c>
      <c r="C2096" s="14" t="s">
        <v>212</v>
      </c>
      <c r="D2096" s="14" t="str">
        <f>VLOOKUP(C2096,'State Key'!$A$2:$B$210,2,False)</f>
        <v>Gujarat</v>
      </c>
      <c r="E2096" s="15">
        <v>1980.0</v>
      </c>
      <c r="F2096" s="16">
        <v>0.0</v>
      </c>
      <c r="G2096" s="16">
        <v>0.0</v>
      </c>
      <c r="H2096" s="16">
        <v>0.0</v>
      </c>
      <c r="I2096" s="16">
        <v>0.0</v>
      </c>
      <c r="J2096" s="16">
        <v>558.489</v>
      </c>
      <c r="K2096" s="16">
        <v>0.0</v>
      </c>
      <c r="L2096" s="16">
        <v>558.489</v>
      </c>
      <c r="M2096" s="16">
        <v>507.205</v>
      </c>
      <c r="N2096" s="16">
        <v>117.314</v>
      </c>
      <c r="O2096" s="17">
        <v>6.9</v>
      </c>
      <c r="P2096" s="18">
        <f t="shared" si="1"/>
        <v>558.489</v>
      </c>
    </row>
    <row r="2097" ht="15.75" customHeight="1">
      <c r="A2097" s="19" t="s">
        <v>225</v>
      </c>
      <c r="B2097" s="19" t="s">
        <v>133</v>
      </c>
      <c r="C2097" s="20" t="s">
        <v>213</v>
      </c>
      <c r="D2097" s="14" t="str">
        <f>VLOOKUP(C2097,'State Key'!$A$2:$B$210,2,False)</f>
        <v>Chhattisgarh</v>
      </c>
      <c r="E2097" s="21">
        <v>600.0</v>
      </c>
      <c r="F2097" s="22">
        <v>215.28</v>
      </c>
      <c r="G2097" s="22">
        <v>0.0</v>
      </c>
      <c r="H2097" s="22">
        <v>0.0</v>
      </c>
      <c r="I2097" s="22">
        <v>87.657</v>
      </c>
      <c r="J2097" s="22">
        <v>0.0</v>
      </c>
      <c r="K2097" s="22">
        <v>0.0</v>
      </c>
      <c r="L2097" s="22">
        <v>302.937</v>
      </c>
      <c r="M2097" s="22">
        <v>265.468</v>
      </c>
      <c r="N2097" s="22">
        <v>120.57</v>
      </c>
      <c r="O2097" s="23">
        <v>13.6</v>
      </c>
      <c r="P2097" s="18">
        <f t="shared" si="1"/>
        <v>302.937</v>
      </c>
    </row>
    <row r="2098" ht="15.75" customHeight="1">
      <c r="A2098" s="13" t="s">
        <v>225</v>
      </c>
      <c r="B2098" s="13" t="s">
        <v>133</v>
      </c>
      <c r="C2098" s="14" t="s">
        <v>214</v>
      </c>
      <c r="D2098" s="14" t="str">
        <f>VLOOKUP(C2098,'State Key'!$A$2:$B$210,2,False)</f>
        <v>Chhattisgarh</v>
      </c>
      <c r="E2098" s="15">
        <v>1370.0</v>
      </c>
      <c r="F2098" s="16">
        <v>416.829</v>
      </c>
      <c r="G2098" s="16">
        <v>0.0</v>
      </c>
      <c r="H2098" s="16">
        <v>0.0</v>
      </c>
      <c r="I2098" s="16">
        <v>3.945</v>
      </c>
      <c r="J2098" s="16">
        <v>0.0</v>
      </c>
      <c r="K2098" s="16">
        <v>76.074</v>
      </c>
      <c r="L2098" s="16">
        <v>496.848</v>
      </c>
      <c r="M2098" s="16">
        <v>550.169</v>
      </c>
      <c r="N2098" s="16">
        <v>270.79</v>
      </c>
      <c r="O2098" s="24">
        <v>14.8</v>
      </c>
      <c r="P2098" s="18">
        <f t="shared" si="1"/>
        <v>496.848</v>
      </c>
    </row>
    <row r="2099" ht="15.75" customHeight="1">
      <c r="A2099" s="19" t="s">
        <v>225</v>
      </c>
      <c r="B2099" s="19" t="s">
        <v>133</v>
      </c>
      <c r="C2099" s="20" t="s">
        <v>215</v>
      </c>
      <c r="D2099" s="14" t="str">
        <f>VLOOKUP(C2099,'State Key'!$A$2:$B$210,2,False)</f>
        <v>Maharashtra</v>
      </c>
      <c r="E2099" s="21">
        <v>3300.0</v>
      </c>
      <c r="F2099" s="22">
        <v>1255.006</v>
      </c>
      <c r="G2099" s="22">
        <v>0.0</v>
      </c>
      <c r="H2099" s="22">
        <v>0.0</v>
      </c>
      <c r="I2099" s="22">
        <v>0.0</v>
      </c>
      <c r="J2099" s="22">
        <v>0.0</v>
      </c>
      <c r="K2099" s="22">
        <v>0.0</v>
      </c>
      <c r="L2099" s="22">
        <v>1255.006</v>
      </c>
      <c r="M2099" s="22">
        <v>1275.437</v>
      </c>
      <c r="N2099" s="22">
        <v>742.7</v>
      </c>
      <c r="O2099" s="24">
        <v>17.5</v>
      </c>
      <c r="P2099" s="18">
        <f t="shared" si="1"/>
        <v>1255.006</v>
      </c>
    </row>
    <row r="2100" ht="15.75" customHeight="1">
      <c r="A2100" s="13" t="s">
        <v>225</v>
      </c>
      <c r="B2100" s="13" t="s">
        <v>133</v>
      </c>
      <c r="C2100" s="14" t="s">
        <v>134</v>
      </c>
      <c r="D2100" s="14" t="str">
        <f>VLOOKUP(C2100,'State Key'!$A$2:$B$210,2,False)</f>
        <v>Chhattisgarh</v>
      </c>
      <c r="E2100" s="15">
        <v>1800.0</v>
      </c>
      <c r="F2100" s="16">
        <v>728.6785</v>
      </c>
      <c r="G2100" s="16">
        <v>0.0</v>
      </c>
      <c r="H2100" s="16">
        <v>0.0</v>
      </c>
      <c r="I2100" s="16">
        <v>0.9392</v>
      </c>
      <c r="J2100" s="16">
        <v>0.0</v>
      </c>
      <c r="K2100" s="16">
        <v>0.0</v>
      </c>
      <c r="L2100" s="16">
        <v>729.6177</v>
      </c>
      <c r="M2100" s="16">
        <v>520.983</v>
      </c>
      <c r="N2100" s="16">
        <v>594.69</v>
      </c>
      <c r="O2100" s="24">
        <v>34.2</v>
      </c>
      <c r="P2100" s="18">
        <f t="shared" si="1"/>
        <v>729.6177</v>
      </c>
    </row>
    <row r="2101" ht="15.75" customHeight="1">
      <c r="A2101" s="19" t="s">
        <v>225</v>
      </c>
      <c r="B2101" s="19" t="s">
        <v>133</v>
      </c>
      <c r="C2101" s="20" t="s">
        <v>135</v>
      </c>
      <c r="D2101" s="14" t="str">
        <f>VLOOKUP(C2101,'State Key'!$A$2:$B$210,2,False)</f>
        <v>Madhya Pradesh</v>
      </c>
      <c r="E2101" s="21">
        <v>210.0</v>
      </c>
      <c r="F2101" s="22">
        <v>82.689</v>
      </c>
      <c r="G2101" s="22">
        <v>0.0</v>
      </c>
      <c r="H2101" s="22">
        <v>0.0</v>
      </c>
      <c r="I2101" s="22">
        <v>0.0</v>
      </c>
      <c r="J2101" s="22">
        <v>0.0</v>
      </c>
      <c r="K2101" s="22">
        <v>0.0</v>
      </c>
      <c r="L2101" s="22">
        <v>82.689</v>
      </c>
      <c r="M2101" s="22">
        <v>93.391</v>
      </c>
      <c r="N2101" s="22">
        <v>61.418</v>
      </c>
      <c r="O2101" s="24">
        <v>19.7</v>
      </c>
      <c r="P2101" s="18">
        <f t="shared" si="1"/>
        <v>82.689</v>
      </c>
    </row>
    <row r="2102" ht="15.75" customHeight="1">
      <c r="A2102" s="13" t="s">
        <v>225</v>
      </c>
      <c r="B2102" s="13" t="s">
        <v>133</v>
      </c>
      <c r="C2102" s="14" t="s">
        <v>136</v>
      </c>
      <c r="D2102" s="14" t="str">
        <f>VLOOKUP(C2102,'State Key'!$A$2:$B$210,2,False)</f>
        <v>Maharashtra</v>
      </c>
      <c r="E2102" s="15">
        <v>1350.0</v>
      </c>
      <c r="F2102" s="16">
        <v>599.747</v>
      </c>
      <c r="G2102" s="16">
        <v>0.0</v>
      </c>
      <c r="H2102" s="16">
        <v>0.0</v>
      </c>
      <c r="I2102" s="16">
        <v>2.687</v>
      </c>
      <c r="J2102" s="16">
        <v>0.0</v>
      </c>
      <c r="K2102" s="16">
        <v>0.0</v>
      </c>
      <c r="L2102" s="16">
        <v>602.434</v>
      </c>
      <c r="M2102" s="16">
        <v>562.564</v>
      </c>
      <c r="N2102" s="16">
        <v>208.47</v>
      </c>
      <c r="O2102" s="23">
        <v>11.1</v>
      </c>
      <c r="P2102" s="18">
        <f t="shared" si="1"/>
        <v>602.434</v>
      </c>
    </row>
    <row r="2103" ht="15.75" customHeight="1">
      <c r="A2103" s="19" t="s">
        <v>225</v>
      </c>
      <c r="B2103" s="19" t="s">
        <v>133</v>
      </c>
      <c r="C2103" s="20" t="s">
        <v>137</v>
      </c>
      <c r="D2103" s="14" t="str">
        <f>VLOOKUP(C2103,'State Key'!$A$2:$B$210,2,False)</f>
        <v>Madhya Pradesh</v>
      </c>
      <c r="E2103" s="21">
        <v>1250.0</v>
      </c>
      <c r="F2103" s="22">
        <v>342.99</v>
      </c>
      <c r="G2103" s="22">
        <v>0.0</v>
      </c>
      <c r="H2103" s="22">
        <v>0.0</v>
      </c>
      <c r="I2103" s="22">
        <v>91.15</v>
      </c>
      <c r="J2103" s="22">
        <v>0.0</v>
      </c>
      <c r="K2103" s="22">
        <v>0.0</v>
      </c>
      <c r="L2103" s="22">
        <v>434.14</v>
      </c>
      <c r="M2103" s="22">
        <v>510.02</v>
      </c>
      <c r="N2103" s="22">
        <v>439.99</v>
      </c>
      <c r="O2103" s="24">
        <v>25.9</v>
      </c>
      <c r="P2103" s="18">
        <f t="shared" si="1"/>
        <v>434.14</v>
      </c>
    </row>
    <row r="2104" ht="15.75" customHeight="1">
      <c r="A2104" s="13" t="s">
        <v>225</v>
      </c>
      <c r="B2104" s="13" t="s">
        <v>133</v>
      </c>
      <c r="C2104" s="14" t="s">
        <v>139</v>
      </c>
      <c r="D2104" s="14" t="str">
        <f>VLOOKUP(C2104,'State Key'!$A$2:$B$210,2,False)</f>
        <v>Chhattisgarh</v>
      </c>
      <c r="E2104" s="15">
        <v>600.0</v>
      </c>
      <c r="F2104" s="16">
        <v>254.62</v>
      </c>
      <c r="G2104" s="16">
        <v>0.0</v>
      </c>
      <c r="H2104" s="16">
        <v>0.0</v>
      </c>
      <c r="I2104" s="16">
        <v>42.133</v>
      </c>
      <c r="J2104" s="16">
        <v>0.0</v>
      </c>
      <c r="K2104" s="16">
        <v>0.0</v>
      </c>
      <c r="L2104" s="16">
        <v>296.753</v>
      </c>
      <c r="M2104" s="16">
        <v>243.862</v>
      </c>
      <c r="N2104" s="16">
        <v>111.59</v>
      </c>
      <c r="O2104" s="23">
        <v>13.7</v>
      </c>
      <c r="P2104" s="18">
        <f t="shared" si="1"/>
        <v>296.753</v>
      </c>
    </row>
    <row r="2105" ht="15.75" customHeight="1">
      <c r="A2105" s="19" t="s">
        <v>225</v>
      </c>
      <c r="B2105" s="19" t="s">
        <v>133</v>
      </c>
      <c r="C2105" s="20" t="s">
        <v>140</v>
      </c>
      <c r="D2105" s="14" t="str">
        <f>VLOOKUP(C2105,'State Key'!$A$2:$B$210,2,False)</f>
        <v>Chhattisgarh</v>
      </c>
      <c r="E2105" s="21">
        <v>300.0</v>
      </c>
      <c r="F2105" s="22">
        <v>81.938</v>
      </c>
      <c r="G2105" s="22">
        <v>0.0</v>
      </c>
      <c r="H2105" s="22">
        <v>0.0</v>
      </c>
      <c r="I2105" s="22">
        <v>32.981</v>
      </c>
      <c r="J2105" s="22">
        <v>0.0</v>
      </c>
      <c r="K2105" s="22">
        <v>0.0</v>
      </c>
      <c r="L2105" s="22">
        <v>114.919</v>
      </c>
      <c r="M2105" s="22">
        <v>134.915</v>
      </c>
      <c r="N2105" s="22">
        <v>65.51</v>
      </c>
      <c r="O2105" s="24">
        <v>14.6</v>
      </c>
      <c r="P2105" s="18">
        <f t="shared" si="1"/>
        <v>114.919</v>
      </c>
    </row>
    <row r="2106" ht="15.75" customHeight="1">
      <c r="A2106" s="13" t="s">
        <v>225</v>
      </c>
      <c r="B2106" s="13" t="s">
        <v>133</v>
      </c>
      <c r="C2106" s="14" t="s">
        <v>141</v>
      </c>
      <c r="D2106" s="14" t="str">
        <f>VLOOKUP(C2106,'State Key'!$A$2:$B$210,2,False)</f>
        <v>Chhattisgarh</v>
      </c>
      <c r="E2106" s="15">
        <v>1200.0</v>
      </c>
      <c r="F2106" s="16">
        <v>349.065</v>
      </c>
      <c r="G2106" s="16">
        <v>0.0</v>
      </c>
      <c r="H2106" s="16">
        <v>0.0</v>
      </c>
      <c r="I2106" s="16">
        <v>276.717</v>
      </c>
      <c r="J2106" s="16">
        <v>0.0</v>
      </c>
      <c r="K2106" s="16">
        <v>0.0</v>
      </c>
      <c r="L2106" s="16">
        <v>625.782</v>
      </c>
      <c r="M2106" s="16">
        <v>552.807</v>
      </c>
      <c r="N2106" s="16">
        <v>245.687</v>
      </c>
      <c r="O2106" s="23">
        <v>13.3</v>
      </c>
      <c r="P2106" s="18">
        <f t="shared" si="1"/>
        <v>625.782</v>
      </c>
    </row>
    <row r="2107" ht="15.75" customHeight="1">
      <c r="A2107" s="19" t="s">
        <v>225</v>
      </c>
      <c r="B2107" s="19" t="s">
        <v>133</v>
      </c>
      <c r="C2107" s="20" t="s">
        <v>142</v>
      </c>
      <c r="D2107" s="14" t="str">
        <f>VLOOKUP(C2107,'State Key'!$A$2:$B$210,2,False)</f>
        <v>Maharashtra</v>
      </c>
      <c r="E2107" s="21">
        <v>270.0</v>
      </c>
      <c r="F2107" s="22">
        <v>121.107</v>
      </c>
      <c r="G2107" s="22">
        <v>0.0</v>
      </c>
      <c r="H2107" s="22">
        <v>0.0</v>
      </c>
      <c r="I2107" s="22">
        <v>11.703</v>
      </c>
      <c r="J2107" s="22">
        <v>0.0</v>
      </c>
      <c r="K2107" s="22">
        <v>4.333</v>
      </c>
      <c r="L2107" s="22">
        <v>137.143</v>
      </c>
      <c r="M2107" s="22">
        <v>99.451</v>
      </c>
      <c r="N2107" s="22">
        <v>138.66</v>
      </c>
      <c r="O2107" s="24">
        <v>41.8</v>
      </c>
      <c r="P2107" s="18">
        <f t="shared" si="1"/>
        <v>137.143</v>
      </c>
    </row>
    <row r="2108" ht="15.75" customHeight="1">
      <c r="A2108" s="13" t="s">
        <v>225</v>
      </c>
      <c r="B2108" s="13" t="s">
        <v>133</v>
      </c>
      <c r="C2108" s="14" t="s">
        <v>143</v>
      </c>
      <c r="D2108" s="14" t="str">
        <f>VLOOKUP(C2108,'State Key'!$A$2:$B$210,2,False)</f>
        <v>Chhattisgarh</v>
      </c>
      <c r="E2108" s="15">
        <v>500.0</v>
      </c>
      <c r="F2108" s="16">
        <v>270.305</v>
      </c>
      <c r="G2108" s="16">
        <v>0.0</v>
      </c>
      <c r="H2108" s="16">
        <v>0.0</v>
      </c>
      <c r="I2108" s="16">
        <v>0.0</v>
      </c>
      <c r="J2108" s="16">
        <v>14.635</v>
      </c>
      <c r="K2108" s="16">
        <v>0.0</v>
      </c>
      <c r="L2108" s="16">
        <v>284.94</v>
      </c>
      <c r="M2108" s="16">
        <v>238.859</v>
      </c>
      <c r="N2108" s="16">
        <v>410.53</v>
      </c>
      <c r="O2108" s="24">
        <v>51.6</v>
      </c>
      <c r="P2108" s="18">
        <f t="shared" si="1"/>
        <v>284.94</v>
      </c>
    </row>
    <row r="2109" ht="15.75" customHeight="1">
      <c r="A2109" s="19" t="s">
        <v>225</v>
      </c>
      <c r="B2109" s="19" t="s">
        <v>133</v>
      </c>
      <c r="C2109" s="20" t="s">
        <v>144</v>
      </c>
      <c r="D2109" s="14" t="str">
        <f>VLOOKUP(C2109,'State Key'!$A$2:$B$210,2,False)</f>
        <v>Maharashtra</v>
      </c>
      <c r="E2109" s="21">
        <v>1210.0</v>
      </c>
      <c r="F2109" s="22">
        <v>438.887</v>
      </c>
      <c r="G2109" s="22">
        <v>0.0</v>
      </c>
      <c r="H2109" s="22">
        <v>0.0</v>
      </c>
      <c r="I2109" s="22">
        <v>0.0</v>
      </c>
      <c r="J2109" s="22">
        <v>54.232</v>
      </c>
      <c r="K2109" s="22">
        <v>0.0</v>
      </c>
      <c r="L2109" s="22">
        <v>493.119</v>
      </c>
      <c r="M2109" s="22">
        <v>447.655</v>
      </c>
      <c r="N2109" s="22">
        <v>466.419</v>
      </c>
      <c r="O2109" s="24">
        <v>31.3</v>
      </c>
      <c r="P2109" s="18">
        <f t="shared" si="1"/>
        <v>493.119</v>
      </c>
    </row>
    <row r="2110" ht="15.75" customHeight="1">
      <c r="A2110" s="13" t="s">
        <v>225</v>
      </c>
      <c r="B2110" s="13" t="s">
        <v>133</v>
      </c>
      <c r="C2110" s="14" t="s">
        <v>145</v>
      </c>
      <c r="D2110" s="14" t="str">
        <f>VLOOKUP(C2110,'State Key'!$A$2:$B$210,2,False)</f>
        <v>Madhya Pradesh</v>
      </c>
      <c r="E2110" s="15">
        <v>500.0</v>
      </c>
      <c r="F2110" s="16">
        <v>172.7</v>
      </c>
      <c r="G2110" s="16">
        <v>0.0</v>
      </c>
      <c r="H2110" s="16">
        <v>0.0</v>
      </c>
      <c r="I2110" s="16">
        <v>109.72</v>
      </c>
      <c r="J2110" s="16">
        <v>0.0</v>
      </c>
      <c r="K2110" s="16">
        <v>0.0</v>
      </c>
      <c r="L2110" s="16">
        <v>282.42</v>
      </c>
      <c r="M2110" s="16">
        <v>204.73</v>
      </c>
      <c r="N2110" s="16">
        <v>183.98</v>
      </c>
      <c r="O2110" s="24">
        <v>27.0</v>
      </c>
      <c r="P2110" s="18">
        <f t="shared" si="1"/>
        <v>282.42</v>
      </c>
    </row>
    <row r="2111" ht="15.75" customHeight="1">
      <c r="A2111" s="19" t="s">
        <v>225</v>
      </c>
      <c r="B2111" s="19" t="s">
        <v>133</v>
      </c>
      <c r="C2111" s="20" t="s">
        <v>146</v>
      </c>
      <c r="D2111" s="14" t="str">
        <f>VLOOKUP(C2111,'State Key'!$A$2:$B$210,2,False)</f>
        <v>Chhattisgarh</v>
      </c>
      <c r="E2111" s="21">
        <v>600.0</v>
      </c>
      <c r="F2111" s="22">
        <v>55.407</v>
      </c>
      <c r="G2111" s="22">
        <v>0.0</v>
      </c>
      <c r="H2111" s="22">
        <v>0.0</v>
      </c>
      <c r="I2111" s="22">
        <v>234.839</v>
      </c>
      <c r="J2111" s="22">
        <v>0.0</v>
      </c>
      <c r="K2111" s="22">
        <v>0.0</v>
      </c>
      <c r="L2111" s="22">
        <v>290.246</v>
      </c>
      <c r="M2111" s="22">
        <v>202.965</v>
      </c>
      <c r="N2111" s="22">
        <v>209.58</v>
      </c>
      <c r="O2111" s="24">
        <v>31.0</v>
      </c>
      <c r="P2111" s="18">
        <f t="shared" si="1"/>
        <v>290.246</v>
      </c>
    </row>
    <row r="2112" ht="15.75" customHeight="1">
      <c r="A2112" s="13" t="s">
        <v>225</v>
      </c>
      <c r="B2112" s="13" t="s">
        <v>133</v>
      </c>
      <c r="C2112" s="14" t="s">
        <v>147</v>
      </c>
      <c r="D2112" s="14" t="str">
        <f>VLOOKUP(C2112,'State Key'!$A$2:$B$210,2,False)</f>
        <v>Maharashtra</v>
      </c>
      <c r="E2112" s="15">
        <v>600.0</v>
      </c>
      <c r="F2112" s="16">
        <v>0.0</v>
      </c>
      <c r="G2112" s="16">
        <v>0.0</v>
      </c>
      <c r="H2112" s="16">
        <v>0.0</v>
      </c>
      <c r="I2112" s="16">
        <v>0.0</v>
      </c>
      <c r="J2112" s="16">
        <v>0.0</v>
      </c>
      <c r="K2112" s="16">
        <v>0.0</v>
      </c>
      <c r="L2112" s="16">
        <v>0.0</v>
      </c>
      <c r="M2112" s="16">
        <v>0.0</v>
      </c>
      <c r="N2112" s="16">
        <v>0.0</v>
      </c>
      <c r="O2112" s="13" t="s">
        <v>58</v>
      </c>
      <c r="P2112" s="18">
        <f t="shared" si="1"/>
        <v>0</v>
      </c>
    </row>
    <row r="2113" ht="15.75" customHeight="1">
      <c r="A2113" s="19" t="s">
        <v>225</v>
      </c>
      <c r="B2113" s="19" t="s">
        <v>133</v>
      </c>
      <c r="C2113" s="20" t="s">
        <v>148</v>
      </c>
      <c r="D2113" s="14" t="str">
        <f>VLOOKUP(C2113,'State Key'!$A$2:$B$210,2,False)</f>
        <v>Chhattisgarh</v>
      </c>
      <c r="E2113" s="21">
        <v>30.0</v>
      </c>
      <c r="F2113" s="22">
        <v>2.367</v>
      </c>
      <c r="G2113" s="22">
        <v>0.0</v>
      </c>
      <c r="H2113" s="22">
        <v>0.0</v>
      </c>
      <c r="I2113" s="22">
        <v>0.0</v>
      </c>
      <c r="J2113" s="22">
        <v>0.0</v>
      </c>
      <c r="K2113" s="22">
        <v>61.869</v>
      </c>
      <c r="L2113" s="22">
        <v>64.236</v>
      </c>
      <c r="M2113" s="22">
        <v>62.235</v>
      </c>
      <c r="N2113" s="22">
        <v>78.44</v>
      </c>
      <c r="O2113" s="24">
        <v>37.8</v>
      </c>
      <c r="P2113" s="18">
        <f t="shared" si="1"/>
        <v>64.236</v>
      </c>
    </row>
    <row r="2114" ht="15.75" customHeight="1">
      <c r="A2114" s="13" t="s">
        <v>225</v>
      </c>
      <c r="B2114" s="13" t="s">
        <v>133</v>
      </c>
      <c r="C2114" s="14" t="s">
        <v>149</v>
      </c>
      <c r="D2114" s="14" t="str">
        <f>VLOOKUP(C2114,'State Key'!$A$2:$B$210,2,False)</f>
        <v>Maharashtra</v>
      </c>
      <c r="E2114" s="15">
        <v>2920.0</v>
      </c>
      <c r="F2114" s="16">
        <v>1031.812</v>
      </c>
      <c r="G2114" s="16">
        <v>48.668</v>
      </c>
      <c r="H2114" s="16">
        <v>0.0</v>
      </c>
      <c r="I2114" s="16">
        <v>0.0</v>
      </c>
      <c r="J2114" s="16">
        <v>135.256</v>
      </c>
      <c r="K2114" s="16">
        <v>0.0</v>
      </c>
      <c r="L2114" s="16">
        <v>1215.736</v>
      </c>
      <c r="M2114" s="16">
        <v>1233.947</v>
      </c>
      <c r="N2114" s="16">
        <v>653.65</v>
      </c>
      <c r="O2114" s="24">
        <v>15.9</v>
      </c>
      <c r="P2114" s="18">
        <f t="shared" si="1"/>
        <v>1215.736</v>
      </c>
    </row>
    <row r="2115" ht="15.75" customHeight="1">
      <c r="A2115" s="19" t="s">
        <v>225</v>
      </c>
      <c r="B2115" s="19" t="s">
        <v>133</v>
      </c>
      <c r="C2115" s="20" t="s">
        <v>150</v>
      </c>
      <c r="D2115" s="14" t="str">
        <f>VLOOKUP(C2115,'State Key'!$A$2:$B$210,2,False)</f>
        <v>Maharashtra</v>
      </c>
      <c r="E2115" s="21">
        <v>500.0</v>
      </c>
      <c r="F2115" s="22">
        <v>204.785</v>
      </c>
      <c r="G2115" s="22">
        <v>0.0</v>
      </c>
      <c r="H2115" s="22">
        <v>0.0</v>
      </c>
      <c r="I2115" s="22">
        <v>0.0</v>
      </c>
      <c r="J2115" s="22">
        <v>0.0</v>
      </c>
      <c r="K2115" s="22">
        <v>0.0</v>
      </c>
      <c r="L2115" s="22">
        <v>204.785</v>
      </c>
      <c r="M2115" s="22">
        <v>184.34</v>
      </c>
      <c r="N2115" s="22">
        <v>155.795</v>
      </c>
      <c r="O2115" s="24">
        <v>25.4</v>
      </c>
      <c r="P2115" s="18">
        <f t="shared" si="1"/>
        <v>204.785</v>
      </c>
    </row>
    <row r="2116" ht="15.75" customHeight="1">
      <c r="A2116" s="13" t="s">
        <v>225</v>
      </c>
      <c r="B2116" s="13" t="s">
        <v>133</v>
      </c>
      <c r="C2116" s="14" t="s">
        <v>151</v>
      </c>
      <c r="D2116" s="14" t="str">
        <f>VLOOKUP(C2116,'State Key'!$A$2:$B$210,2,False)</f>
        <v>Maharashtra</v>
      </c>
      <c r="E2116" s="15">
        <v>600.0</v>
      </c>
      <c r="F2116" s="16">
        <v>295.111</v>
      </c>
      <c r="G2116" s="16">
        <v>0.0</v>
      </c>
      <c r="H2116" s="16">
        <v>0.0</v>
      </c>
      <c r="I2116" s="16">
        <v>11.24</v>
      </c>
      <c r="J2116" s="16">
        <v>0.0</v>
      </c>
      <c r="K2116" s="16">
        <v>0.0</v>
      </c>
      <c r="L2116" s="16">
        <v>306.351</v>
      </c>
      <c r="M2116" s="16">
        <v>278.491</v>
      </c>
      <c r="N2116" s="16">
        <v>241.283</v>
      </c>
      <c r="O2116" s="24">
        <v>26.0</v>
      </c>
      <c r="P2116" s="18">
        <f t="shared" si="1"/>
        <v>306.351</v>
      </c>
    </row>
    <row r="2117" ht="15.75" customHeight="1">
      <c r="A2117" s="19" t="s">
        <v>225</v>
      </c>
      <c r="B2117" s="19" t="s">
        <v>133</v>
      </c>
      <c r="C2117" s="20" t="s">
        <v>152</v>
      </c>
      <c r="D2117" s="14" t="str">
        <f>VLOOKUP(C2117,'State Key'!$A$2:$B$210,2,False)</f>
        <v>Chhattisgarh</v>
      </c>
      <c r="E2117" s="21">
        <v>500.0</v>
      </c>
      <c r="F2117" s="22">
        <v>243.638</v>
      </c>
      <c r="G2117" s="22">
        <v>0.0</v>
      </c>
      <c r="H2117" s="22">
        <v>0.0</v>
      </c>
      <c r="I2117" s="22">
        <v>0.0</v>
      </c>
      <c r="J2117" s="22">
        <v>0.0</v>
      </c>
      <c r="K2117" s="22">
        <v>0.0</v>
      </c>
      <c r="L2117" s="22">
        <v>243.638</v>
      </c>
      <c r="M2117" s="22">
        <v>240.201</v>
      </c>
      <c r="N2117" s="22">
        <v>279.21</v>
      </c>
      <c r="O2117" s="24">
        <v>34.9</v>
      </c>
      <c r="P2117" s="18">
        <f t="shared" si="1"/>
        <v>243.638</v>
      </c>
    </row>
    <row r="2118" ht="15.75" customHeight="1">
      <c r="A2118" s="13" t="s">
        <v>225</v>
      </c>
      <c r="B2118" s="13" t="s">
        <v>133</v>
      </c>
      <c r="C2118" s="14" t="s">
        <v>153</v>
      </c>
      <c r="D2118" s="14" t="str">
        <f>VLOOKUP(C2118,'State Key'!$A$2:$B$210,2,False)</f>
        <v>Madhya Pradesh</v>
      </c>
      <c r="E2118" s="15">
        <v>1600.0</v>
      </c>
      <c r="F2118" s="16">
        <v>387.33</v>
      </c>
      <c r="G2118" s="16">
        <v>48.42</v>
      </c>
      <c r="H2118" s="16">
        <v>194.78</v>
      </c>
      <c r="I2118" s="16">
        <v>0.0</v>
      </c>
      <c r="J2118" s="16">
        <v>93.24</v>
      </c>
      <c r="K2118" s="16">
        <v>0.0</v>
      </c>
      <c r="L2118" s="16">
        <v>723.77</v>
      </c>
      <c r="M2118" s="16">
        <v>562.831</v>
      </c>
      <c r="N2118" s="16">
        <v>484.441</v>
      </c>
      <c r="O2118" s="24">
        <v>25.8</v>
      </c>
      <c r="P2118" s="18">
        <f t="shared" si="1"/>
        <v>723.77</v>
      </c>
    </row>
    <row r="2119" ht="15.75" customHeight="1">
      <c r="A2119" s="19" t="s">
        <v>225</v>
      </c>
      <c r="B2119" s="19" t="s">
        <v>133</v>
      </c>
      <c r="C2119" s="20" t="s">
        <v>154</v>
      </c>
      <c r="D2119" s="14" t="str">
        <f>VLOOKUP(C2119,'State Key'!$A$2:$B$210,2,False)</f>
        <v>Gujarat</v>
      </c>
      <c r="E2119" s="21">
        <v>630.0</v>
      </c>
      <c r="F2119" s="22">
        <v>215.191</v>
      </c>
      <c r="G2119" s="22">
        <v>0.0</v>
      </c>
      <c r="H2119" s="22">
        <v>0.0</v>
      </c>
      <c r="I2119" s="22">
        <v>0.0</v>
      </c>
      <c r="J2119" s="22">
        <v>8.028</v>
      </c>
      <c r="K2119" s="22">
        <v>0.0</v>
      </c>
      <c r="L2119" s="22">
        <v>223.219</v>
      </c>
      <c r="M2119" s="22">
        <v>203.558</v>
      </c>
      <c r="N2119" s="22">
        <v>167.04</v>
      </c>
      <c r="O2119" s="24">
        <v>24.6</v>
      </c>
      <c r="P2119" s="18">
        <f t="shared" si="1"/>
        <v>223.219</v>
      </c>
    </row>
    <row r="2120" ht="15.75" customHeight="1">
      <c r="A2120" s="13" t="s">
        <v>225</v>
      </c>
      <c r="B2120" s="13" t="s">
        <v>133</v>
      </c>
      <c r="C2120" s="14" t="s">
        <v>155</v>
      </c>
      <c r="D2120" s="14" t="str">
        <f>VLOOKUP(C2120,'State Key'!$A$2:$B$210,2,False)</f>
        <v>Maharashtra</v>
      </c>
      <c r="E2120" s="15">
        <v>120.0</v>
      </c>
      <c r="F2120" s="16">
        <v>0.0</v>
      </c>
      <c r="G2120" s="16">
        <v>0.0</v>
      </c>
      <c r="H2120" s="16">
        <v>0.0</v>
      </c>
      <c r="I2120" s="16">
        <v>0.0</v>
      </c>
      <c r="J2120" s="16">
        <v>0.0</v>
      </c>
      <c r="K2120" s="16">
        <v>0.0</v>
      </c>
      <c r="L2120" s="16">
        <v>0.0</v>
      </c>
      <c r="M2120" s="16">
        <v>0.0</v>
      </c>
      <c r="N2120" s="16">
        <v>0.0</v>
      </c>
      <c r="O2120" s="13" t="s">
        <v>58</v>
      </c>
      <c r="P2120" s="18">
        <f t="shared" si="1"/>
        <v>0</v>
      </c>
    </row>
    <row r="2121" ht="15.75" customHeight="1">
      <c r="A2121" s="19" t="s">
        <v>225</v>
      </c>
      <c r="B2121" s="19" t="s">
        <v>133</v>
      </c>
      <c r="C2121" s="20" t="s">
        <v>156</v>
      </c>
      <c r="D2121" s="14" t="str">
        <f>VLOOKUP(C2121,'State Key'!$A$2:$B$210,2,False)</f>
        <v>Maharashtra</v>
      </c>
      <c r="E2121" s="21">
        <v>600.0</v>
      </c>
      <c r="F2121" s="22">
        <v>129.977</v>
      </c>
      <c r="G2121" s="22">
        <v>0.0</v>
      </c>
      <c r="H2121" s="22">
        <v>0.0</v>
      </c>
      <c r="I2121" s="22">
        <v>114.5</v>
      </c>
      <c r="J2121" s="22">
        <v>0.0</v>
      </c>
      <c r="K2121" s="22">
        <v>0.0</v>
      </c>
      <c r="L2121" s="22">
        <v>244.477</v>
      </c>
      <c r="M2121" s="22">
        <v>246.947</v>
      </c>
      <c r="N2121" s="22">
        <v>79.773</v>
      </c>
      <c r="O2121" s="23">
        <v>9.7</v>
      </c>
      <c r="P2121" s="18">
        <f t="shared" si="1"/>
        <v>244.477</v>
      </c>
    </row>
    <row r="2122" ht="15.75" customHeight="1">
      <c r="A2122" s="13" t="s">
        <v>225</v>
      </c>
      <c r="B2122" s="13" t="s">
        <v>133</v>
      </c>
      <c r="C2122" s="14" t="s">
        <v>157</v>
      </c>
      <c r="D2122" s="14" t="str">
        <f>VLOOKUP(C2122,'State Key'!$A$2:$B$210,2,False)</f>
        <v>Maharashtra</v>
      </c>
      <c r="E2122" s="15">
        <v>300.0</v>
      </c>
      <c r="F2122" s="16">
        <v>0.0</v>
      </c>
      <c r="G2122" s="16">
        <v>0.0</v>
      </c>
      <c r="H2122" s="16">
        <v>0.0</v>
      </c>
      <c r="I2122" s="16">
        <v>0.0</v>
      </c>
      <c r="J2122" s="16">
        <v>55.0</v>
      </c>
      <c r="K2122" s="16">
        <v>0.0</v>
      </c>
      <c r="L2122" s="16">
        <v>55.0</v>
      </c>
      <c r="M2122" s="16">
        <v>64.81</v>
      </c>
      <c r="N2122" s="16">
        <v>47.3</v>
      </c>
      <c r="O2122" s="24">
        <v>21.9</v>
      </c>
      <c r="P2122" s="18">
        <f t="shared" si="1"/>
        <v>55</v>
      </c>
    </row>
    <row r="2123" ht="15.75" customHeight="1">
      <c r="A2123" s="19" t="s">
        <v>225</v>
      </c>
      <c r="B2123" s="19" t="s">
        <v>133</v>
      </c>
      <c r="C2123" s="20" t="s">
        <v>158</v>
      </c>
      <c r="D2123" s="14" t="str">
        <f>VLOOKUP(C2123,'State Key'!$A$2:$B$210,2,False)</f>
        <v>Chhattisgarh</v>
      </c>
      <c r="E2123" s="21">
        <v>270.0</v>
      </c>
      <c r="F2123" s="22">
        <v>33.503</v>
      </c>
      <c r="G2123" s="22">
        <v>0.0</v>
      </c>
      <c r="H2123" s="22">
        <v>0.0</v>
      </c>
      <c r="I2123" s="22">
        <v>0.0</v>
      </c>
      <c r="J2123" s="22">
        <v>0.0</v>
      </c>
      <c r="K2123" s="22">
        <v>172.293</v>
      </c>
      <c r="L2123" s="22">
        <v>205.796</v>
      </c>
      <c r="M2123" s="22">
        <v>59.21</v>
      </c>
      <c r="N2123" s="22">
        <v>173.68</v>
      </c>
      <c r="O2123" s="24">
        <v>88.0</v>
      </c>
      <c r="P2123" s="18">
        <f t="shared" si="1"/>
        <v>205.796</v>
      </c>
    </row>
    <row r="2124" ht="15.75" customHeight="1">
      <c r="A2124" s="13" t="s">
        <v>225</v>
      </c>
      <c r="B2124" s="13" t="s">
        <v>133</v>
      </c>
      <c r="C2124" s="14" t="s">
        <v>159</v>
      </c>
      <c r="D2124" s="14" t="str">
        <f>VLOOKUP(C2124,'State Key'!$A$2:$B$210,2,False)</f>
        <v>Chhattisgarh</v>
      </c>
      <c r="E2124" s="15">
        <v>35.0</v>
      </c>
      <c r="F2124" s="16">
        <v>0.0</v>
      </c>
      <c r="G2124" s="16">
        <v>0.0</v>
      </c>
      <c r="H2124" s="16">
        <v>0.0</v>
      </c>
      <c r="I2124" s="16">
        <v>0.0</v>
      </c>
      <c r="J2124" s="16">
        <v>0.0</v>
      </c>
      <c r="K2124" s="16">
        <v>0.0</v>
      </c>
      <c r="L2124" s="16">
        <v>0.0</v>
      </c>
      <c r="M2124" s="16">
        <v>0.0</v>
      </c>
      <c r="N2124" s="16">
        <v>0.0</v>
      </c>
      <c r="O2124" s="13" t="s">
        <v>58</v>
      </c>
      <c r="P2124" s="18">
        <f t="shared" si="1"/>
        <v>0</v>
      </c>
    </row>
    <row r="2125" ht="15.75" customHeight="1">
      <c r="A2125" s="19" t="s">
        <v>225</v>
      </c>
      <c r="B2125" s="19" t="s">
        <v>133</v>
      </c>
      <c r="C2125" s="20" t="s">
        <v>160</v>
      </c>
      <c r="D2125" s="14" t="str">
        <f>VLOOKUP(C2125,'State Key'!$A$2:$B$210,2,False)</f>
        <v>Maharashtra</v>
      </c>
      <c r="E2125" s="21">
        <v>1340.0</v>
      </c>
      <c r="F2125" s="22">
        <v>602.79</v>
      </c>
      <c r="G2125" s="22">
        <v>0.0</v>
      </c>
      <c r="H2125" s="22">
        <v>0.0</v>
      </c>
      <c r="I2125" s="22">
        <v>0.0</v>
      </c>
      <c r="J2125" s="22">
        <v>63.583</v>
      </c>
      <c r="K2125" s="22">
        <v>0.442</v>
      </c>
      <c r="L2125" s="22">
        <v>666.815</v>
      </c>
      <c r="M2125" s="22">
        <v>675.5169</v>
      </c>
      <c r="N2125" s="22">
        <v>170.916</v>
      </c>
      <c r="O2125" s="23">
        <v>7.6</v>
      </c>
      <c r="P2125" s="18">
        <f t="shared" si="1"/>
        <v>666.815</v>
      </c>
    </row>
    <row r="2126" ht="15.75" customHeight="1">
      <c r="A2126" s="13" t="s">
        <v>225</v>
      </c>
      <c r="B2126" s="13" t="s">
        <v>133</v>
      </c>
      <c r="C2126" s="14" t="s">
        <v>161</v>
      </c>
      <c r="D2126" s="14" t="str">
        <f>VLOOKUP(C2126,'State Key'!$A$2:$B$210,2,False)</f>
        <v>Madhya Pradesh</v>
      </c>
      <c r="E2126" s="15">
        <v>1320.0</v>
      </c>
      <c r="F2126" s="16">
        <v>259.0036</v>
      </c>
      <c r="G2126" s="16">
        <v>8.14</v>
      </c>
      <c r="H2126" s="16">
        <v>64.71</v>
      </c>
      <c r="I2126" s="16">
        <v>0.0</v>
      </c>
      <c r="J2126" s="16">
        <v>24.28</v>
      </c>
      <c r="K2126" s="16">
        <v>0.0</v>
      </c>
      <c r="L2126" s="16">
        <v>356.1336</v>
      </c>
      <c r="M2126" s="16">
        <v>449.579</v>
      </c>
      <c r="N2126" s="16">
        <v>497.473</v>
      </c>
      <c r="O2126" s="24">
        <v>33.2</v>
      </c>
      <c r="P2126" s="18">
        <f t="shared" si="1"/>
        <v>356.1336</v>
      </c>
    </row>
    <row r="2127" ht="15.75" customHeight="1">
      <c r="A2127" s="19" t="s">
        <v>225</v>
      </c>
      <c r="B2127" s="19" t="s">
        <v>133</v>
      </c>
      <c r="C2127" s="20" t="s">
        <v>162</v>
      </c>
      <c r="D2127" s="14" t="str">
        <f>VLOOKUP(C2127,'State Key'!$A$2:$B$210,2,False)</f>
        <v>Maharashtra</v>
      </c>
      <c r="E2127" s="21">
        <v>2190.0</v>
      </c>
      <c r="F2127" s="22">
        <v>926.161</v>
      </c>
      <c r="G2127" s="22">
        <v>74.392</v>
      </c>
      <c r="H2127" s="22">
        <v>0.0</v>
      </c>
      <c r="I2127" s="22">
        <v>0.0</v>
      </c>
      <c r="J2127" s="22">
        <v>7.772</v>
      </c>
      <c r="K2127" s="22">
        <v>0.0</v>
      </c>
      <c r="L2127" s="22">
        <v>1008.325</v>
      </c>
      <c r="M2127" s="22">
        <v>852.639</v>
      </c>
      <c r="N2127" s="22">
        <v>493.032</v>
      </c>
      <c r="O2127" s="24">
        <v>17.3</v>
      </c>
      <c r="P2127" s="18">
        <f t="shared" si="1"/>
        <v>1008.325</v>
      </c>
    </row>
    <row r="2128" ht="15.75" customHeight="1">
      <c r="A2128" s="13" t="s">
        <v>225</v>
      </c>
      <c r="B2128" s="13" t="s">
        <v>133</v>
      </c>
      <c r="C2128" s="14" t="s">
        <v>163</v>
      </c>
      <c r="D2128" s="14" t="str">
        <f>VLOOKUP(C2128,'State Key'!$A$2:$B$210,2,False)</f>
        <v>Chhattisgarh</v>
      </c>
      <c r="E2128" s="15">
        <v>2600.0</v>
      </c>
      <c r="F2128" s="16">
        <v>1138.1</v>
      </c>
      <c r="G2128" s="16">
        <v>0.0</v>
      </c>
      <c r="H2128" s="16">
        <v>0.0</v>
      </c>
      <c r="I2128" s="16">
        <v>0.0</v>
      </c>
      <c r="J2128" s="16">
        <v>0.0</v>
      </c>
      <c r="K2128" s="16">
        <v>0.0</v>
      </c>
      <c r="L2128" s="16">
        <v>1138.1</v>
      </c>
      <c r="M2128" s="16">
        <v>1243.881</v>
      </c>
      <c r="N2128" s="16">
        <v>368.54</v>
      </c>
      <c r="O2128" s="23">
        <v>8.9</v>
      </c>
      <c r="P2128" s="18">
        <f t="shared" si="1"/>
        <v>1138.1</v>
      </c>
    </row>
    <row r="2129" ht="15.75" customHeight="1">
      <c r="A2129" s="19" t="s">
        <v>225</v>
      </c>
      <c r="B2129" s="19" t="s">
        <v>133</v>
      </c>
      <c r="C2129" s="20" t="s">
        <v>164</v>
      </c>
      <c r="D2129" s="14" t="str">
        <f>VLOOKUP(C2129,'State Key'!$A$2:$B$210,2,False)</f>
        <v>Chhattisgarh</v>
      </c>
      <c r="E2129" s="21">
        <v>1340.0</v>
      </c>
      <c r="F2129" s="22">
        <v>594.483</v>
      </c>
      <c r="G2129" s="22">
        <v>0.0</v>
      </c>
      <c r="H2129" s="22">
        <v>0.0</v>
      </c>
      <c r="I2129" s="22">
        <v>0.0</v>
      </c>
      <c r="J2129" s="22">
        <v>0.0</v>
      </c>
      <c r="K2129" s="22">
        <v>0.0</v>
      </c>
      <c r="L2129" s="22">
        <v>594.483</v>
      </c>
      <c r="M2129" s="22">
        <v>645.193</v>
      </c>
      <c r="N2129" s="22">
        <v>128.94</v>
      </c>
      <c r="O2129" s="17">
        <v>6.0</v>
      </c>
      <c r="P2129" s="18">
        <f t="shared" si="1"/>
        <v>594.483</v>
      </c>
    </row>
    <row r="2130" ht="15.75" customHeight="1">
      <c r="A2130" s="13" t="s">
        <v>225</v>
      </c>
      <c r="B2130" s="13" t="s">
        <v>133</v>
      </c>
      <c r="C2130" s="14" t="s">
        <v>165</v>
      </c>
      <c r="D2130" s="14" t="str">
        <f>VLOOKUP(C2130,'State Key'!$A$2:$B$210,2,False)</f>
        <v>Chhattisgarh</v>
      </c>
      <c r="E2130" s="15">
        <v>1600.0</v>
      </c>
      <c r="F2130" s="16">
        <v>0.0</v>
      </c>
      <c r="G2130" s="16">
        <v>0.0</v>
      </c>
      <c r="H2130" s="16">
        <v>816.49</v>
      </c>
      <c r="I2130" s="16">
        <v>0.0</v>
      </c>
      <c r="J2130" s="16">
        <v>0.0</v>
      </c>
      <c r="K2130" s="16">
        <v>0.0</v>
      </c>
      <c r="L2130" s="16">
        <v>816.49</v>
      </c>
      <c r="M2130" s="16">
        <v>805.822</v>
      </c>
      <c r="N2130" s="16">
        <v>444.47</v>
      </c>
      <c r="O2130" s="24">
        <v>16.5</v>
      </c>
      <c r="P2130" s="18">
        <f t="shared" si="1"/>
        <v>816.49</v>
      </c>
    </row>
    <row r="2131" ht="15.75" customHeight="1">
      <c r="A2131" s="19" t="s">
        <v>225</v>
      </c>
      <c r="B2131" s="19" t="s">
        <v>133</v>
      </c>
      <c r="C2131" s="20" t="s">
        <v>166</v>
      </c>
      <c r="D2131" s="14" t="str">
        <f>VLOOKUP(C2131,'State Key'!$A$2:$B$210,2,False)</f>
        <v>Madhya Pradesh</v>
      </c>
      <c r="E2131" s="21">
        <v>1200.0</v>
      </c>
      <c r="F2131" s="22">
        <v>249.27</v>
      </c>
      <c r="G2131" s="22">
        <v>0.0</v>
      </c>
      <c r="H2131" s="22">
        <v>0.0</v>
      </c>
      <c r="I2131" s="22">
        <v>0.0</v>
      </c>
      <c r="J2131" s="22">
        <v>0.0</v>
      </c>
      <c r="K2131" s="22">
        <v>124.238</v>
      </c>
      <c r="L2131" s="22">
        <v>373.508</v>
      </c>
      <c r="M2131" s="22">
        <v>309.57</v>
      </c>
      <c r="N2131" s="22">
        <v>450.95</v>
      </c>
      <c r="O2131" s="24">
        <v>43.7</v>
      </c>
      <c r="P2131" s="18">
        <f t="shared" si="1"/>
        <v>373.508</v>
      </c>
    </row>
    <row r="2132" ht="15.75" customHeight="1">
      <c r="A2132" s="13" t="s">
        <v>225</v>
      </c>
      <c r="B2132" s="13" t="s">
        <v>133</v>
      </c>
      <c r="C2132" s="14" t="s">
        <v>167</v>
      </c>
      <c r="D2132" s="14" t="str">
        <f>VLOOKUP(C2132,'State Key'!$A$2:$B$210,2,False)</f>
        <v>Chhattisgarh</v>
      </c>
      <c r="E2132" s="15">
        <v>1000.0</v>
      </c>
      <c r="F2132" s="16">
        <v>97.69678</v>
      </c>
      <c r="G2132" s="16">
        <v>0.0</v>
      </c>
      <c r="H2132" s="16">
        <v>392.90323</v>
      </c>
      <c r="I2132" s="16">
        <v>0.0</v>
      </c>
      <c r="J2132" s="16">
        <v>0.0</v>
      </c>
      <c r="K2132" s="16">
        <v>0.0</v>
      </c>
      <c r="L2132" s="16">
        <v>490.60001</v>
      </c>
      <c r="M2132" s="16">
        <v>475.142</v>
      </c>
      <c r="N2132" s="16">
        <v>424.35</v>
      </c>
      <c r="O2132" s="24">
        <v>26.8</v>
      </c>
      <c r="P2132" s="18">
        <f t="shared" si="1"/>
        <v>490.60001</v>
      </c>
    </row>
    <row r="2133" ht="15.75" customHeight="1">
      <c r="A2133" s="19" t="s">
        <v>225</v>
      </c>
      <c r="B2133" s="19" t="s">
        <v>133</v>
      </c>
      <c r="C2133" s="20" t="s">
        <v>168</v>
      </c>
      <c r="D2133" s="14" t="str">
        <f>VLOOKUP(C2133,'State Key'!$A$2:$B$210,2,False)</f>
        <v>Maharashtra</v>
      </c>
      <c r="E2133" s="21">
        <v>2320.0</v>
      </c>
      <c r="F2133" s="22">
        <v>683.06</v>
      </c>
      <c r="G2133" s="22">
        <v>40.89</v>
      </c>
      <c r="H2133" s="22">
        <v>132.08</v>
      </c>
      <c r="I2133" s="22">
        <v>0.0</v>
      </c>
      <c r="J2133" s="22">
        <v>167.87</v>
      </c>
      <c r="K2133" s="22">
        <v>0.0</v>
      </c>
      <c r="L2133" s="22">
        <v>1023.9</v>
      </c>
      <c r="M2133" s="22">
        <v>919.018</v>
      </c>
      <c r="N2133" s="22">
        <v>592.738</v>
      </c>
      <c r="O2133" s="24">
        <v>19.3</v>
      </c>
      <c r="P2133" s="18">
        <f t="shared" si="1"/>
        <v>1023.9</v>
      </c>
    </row>
    <row r="2134" ht="15.75" customHeight="1">
      <c r="A2134" s="13" t="s">
        <v>225</v>
      </c>
      <c r="B2134" s="13" t="s">
        <v>133</v>
      </c>
      <c r="C2134" s="14" t="s">
        <v>169</v>
      </c>
      <c r="D2134" s="14" t="str">
        <f>VLOOKUP(C2134,'State Key'!$A$2:$B$210,2,False)</f>
        <v>Madhya Pradesh</v>
      </c>
      <c r="E2134" s="15">
        <v>246.01</v>
      </c>
      <c r="F2134" s="16">
        <v>0.0</v>
      </c>
      <c r="G2134" s="16">
        <v>0.0</v>
      </c>
      <c r="H2134" s="16">
        <v>0.0</v>
      </c>
      <c r="I2134" s="16">
        <v>0.0</v>
      </c>
      <c r="J2134" s="16">
        <v>0.0</v>
      </c>
      <c r="K2134" s="16">
        <v>0.0</v>
      </c>
      <c r="L2134" s="16">
        <v>0.0</v>
      </c>
      <c r="M2134" s="16">
        <v>0.0</v>
      </c>
      <c r="N2134" s="16">
        <v>0.0</v>
      </c>
      <c r="O2134" s="13" t="s">
        <v>58</v>
      </c>
      <c r="P2134" s="18">
        <f t="shared" si="1"/>
        <v>0</v>
      </c>
    </row>
    <row r="2135" ht="15.75" customHeight="1">
      <c r="A2135" s="19" t="s">
        <v>225</v>
      </c>
      <c r="B2135" s="19" t="s">
        <v>133</v>
      </c>
      <c r="C2135" s="20" t="s">
        <v>172</v>
      </c>
      <c r="D2135" s="14" t="str">
        <f>VLOOKUP(C2135,'State Key'!$A$2:$B$210,2,False)</f>
        <v>Gujarat</v>
      </c>
      <c r="E2135" s="21">
        <v>4000.0</v>
      </c>
      <c r="F2135" s="22">
        <v>0.0</v>
      </c>
      <c r="G2135" s="22">
        <v>0.0</v>
      </c>
      <c r="H2135" s="22">
        <v>0.0</v>
      </c>
      <c r="I2135" s="22">
        <v>0.0</v>
      </c>
      <c r="J2135" s="22">
        <v>744.964</v>
      </c>
      <c r="K2135" s="22">
        <v>0.0</v>
      </c>
      <c r="L2135" s="22">
        <v>744.964</v>
      </c>
      <c r="M2135" s="22">
        <v>819.676</v>
      </c>
      <c r="N2135" s="22">
        <v>614.521</v>
      </c>
      <c r="O2135" s="24">
        <v>22.5</v>
      </c>
      <c r="P2135" s="18">
        <f t="shared" si="1"/>
        <v>744.964</v>
      </c>
    </row>
    <row r="2136" ht="15.75" customHeight="1">
      <c r="A2136" s="13" t="s">
        <v>225</v>
      </c>
      <c r="B2136" s="13" t="s">
        <v>133</v>
      </c>
      <c r="C2136" s="14" t="s">
        <v>173</v>
      </c>
      <c r="D2136" s="14" t="str">
        <f>VLOOKUP(C2136,'State Key'!$A$2:$B$210,2,False)</f>
        <v>Maharashtra</v>
      </c>
      <c r="E2136" s="15">
        <v>1350.0</v>
      </c>
      <c r="F2136" s="16">
        <v>0.0</v>
      </c>
      <c r="G2136" s="16">
        <v>0.0</v>
      </c>
      <c r="H2136" s="16">
        <v>0.0</v>
      </c>
      <c r="I2136" s="16">
        <v>0.0</v>
      </c>
      <c r="J2136" s="16">
        <v>0.0</v>
      </c>
      <c r="K2136" s="16">
        <v>0.0</v>
      </c>
      <c r="L2136" s="16">
        <v>0.0</v>
      </c>
      <c r="M2136" s="16">
        <v>0.0</v>
      </c>
      <c r="N2136" s="16">
        <v>0.0</v>
      </c>
      <c r="O2136" s="13" t="s">
        <v>58</v>
      </c>
      <c r="P2136" s="18">
        <f t="shared" si="1"/>
        <v>0</v>
      </c>
    </row>
    <row r="2137" ht="15.75" customHeight="1">
      <c r="A2137" s="19" t="s">
        <v>225</v>
      </c>
      <c r="B2137" s="19" t="s">
        <v>133</v>
      </c>
      <c r="C2137" s="20" t="s">
        <v>174</v>
      </c>
      <c r="D2137" s="14" t="str">
        <f>VLOOKUP(C2137,'State Key'!$A$2:$B$210,2,False)</f>
        <v>Maharashtra</v>
      </c>
      <c r="E2137" s="21">
        <v>630.0</v>
      </c>
      <c r="F2137" s="22">
        <v>165.14</v>
      </c>
      <c r="G2137" s="22">
        <v>0.0</v>
      </c>
      <c r="H2137" s="22">
        <v>0.0</v>
      </c>
      <c r="I2137" s="22">
        <v>0.0</v>
      </c>
      <c r="J2137" s="22">
        <v>22.709</v>
      </c>
      <c r="K2137" s="22">
        <v>0.0</v>
      </c>
      <c r="L2137" s="22">
        <v>187.849</v>
      </c>
      <c r="M2137" s="22">
        <v>197.711</v>
      </c>
      <c r="N2137" s="22">
        <v>124.053</v>
      </c>
      <c r="O2137" s="24">
        <v>18.8</v>
      </c>
      <c r="P2137" s="18">
        <f t="shared" si="1"/>
        <v>187.849</v>
      </c>
    </row>
    <row r="2138" ht="15.75" customHeight="1">
      <c r="A2138" s="13" t="s">
        <v>225</v>
      </c>
      <c r="B2138" s="13" t="s">
        <v>133</v>
      </c>
      <c r="C2138" s="14" t="s">
        <v>175</v>
      </c>
      <c r="D2138" s="14" t="str">
        <f>VLOOKUP(C2138,'State Key'!$A$2:$B$210,2,False)</f>
        <v>Chhattisgarh</v>
      </c>
      <c r="E2138" s="15">
        <v>600.0</v>
      </c>
      <c r="F2138" s="16">
        <v>104.761</v>
      </c>
      <c r="G2138" s="16">
        <v>0.0</v>
      </c>
      <c r="H2138" s="16">
        <v>0.0</v>
      </c>
      <c r="I2138" s="16">
        <v>0.0</v>
      </c>
      <c r="J2138" s="16">
        <v>0.0</v>
      </c>
      <c r="K2138" s="16">
        <v>0.0</v>
      </c>
      <c r="L2138" s="16">
        <v>104.761</v>
      </c>
      <c r="M2138" s="16">
        <v>201.633</v>
      </c>
      <c r="N2138" s="16">
        <v>162.04</v>
      </c>
      <c r="O2138" s="24">
        <v>24.1</v>
      </c>
      <c r="P2138" s="18">
        <f t="shared" si="1"/>
        <v>104.761</v>
      </c>
    </row>
    <row r="2139" ht="15.75" customHeight="1">
      <c r="A2139" s="19" t="s">
        <v>225</v>
      </c>
      <c r="B2139" s="19" t="s">
        <v>133</v>
      </c>
      <c r="C2139" s="20" t="s">
        <v>176</v>
      </c>
      <c r="D2139" s="14" t="str">
        <f>VLOOKUP(C2139,'State Key'!$A$2:$B$210,2,False)</f>
        <v>Madhya Pradesh</v>
      </c>
      <c r="E2139" s="21">
        <v>1320.0</v>
      </c>
      <c r="F2139" s="22">
        <v>0.0</v>
      </c>
      <c r="G2139" s="22">
        <v>0.0</v>
      </c>
      <c r="H2139" s="22">
        <v>332.6822</v>
      </c>
      <c r="I2139" s="22">
        <v>141.7801</v>
      </c>
      <c r="J2139" s="22">
        <v>0.0</v>
      </c>
      <c r="K2139" s="22">
        <v>0.0</v>
      </c>
      <c r="L2139" s="22">
        <v>474.4623</v>
      </c>
      <c r="M2139" s="22">
        <v>483.41</v>
      </c>
      <c r="N2139" s="22">
        <v>340.6532</v>
      </c>
      <c r="O2139" s="24">
        <v>21.1</v>
      </c>
      <c r="P2139" s="18">
        <f t="shared" si="1"/>
        <v>474.4623</v>
      </c>
    </row>
    <row r="2140" ht="15.75" customHeight="1">
      <c r="A2140" s="13" t="s">
        <v>225</v>
      </c>
      <c r="B2140" s="13" t="s">
        <v>133</v>
      </c>
      <c r="C2140" s="14" t="s">
        <v>177</v>
      </c>
      <c r="D2140" s="14" t="str">
        <f>VLOOKUP(C2140,'State Key'!$A$2:$B$210,2,False)</f>
        <v>Madhya Pradesh</v>
      </c>
      <c r="E2140" s="15">
        <v>90.0</v>
      </c>
      <c r="F2140" s="16">
        <v>23.68</v>
      </c>
      <c r="G2140" s="16">
        <v>0.0</v>
      </c>
      <c r="H2140" s="16">
        <v>0.0</v>
      </c>
      <c r="I2140" s="16">
        <v>0.0</v>
      </c>
      <c r="J2140" s="16">
        <v>0.0</v>
      </c>
      <c r="K2140" s="16">
        <v>17.66</v>
      </c>
      <c r="L2140" s="16">
        <v>41.34</v>
      </c>
      <c r="M2140" s="16">
        <v>36.33</v>
      </c>
      <c r="N2140" s="16">
        <v>91.19</v>
      </c>
      <c r="O2140" s="24">
        <v>75.3</v>
      </c>
      <c r="P2140" s="18">
        <f t="shared" si="1"/>
        <v>41.34</v>
      </c>
    </row>
    <row r="2141" ht="15.75" customHeight="1">
      <c r="A2141" s="19" t="s">
        <v>225</v>
      </c>
      <c r="B2141" s="19" t="s">
        <v>133</v>
      </c>
      <c r="C2141" s="20" t="s">
        <v>178</v>
      </c>
      <c r="D2141" s="14" t="str">
        <f>VLOOKUP(C2141,'State Key'!$A$2:$B$210,2,False)</f>
        <v>Chhattisgarh</v>
      </c>
      <c r="E2141" s="21">
        <v>1000.0</v>
      </c>
      <c r="F2141" s="22">
        <v>44.967</v>
      </c>
      <c r="G2141" s="22">
        <v>0.0</v>
      </c>
      <c r="H2141" s="22">
        <v>0.0</v>
      </c>
      <c r="I2141" s="22">
        <v>369.817</v>
      </c>
      <c r="J2141" s="22">
        <v>0.0</v>
      </c>
      <c r="K2141" s="22">
        <v>80.498</v>
      </c>
      <c r="L2141" s="22">
        <v>495.282</v>
      </c>
      <c r="M2141" s="22">
        <v>424.482</v>
      </c>
      <c r="N2141" s="22">
        <v>400.111</v>
      </c>
      <c r="O2141" s="24">
        <v>28.3</v>
      </c>
      <c r="P2141" s="18">
        <f t="shared" si="1"/>
        <v>495.282</v>
      </c>
    </row>
    <row r="2142" ht="15.75" customHeight="1">
      <c r="A2142" s="13" t="s">
        <v>225</v>
      </c>
      <c r="B2142" s="13" t="s">
        <v>133</v>
      </c>
      <c r="C2142" s="14" t="s">
        <v>179</v>
      </c>
      <c r="D2142" s="14" t="str">
        <f>VLOOKUP(C2142,'State Key'!$A$2:$B$210,2,False)</f>
        <v>Maharashtra</v>
      </c>
      <c r="E2142" s="15">
        <v>500.0</v>
      </c>
      <c r="F2142" s="16">
        <v>270.726</v>
      </c>
      <c r="G2142" s="16">
        <v>0.0</v>
      </c>
      <c r="H2142" s="16">
        <v>0.0</v>
      </c>
      <c r="I2142" s="16">
        <v>0.0</v>
      </c>
      <c r="J2142" s="16">
        <v>0.0</v>
      </c>
      <c r="K2142" s="16">
        <v>0.0</v>
      </c>
      <c r="L2142" s="16">
        <v>270.726</v>
      </c>
      <c r="M2142" s="16">
        <v>241.667</v>
      </c>
      <c r="N2142" s="16">
        <v>110.9</v>
      </c>
      <c r="O2142" s="23">
        <v>13.8</v>
      </c>
      <c r="P2142" s="18">
        <f t="shared" si="1"/>
        <v>270.726</v>
      </c>
    </row>
    <row r="2143" ht="15.75" customHeight="1">
      <c r="A2143" s="19" t="s">
        <v>225</v>
      </c>
      <c r="B2143" s="19" t="s">
        <v>133</v>
      </c>
      <c r="C2143" s="20" t="s">
        <v>180</v>
      </c>
      <c r="D2143" s="14" t="str">
        <f>VLOOKUP(C2143,'State Key'!$A$2:$B$210,2,False)</f>
        <v>Maharashtra</v>
      </c>
      <c r="E2143" s="21">
        <v>750.0</v>
      </c>
      <c r="F2143" s="22">
        <v>77.123</v>
      </c>
      <c r="G2143" s="22">
        <v>254.589</v>
      </c>
      <c r="H2143" s="22">
        <v>0.0</v>
      </c>
      <c r="I2143" s="22">
        <v>0.0</v>
      </c>
      <c r="J2143" s="22">
        <v>0.0</v>
      </c>
      <c r="K2143" s="22">
        <v>0.0</v>
      </c>
      <c r="L2143" s="22">
        <v>331.712</v>
      </c>
      <c r="M2143" s="22">
        <v>241.377</v>
      </c>
      <c r="N2143" s="22">
        <v>180.252</v>
      </c>
      <c r="O2143" s="24">
        <v>22.4</v>
      </c>
      <c r="P2143" s="18">
        <f t="shared" si="1"/>
        <v>331.712</v>
      </c>
    </row>
    <row r="2144" ht="15.75" customHeight="1">
      <c r="A2144" s="13" t="s">
        <v>225</v>
      </c>
      <c r="B2144" s="13" t="s">
        <v>133</v>
      </c>
      <c r="C2144" s="14" t="s">
        <v>181</v>
      </c>
      <c r="D2144" s="14" t="str">
        <f>VLOOKUP(C2144,'State Key'!$A$2:$B$210,2,False)</f>
        <v>Chhattisgarh</v>
      </c>
      <c r="E2144" s="15">
        <v>600.0</v>
      </c>
      <c r="F2144" s="16">
        <v>246.05</v>
      </c>
      <c r="G2144" s="16">
        <v>0.0</v>
      </c>
      <c r="H2144" s="16">
        <v>0.0</v>
      </c>
      <c r="I2144" s="16">
        <v>2.2</v>
      </c>
      <c r="J2144" s="16">
        <v>0.0</v>
      </c>
      <c r="K2144" s="16">
        <v>0.0</v>
      </c>
      <c r="L2144" s="16">
        <v>248.25</v>
      </c>
      <c r="M2144" s="16">
        <v>271.9099</v>
      </c>
      <c r="N2144" s="16">
        <v>216.49</v>
      </c>
      <c r="O2144" s="24">
        <v>23.9</v>
      </c>
      <c r="P2144" s="18">
        <f t="shared" si="1"/>
        <v>248.25</v>
      </c>
    </row>
    <row r="2145" ht="15.75" customHeight="1">
      <c r="A2145" s="19" t="s">
        <v>225</v>
      </c>
      <c r="B2145" s="19" t="s">
        <v>133</v>
      </c>
      <c r="C2145" s="20" t="s">
        <v>183</v>
      </c>
      <c r="D2145" s="14" t="str">
        <f>VLOOKUP(C2145,'State Key'!$A$2:$B$210,2,False)</f>
        <v>Chhattisgarh</v>
      </c>
      <c r="E2145" s="21">
        <v>100.0</v>
      </c>
      <c r="F2145" s="22">
        <v>0.0</v>
      </c>
      <c r="G2145" s="22">
        <v>0.0</v>
      </c>
      <c r="H2145" s="22">
        <v>0.0</v>
      </c>
      <c r="I2145" s="22">
        <v>0.0</v>
      </c>
      <c r="J2145" s="22">
        <v>0.0</v>
      </c>
      <c r="K2145" s="22">
        <v>60.801</v>
      </c>
      <c r="L2145" s="22">
        <v>60.801</v>
      </c>
      <c r="M2145" s="22">
        <v>55.944</v>
      </c>
      <c r="N2145" s="22">
        <v>52.11</v>
      </c>
      <c r="O2145" s="24">
        <v>27.9</v>
      </c>
      <c r="P2145" s="18">
        <f t="shared" si="1"/>
        <v>60.801</v>
      </c>
    </row>
    <row r="2146" ht="15.75" customHeight="1">
      <c r="A2146" s="13" t="s">
        <v>225</v>
      </c>
      <c r="B2146" s="13" t="s">
        <v>133</v>
      </c>
      <c r="C2146" s="14" t="s">
        <v>184</v>
      </c>
      <c r="D2146" s="14" t="str">
        <f>VLOOKUP(C2146,'State Key'!$A$2:$B$210,2,False)</f>
        <v>Gujarat</v>
      </c>
      <c r="E2146" s="15">
        <v>362.0</v>
      </c>
      <c r="F2146" s="16">
        <v>86.96</v>
      </c>
      <c r="G2146" s="16">
        <v>0.0</v>
      </c>
      <c r="H2146" s="16">
        <v>0.0</v>
      </c>
      <c r="I2146" s="16">
        <v>0.0</v>
      </c>
      <c r="J2146" s="16">
        <v>20.003</v>
      </c>
      <c r="K2146" s="16">
        <v>0.0</v>
      </c>
      <c r="L2146" s="16">
        <v>106.963</v>
      </c>
      <c r="M2146" s="16">
        <v>135.726</v>
      </c>
      <c r="N2146" s="16">
        <v>105.56</v>
      </c>
      <c r="O2146" s="24">
        <v>23.3</v>
      </c>
      <c r="P2146" s="18">
        <f t="shared" si="1"/>
        <v>106.963</v>
      </c>
    </row>
    <row r="2147" ht="15.75" customHeight="1">
      <c r="A2147" s="19" t="s">
        <v>225</v>
      </c>
      <c r="B2147" s="19" t="s">
        <v>133</v>
      </c>
      <c r="C2147" s="20" t="s">
        <v>185</v>
      </c>
      <c r="D2147" s="14" t="str">
        <f>VLOOKUP(C2147,'State Key'!$A$2:$B$210,2,False)</f>
        <v>Gujarat</v>
      </c>
      <c r="E2147" s="21">
        <v>1200.0</v>
      </c>
      <c r="F2147" s="22">
        <v>0.0</v>
      </c>
      <c r="G2147" s="22">
        <v>0.0</v>
      </c>
      <c r="H2147" s="22">
        <v>0.0</v>
      </c>
      <c r="I2147" s="22">
        <v>0.0</v>
      </c>
      <c r="J2147" s="22">
        <v>209.813</v>
      </c>
      <c r="K2147" s="22">
        <v>0.0</v>
      </c>
      <c r="L2147" s="22">
        <v>209.813</v>
      </c>
      <c r="M2147" s="22">
        <v>169.293</v>
      </c>
      <c r="N2147" s="22">
        <v>59.178</v>
      </c>
      <c r="O2147" s="23">
        <v>10.5</v>
      </c>
      <c r="P2147" s="18">
        <f t="shared" si="1"/>
        <v>209.813</v>
      </c>
    </row>
    <row r="2148" ht="15.75" customHeight="1">
      <c r="A2148" s="13" t="s">
        <v>225</v>
      </c>
      <c r="B2148" s="13" t="s">
        <v>133</v>
      </c>
      <c r="C2148" s="14" t="s">
        <v>186</v>
      </c>
      <c r="D2148" s="14" t="str">
        <f>VLOOKUP(C2148,'State Key'!$A$2:$B$210,2,False)</f>
        <v>Chhattisgarh</v>
      </c>
      <c r="E2148" s="15">
        <v>135.0</v>
      </c>
      <c r="F2148" s="16">
        <v>0.0</v>
      </c>
      <c r="G2148" s="16">
        <v>0.0</v>
      </c>
      <c r="H2148" s="16">
        <v>0.0</v>
      </c>
      <c r="I2148" s="16">
        <v>0.0</v>
      </c>
      <c r="J2148" s="16">
        <v>0.0</v>
      </c>
      <c r="K2148" s="16">
        <v>0.0</v>
      </c>
      <c r="L2148" s="16">
        <v>0.0</v>
      </c>
      <c r="M2148" s="16">
        <v>0.0</v>
      </c>
      <c r="N2148" s="16">
        <v>0.0</v>
      </c>
      <c r="O2148" s="13" t="s">
        <v>58</v>
      </c>
      <c r="P2148" s="18">
        <f t="shared" si="1"/>
        <v>0</v>
      </c>
    </row>
    <row r="2149" ht="15.75" customHeight="1">
      <c r="A2149" s="19" t="s">
        <v>225</v>
      </c>
      <c r="B2149" s="19" t="s">
        <v>133</v>
      </c>
      <c r="C2149" s="20" t="s">
        <v>187</v>
      </c>
      <c r="D2149" s="14" t="str">
        <f>VLOOKUP(C2149,'State Key'!$A$2:$B$210,2,False)</f>
        <v>Madhya Pradesh</v>
      </c>
      <c r="E2149" s="21">
        <v>1340.0</v>
      </c>
      <c r="F2149" s="22">
        <v>451.078</v>
      </c>
      <c r="G2149" s="22">
        <v>0.0</v>
      </c>
      <c r="H2149" s="22">
        <v>0.0</v>
      </c>
      <c r="I2149" s="22">
        <v>0.0</v>
      </c>
      <c r="J2149" s="22">
        <v>0.0</v>
      </c>
      <c r="K2149" s="22">
        <v>0.0</v>
      </c>
      <c r="L2149" s="22">
        <v>451.078</v>
      </c>
      <c r="M2149" s="22">
        <v>440.968</v>
      </c>
      <c r="N2149" s="22">
        <v>336.79</v>
      </c>
      <c r="O2149" s="24">
        <v>22.9</v>
      </c>
      <c r="P2149" s="18">
        <f t="shared" si="1"/>
        <v>451.078</v>
      </c>
    </row>
    <row r="2150" ht="15.75" customHeight="1">
      <c r="A2150" s="13" t="s">
        <v>225</v>
      </c>
      <c r="B2150" s="13" t="s">
        <v>133</v>
      </c>
      <c r="C2150" s="14" t="s">
        <v>188</v>
      </c>
      <c r="D2150" s="14" t="str">
        <f>VLOOKUP(C2150,'State Key'!$A$2:$B$210,2,False)</f>
        <v>Madhya Pradesh</v>
      </c>
      <c r="E2150" s="15">
        <v>3960.0</v>
      </c>
      <c r="F2150" s="16">
        <v>0.0</v>
      </c>
      <c r="G2150" s="16">
        <v>0.0</v>
      </c>
      <c r="H2150" s="16">
        <v>1705.886</v>
      </c>
      <c r="I2150" s="16">
        <v>0.0</v>
      </c>
      <c r="J2150" s="16">
        <v>0.0</v>
      </c>
      <c r="K2150" s="16">
        <v>0.0</v>
      </c>
      <c r="L2150" s="16">
        <v>1705.886</v>
      </c>
      <c r="M2150" s="16">
        <v>1515.232</v>
      </c>
      <c r="N2150" s="16">
        <v>383.48</v>
      </c>
      <c r="O2150" s="23">
        <v>7.6</v>
      </c>
      <c r="P2150" s="18">
        <f t="shared" si="1"/>
        <v>1705.886</v>
      </c>
    </row>
    <row r="2151" ht="15.75" customHeight="1">
      <c r="A2151" s="19" t="s">
        <v>225</v>
      </c>
      <c r="B2151" s="19" t="s">
        <v>133</v>
      </c>
      <c r="C2151" s="20" t="s">
        <v>189</v>
      </c>
      <c r="D2151" s="14" t="str">
        <f>VLOOKUP(C2151,'State Key'!$A$2:$B$210,2,False)</f>
        <v>Madhya Pradesh</v>
      </c>
      <c r="E2151" s="21">
        <v>1330.0</v>
      </c>
      <c r="F2151" s="22">
        <v>214.903</v>
      </c>
      <c r="G2151" s="22">
        <v>0.0</v>
      </c>
      <c r="H2151" s="22">
        <v>0.0</v>
      </c>
      <c r="I2151" s="22">
        <v>0.0</v>
      </c>
      <c r="J2151" s="22">
        <v>0.0</v>
      </c>
      <c r="K2151" s="22">
        <v>0.0</v>
      </c>
      <c r="L2151" s="22">
        <v>214.903</v>
      </c>
      <c r="M2151" s="22">
        <v>225.875</v>
      </c>
      <c r="N2151" s="22">
        <v>124.88</v>
      </c>
      <c r="O2151" s="24">
        <v>16.6</v>
      </c>
      <c r="P2151" s="18">
        <f t="shared" si="1"/>
        <v>214.903</v>
      </c>
    </row>
    <row r="2152" ht="15.75" customHeight="1">
      <c r="A2152" s="13" t="s">
        <v>225</v>
      </c>
      <c r="B2152" s="13" t="s">
        <v>133</v>
      </c>
      <c r="C2152" s="14" t="s">
        <v>190</v>
      </c>
      <c r="D2152" s="14" t="str">
        <f>VLOOKUP(C2152,'State Key'!$A$2:$B$210,2,False)</f>
        <v>Madhya Pradesh</v>
      </c>
      <c r="E2152" s="15">
        <v>600.0</v>
      </c>
      <c r="F2152" s="16">
        <v>140.245</v>
      </c>
      <c r="G2152" s="16">
        <v>0.0</v>
      </c>
      <c r="H2152" s="16">
        <v>0.0</v>
      </c>
      <c r="I2152" s="16">
        <v>109.117</v>
      </c>
      <c r="J2152" s="16">
        <v>0.0</v>
      </c>
      <c r="K2152" s="16">
        <v>0.0</v>
      </c>
      <c r="L2152" s="16">
        <v>249.362</v>
      </c>
      <c r="M2152" s="16">
        <v>274.117</v>
      </c>
      <c r="N2152" s="16">
        <v>15.62</v>
      </c>
      <c r="O2152" s="17">
        <v>1.7</v>
      </c>
      <c r="P2152" s="18">
        <f t="shared" si="1"/>
        <v>249.362</v>
      </c>
    </row>
    <row r="2153" ht="15.75" customHeight="1">
      <c r="A2153" s="19" t="s">
        <v>225</v>
      </c>
      <c r="B2153" s="19" t="s">
        <v>133</v>
      </c>
      <c r="C2153" s="20" t="s">
        <v>191</v>
      </c>
      <c r="D2153" s="14" t="str">
        <f>VLOOKUP(C2153,'State Key'!$A$2:$B$210,2,False)</f>
        <v>Maharashtra</v>
      </c>
      <c r="E2153" s="21">
        <v>300.0</v>
      </c>
      <c r="F2153" s="22">
        <v>0.0</v>
      </c>
      <c r="G2153" s="22">
        <v>0.0</v>
      </c>
      <c r="H2153" s="22">
        <v>0.0</v>
      </c>
      <c r="I2153" s="22">
        <v>0.0</v>
      </c>
      <c r="J2153" s="22">
        <v>42.993</v>
      </c>
      <c r="K2153" s="22">
        <v>69.641</v>
      </c>
      <c r="L2153" s="22">
        <v>112.634</v>
      </c>
      <c r="M2153" s="22">
        <v>70.013</v>
      </c>
      <c r="N2153" s="22">
        <v>132.69</v>
      </c>
      <c r="O2153" s="24">
        <v>56.9</v>
      </c>
      <c r="P2153" s="18">
        <f t="shared" si="1"/>
        <v>112.634</v>
      </c>
    </row>
    <row r="2154" ht="15.75" customHeight="1">
      <c r="A2154" s="13" t="s">
        <v>225</v>
      </c>
      <c r="B2154" s="13" t="s">
        <v>133</v>
      </c>
      <c r="C2154" s="14" t="s">
        <v>192</v>
      </c>
      <c r="D2154" s="14" t="str">
        <f>VLOOKUP(C2154,'State Key'!$A$2:$B$210,2,False)</f>
        <v>Madhya Pradesh</v>
      </c>
      <c r="E2154" s="15">
        <v>2520.0</v>
      </c>
      <c r="F2154" s="16">
        <v>964.193</v>
      </c>
      <c r="G2154" s="16">
        <v>0.0</v>
      </c>
      <c r="H2154" s="16">
        <v>0.0</v>
      </c>
      <c r="I2154" s="16">
        <v>0.0</v>
      </c>
      <c r="J2154" s="16">
        <v>0.0</v>
      </c>
      <c r="K2154" s="16">
        <v>0.0</v>
      </c>
      <c r="L2154" s="16">
        <v>964.193</v>
      </c>
      <c r="M2154" s="16">
        <v>975.568</v>
      </c>
      <c r="N2154" s="16">
        <v>371.87</v>
      </c>
      <c r="O2154" s="23">
        <v>11.4</v>
      </c>
      <c r="P2154" s="18">
        <f t="shared" si="1"/>
        <v>964.193</v>
      </c>
    </row>
    <row r="2155" ht="15.75" customHeight="1">
      <c r="A2155" s="19" t="s">
        <v>225</v>
      </c>
      <c r="B2155" s="19" t="s">
        <v>133</v>
      </c>
      <c r="C2155" s="20" t="s">
        <v>193</v>
      </c>
      <c r="D2155" s="14" t="str">
        <f>VLOOKUP(C2155,'State Key'!$A$2:$B$210,2,False)</f>
        <v>Gujarat</v>
      </c>
      <c r="E2155" s="21">
        <v>500.0</v>
      </c>
      <c r="F2155" s="22">
        <v>0.0</v>
      </c>
      <c r="G2155" s="22">
        <v>0.0</v>
      </c>
      <c r="H2155" s="22">
        <v>0.0</v>
      </c>
      <c r="I2155" s="22">
        <v>0.0</v>
      </c>
      <c r="J2155" s="22">
        <v>0.0</v>
      </c>
      <c r="K2155" s="22">
        <v>0.0</v>
      </c>
      <c r="L2155" s="22">
        <v>0.0</v>
      </c>
      <c r="M2155" s="22">
        <v>0.0</v>
      </c>
      <c r="N2155" s="22">
        <v>93.73</v>
      </c>
      <c r="O2155" s="19" t="s">
        <v>58</v>
      </c>
      <c r="P2155" s="18">
        <f t="shared" si="1"/>
        <v>0</v>
      </c>
    </row>
    <row r="2156" ht="15.75" customHeight="1">
      <c r="A2156" s="13" t="s">
        <v>225</v>
      </c>
      <c r="B2156" s="13" t="s">
        <v>133</v>
      </c>
      <c r="C2156" s="14" t="s">
        <v>194</v>
      </c>
      <c r="D2156" s="14" t="str">
        <f>VLOOKUP(C2156,'State Key'!$A$2:$B$210,2,False)</f>
        <v>Chhattisgarh</v>
      </c>
      <c r="E2156" s="15">
        <v>2980.0</v>
      </c>
      <c r="F2156" s="16">
        <v>1449.63</v>
      </c>
      <c r="G2156" s="16">
        <v>0.0</v>
      </c>
      <c r="H2156" s="16">
        <v>18.21</v>
      </c>
      <c r="I2156" s="16">
        <v>0.0</v>
      </c>
      <c r="J2156" s="16">
        <v>0.0</v>
      </c>
      <c r="K2156" s="16">
        <v>0.0</v>
      </c>
      <c r="L2156" s="16">
        <v>1467.84</v>
      </c>
      <c r="M2156" s="16">
        <v>1250.167</v>
      </c>
      <c r="N2156" s="16">
        <v>634.85</v>
      </c>
      <c r="O2156" s="24">
        <v>15.2</v>
      </c>
      <c r="P2156" s="18">
        <f t="shared" si="1"/>
        <v>1467.84</v>
      </c>
    </row>
    <row r="2157" ht="15.75" customHeight="1">
      <c r="A2157" s="19" t="s">
        <v>225</v>
      </c>
      <c r="B2157" s="19" t="s">
        <v>133</v>
      </c>
      <c r="C2157" s="20" t="s">
        <v>195</v>
      </c>
      <c r="D2157" s="14" t="str">
        <f>VLOOKUP(C2157,'State Key'!$A$2:$B$210,2,False)</f>
        <v>Maharashtra</v>
      </c>
      <c r="E2157" s="21">
        <v>1320.0</v>
      </c>
      <c r="F2157" s="22">
        <v>182.78</v>
      </c>
      <c r="G2157" s="22">
        <v>118.63</v>
      </c>
      <c r="H2157" s="22">
        <v>23.64</v>
      </c>
      <c r="I2157" s="22">
        <v>0.0</v>
      </c>
      <c r="J2157" s="22">
        <v>0.0</v>
      </c>
      <c r="K2157" s="22">
        <v>0.0</v>
      </c>
      <c r="L2157" s="22">
        <v>325.05</v>
      </c>
      <c r="M2157" s="22">
        <v>389.219</v>
      </c>
      <c r="N2157" s="22">
        <v>488.5029</v>
      </c>
      <c r="O2157" s="24">
        <v>37.7</v>
      </c>
      <c r="P2157" s="18">
        <f t="shared" si="1"/>
        <v>325.05</v>
      </c>
    </row>
    <row r="2158" ht="15.75" customHeight="1">
      <c r="A2158" s="13" t="s">
        <v>225</v>
      </c>
      <c r="B2158" s="13" t="s">
        <v>133</v>
      </c>
      <c r="C2158" s="14" t="s">
        <v>196</v>
      </c>
      <c r="D2158" s="14" t="str">
        <f>VLOOKUP(C2158,'State Key'!$A$2:$B$210,2,False)</f>
        <v>Chhattisgarh</v>
      </c>
      <c r="E2158" s="15">
        <v>63.0</v>
      </c>
      <c r="F2158" s="16">
        <v>0.0</v>
      </c>
      <c r="G2158" s="16">
        <v>0.0</v>
      </c>
      <c r="H2158" s="16">
        <v>0.0</v>
      </c>
      <c r="I2158" s="16">
        <v>0.0</v>
      </c>
      <c r="J2158" s="16">
        <v>0.0</v>
      </c>
      <c r="K2158" s="16">
        <v>56.51</v>
      </c>
      <c r="L2158" s="16">
        <v>56.51</v>
      </c>
      <c r="M2158" s="16">
        <v>52.63</v>
      </c>
      <c r="N2158" s="16">
        <v>97.74</v>
      </c>
      <c r="O2158" s="24">
        <v>55.7</v>
      </c>
      <c r="P2158" s="18">
        <f t="shared" si="1"/>
        <v>56.51</v>
      </c>
    </row>
    <row r="2159" ht="15.75" customHeight="1">
      <c r="A2159" s="19" t="s">
        <v>225</v>
      </c>
      <c r="B2159" s="19" t="s">
        <v>133</v>
      </c>
      <c r="C2159" s="20" t="s">
        <v>197</v>
      </c>
      <c r="D2159" s="14" t="str">
        <f>VLOOKUP(C2159,'State Key'!$A$2:$B$210,2,False)</f>
        <v>Chhattisgarh</v>
      </c>
      <c r="E2159" s="21">
        <v>25.0</v>
      </c>
      <c r="F2159" s="22">
        <v>0.0</v>
      </c>
      <c r="G2159" s="22">
        <v>0.0</v>
      </c>
      <c r="H2159" s="22">
        <v>0.0</v>
      </c>
      <c r="I2159" s="22">
        <v>0.0</v>
      </c>
      <c r="J2159" s="22">
        <v>0.0</v>
      </c>
      <c r="K2159" s="22">
        <v>0.0</v>
      </c>
      <c r="L2159" s="22">
        <v>0.0</v>
      </c>
      <c r="M2159" s="22">
        <v>0.0</v>
      </c>
      <c r="N2159" s="22">
        <v>0.0</v>
      </c>
      <c r="O2159" s="19" t="s">
        <v>58</v>
      </c>
      <c r="P2159" s="18">
        <f t="shared" si="1"/>
        <v>0</v>
      </c>
    </row>
    <row r="2160" ht="15.75" customHeight="1">
      <c r="A2160" s="13" t="s">
        <v>225</v>
      </c>
      <c r="B2160" s="13" t="s">
        <v>133</v>
      </c>
      <c r="C2160" s="14" t="s">
        <v>198</v>
      </c>
      <c r="D2160" s="14" t="str">
        <f>VLOOKUP(C2160,'State Key'!$A$2:$B$210,2,False)</f>
        <v>Chhattisgarh</v>
      </c>
      <c r="E2160" s="15">
        <v>2400.0</v>
      </c>
      <c r="F2160" s="16">
        <v>586.639</v>
      </c>
      <c r="G2160" s="16">
        <v>0.0</v>
      </c>
      <c r="H2160" s="16">
        <v>0.0</v>
      </c>
      <c r="I2160" s="16">
        <v>722.169</v>
      </c>
      <c r="J2160" s="16">
        <v>11.213</v>
      </c>
      <c r="K2160" s="16">
        <v>33.994</v>
      </c>
      <c r="L2160" s="16">
        <v>1354.015</v>
      </c>
      <c r="M2160" s="16">
        <v>1150.771</v>
      </c>
      <c r="N2160" s="16">
        <v>237.48</v>
      </c>
      <c r="O2160" s="17">
        <v>6.2</v>
      </c>
      <c r="P2160" s="18">
        <f t="shared" si="1"/>
        <v>1354.015</v>
      </c>
    </row>
    <row r="2161" ht="15.75" customHeight="1">
      <c r="A2161" s="19" t="s">
        <v>225</v>
      </c>
      <c r="B2161" s="19" t="s">
        <v>133</v>
      </c>
      <c r="C2161" s="20" t="s">
        <v>200</v>
      </c>
      <c r="D2161" s="14" t="str">
        <f>VLOOKUP(C2161,'State Key'!$A$2:$B$210,2,False)</f>
        <v>Maharashtra</v>
      </c>
      <c r="E2161" s="21">
        <v>750.0</v>
      </c>
      <c r="F2161" s="22">
        <v>0.0</v>
      </c>
      <c r="G2161" s="22">
        <v>0.0</v>
      </c>
      <c r="H2161" s="22">
        <v>0.0</v>
      </c>
      <c r="I2161" s="22">
        <v>0.0</v>
      </c>
      <c r="J2161" s="22">
        <v>279.1613</v>
      </c>
      <c r="K2161" s="22">
        <v>0.0</v>
      </c>
      <c r="L2161" s="22">
        <v>279.1613</v>
      </c>
      <c r="M2161" s="22">
        <v>217.9385</v>
      </c>
      <c r="N2161" s="22">
        <v>221.344</v>
      </c>
      <c r="O2161" s="24">
        <v>30.5</v>
      </c>
      <c r="P2161" s="18">
        <f t="shared" si="1"/>
        <v>279.1613</v>
      </c>
    </row>
    <row r="2162" ht="15.75" customHeight="1">
      <c r="A2162" s="13" t="s">
        <v>225</v>
      </c>
      <c r="B2162" s="13" t="s">
        <v>133</v>
      </c>
      <c r="C2162" s="14" t="s">
        <v>201</v>
      </c>
      <c r="D2162" s="14" t="str">
        <f>VLOOKUP(C2162,'State Key'!$A$2:$B$210,2,False)</f>
        <v>Chhattisgarh</v>
      </c>
      <c r="E2162" s="15">
        <v>1440.0</v>
      </c>
      <c r="F2162" s="16">
        <v>182.517</v>
      </c>
      <c r="G2162" s="16">
        <v>0.0</v>
      </c>
      <c r="H2162" s="16">
        <v>0.0</v>
      </c>
      <c r="I2162" s="16">
        <v>38.793</v>
      </c>
      <c r="J2162" s="16">
        <v>0.0</v>
      </c>
      <c r="K2162" s="16">
        <v>323.141</v>
      </c>
      <c r="L2162" s="16">
        <v>544.451</v>
      </c>
      <c r="M2162" s="16">
        <v>436.155</v>
      </c>
      <c r="N2162" s="16">
        <v>596.05</v>
      </c>
      <c r="O2162" s="24">
        <v>41.0</v>
      </c>
      <c r="P2162" s="18">
        <f t="shared" si="1"/>
        <v>544.451</v>
      </c>
    </row>
    <row r="2163" ht="15.75" customHeight="1">
      <c r="A2163" s="19" t="s">
        <v>225</v>
      </c>
      <c r="B2163" s="19" t="s">
        <v>133</v>
      </c>
      <c r="C2163" s="20" t="s">
        <v>202</v>
      </c>
      <c r="D2163" s="14" t="str">
        <f>VLOOKUP(C2163,'State Key'!$A$2:$B$210,2,False)</f>
        <v>Gujarat</v>
      </c>
      <c r="E2163" s="21">
        <v>1110.0</v>
      </c>
      <c r="F2163" s="22">
        <v>339.632</v>
      </c>
      <c r="G2163" s="22">
        <v>0.0</v>
      </c>
      <c r="H2163" s="22">
        <v>0.0</v>
      </c>
      <c r="I2163" s="22">
        <v>0.0</v>
      </c>
      <c r="J2163" s="22">
        <v>0.0</v>
      </c>
      <c r="K2163" s="22">
        <v>0.0</v>
      </c>
      <c r="L2163" s="22">
        <v>339.632</v>
      </c>
      <c r="M2163" s="22">
        <v>302.034</v>
      </c>
      <c r="N2163" s="22">
        <v>362.37</v>
      </c>
      <c r="O2163" s="24">
        <v>36.0</v>
      </c>
      <c r="P2163" s="18">
        <f t="shared" si="1"/>
        <v>339.632</v>
      </c>
    </row>
    <row r="2164" ht="15.75" customHeight="1">
      <c r="A2164" s="13" t="s">
        <v>225</v>
      </c>
      <c r="B2164" s="13" t="s">
        <v>133</v>
      </c>
      <c r="C2164" s="14" t="s">
        <v>203</v>
      </c>
      <c r="D2164" s="14" t="str">
        <f>VLOOKUP(C2164,'State Key'!$A$2:$B$210,2,False)</f>
        <v>Madhya Pradesh</v>
      </c>
      <c r="E2164" s="15">
        <v>4760.0</v>
      </c>
      <c r="F2164" s="16">
        <v>1648.57</v>
      </c>
      <c r="G2164" s="16">
        <v>0.0</v>
      </c>
      <c r="H2164" s="16">
        <v>41.33</v>
      </c>
      <c r="I2164" s="16">
        <v>0.0</v>
      </c>
      <c r="J2164" s="16">
        <v>0.0</v>
      </c>
      <c r="K2164" s="16">
        <v>0.0</v>
      </c>
      <c r="L2164" s="16">
        <v>1689.9</v>
      </c>
      <c r="M2164" s="16">
        <v>2054.43</v>
      </c>
      <c r="N2164" s="16">
        <v>758.67</v>
      </c>
      <c r="O2164" s="23">
        <v>11.1</v>
      </c>
      <c r="P2164" s="18">
        <f t="shared" si="1"/>
        <v>1689.9</v>
      </c>
    </row>
    <row r="2165" ht="15.75" customHeight="1">
      <c r="A2165" s="19" t="s">
        <v>225</v>
      </c>
      <c r="B2165" s="19" t="s">
        <v>133</v>
      </c>
      <c r="C2165" s="20" t="s">
        <v>204</v>
      </c>
      <c r="D2165" s="14" t="str">
        <f>VLOOKUP(C2165,'State Key'!$A$2:$B$210,2,False)</f>
        <v>Gujarat</v>
      </c>
      <c r="E2165" s="21">
        <v>2270.0</v>
      </c>
      <c r="F2165" s="22">
        <v>698.98</v>
      </c>
      <c r="G2165" s="22">
        <v>0.0</v>
      </c>
      <c r="H2165" s="22">
        <v>0.0</v>
      </c>
      <c r="I2165" s="22">
        <v>0.0</v>
      </c>
      <c r="J2165" s="22">
        <v>0.0</v>
      </c>
      <c r="K2165" s="22">
        <v>0.0</v>
      </c>
      <c r="L2165" s="22">
        <v>698.98</v>
      </c>
      <c r="M2165" s="22">
        <v>423.969</v>
      </c>
      <c r="N2165" s="22">
        <v>527.423</v>
      </c>
      <c r="O2165" s="24">
        <v>37.3</v>
      </c>
      <c r="P2165" s="18">
        <f t="shared" si="1"/>
        <v>698.98</v>
      </c>
    </row>
    <row r="2166" ht="15.75" customHeight="1">
      <c r="A2166" s="13" t="s">
        <v>225</v>
      </c>
      <c r="B2166" s="13" t="s">
        <v>133</v>
      </c>
      <c r="C2166" s="14" t="s">
        <v>205</v>
      </c>
      <c r="D2166" s="14" t="str">
        <f>VLOOKUP(C2166,'State Key'!$A$2:$B$210,2,False)</f>
        <v>Maharashtra</v>
      </c>
      <c r="E2166" s="15">
        <v>540.0</v>
      </c>
      <c r="F2166" s="16">
        <v>247.37</v>
      </c>
      <c r="G2166" s="16">
        <v>0.0</v>
      </c>
      <c r="H2166" s="16">
        <v>0.0</v>
      </c>
      <c r="I2166" s="16">
        <v>28.695</v>
      </c>
      <c r="J2166" s="16">
        <v>0.0</v>
      </c>
      <c r="K2166" s="16">
        <v>19.255</v>
      </c>
      <c r="L2166" s="16">
        <v>295.32</v>
      </c>
      <c r="M2166" s="16">
        <v>232.0</v>
      </c>
      <c r="N2166" s="16">
        <v>196.39</v>
      </c>
      <c r="O2166" s="24">
        <v>25.4</v>
      </c>
      <c r="P2166" s="18">
        <f t="shared" si="1"/>
        <v>295.32</v>
      </c>
    </row>
    <row r="2167" ht="15.75" customHeight="1">
      <c r="A2167" s="19" t="s">
        <v>229</v>
      </c>
      <c r="B2167" s="19" t="s">
        <v>22</v>
      </c>
      <c r="C2167" s="20" t="s">
        <v>23</v>
      </c>
      <c r="D2167" s="14" t="str">
        <f>VLOOKUP(C2167,'State Key'!$A$2:$B$210,2,False)</f>
        <v>West Bengal</v>
      </c>
      <c r="E2167" s="21">
        <v>1050.0</v>
      </c>
      <c r="F2167" s="22">
        <v>3.419</v>
      </c>
      <c r="G2167" s="22">
        <v>0.0</v>
      </c>
      <c r="H2167" s="22">
        <v>429.357</v>
      </c>
      <c r="I2167" s="22">
        <v>0.0</v>
      </c>
      <c r="J2167" s="22">
        <v>0.0</v>
      </c>
      <c r="K2167" s="22">
        <v>0.0</v>
      </c>
      <c r="L2167" s="22">
        <v>432.776</v>
      </c>
      <c r="M2167" s="22">
        <v>461.773</v>
      </c>
      <c r="N2167" s="22">
        <v>148.01</v>
      </c>
      <c r="O2167" s="23">
        <v>9.6</v>
      </c>
      <c r="P2167" s="18">
        <f t="shared" si="1"/>
        <v>432.776</v>
      </c>
    </row>
    <row r="2168" ht="15.75" customHeight="1">
      <c r="A2168" s="13" t="s">
        <v>229</v>
      </c>
      <c r="B2168" s="13" t="s">
        <v>22</v>
      </c>
      <c r="C2168" s="14" t="s">
        <v>24</v>
      </c>
      <c r="D2168" s="14" t="str">
        <f>VLOOKUP(C2168,'State Key'!$A$2:$B$210,2,False)</f>
        <v>West Bengal</v>
      </c>
      <c r="E2168" s="15">
        <v>270.0</v>
      </c>
      <c r="F2168" s="16">
        <v>0.0</v>
      </c>
      <c r="G2168" s="16">
        <v>0.0</v>
      </c>
      <c r="H2168" s="16">
        <v>150.887</v>
      </c>
      <c r="I2168" s="16">
        <v>0.0</v>
      </c>
      <c r="J2168" s="16">
        <v>0.0</v>
      </c>
      <c r="K2168" s="16">
        <v>0.0</v>
      </c>
      <c r="L2168" s="16">
        <v>150.887</v>
      </c>
      <c r="M2168" s="16">
        <v>121.006</v>
      </c>
      <c r="N2168" s="16">
        <v>58.62</v>
      </c>
      <c r="O2168" s="24">
        <v>14.5</v>
      </c>
      <c r="P2168" s="18">
        <f t="shared" si="1"/>
        <v>150.887</v>
      </c>
    </row>
    <row r="2169" ht="15.75" customHeight="1">
      <c r="A2169" s="19" t="s">
        <v>229</v>
      </c>
      <c r="B2169" s="19" t="s">
        <v>22</v>
      </c>
      <c r="C2169" s="20" t="s">
        <v>25</v>
      </c>
      <c r="D2169" s="14" t="str">
        <f>VLOOKUP(C2169,'State Key'!$A$2:$B$210,2,False)</f>
        <v>Bihar</v>
      </c>
      <c r="E2169" s="21">
        <v>710.0</v>
      </c>
      <c r="F2169" s="22">
        <v>0.0</v>
      </c>
      <c r="G2169" s="22">
        <v>0.0</v>
      </c>
      <c r="H2169" s="22">
        <v>225.44</v>
      </c>
      <c r="I2169" s="22">
        <v>0.0</v>
      </c>
      <c r="J2169" s="22">
        <v>0.0</v>
      </c>
      <c r="K2169" s="22">
        <v>0.0</v>
      </c>
      <c r="L2169" s="22">
        <v>225.44</v>
      </c>
      <c r="M2169" s="22">
        <v>211.348</v>
      </c>
      <c r="N2169" s="22">
        <v>189.869</v>
      </c>
      <c r="O2169" s="24">
        <v>27.0</v>
      </c>
      <c r="P2169" s="18">
        <f t="shared" si="1"/>
        <v>225.44</v>
      </c>
    </row>
    <row r="2170" ht="15.75" customHeight="1">
      <c r="A2170" s="13" t="s">
        <v>229</v>
      </c>
      <c r="B2170" s="13" t="s">
        <v>22</v>
      </c>
      <c r="C2170" s="14" t="s">
        <v>26</v>
      </c>
      <c r="D2170" s="14" t="str">
        <f>VLOOKUP(C2170,'State Key'!$A$2:$B$210,2,False)</f>
        <v>Bihar</v>
      </c>
      <c r="E2170" s="15">
        <v>2640.0</v>
      </c>
      <c r="F2170" s="16">
        <v>513.13</v>
      </c>
      <c r="G2170" s="16">
        <v>0.0</v>
      </c>
      <c r="H2170" s="16">
        <v>480.7</v>
      </c>
      <c r="I2170" s="16">
        <v>0.0</v>
      </c>
      <c r="J2170" s="16">
        <v>21.72</v>
      </c>
      <c r="K2170" s="16">
        <v>0.0</v>
      </c>
      <c r="L2170" s="16">
        <v>1015.55</v>
      </c>
      <c r="M2170" s="16">
        <v>926.047</v>
      </c>
      <c r="N2170" s="16">
        <v>750.686</v>
      </c>
      <c r="O2170" s="24">
        <v>24.3</v>
      </c>
      <c r="P2170" s="18">
        <f t="shared" si="1"/>
        <v>1015.55</v>
      </c>
    </row>
    <row r="2171" ht="15.75" customHeight="1">
      <c r="A2171" s="19" t="s">
        <v>229</v>
      </c>
      <c r="B2171" s="19" t="s">
        <v>22</v>
      </c>
      <c r="C2171" s="20" t="s">
        <v>27</v>
      </c>
      <c r="D2171" s="14" t="str">
        <f>VLOOKUP(C2171,'State Key'!$A$2:$B$210,2,False)</f>
        <v>Jharkhand</v>
      </c>
      <c r="E2171" s="21">
        <v>500.0</v>
      </c>
      <c r="F2171" s="22">
        <v>162.11</v>
      </c>
      <c r="G2171" s="22">
        <v>0.0</v>
      </c>
      <c r="H2171" s="22">
        <v>0.0</v>
      </c>
      <c r="I2171" s="22">
        <v>0.0</v>
      </c>
      <c r="J2171" s="22">
        <v>0.0</v>
      </c>
      <c r="K2171" s="22">
        <v>0.0</v>
      </c>
      <c r="L2171" s="22">
        <v>162.11</v>
      </c>
      <c r="M2171" s="22">
        <v>183.005</v>
      </c>
      <c r="N2171" s="22">
        <v>308.71</v>
      </c>
      <c r="O2171" s="24">
        <v>50.6</v>
      </c>
      <c r="P2171" s="18">
        <f t="shared" si="1"/>
        <v>162.11</v>
      </c>
    </row>
    <row r="2172" ht="15.75" customHeight="1">
      <c r="A2172" s="13" t="s">
        <v>229</v>
      </c>
      <c r="B2172" s="13" t="s">
        <v>22</v>
      </c>
      <c r="C2172" s="14" t="s">
        <v>28</v>
      </c>
      <c r="D2172" s="14" t="str">
        <f>VLOOKUP(C2172,'State Key'!$A$2:$B$210,2,False)</f>
        <v>West Bengal</v>
      </c>
      <c r="E2172" s="15">
        <v>750.0</v>
      </c>
      <c r="F2172" s="16">
        <v>120.793</v>
      </c>
      <c r="G2172" s="16">
        <v>0.0</v>
      </c>
      <c r="H2172" s="16">
        <v>27.4</v>
      </c>
      <c r="I2172" s="16">
        <v>120.838</v>
      </c>
      <c r="J2172" s="16">
        <v>0.0</v>
      </c>
      <c r="K2172" s="16">
        <v>0.0</v>
      </c>
      <c r="L2172" s="16">
        <v>269.031</v>
      </c>
      <c r="M2172" s="16">
        <v>307.549</v>
      </c>
      <c r="N2172" s="16">
        <v>257.73</v>
      </c>
      <c r="O2172" s="24">
        <v>25.1</v>
      </c>
      <c r="P2172" s="18">
        <f t="shared" si="1"/>
        <v>269.031</v>
      </c>
    </row>
    <row r="2173" ht="15.75" customHeight="1">
      <c r="A2173" s="19" t="s">
        <v>229</v>
      </c>
      <c r="B2173" s="19" t="s">
        <v>22</v>
      </c>
      <c r="C2173" s="20" t="s">
        <v>29</v>
      </c>
      <c r="D2173" s="14" t="str">
        <f>VLOOKUP(C2173,'State Key'!$A$2:$B$210,2,False)</f>
        <v>Jharkhand</v>
      </c>
      <c r="E2173" s="21">
        <v>500.0</v>
      </c>
      <c r="F2173" s="22">
        <v>145.499</v>
      </c>
      <c r="G2173" s="22">
        <v>0.0</v>
      </c>
      <c r="H2173" s="22">
        <v>10.53</v>
      </c>
      <c r="I2173" s="22">
        <v>0.0</v>
      </c>
      <c r="J2173" s="22">
        <v>0.0</v>
      </c>
      <c r="K2173" s="22">
        <v>0.0</v>
      </c>
      <c r="L2173" s="22">
        <v>156.029</v>
      </c>
      <c r="M2173" s="22">
        <v>212.38</v>
      </c>
      <c r="N2173" s="22">
        <v>247.14</v>
      </c>
      <c r="O2173" s="24">
        <v>34.9</v>
      </c>
      <c r="P2173" s="18">
        <f t="shared" si="1"/>
        <v>156.029</v>
      </c>
    </row>
    <row r="2174" ht="15.75" customHeight="1">
      <c r="A2174" s="13" t="s">
        <v>229</v>
      </c>
      <c r="B2174" s="13" t="s">
        <v>22</v>
      </c>
      <c r="C2174" s="14" t="s">
        <v>30</v>
      </c>
      <c r="D2174" s="14" t="str">
        <f>VLOOKUP(C2174,'State Key'!$A$2:$B$210,2,False)</f>
        <v>West Bengal</v>
      </c>
      <c r="E2174" s="15">
        <v>550.0</v>
      </c>
      <c r="F2174" s="16">
        <v>7.343</v>
      </c>
      <c r="G2174" s="16">
        <v>0.0</v>
      </c>
      <c r="H2174" s="16">
        <v>74.148</v>
      </c>
      <c r="I2174" s="16">
        <v>0.0</v>
      </c>
      <c r="J2174" s="16">
        <v>0.0</v>
      </c>
      <c r="K2174" s="16">
        <v>0.0</v>
      </c>
      <c r="L2174" s="16">
        <v>81.491</v>
      </c>
      <c r="M2174" s="16">
        <v>176.248</v>
      </c>
      <c r="N2174" s="16">
        <v>112.64</v>
      </c>
      <c r="O2174" s="24">
        <v>19.2</v>
      </c>
      <c r="P2174" s="18">
        <f t="shared" si="1"/>
        <v>81.491</v>
      </c>
    </row>
    <row r="2175" ht="15.75" customHeight="1">
      <c r="A2175" s="19" t="s">
        <v>229</v>
      </c>
      <c r="B2175" s="19" t="s">
        <v>22</v>
      </c>
      <c r="C2175" s="20" t="s">
        <v>31</v>
      </c>
      <c r="D2175" s="14" t="str">
        <f>VLOOKUP(C2175,'State Key'!$A$2:$B$210,2,False)</f>
        <v>Odisha</v>
      </c>
      <c r="E2175" s="21">
        <v>1600.0</v>
      </c>
      <c r="F2175" s="22">
        <v>0.0</v>
      </c>
      <c r="G2175" s="22">
        <v>0.0</v>
      </c>
      <c r="H2175" s="22">
        <v>791.79</v>
      </c>
      <c r="I2175" s="22">
        <v>0.0</v>
      </c>
      <c r="J2175" s="22">
        <v>0.0</v>
      </c>
      <c r="K2175" s="22">
        <v>0.0</v>
      </c>
      <c r="L2175" s="22">
        <v>791.79</v>
      </c>
      <c r="M2175" s="22">
        <v>794.992</v>
      </c>
      <c r="N2175" s="22">
        <v>269.188</v>
      </c>
      <c r="O2175" s="23">
        <v>10.2</v>
      </c>
      <c r="P2175" s="18">
        <f t="shared" si="1"/>
        <v>791.79</v>
      </c>
    </row>
    <row r="2176" ht="15.75" customHeight="1">
      <c r="A2176" s="13" t="s">
        <v>229</v>
      </c>
      <c r="B2176" s="13" t="s">
        <v>22</v>
      </c>
      <c r="C2176" s="14" t="s">
        <v>32</v>
      </c>
      <c r="D2176" s="14" t="str">
        <f>VLOOKUP(C2176,'State Key'!$A$2:$B$210,2,False)</f>
        <v>Odisha</v>
      </c>
      <c r="E2176" s="15">
        <v>1200.0</v>
      </c>
      <c r="F2176" s="16">
        <v>168.788</v>
      </c>
      <c r="G2176" s="16">
        <v>0.0</v>
      </c>
      <c r="H2176" s="16">
        <v>0.0</v>
      </c>
      <c r="I2176" s="16">
        <v>249.073</v>
      </c>
      <c r="J2176" s="16">
        <v>0.0</v>
      </c>
      <c r="K2176" s="16">
        <v>0.0</v>
      </c>
      <c r="L2176" s="16">
        <v>417.861</v>
      </c>
      <c r="M2176" s="16">
        <v>301.516</v>
      </c>
      <c r="N2176" s="16">
        <v>1369.36</v>
      </c>
      <c r="O2176" s="24">
        <v>136.2</v>
      </c>
      <c r="P2176" s="18">
        <f t="shared" si="1"/>
        <v>417.861</v>
      </c>
    </row>
    <row r="2177" ht="15.75" customHeight="1">
      <c r="A2177" s="19" t="s">
        <v>229</v>
      </c>
      <c r="B2177" s="19" t="s">
        <v>22</v>
      </c>
      <c r="C2177" s="20" t="s">
        <v>33</v>
      </c>
      <c r="D2177" s="14" t="str">
        <f>VLOOKUP(C2177,'State Key'!$A$2:$B$210,2,False)</f>
        <v>West Bengal</v>
      </c>
      <c r="E2177" s="21">
        <v>12.0</v>
      </c>
      <c r="F2177" s="22">
        <v>4.43</v>
      </c>
      <c r="G2177" s="22">
        <v>0.0</v>
      </c>
      <c r="H2177" s="22">
        <v>0.0</v>
      </c>
      <c r="I2177" s="22">
        <v>0.0</v>
      </c>
      <c r="J2177" s="22">
        <v>0.0</v>
      </c>
      <c r="K2177" s="22">
        <v>0.0</v>
      </c>
      <c r="L2177" s="22">
        <v>4.43</v>
      </c>
      <c r="M2177" s="22">
        <v>7.7</v>
      </c>
      <c r="N2177" s="22">
        <v>3.8</v>
      </c>
      <c r="O2177" s="24">
        <v>14.8</v>
      </c>
      <c r="P2177" s="18">
        <f t="shared" si="1"/>
        <v>4.43</v>
      </c>
    </row>
    <row r="2178" ht="15.75" customHeight="1">
      <c r="A2178" s="13" t="s">
        <v>229</v>
      </c>
      <c r="B2178" s="13" t="s">
        <v>22</v>
      </c>
      <c r="C2178" s="14" t="s">
        <v>34</v>
      </c>
      <c r="D2178" s="14" t="str">
        <f>VLOOKUP(C2178,'State Key'!$A$2:$B$210,2,False)</f>
        <v>West Bengal</v>
      </c>
      <c r="E2178" s="15">
        <v>1000.0</v>
      </c>
      <c r="F2178" s="16">
        <v>310.741</v>
      </c>
      <c r="G2178" s="16">
        <v>0.0</v>
      </c>
      <c r="H2178" s="16">
        <v>0.0</v>
      </c>
      <c r="I2178" s="16">
        <v>0.0</v>
      </c>
      <c r="J2178" s="16">
        <v>0.0</v>
      </c>
      <c r="K2178" s="16">
        <v>0.0</v>
      </c>
      <c r="L2178" s="16">
        <v>310.741</v>
      </c>
      <c r="M2178" s="16">
        <v>362.554</v>
      </c>
      <c r="N2178" s="16">
        <v>332.3</v>
      </c>
      <c r="O2178" s="24">
        <v>27.5</v>
      </c>
      <c r="P2178" s="18">
        <f t="shared" si="1"/>
        <v>310.741</v>
      </c>
    </row>
    <row r="2179" ht="15.75" customHeight="1">
      <c r="A2179" s="19" t="s">
        <v>229</v>
      </c>
      <c r="B2179" s="19" t="s">
        <v>22</v>
      </c>
      <c r="C2179" s="20" t="s">
        <v>35</v>
      </c>
      <c r="D2179" s="14" t="str">
        <f>VLOOKUP(C2179,'State Key'!$A$2:$B$210,2,False)</f>
        <v>West Bengal</v>
      </c>
      <c r="E2179" s="21">
        <v>2100.0</v>
      </c>
      <c r="F2179" s="22">
        <v>798.9</v>
      </c>
      <c r="G2179" s="22">
        <v>0.0</v>
      </c>
      <c r="H2179" s="22">
        <v>31.36</v>
      </c>
      <c r="I2179" s="22">
        <v>0.0</v>
      </c>
      <c r="J2179" s="22">
        <v>0.33</v>
      </c>
      <c r="K2179" s="22">
        <v>0.0</v>
      </c>
      <c r="L2179" s="22">
        <v>830.59</v>
      </c>
      <c r="M2179" s="22">
        <v>806.904</v>
      </c>
      <c r="N2179" s="22">
        <v>825.16</v>
      </c>
      <c r="O2179" s="24">
        <v>30.7</v>
      </c>
      <c r="P2179" s="18">
        <f t="shared" si="1"/>
        <v>830.59</v>
      </c>
    </row>
    <row r="2180" ht="15.75" customHeight="1">
      <c r="A2180" s="13" t="s">
        <v>229</v>
      </c>
      <c r="B2180" s="13" t="s">
        <v>22</v>
      </c>
      <c r="C2180" s="14" t="s">
        <v>36</v>
      </c>
      <c r="D2180" s="14" t="str">
        <f>VLOOKUP(C2180,'State Key'!$A$2:$B$210,2,False)</f>
        <v>West Bengal</v>
      </c>
      <c r="E2180" s="15">
        <v>600.0</v>
      </c>
      <c r="F2180" s="16">
        <v>233.301</v>
      </c>
      <c r="G2180" s="16">
        <v>0.0</v>
      </c>
      <c r="H2180" s="16">
        <v>0.0</v>
      </c>
      <c r="I2180" s="16">
        <v>0.0</v>
      </c>
      <c r="J2180" s="16">
        <v>0.0</v>
      </c>
      <c r="K2180" s="16">
        <v>0.0</v>
      </c>
      <c r="L2180" s="16">
        <v>233.301</v>
      </c>
      <c r="M2180" s="16">
        <v>268.222</v>
      </c>
      <c r="N2180" s="16">
        <v>245.11</v>
      </c>
      <c r="O2180" s="24">
        <v>27.4</v>
      </c>
      <c r="P2180" s="18">
        <f t="shared" si="1"/>
        <v>233.301</v>
      </c>
    </row>
    <row r="2181" ht="15.75" customHeight="1">
      <c r="A2181" s="19" t="s">
        <v>229</v>
      </c>
      <c r="B2181" s="19" t="s">
        <v>22</v>
      </c>
      <c r="C2181" s="20" t="s">
        <v>37</v>
      </c>
      <c r="D2181" s="14" t="str">
        <f>VLOOKUP(C2181,'State Key'!$A$2:$B$210,2,False)</f>
        <v>West Bengal</v>
      </c>
      <c r="E2181" s="21">
        <v>300.0</v>
      </c>
      <c r="F2181" s="22">
        <v>129.881</v>
      </c>
      <c r="G2181" s="22">
        <v>0.0</v>
      </c>
      <c r="H2181" s="22">
        <v>0.0</v>
      </c>
      <c r="I2181" s="22">
        <v>0.0</v>
      </c>
      <c r="J2181" s="22">
        <v>0.0</v>
      </c>
      <c r="K2181" s="22">
        <v>0.0</v>
      </c>
      <c r="L2181" s="22">
        <v>129.881</v>
      </c>
      <c r="M2181" s="22">
        <v>122.233</v>
      </c>
      <c r="N2181" s="22">
        <v>14.18</v>
      </c>
      <c r="O2181" s="17">
        <v>3.5</v>
      </c>
      <c r="P2181" s="18">
        <f t="shared" si="1"/>
        <v>129.881</v>
      </c>
    </row>
    <row r="2182" ht="15.75" customHeight="1">
      <c r="A2182" s="13" t="s">
        <v>229</v>
      </c>
      <c r="B2182" s="13" t="s">
        <v>22</v>
      </c>
      <c r="C2182" s="14" t="s">
        <v>38</v>
      </c>
      <c r="D2182" s="14" t="str">
        <f>VLOOKUP(C2182,'State Key'!$A$2:$B$210,2,False)</f>
        <v>Odisha</v>
      </c>
      <c r="E2182" s="15">
        <v>1740.0</v>
      </c>
      <c r="F2182" s="16">
        <v>102.813</v>
      </c>
      <c r="G2182" s="16">
        <v>0.0</v>
      </c>
      <c r="H2182" s="16">
        <v>621.891</v>
      </c>
      <c r="I2182" s="16">
        <v>0.0</v>
      </c>
      <c r="J2182" s="16">
        <v>0.0</v>
      </c>
      <c r="K2182" s="16">
        <v>0.0</v>
      </c>
      <c r="L2182" s="16">
        <v>724.704</v>
      </c>
      <c r="M2182" s="16">
        <v>731.694</v>
      </c>
      <c r="N2182" s="16">
        <v>328.98</v>
      </c>
      <c r="O2182" s="23">
        <v>13.5</v>
      </c>
      <c r="P2182" s="18">
        <f t="shared" si="1"/>
        <v>724.704</v>
      </c>
    </row>
    <row r="2183" ht="15.75" customHeight="1">
      <c r="A2183" s="19" t="s">
        <v>229</v>
      </c>
      <c r="B2183" s="19" t="s">
        <v>22</v>
      </c>
      <c r="C2183" s="20" t="s">
        <v>39</v>
      </c>
      <c r="D2183" s="14" t="str">
        <f>VLOOKUP(C2183,'State Key'!$A$2:$B$210,2,False)</f>
        <v>Jharkhand</v>
      </c>
      <c r="E2183" s="21">
        <v>240.0</v>
      </c>
      <c r="F2183" s="22">
        <v>48.87</v>
      </c>
      <c r="G2183" s="22">
        <v>0.0</v>
      </c>
      <c r="H2183" s="22">
        <v>0.0</v>
      </c>
      <c r="I2183" s="22">
        <v>0.0</v>
      </c>
      <c r="J2183" s="22">
        <v>0.0</v>
      </c>
      <c r="K2183" s="22">
        <v>62.679</v>
      </c>
      <c r="L2183" s="22">
        <v>111.549</v>
      </c>
      <c r="M2183" s="22">
        <v>90.037</v>
      </c>
      <c r="N2183" s="22">
        <v>73.99</v>
      </c>
      <c r="O2183" s="24">
        <v>24.7</v>
      </c>
      <c r="P2183" s="18">
        <f t="shared" si="1"/>
        <v>111.549</v>
      </c>
    </row>
    <row r="2184" ht="15.75" customHeight="1">
      <c r="A2184" s="13" t="s">
        <v>229</v>
      </c>
      <c r="B2184" s="13" t="s">
        <v>22</v>
      </c>
      <c r="C2184" s="14" t="s">
        <v>40</v>
      </c>
      <c r="D2184" s="14" t="str">
        <f>VLOOKUP(C2184,'State Key'!$A$2:$B$210,2,False)</f>
        <v>Bihar</v>
      </c>
      <c r="E2184" s="15">
        <v>2340.0</v>
      </c>
      <c r="F2184" s="16">
        <v>1179.9</v>
      </c>
      <c r="G2184" s="16">
        <v>0.0</v>
      </c>
      <c r="H2184" s="16">
        <v>70.31</v>
      </c>
      <c r="I2184" s="16">
        <v>0.0</v>
      </c>
      <c r="J2184" s="16">
        <v>15.51</v>
      </c>
      <c r="K2184" s="16">
        <v>0.0</v>
      </c>
      <c r="L2184" s="16">
        <v>1265.72</v>
      </c>
      <c r="M2184" s="16">
        <v>1260.623</v>
      </c>
      <c r="N2184" s="16">
        <v>678.081</v>
      </c>
      <c r="O2184" s="24">
        <v>16.1</v>
      </c>
      <c r="P2184" s="18">
        <f t="shared" si="1"/>
        <v>1265.72</v>
      </c>
    </row>
    <row r="2185" ht="15.75" customHeight="1">
      <c r="A2185" s="19" t="s">
        <v>229</v>
      </c>
      <c r="B2185" s="19" t="s">
        <v>22</v>
      </c>
      <c r="C2185" s="20" t="s">
        <v>41</v>
      </c>
      <c r="D2185" s="14" t="str">
        <f>VLOOKUP(C2185,'State Key'!$A$2:$B$210,2,False)</f>
        <v>Odisha</v>
      </c>
      <c r="E2185" s="21">
        <v>1050.0</v>
      </c>
      <c r="F2185" s="22">
        <v>333.4144</v>
      </c>
      <c r="G2185" s="22">
        <v>0.0</v>
      </c>
      <c r="H2185" s="22">
        <v>0.0</v>
      </c>
      <c r="I2185" s="22">
        <v>153.863</v>
      </c>
      <c r="J2185" s="22">
        <v>0.0</v>
      </c>
      <c r="K2185" s="22">
        <v>0.0</v>
      </c>
      <c r="L2185" s="22">
        <v>487.2774</v>
      </c>
      <c r="M2185" s="22">
        <v>536.95</v>
      </c>
      <c r="N2185" s="22">
        <v>116.83</v>
      </c>
      <c r="O2185" s="17">
        <v>6.5</v>
      </c>
      <c r="P2185" s="18">
        <f t="shared" si="1"/>
        <v>487.2774</v>
      </c>
    </row>
    <row r="2186" ht="15.75" customHeight="1">
      <c r="A2186" s="13" t="s">
        <v>229</v>
      </c>
      <c r="B2186" s="13" t="s">
        <v>22</v>
      </c>
      <c r="C2186" s="14" t="s">
        <v>42</v>
      </c>
      <c r="D2186" s="14" t="str">
        <f>VLOOKUP(C2186,'State Key'!$A$2:$B$210,2,False)</f>
        <v>Jharkhand</v>
      </c>
      <c r="E2186" s="15">
        <v>1000.0</v>
      </c>
      <c r="F2186" s="16">
        <v>319.558</v>
      </c>
      <c r="G2186" s="16">
        <v>0.0</v>
      </c>
      <c r="H2186" s="16">
        <v>30.051</v>
      </c>
      <c r="I2186" s="16">
        <v>0.0</v>
      </c>
      <c r="J2186" s="16">
        <v>11.76</v>
      </c>
      <c r="K2186" s="16">
        <v>0.0</v>
      </c>
      <c r="L2186" s="16">
        <v>361.369</v>
      </c>
      <c r="M2186" s="16">
        <v>401.66</v>
      </c>
      <c r="N2186" s="16">
        <v>376.71</v>
      </c>
      <c r="O2186" s="24">
        <v>28.1</v>
      </c>
      <c r="P2186" s="18">
        <f t="shared" si="1"/>
        <v>361.369</v>
      </c>
    </row>
    <row r="2187" ht="15.75" customHeight="1">
      <c r="A2187" s="19" t="s">
        <v>229</v>
      </c>
      <c r="B2187" s="19" t="s">
        <v>22</v>
      </c>
      <c r="C2187" s="20" t="s">
        <v>43</v>
      </c>
      <c r="D2187" s="14" t="str">
        <f>VLOOKUP(C2187,'State Key'!$A$2:$B$210,2,False)</f>
        <v>West Bengal</v>
      </c>
      <c r="E2187" s="21">
        <v>840.0</v>
      </c>
      <c r="F2187" s="22">
        <v>15.738</v>
      </c>
      <c r="G2187" s="22">
        <v>0.0</v>
      </c>
      <c r="H2187" s="22">
        <v>345.699</v>
      </c>
      <c r="I2187" s="22">
        <v>0.0</v>
      </c>
      <c r="J2187" s="22">
        <v>0.0</v>
      </c>
      <c r="K2187" s="22">
        <v>0.0</v>
      </c>
      <c r="L2187" s="22">
        <v>361.437</v>
      </c>
      <c r="M2187" s="22">
        <v>376.406</v>
      </c>
      <c r="N2187" s="22">
        <v>62.12</v>
      </c>
      <c r="O2187" s="17">
        <v>5.0</v>
      </c>
      <c r="P2187" s="18">
        <f t="shared" si="1"/>
        <v>361.437</v>
      </c>
    </row>
    <row r="2188" ht="15.75" customHeight="1">
      <c r="A2188" s="13" t="s">
        <v>229</v>
      </c>
      <c r="B2188" s="13" t="s">
        <v>22</v>
      </c>
      <c r="C2188" s="14" t="s">
        <v>44</v>
      </c>
      <c r="D2188" s="14" t="str">
        <f>VLOOKUP(C2188,'State Key'!$A$2:$B$210,2,False)</f>
        <v>Jharkhand</v>
      </c>
      <c r="E2188" s="15">
        <v>540.0</v>
      </c>
      <c r="F2188" s="16">
        <v>121.039</v>
      </c>
      <c r="G2188" s="16">
        <v>0.0</v>
      </c>
      <c r="H2188" s="16">
        <v>0.0</v>
      </c>
      <c r="I2188" s="16">
        <v>0.0</v>
      </c>
      <c r="J2188" s="16">
        <v>0.0</v>
      </c>
      <c r="K2188" s="16">
        <v>79.421</v>
      </c>
      <c r="L2188" s="16">
        <v>200.46</v>
      </c>
      <c r="M2188" s="16">
        <v>213.966</v>
      </c>
      <c r="N2188" s="16">
        <v>30.31</v>
      </c>
      <c r="O2188" s="17">
        <v>4.2</v>
      </c>
      <c r="P2188" s="18">
        <f t="shared" si="1"/>
        <v>200.46</v>
      </c>
    </row>
    <row r="2189" ht="15.75" customHeight="1">
      <c r="A2189" s="19" t="s">
        <v>229</v>
      </c>
      <c r="B2189" s="19" t="s">
        <v>22</v>
      </c>
      <c r="C2189" s="20" t="s">
        <v>45</v>
      </c>
      <c r="D2189" s="14" t="str">
        <f>VLOOKUP(C2189,'State Key'!$A$2:$B$210,2,False)</f>
        <v>Jharkhand</v>
      </c>
      <c r="E2189" s="21">
        <v>1050.0</v>
      </c>
      <c r="F2189" s="22">
        <v>342.718</v>
      </c>
      <c r="G2189" s="22">
        <v>0.0</v>
      </c>
      <c r="H2189" s="22">
        <v>0.0</v>
      </c>
      <c r="I2189" s="22">
        <v>0.0</v>
      </c>
      <c r="J2189" s="22">
        <v>0.0</v>
      </c>
      <c r="K2189" s="22">
        <v>0.0</v>
      </c>
      <c r="L2189" s="22">
        <v>342.718</v>
      </c>
      <c r="M2189" s="22">
        <v>405.832</v>
      </c>
      <c r="N2189" s="22">
        <v>381.42</v>
      </c>
      <c r="O2189" s="24">
        <v>28.2</v>
      </c>
      <c r="P2189" s="18">
        <f t="shared" si="1"/>
        <v>342.718</v>
      </c>
    </row>
    <row r="2190" ht="15.75" customHeight="1">
      <c r="A2190" s="13" t="s">
        <v>229</v>
      </c>
      <c r="B2190" s="13" t="s">
        <v>22</v>
      </c>
      <c r="C2190" s="14" t="s">
        <v>46</v>
      </c>
      <c r="D2190" s="14" t="str">
        <f>VLOOKUP(C2190,'State Key'!$A$2:$B$210,2,False)</f>
        <v>West Bengal</v>
      </c>
      <c r="E2190" s="15">
        <v>2340.0</v>
      </c>
      <c r="F2190" s="16">
        <v>799.355</v>
      </c>
      <c r="G2190" s="16">
        <v>0.0</v>
      </c>
      <c r="H2190" s="16">
        <v>42.144</v>
      </c>
      <c r="I2190" s="16">
        <v>0.0</v>
      </c>
      <c r="J2190" s="16">
        <v>54.87</v>
      </c>
      <c r="K2190" s="16">
        <v>0.0</v>
      </c>
      <c r="L2190" s="16">
        <v>896.369</v>
      </c>
      <c r="M2190" s="16">
        <v>934.2699</v>
      </c>
      <c r="N2190" s="16">
        <v>368.25</v>
      </c>
      <c r="O2190" s="23">
        <v>11.8</v>
      </c>
      <c r="P2190" s="18">
        <f t="shared" si="1"/>
        <v>896.369</v>
      </c>
    </row>
    <row r="2191" ht="15.75" customHeight="1">
      <c r="A2191" s="19" t="s">
        <v>229</v>
      </c>
      <c r="B2191" s="19" t="s">
        <v>22</v>
      </c>
      <c r="C2191" s="20" t="s">
        <v>47</v>
      </c>
      <c r="D2191" s="14" t="str">
        <f>VLOOKUP(C2191,'State Key'!$A$2:$B$210,2,False)</f>
        <v>Bihar</v>
      </c>
      <c r="E2191" s="21">
        <v>390.0</v>
      </c>
      <c r="F2191" s="22">
        <v>7.858</v>
      </c>
      <c r="G2191" s="22">
        <v>0.0</v>
      </c>
      <c r="H2191" s="22">
        <v>178.322</v>
      </c>
      <c r="I2191" s="22">
        <v>0.0</v>
      </c>
      <c r="J2191" s="22">
        <v>0.0</v>
      </c>
      <c r="K2191" s="22">
        <v>0.0</v>
      </c>
      <c r="L2191" s="22">
        <v>186.18</v>
      </c>
      <c r="M2191" s="22">
        <v>173.591</v>
      </c>
      <c r="N2191" s="22">
        <v>137.28</v>
      </c>
      <c r="O2191" s="24">
        <v>23.7</v>
      </c>
      <c r="P2191" s="18">
        <f t="shared" si="1"/>
        <v>186.18</v>
      </c>
    </row>
    <row r="2192" ht="15.75" customHeight="1">
      <c r="A2192" s="13" t="s">
        <v>229</v>
      </c>
      <c r="B2192" s="13" t="s">
        <v>22</v>
      </c>
      <c r="C2192" s="14" t="s">
        <v>48</v>
      </c>
      <c r="D2192" s="14" t="str">
        <f>VLOOKUP(C2192,'State Key'!$A$2:$B$210,2,False)</f>
        <v>Bihar</v>
      </c>
      <c r="E2192" s="15">
        <v>1980.0</v>
      </c>
      <c r="F2192" s="16">
        <v>787.52</v>
      </c>
      <c r="G2192" s="16">
        <v>0.0</v>
      </c>
      <c r="H2192" s="16">
        <v>52.81</v>
      </c>
      <c r="I2192" s="16">
        <v>0.0</v>
      </c>
      <c r="J2192" s="16">
        <v>15.578</v>
      </c>
      <c r="K2192" s="16">
        <v>0.0</v>
      </c>
      <c r="L2192" s="16">
        <v>855.908</v>
      </c>
      <c r="M2192" s="16">
        <v>742.288</v>
      </c>
      <c r="N2192" s="16">
        <v>838.89</v>
      </c>
      <c r="O2192" s="24">
        <v>33.9</v>
      </c>
      <c r="P2192" s="18">
        <f t="shared" si="1"/>
        <v>855.908</v>
      </c>
    </row>
    <row r="2193" ht="15.75" customHeight="1">
      <c r="A2193" s="19" t="s">
        <v>229</v>
      </c>
      <c r="B2193" s="19" t="s">
        <v>22</v>
      </c>
      <c r="C2193" s="20" t="s">
        <v>49</v>
      </c>
      <c r="D2193" s="14" t="str">
        <f>VLOOKUP(C2193,'State Key'!$A$2:$B$210,2,False)</f>
        <v>Bihar</v>
      </c>
      <c r="E2193" s="21">
        <v>1000.0</v>
      </c>
      <c r="F2193" s="22">
        <v>473.505</v>
      </c>
      <c r="G2193" s="22">
        <v>0.0</v>
      </c>
      <c r="H2193" s="22">
        <v>0.0</v>
      </c>
      <c r="I2193" s="22">
        <v>0.0</v>
      </c>
      <c r="J2193" s="22">
        <v>0.0</v>
      </c>
      <c r="K2193" s="22">
        <v>0.0</v>
      </c>
      <c r="L2193" s="22">
        <v>473.505</v>
      </c>
      <c r="M2193" s="22">
        <v>457.135</v>
      </c>
      <c r="N2193" s="22">
        <v>176.48</v>
      </c>
      <c r="O2193" s="23">
        <v>11.6</v>
      </c>
      <c r="P2193" s="18">
        <f t="shared" si="1"/>
        <v>473.505</v>
      </c>
    </row>
    <row r="2194" ht="15.75" customHeight="1">
      <c r="A2194" s="13" t="s">
        <v>229</v>
      </c>
      <c r="B2194" s="13" t="s">
        <v>22</v>
      </c>
      <c r="C2194" s="14" t="s">
        <v>50</v>
      </c>
      <c r="D2194" s="14" t="str">
        <f>VLOOKUP(C2194,'State Key'!$A$2:$B$210,2,False)</f>
        <v>Jharkhand</v>
      </c>
      <c r="E2194" s="15">
        <v>1320.0</v>
      </c>
      <c r="F2194" s="16">
        <v>312.77</v>
      </c>
      <c r="G2194" s="16">
        <v>0.0</v>
      </c>
      <c r="H2194" s="16">
        <v>91.65</v>
      </c>
      <c r="I2194" s="16">
        <v>0.0</v>
      </c>
      <c r="J2194" s="16">
        <v>0.0</v>
      </c>
      <c r="K2194" s="16">
        <v>58.69</v>
      </c>
      <c r="L2194" s="16">
        <v>463.11</v>
      </c>
      <c r="M2194" s="16">
        <v>607.884</v>
      </c>
      <c r="N2194" s="16">
        <v>128.597</v>
      </c>
      <c r="O2194" s="17">
        <v>6.3</v>
      </c>
      <c r="P2194" s="18">
        <f t="shared" si="1"/>
        <v>463.11</v>
      </c>
    </row>
    <row r="2195" ht="15.75" customHeight="1">
      <c r="A2195" s="19" t="s">
        <v>229</v>
      </c>
      <c r="B2195" s="19" t="s">
        <v>22</v>
      </c>
      <c r="C2195" s="20" t="s">
        <v>51</v>
      </c>
      <c r="D2195" s="14" t="str">
        <f>VLOOKUP(C2195,'State Key'!$A$2:$B$210,2,False)</f>
        <v>West Bengal</v>
      </c>
      <c r="E2195" s="21">
        <v>1200.0</v>
      </c>
      <c r="F2195" s="22">
        <v>180.376</v>
      </c>
      <c r="G2195" s="22">
        <v>0.0</v>
      </c>
      <c r="H2195" s="22">
        <v>0.0</v>
      </c>
      <c r="I2195" s="22">
        <v>0.0</v>
      </c>
      <c r="J2195" s="22">
        <v>7.54</v>
      </c>
      <c r="K2195" s="22">
        <v>0.0</v>
      </c>
      <c r="L2195" s="22">
        <v>187.916</v>
      </c>
      <c r="M2195" s="22">
        <v>199.218</v>
      </c>
      <c r="N2195" s="22">
        <v>447.51</v>
      </c>
      <c r="O2195" s="24">
        <v>67.4</v>
      </c>
      <c r="P2195" s="18">
        <f t="shared" si="1"/>
        <v>187.916</v>
      </c>
    </row>
    <row r="2196" ht="15.75" customHeight="1">
      <c r="A2196" s="13" t="s">
        <v>229</v>
      </c>
      <c r="B2196" s="13" t="s">
        <v>22</v>
      </c>
      <c r="C2196" s="14" t="s">
        <v>52</v>
      </c>
      <c r="D2196" s="14" t="str">
        <f>VLOOKUP(C2196,'State Key'!$A$2:$B$210,2,False)</f>
        <v>West Bengal</v>
      </c>
      <c r="E2196" s="15">
        <v>1600.0</v>
      </c>
      <c r="F2196" s="16">
        <v>0.0</v>
      </c>
      <c r="G2196" s="16">
        <v>0.0</v>
      </c>
      <c r="H2196" s="16">
        <v>765.898</v>
      </c>
      <c r="I2196" s="16">
        <v>0.0</v>
      </c>
      <c r="J2196" s="16">
        <v>0.0</v>
      </c>
      <c r="K2196" s="16">
        <v>0.0</v>
      </c>
      <c r="L2196" s="16">
        <v>765.898</v>
      </c>
      <c r="M2196" s="16">
        <v>680.498</v>
      </c>
      <c r="N2196" s="16">
        <v>329.77</v>
      </c>
      <c r="O2196" s="24">
        <v>14.5</v>
      </c>
      <c r="P2196" s="18">
        <f t="shared" si="1"/>
        <v>765.898</v>
      </c>
    </row>
    <row r="2197" ht="15.75" customHeight="1">
      <c r="A2197" s="19" t="s">
        <v>229</v>
      </c>
      <c r="B2197" s="19" t="s">
        <v>22</v>
      </c>
      <c r="C2197" s="20" t="s">
        <v>53</v>
      </c>
      <c r="D2197" s="14" t="str">
        <f>VLOOKUP(C2197,'State Key'!$A$2:$B$210,2,False)</f>
        <v>West Bengal</v>
      </c>
      <c r="E2197" s="21">
        <v>500.0</v>
      </c>
      <c r="F2197" s="22">
        <v>15.17</v>
      </c>
      <c r="G2197" s="22">
        <v>0.0</v>
      </c>
      <c r="H2197" s="22">
        <v>200.853</v>
      </c>
      <c r="I2197" s="22">
        <v>0.0</v>
      </c>
      <c r="J2197" s="22">
        <v>0.0</v>
      </c>
      <c r="K2197" s="22">
        <v>0.0</v>
      </c>
      <c r="L2197" s="22">
        <v>216.023</v>
      </c>
      <c r="M2197" s="22">
        <v>229.88</v>
      </c>
      <c r="N2197" s="22">
        <v>77.46</v>
      </c>
      <c r="O2197" s="23">
        <v>10.1</v>
      </c>
      <c r="P2197" s="18">
        <f t="shared" si="1"/>
        <v>216.023</v>
      </c>
    </row>
    <row r="2198" ht="15.75" customHeight="1">
      <c r="A2198" s="13" t="s">
        <v>229</v>
      </c>
      <c r="B2198" s="13" t="s">
        <v>22</v>
      </c>
      <c r="C2198" s="14" t="s">
        <v>54</v>
      </c>
      <c r="D2198" s="14" t="str">
        <f>VLOOKUP(C2198,'State Key'!$A$2:$B$210,2,False)</f>
        <v>West Bengal</v>
      </c>
      <c r="E2198" s="15">
        <v>135.0</v>
      </c>
      <c r="F2198" s="16">
        <v>15.272</v>
      </c>
      <c r="G2198" s="16">
        <v>0.0</v>
      </c>
      <c r="H2198" s="16">
        <v>0.0</v>
      </c>
      <c r="I2198" s="16">
        <v>23.72</v>
      </c>
      <c r="J2198" s="16">
        <v>0.0</v>
      </c>
      <c r="K2198" s="16">
        <v>0.0</v>
      </c>
      <c r="L2198" s="16">
        <v>38.992</v>
      </c>
      <c r="M2198" s="16">
        <v>56.405</v>
      </c>
      <c r="N2198" s="16">
        <v>65.03</v>
      </c>
      <c r="O2198" s="24">
        <v>34.6</v>
      </c>
      <c r="P2198" s="18">
        <f t="shared" si="1"/>
        <v>38.992</v>
      </c>
    </row>
    <row r="2199" ht="15.75" customHeight="1">
      <c r="A2199" s="19" t="s">
        <v>229</v>
      </c>
      <c r="B2199" s="19" t="s">
        <v>22</v>
      </c>
      <c r="C2199" s="20" t="s">
        <v>55</v>
      </c>
      <c r="D2199" s="14" t="str">
        <f>VLOOKUP(C2199,'State Key'!$A$2:$B$210,2,False)</f>
        <v>Odisha</v>
      </c>
      <c r="E2199" s="21">
        <v>3000.0</v>
      </c>
      <c r="F2199" s="22">
        <v>1127.4</v>
      </c>
      <c r="G2199" s="22">
        <v>0.0</v>
      </c>
      <c r="H2199" s="22">
        <v>77.95</v>
      </c>
      <c r="I2199" s="22">
        <v>0.0</v>
      </c>
      <c r="J2199" s="22">
        <v>0.0</v>
      </c>
      <c r="K2199" s="22">
        <v>0.0</v>
      </c>
      <c r="L2199" s="22">
        <v>1205.35</v>
      </c>
      <c r="M2199" s="22">
        <v>1379.317</v>
      </c>
      <c r="N2199" s="22">
        <v>479.963</v>
      </c>
      <c r="O2199" s="23">
        <v>10.4</v>
      </c>
      <c r="P2199" s="18">
        <f t="shared" si="1"/>
        <v>1205.35</v>
      </c>
    </row>
    <row r="2200" ht="15.75" customHeight="1">
      <c r="A2200" s="13" t="s">
        <v>229</v>
      </c>
      <c r="B2200" s="13" t="s">
        <v>22</v>
      </c>
      <c r="C2200" s="14" t="s">
        <v>56</v>
      </c>
      <c r="D2200" s="14" t="str">
        <f>VLOOKUP(C2200,'State Key'!$A$2:$B$210,2,False)</f>
        <v>Jharkhand</v>
      </c>
      <c r="E2200" s="15">
        <v>420.0</v>
      </c>
      <c r="F2200" s="16">
        <v>127.28</v>
      </c>
      <c r="G2200" s="16">
        <v>0.0</v>
      </c>
      <c r="H2200" s="16">
        <v>0.0</v>
      </c>
      <c r="I2200" s="16">
        <v>0.0</v>
      </c>
      <c r="J2200" s="16">
        <v>0.0</v>
      </c>
      <c r="K2200" s="16">
        <v>0.0</v>
      </c>
      <c r="L2200" s="16">
        <v>127.28</v>
      </c>
      <c r="M2200" s="16">
        <v>152.6</v>
      </c>
      <c r="N2200" s="16">
        <v>65.45</v>
      </c>
      <c r="O2200" s="23">
        <v>12.9</v>
      </c>
      <c r="P2200" s="18">
        <f t="shared" si="1"/>
        <v>127.28</v>
      </c>
    </row>
    <row r="2201" ht="15.75" customHeight="1">
      <c r="A2201" s="19" t="s">
        <v>229</v>
      </c>
      <c r="B2201" s="19" t="s">
        <v>22</v>
      </c>
      <c r="C2201" s="20" t="s">
        <v>57</v>
      </c>
      <c r="D2201" s="14" t="str">
        <f>VLOOKUP(C2201,'State Key'!$A$2:$B$210,2,False)</f>
        <v>West Bengal</v>
      </c>
      <c r="E2201" s="21">
        <v>240.0</v>
      </c>
      <c r="F2201" s="22">
        <v>0.0</v>
      </c>
      <c r="G2201" s="22">
        <v>0.0</v>
      </c>
      <c r="H2201" s="22">
        <v>0.0</v>
      </c>
      <c r="I2201" s="22">
        <v>0.0</v>
      </c>
      <c r="J2201" s="22">
        <v>0.0</v>
      </c>
      <c r="K2201" s="22">
        <v>0.0</v>
      </c>
      <c r="L2201" s="22">
        <v>0.0</v>
      </c>
      <c r="M2201" s="22">
        <v>0.0</v>
      </c>
      <c r="N2201" s="22">
        <v>0.0</v>
      </c>
      <c r="O2201" s="19" t="s">
        <v>58</v>
      </c>
      <c r="P2201" s="18">
        <f t="shared" si="1"/>
        <v>0</v>
      </c>
    </row>
    <row r="2202" ht="15.75" customHeight="1">
      <c r="A2202" s="13" t="s">
        <v>229</v>
      </c>
      <c r="B2202" s="13" t="s">
        <v>22</v>
      </c>
      <c r="C2202" s="14" t="s">
        <v>59</v>
      </c>
      <c r="D2202" s="14" t="str">
        <f>VLOOKUP(C2202,'State Key'!$A$2:$B$210,2,False)</f>
        <v>Odisha</v>
      </c>
      <c r="E2202" s="15">
        <v>350.0</v>
      </c>
      <c r="F2202" s="16">
        <v>0.0</v>
      </c>
      <c r="G2202" s="16">
        <v>0.0</v>
      </c>
      <c r="H2202" s="16">
        <v>0.0</v>
      </c>
      <c r="I2202" s="16">
        <v>0.0</v>
      </c>
      <c r="J2202" s="16">
        <v>0.0</v>
      </c>
      <c r="K2202" s="16">
        <v>0.0</v>
      </c>
      <c r="L2202" s="16">
        <v>0.0</v>
      </c>
      <c r="M2202" s="16">
        <v>0.0</v>
      </c>
      <c r="N2202" s="16">
        <v>0.0</v>
      </c>
      <c r="O2202" s="13" t="s">
        <v>58</v>
      </c>
      <c r="P2202" s="18">
        <f t="shared" si="1"/>
        <v>0</v>
      </c>
    </row>
    <row r="2203" ht="15.75" customHeight="1">
      <c r="A2203" s="19" t="s">
        <v>229</v>
      </c>
      <c r="B2203" s="19" t="s">
        <v>22</v>
      </c>
      <c r="C2203" s="20" t="s">
        <v>60</v>
      </c>
      <c r="D2203" s="14" t="str">
        <f>VLOOKUP(C2203,'State Key'!$A$2:$B$210,2,False)</f>
        <v>Odisha</v>
      </c>
      <c r="E2203" s="21">
        <v>600.0</v>
      </c>
      <c r="F2203" s="22">
        <v>317.89</v>
      </c>
      <c r="G2203" s="22">
        <v>0.0</v>
      </c>
      <c r="H2203" s="22">
        <v>0.0</v>
      </c>
      <c r="I2203" s="22">
        <v>0.0</v>
      </c>
      <c r="J2203" s="22">
        <v>0.0</v>
      </c>
      <c r="K2203" s="22">
        <v>0.0</v>
      </c>
      <c r="L2203" s="22">
        <v>317.89</v>
      </c>
      <c r="M2203" s="22">
        <v>278.8</v>
      </c>
      <c r="N2203" s="22">
        <v>89.76</v>
      </c>
      <c r="O2203" s="23">
        <v>9.7</v>
      </c>
      <c r="P2203" s="18">
        <f t="shared" si="1"/>
        <v>317.89</v>
      </c>
    </row>
    <row r="2204" ht="15.75" customHeight="1">
      <c r="A2204" s="13" t="s">
        <v>229</v>
      </c>
      <c r="B2204" s="13" t="s">
        <v>61</v>
      </c>
      <c r="C2204" s="14" t="s">
        <v>209</v>
      </c>
      <c r="D2204" s="14" t="str">
        <f>VLOOKUP(C2204,'State Key'!$A$2:$B$210,2,False)</f>
        <v>Rajasthan</v>
      </c>
      <c r="E2204" s="15">
        <v>1320.0</v>
      </c>
      <c r="F2204" s="16">
        <v>335.954</v>
      </c>
      <c r="G2204" s="16">
        <v>0.0</v>
      </c>
      <c r="H2204" s="16">
        <v>0.0</v>
      </c>
      <c r="I2204" s="16">
        <v>0.0</v>
      </c>
      <c r="J2204" s="16">
        <v>218.885</v>
      </c>
      <c r="K2204" s="16">
        <v>0.0</v>
      </c>
      <c r="L2204" s="16">
        <v>554.839</v>
      </c>
      <c r="M2204" s="16">
        <v>396.708</v>
      </c>
      <c r="N2204" s="16">
        <v>321.51</v>
      </c>
      <c r="O2204" s="24">
        <v>24.3</v>
      </c>
      <c r="P2204" s="18">
        <f t="shared" si="1"/>
        <v>554.839</v>
      </c>
    </row>
    <row r="2205" ht="15.75" customHeight="1">
      <c r="A2205" s="19" t="s">
        <v>229</v>
      </c>
      <c r="B2205" s="19" t="s">
        <v>61</v>
      </c>
      <c r="C2205" s="20" t="s">
        <v>62</v>
      </c>
      <c r="D2205" s="14" t="str">
        <f>VLOOKUP(C2205,'State Key'!$A$2:$B$210,2,False)</f>
        <v>Uttar Pradesh</v>
      </c>
      <c r="E2205" s="21">
        <v>1200.0</v>
      </c>
      <c r="F2205" s="22">
        <v>434.012</v>
      </c>
      <c r="G2205" s="22">
        <v>0.0</v>
      </c>
      <c r="H2205" s="22">
        <v>0.0</v>
      </c>
      <c r="I2205" s="22">
        <v>0.0</v>
      </c>
      <c r="J2205" s="22">
        <v>0.0</v>
      </c>
      <c r="K2205" s="22">
        <v>0.0</v>
      </c>
      <c r="L2205" s="22">
        <v>434.012</v>
      </c>
      <c r="M2205" s="22">
        <v>529.405</v>
      </c>
      <c r="N2205" s="22">
        <v>16.825</v>
      </c>
      <c r="O2205" s="17">
        <v>1.0</v>
      </c>
      <c r="P2205" s="18">
        <f t="shared" si="1"/>
        <v>434.012</v>
      </c>
    </row>
    <row r="2206" ht="15.75" customHeight="1">
      <c r="A2206" s="13" t="s">
        <v>229</v>
      </c>
      <c r="B2206" s="13" t="s">
        <v>61</v>
      </c>
      <c r="C2206" s="14" t="s">
        <v>63</v>
      </c>
      <c r="D2206" s="14" t="str">
        <f>VLOOKUP(C2206,'State Key'!$A$2:$B$210,2,False)</f>
        <v>Uttar Pradesh</v>
      </c>
      <c r="E2206" s="15">
        <v>2630.0</v>
      </c>
      <c r="F2206" s="16">
        <v>889.077</v>
      </c>
      <c r="G2206" s="16">
        <v>0.0</v>
      </c>
      <c r="H2206" s="16">
        <v>0.0</v>
      </c>
      <c r="I2206" s="16">
        <v>0.0</v>
      </c>
      <c r="J2206" s="16">
        <v>0.0</v>
      </c>
      <c r="K2206" s="16">
        <v>0.0</v>
      </c>
      <c r="L2206" s="16">
        <v>889.077</v>
      </c>
      <c r="M2206" s="16">
        <v>1121.657</v>
      </c>
      <c r="N2206" s="16">
        <v>534.26</v>
      </c>
      <c r="O2206" s="24">
        <v>14.3</v>
      </c>
      <c r="P2206" s="18">
        <f t="shared" si="1"/>
        <v>889.077</v>
      </c>
    </row>
    <row r="2207" ht="15.75" customHeight="1">
      <c r="A2207" s="19" t="s">
        <v>229</v>
      </c>
      <c r="B2207" s="19" t="s">
        <v>61</v>
      </c>
      <c r="C2207" s="20" t="s">
        <v>64</v>
      </c>
      <c r="D2207" s="14" t="str">
        <f>VLOOKUP(C2207,'State Key'!$A$2:$B$210,2,False)</f>
        <v>Uttar Pradesh</v>
      </c>
      <c r="E2207" s="21">
        <v>90.0</v>
      </c>
      <c r="F2207" s="22">
        <v>35.716</v>
      </c>
      <c r="G2207" s="22">
        <v>0.0</v>
      </c>
      <c r="H2207" s="22">
        <v>0.0</v>
      </c>
      <c r="I2207" s="22">
        <v>0.0</v>
      </c>
      <c r="J2207" s="22">
        <v>0.0</v>
      </c>
      <c r="K2207" s="22">
        <v>0.0</v>
      </c>
      <c r="L2207" s="22">
        <v>35.716</v>
      </c>
      <c r="M2207" s="22">
        <v>24.807</v>
      </c>
      <c r="N2207" s="22">
        <v>106.75</v>
      </c>
      <c r="O2207" s="24">
        <v>129.1</v>
      </c>
      <c r="P2207" s="18">
        <f t="shared" si="1"/>
        <v>35.716</v>
      </c>
    </row>
    <row r="2208" ht="15.75" customHeight="1">
      <c r="A2208" s="13" t="s">
        <v>229</v>
      </c>
      <c r="B2208" s="13" t="s">
        <v>61</v>
      </c>
      <c r="C2208" s="14" t="s">
        <v>65</v>
      </c>
      <c r="D2208" s="14" t="str">
        <f>VLOOKUP(C2208,'State Key'!$A$2:$B$210,2,False)</f>
        <v>Rajasthan</v>
      </c>
      <c r="E2208" s="15">
        <v>500.0</v>
      </c>
      <c r="F2208" s="16">
        <v>156.64</v>
      </c>
      <c r="G2208" s="16">
        <v>0.0</v>
      </c>
      <c r="H2208" s="16">
        <v>0.0</v>
      </c>
      <c r="I2208" s="16">
        <v>0.0</v>
      </c>
      <c r="J2208" s="16">
        <v>0.0</v>
      </c>
      <c r="K2208" s="16">
        <v>0.0</v>
      </c>
      <c r="L2208" s="16">
        <v>156.64</v>
      </c>
      <c r="M2208" s="16">
        <v>208.28</v>
      </c>
      <c r="N2208" s="16">
        <v>7.82</v>
      </c>
      <c r="O2208" s="17">
        <v>1.1</v>
      </c>
      <c r="P2208" s="18">
        <f t="shared" si="1"/>
        <v>156.64</v>
      </c>
    </row>
    <row r="2209" ht="15.75" customHeight="1">
      <c r="A2209" s="19" t="s">
        <v>229</v>
      </c>
      <c r="B2209" s="19" t="s">
        <v>61</v>
      </c>
      <c r="C2209" s="20" t="s">
        <v>66</v>
      </c>
      <c r="D2209" s="14" t="str">
        <f>VLOOKUP(C2209,'State Key'!$A$2:$B$210,2,False)</f>
        <v>Rajasthan</v>
      </c>
      <c r="E2209" s="21">
        <v>500.0</v>
      </c>
      <c r="F2209" s="22">
        <v>190.6</v>
      </c>
      <c r="G2209" s="22">
        <v>0.0</v>
      </c>
      <c r="H2209" s="22">
        <v>0.0</v>
      </c>
      <c r="I2209" s="22">
        <v>0.0</v>
      </c>
      <c r="J2209" s="22">
        <v>0.0</v>
      </c>
      <c r="K2209" s="22">
        <v>0.0</v>
      </c>
      <c r="L2209" s="22">
        <v>190.6</v>
      </c>
      <c r="M2209" s="22">
        <v>214.51</v>
      </c>
      <c r="N2209" s="22">
        <v>146.26</v>
      </c>
      <c r="O2209" s="24">
        <v>20.5</v>
      </c>
      <c r="P2209" s="18">
        <f t="shared" si="1"/>
        <v>190.6</v>
      </c>
    </row>
    <row r="2210" ht="15.75" customHeight="1">
      <c r="A2210" s="13" t="s">
        <v>229</v>
      </c>
      <c r="B2210" s="13" t="s">
        <v>61</v>
      </c>
      <c r="C2210" s="14" t="s">
        <v>67</v>
      </c>
      <c r="D2210" s="14" t="str">
        <f>VLOOKUP(C2210,'State Key'!$A$2:$B$210,2,False)</f>
        <v>Rajasthan</v>
      </c>
      <c r="E2210" s="15">
        <v>1320.0</v>
      </c>
      <c r="F2210" s="16">
        <v>120.5088</v>
      </c>
      <c r="G2210" s="16">
        <v>0.0</v>
      </c>
      <c r="H2210" s="16">
        <v>268.9517</v>
      </c>
      <c r="I2210" s="16">
        <v>0.0</v>
      </c>
      <c r="J2210" s="16">
        <v>0.0</v>
      </c>
      <c r="K2210" s="16">
        <v>0.0</v>
      </c>
      <c r="L2210" s="16">
        <v>389.4605</v>
      </c>
      <c r="M2210" s="16">
        <v>421.8785</v>
      </c>
      <c r="N2210" s="16">
        <v>90.36</v>
      </c>
      <c r="O2210" s="17">
        <v>6.4</v>
      </c>
      <c r="P2210" s="18">
        <f t="shared" si="1"/>
        <v>389.4605</v>
      </c>
    </row>
    <row r="2211" ht="15.75" customHeight="1">
      <c r="A2211" s="19" t="s">
        <v>229</v>
      </c>
      <c r="B2211" s="19" t="s">
        <v>61</v>
      </c>
      <c r="C2211" s="20" t="s">
        <v>68</v>
      </c>
      <c r="D2211" s="14" t="str">
        <f>VLOOKUP(C2211,'State Key'!$A$2:$B$210,2,False)</f>
        <v>Uttar Pradesh</v>
      </c>
      <c r="E2211" s="21">
        <v>1820.0</v>
      </c>
      <c r="F2211" s="22">
        <v>514.9</v>
      </c>
      <c r="G2211" s="22">
        <v>0.0</v>
      </c>
      <c r="H2211" s="22">
        <v>112.85</v>
      </c>
      <c r="I2211" s="22">
        <v>0.0</v>
      </c>
      <c r="J2211" s="22">
        <v>15.74</v>
      </c>
      <c r="K2211" s="22">
        <v>0.0</v>
      </c>
      <c r="L2211" s="22">
        <v>643.49</v>
      </c>
      <c r="M2211" s="22">
        <v>574.14</v>
      </c>
      <c r="N2211" s="22">
        <v>841.643</v>
      </c>
      <c r="O2211" s="24">
        <v>44.0</v>
      </c>
      <c r="P2211" s="18">
        <f t="shared" si="1"/>
        <v>643.49</v>
      </c>
    </row>
    <row r="2212" ht="15.75" customHeight="1">
      <c r="A2212" s="13" t="s">
        <v>229</v>
      </c>
      <c r="B2212" s="13" t="s">
        <v>61</v>
      </c>
      <c r="C2212" s="14" t="s">
        <v>69</v>
      </c>
      <c r="D2212" s="14" t="str">
        <f>VLOOKUP(C2212,'State Key'!$A$2:$B$210,2,False)</f>
        <v>Punjab</v>
      </c>
      <c r="E2212" s="15">
        <v>920.0</v>
      </c>
      <c r="F2212" s="16">
        <v>59.12</v>
      </c>
      <c r="G2212" s="16">
        <v>0.0</v>
      </c>
      <c r="H2212" s="16">
        <v>198.655</v>
      </c>
      <c r="I2212" s="16">
        <v>0.0</v>
      </c>
      <c r="J2212" s="16">
        <v>0.0</v>
      </c>
      <c r="K2212" s="16">
        <v>0.189</v>
      </c>
      <c r="L2212" s="16">
        <v>257.964</v>
      </c>
      <c r="M2212" s="16">
        <v>231.629</v>
      </c>
      <c r="N2212" s="16">
        <v>321.605</v>
      </c>
      <c r="O2212" s="24">
        <v>41.7</v>
      </c>
      <c r="P2212" s="18">
        <f t="shared" si="1"/>
        <v>257.964</v>
      </c>
    </row>
    <row r="2213" ht="15.75" customHeight="1">
      <c r="A2213" s="19" t="s">
        <v>229</v>
      </c>
      <c r="B2213" s="19" t="s">
        <v>61</v>
      </c>
      <c r="C2213" s="20" t="s">
        <v>70</v>
      </c>
      <c r="D2213" s="14" t="str">
        <f>VLOOKUP(C2213,'State Key'!$A$2:$B$210,2,False)</f>
        <v>Punjab</v>
      </c>
      <c r="E2213" s="21">
        <v>540.0</v>
      </c>
      <c r="F2213" s="22">
        <v>8.0843</v>
      </c>
      <c r="G2213" s="22">
        <v>0.0</v>
      </c>
      <c r="H2213" s="22">
        <v>160.8315</v>
      </c>
      <c r="I2213" s="22">
        <v>0.0</v>
      </c>
      <c r="J2213" s="22">
        <v>0.0</v>
      </c>
      <c r="K2213" s="22">
        <v>0.0</v>
      </c>
      <c r="L2213" s="22">
        <v>168.9158</v>
      </c>
      <c r="M2213" s="22">
        <v>148.896</v>
      </c>
      <c r="N2213" s="22">
        <v>174.99</v>
      </c>
      <c r="O2213" s="24">
        <v>35.3</v>
      </c>
      <c r="P2213" s="18">
        <f t="shared" si="1"/>
        <v>168.9158</v>
      </c>
    </row>
    <row r="2214" ht="15.75" customHeight="1">
      <c r="A2214" s="13" t="s">
        <v>229</v>
      </c>
      <c r="B2214" s="13" t="s">
        <v>61</v>
      </c>
      <c r="C2214" s="14" t="s">
        <v>71</v>
      </c>
      <c r="D2214" s="14" t="str">
        <f>VLOOKUP(C2214,'State Key'!$A$2:$B$210,2,False)</f>
        <v>Uttar Pradesh</v>
      </c>
      <c r="E2214" s="15">
        <v>1265.0</v>
      </c>
      <c r="F2214" s="16">
        <v>502.678</v>
      </c>
      <c r="G2214" s="16">
        <v>0.0</v>
      </c>
      <c r="H2214" s="16">
        <v>0.0</v>
      </c>
      <c r="I2214" s="16">
        <v>0.0</v>
      </c>
      <c r="J2214" s="16">
        <v>0.0</v>
      </c>
      <c r="K2214" s="16">
        <v>0.0</v>
      </c>
      <c r="L2214" s="16">
        <v>502.678</v>
      </c>
      <c r="M2214" s="16">
        <v>400.691</v>
      </c>
      <c r="N2214" s="16">
        <v>595.22</v>
      </c>
      <c r="O2214" s="24">
        <v>44.6</v>
      </c>
      <c r="P2214" s="18">
        <f t="shared" si="1"/>
        <v>502.678</v>
      </c>
    </row>
    <row r="2215" ht="15.75" customHeight="1">
      <c r="A2215" s="19" t="s">
        <v>229</v>
      </c>
      <c r="B2215" s="19" t="s">
        <v>61</v>
      </c>
      <c r="C2215" s="20" t="s">
        <v>72</v>
      </c>
      <c r="D2215" s="14" t="str">
        <f>VLOOKUP(C2215,'State Key'!$A$2:$B$210,2,False)</f>
        <v>Haryana</v>
      </c>
      <c r="E2215" s="21">
        <v>1500.0</v>
      </c>
      <c r="F2215" s="22">
        <v>404.799</v>
      </c>
      <c r="G2215" s="22">
        <v>0.0</v>
      </c>
      <c r="H2215" s="22">
        <v>0.0</v>
      </c>
      <c r="I2215" s="22">
        <v>0.0</v>
      </c>
      <c r="J2215" s="22">
        <v>31.973</v>
      </c>
      <c r="K2215" s="22">
        <v>0.138</v>
      </c>
      <c r="L2215" s="22">
        <v>436.91</v>
      </c>
      <c r="M2215" s="22">
        <v>487.315</v>
      </c>
      <c r="N2215" s="22">
        <v>725.47</v>
      </c>
      <c r="O2215" s="24">
        <v>44.7</v>
      </c>
      <c r="P2215" s="18">
        <f t="shared" si="1"/>
        <v>436.91</v>
      </c>
    </row>
    <row r="2216" ht="15.75" customHeight="1">
      <c r="A2216" s="13" t="s">
        <v>229</v>
      </c>
      <c r="B2216" s="13" t="s">
        <v>61</v>
      </c>
      <c r="C2216" s="14" t="s">
        <v>226</v>
      </c>
      <c r="D2216" s="14" t="str">
        <f>VLOOKUP(C2216,'State Key'!$A$2:$B$210,2,False)</f>
        <v>Uttar Pradesh</v>
      </c>
      <c r="E2216" s="15">
        <v>660.0</v>
      </c>
      <c r="F2216" s="16">
        <v>53.02</v>
      </c>
      <c r="G2216" s="16">
        <v>0.0</v>
      </c>
      <c r="H2216" s="16">
        <v>0.0</v>
      </c>
      <c r="I2216" s="16">
        <v>0.0</v>
      </c>
      <c r="J2216" s="16">
        <v>0.0</v>
      </c>
      <c r="K2216" s="16">
        <v>0.0</v>
      </c>
      <c r="L2216" s="16">
        <v>53.02</v>
      </c>
      <c r="M2216" s="16">
        <v>35.07</v>
      </c>
      <c r="N2216" s="16">
        <v>36.95</v>
      </c>
      <c r="O2216" s="24">
        <v>31.6</v>
      </c>
      <c r="P2216" s="18">
        <f t="shared" si="1"/>
        <v>53.02</v>
      </c>
    </row>
    <row r="2217" ht="15.75" customHeight="1">
      <c r="A2217" s="19" t="s">
        <v>229</v>
      </c>
      <c r="B2217" s="19" t="s">
        <v>61</v>
      </c>
      <c r="C2217" s="20" t="s">
        <v>73</v>
      </c>
      <c r="D2217" s="14" t="str">
        <f>VLOOKUP(C2217,'State Key'!$A$2:$B$210,2,False)</f>
        <v>Rajasthan</v>
      </c>
      <c r="E2217" s="21">
        <v>1200.0</v>
      </c>
      <c r="F2217" s="22">
        <v>107.168</v>
      </c>
      <c r="G2217" s="22">
        <v>0.0</v>
      </c>
      <c r="H2217" s="22">
        <v>318.98</v>
      </c>
      <c r="I2217" s="22">
        <v>0.0</v>
      </c>
      <c r="J2217" s="22">
        <v>0.0</v>
      </c>
      <c r="K2217" s="22">
        <v>0.0</v>
      </c>
      <c r="L2217" s="22">
        <v>426.148</v>
      </c>
      <c r="M2217" s="22">
        <v>422.556</v>
      </c>
      <c r="N2217" s="22">
        <v>136.83</v>
      </c>
      <c r="O2217" s="23">
        <v>9.7</v>
      </c>
      <c r="P2217" s="18">
        <f t="shared" si="1"/>
        <v>426.148</v>
      </c>
    </row>
    <row r="2218" ht="15.75" customHeight="1">
      <c r="A2218" s="13" t="s">
        <v>229</v>
      </c>
      <c r="B2218" s="13" t="s">
        <v>61</v>
      </c>
      <c r="C2218" s="14" t="s">
        <v>75</v>
      </c>
      <c r="D2218" s="14" t="str">
        <f>VLOOKUP(C2218,'State Key'!$A$2:$B$210,2,False)</f>
        <v>Uttar Pradesh</v>
      </c>
      <c r="E2218" s="15">
        <v>90.0</v>
      </c>
      <c r="F2218" s="16">
        <v>34.342</v>
      </c>
      <c r="G2218" s="16">
        <v>0.0</v>
      </c>
      <c r="H2218" s="16">
        <v>0.0</v>
      </c>
      <c r="I2218" s="16">
        <v>0.0</v>
      </c>
      <c r="J2218" s="16">
        <v>0.0</v>
      </c>
      <c r="K2218" s="16">
        <v>0.0</v>
      </c>
      <c r="L2218" s="16">
        <v>34.342</v>
      </c>
      <c r="M2218" s="16">
        <v>31.467</v>
      </c>
      <c r="N2218" s="16">
        <v>96.31</v>
      </c>
      <c r="O2218" s="24">
        <v>91.8</v>
      </c>
      <c r="P2218" s="18">
        <f t="shared" si="1"/>
        <v>34.342</v>
      </c>
    </row>
    <row r="2219" ht="15.75" customHeight="1">
      <c r="A2219" s="19" t="s">
        <v>229</v>
      </c>
      <c r="B2219" s="19" t="s">
        <v>61</v>
      </c>
      <c r="C2219" s="20" t="s">
        <v>76</v>
      </c>
      <c r="D2219" s="14" t="str">
        <f>VLOOKUP(C2219,'State Key'!$A$2:$B$210,2,False)</f>
        <v>Rajasthan</v>
      </c>
      <c r="E2219" s="21">
        <v>1240.0</v>
      </c>
      <c r="F2219" s="22">
        <v>615.23099</v>
      </c>
      <c r="G2219" s="22">
        <v>0.0</v>
      </c>
      <c r="H2219" s="22">
        <v>0.0</v>
      </c>
      <c r="I2219" s="22">
        <v>0.0</v>
      </c>
      <c r="J2219" s="22">
        <v>0.0</v>
      </c>
      <c r="K2219" s="22">
        <v>0.0</v>
      </c>
      <c r="L2219" s="22">
        <v>615.23099</v>
      </c>
      <c r="M2219" s="22">
        <v>598.574</v>
      </c>
      <c r="N2219" s="22">
        <v>128.72</v>
      </c>
      <c r="O2219" s="17">
        <v>6.5</v>
      </c>
      <c r="P2219" s="18">
        <f t="shared" si="1"/>
        <v>615.23099</v>
      </c>
    </row>
    <row r="2220" ht="15.75" customHeight="1">
      <c r="A2220" s="13" t="s">
        <v>229</v>
      </c>
      <c r="B2220" s="13" t="s">
        <v>61</v>
      </c>
      <c r="C2220" s="14" t="s">
        <v>77</v>
      </c>
      <c r="D2220" s="14" t="str">
        <f>VLOOKUP(C2220,'State Key'!$A$2:$B$210,2,False)</f>
        <v>Uttar Pradesh</v>
      </c>
      <c r="E2220" s="15">
        <v>90.0</v>
      </c>
      <c r="F2220" s="16">
        <v>40.003</v>
      </c>
      <c r="G2220" s="16">
        <v>0.0</v>
      </c>
      <c r="H2220" s="16">
        <v>0.0</v>
      </c>
      <c r="I2220" s="16">
        <v>0.0</v>
      </c>
      <c r="J2220" s="16">
        <v>0.0</v>
      </c>
      <c r="K2220" s="16">
        <v>0.0</v>
      </c>
      <c r="L2220" s="16">
        <v>40.003</v>
      </c>
      <c r="M2220" s="16">
        <v>31.264</v>
      </c>
      <c r="N2220" s="16">
        <v>60.59</v>
      </c>
      <c r="O2220" s="24">
        <v>58.1</v>
      </c>
      <c r="P2220" s="18">
        <f t="shared" si="1"/>
        <v>40.003</v>
      </c>
    </row>
    <row r="2221" ht="15.75" customHeight="1">
      <c r="A2221" s="19" t="s">
        <v>229</v>
      </c>
      <c r="B2221" s="19" t="s">
        <v>61</v>
      </c>
      <c r="C2221" s="20" t="s">
        <v>78</v>
      </c>
      <c r="D2221" s="14" t="str">
        <f>VLOOKUP(C2221,'State Key'!$A$2:$B$210,2,False)</f>
        <v>Uttar Pradesh</v>
      </c>
      <c r="E2221" s="21">
        <v>1980.0</v>
      </c>
      <c r="F2221" s="22">
        <v>621.609</v>
      </c>
      <c r="G2221" s="22">
        <v>0.0</v>
      </c>
      <c r="H2221" s="22">
        <v>0.0</v>
      </c>
      <c r="I2221" s="22">
        <v>0.0</v>
      </c>
      <c r="J2221" s="22">
        <v>0.0</v>
      </c>
      <c r="K2221" s="22">
        <v>0.0</v>
      </c>
      <c r="L2221" s="22">
        <v>621.609</v>
      </c>
      <c r="M2221" s="22">
        <v>639.133</v>
      </c>
      <c r="N2221" s="22">
        <v>599.46</v>
      </c>
      <c r="O2221" s="24">
        <v>28.1</v>
      </c>
      <c r="P2221" s="18">
        <f t="shared" si="1"/>
        <v>621.609</v>
      </c>
    </row>
    <row r="2222" ht="15.75" customHeight="1">
      <c r="A2222" s="13" t="s">
        <v>229</v>
      </c>
      <c r="B2222" s="13" t="s">
        <v>61</v>
      </c>
      <c r="C2222" s="14" t="s">
        <v>79</v>
      </c>
      <c r="D2222" s="14" t="str">
        <f>VLOOKUP(C2222,'State Key'!$A$2:$B$210,2,False)</f>
        <v>Haryana</v>
      </c>
      <c r="E2222" s="15">
        <v>1320.0</v>
      </c>
      <c r="F2222" s="16">
        <v>351.435</v>
      </c>
      <c r="G2222" s="16">
        <v>0.0</v>
      </c>
      <c r="H2222" s="16">
        <v>0.0</v>
      </c>
      <c r="I2222" s="16">
        <v>0.0</v>
      </c>
      <c r="J2222" s="16">
        <v>20.048</v>
      </c>
      <c r="K2222" s="16">
        <v>0.0</v>
      </c>
      <c r="L2222" s="16">
        <v>371.483</v>
      </c>
      <c r="M2222" s="16">
        <v>407.559</v>
      </c>
      <c r="N2222" s="16">
        <v>645.776</v>
      </c>
      <c r="O2222" s="24">
        <v>47.5</v>
      </c>
      <c r="P2222" s="18">
        <f t="shared" si="1"/>
        <v>371.483</v>
      </c>
    </row>
    <row r="2223" ht="15.75" customHeight="1">
      <c r="A2223" s="19" t="s">
        <v>229</v>
      </c>
      <c r="B2223" s="19" t="s">
        <v>61</v>
      </c>
      <c r="C2223" s="20" t="s">
        <v>80</v>
      </c>
      <c r="D2223" s="14" t="str">
        <f>VLOOKUP(C2223,'State Key'!$A$2:$B$210,2,False)</f>
        <v>Uttar Pradesh</v>
      </c>
      <c r="E2223" s="21">
        <v>90.0</v>
      </c>
      <c r="F2223" s="22">
        <v>27.56</v>
      </c>
      <c r="G2223" s="22">
        <v>0.0</v>
      </c>
      <c r="H2223" s="22">
        <v>0.0</v>
      </c>
      <c r="I2223" s="22">
        <v>0.0</v>
      </c>
      <c r="J2223" s="22">
        <v>0.0</v>
      </c>
      <c r="K2223" s="22">
        <v>0.0</v>
      </c>
      <c r="L2223" s="22">
        <v>27.56</v>
      </c>
      <c r="M2223" s="22">
        <v>30.408</v>
      </c>
      <c r="N2223" s="22">
        <v>80.15</v>
      </c>
      <c r="O2223" s="24">
        <v>79.1</v>
      </c>
      <c r="P2223" s="18">
        <f t="shared" si="1"/>
        <v>27.56</v>
      </c>
    </row>
    <row r="2224" ht="15.75" customHeight="1">
      <c r="A2224" s="13" t="s">
        <v>229</v>
      </c>
      <c r="B2224" s="13" t="s">
        <v>61</v>
      </c>
      <c r="C2224" s="14" t="s">
        <v>81</v>
      </c>
      <c r="D2224" s="14" t="str">
        <f>VLOOKUP(C2224,'State Key'!$A$2:$B$210,2,False)</f>
        <v>Uttar Pradesh</v>
      </c>
      <c r="E2224" s="15">
        <v>1320.0</v>
      </c>
      <c r="F2224" s="16">
        <v>490.6374</v>
      </c>
      <c r="G2224" s="16">
        <v>0.0</v>
      </c>
      <c r="H2224" s="16">
        <v>0.0</v>
      </c>
      <c r="I2224" s="16">
        <v>0.0</v>
      </c>
      <c r="J2224" s="16">
        <v>3.823</v>
      </c>
      <c r="K2224" s="16">
        <v>0.0</v>
      </c>
      <c r="L2224" s="16">
        <v>494.4604</v>
      </c>
      <c r="M2224" s="16">
        <v>444.111</v>
      </c>
      <c r="N2224" s="16">
        <v>461.448</v>
      </c>
      <c r="O2224" s="24">
        <v>31.2</v>
      </c>
      <c r="P2224" s="18">
        <f t="shared" si="1"/>
        <v>494.4604</v>
      </c>
    </row>
    <row r="2225" ht="15.75" customHeight="1">
      <c r="A2225" s="19" t="s">
        <v>229</v>
      </c>
      <c r="B2225" s="19" t="s">
        <v>61</v>
      </c>
      <c r="C2225" s="20" t="s">
        <v>82</v>
      </c>
      <c r="D2225" s="14" t="str">
        <f>VLOOKUP(C2225,'State Key'!$A$2:$B$210,2,False)</f>
        <v>Uttar Pradesh</v>
      </c>
      <c r="E2225" s="21">
        <v>1660.0</v>
      </c>
      <c r="F2225" s="22">
        <v>402.772</v>
      </c>
      <c r="G2225" s="22">
        <v>0.0</v>
      </c>
      <c r="H2225" s="22">
        <v>0.0</v>
      </c>
      <c r="I2225" s="22">
        <v>0.0</v>
      </c>
      <c r="J2225" s="22">
        <v>0.0</v>
      </c>
      <c r="K2225" s="22">
        <v>0.0</v>
      </c>
      <c r="L2225" s="22">
        <v>402.772</v>
      </c>
      <c r="M2225" s="22">
        <v>411.78</v>
      </c>
      <c r="N2225" s="22">
        <v>286.13</v>
      </c>
      <c r="O2225" s="24">
        <v>20.8</v>
      </c>
      <c r="P2225" s="18">
        <f t="shared" si="1"/>
        <v>402.772</v>
      </c>
    </row>
    <row r="2226" ht="15.75" customHeight="1">
      <c r="A2226" s="13" t="s">
        <v>229</v>
      </c>
      <c r="B2226" s="13" t="s">
        <v>61</v>
      </c>
      <c r="C2226" s="14" t="s">
        <v>83</v>
      </c>
      <c r="D2226" s="14" t="str">
        <f>VLOOKUP(C2226,'State Key'!$A$2:$B$210,2,False)</f>
        <v>Haryana</v>
      </c>
      <c r="E2226" s="15">
        <v>710.0</v>
      </c>
      <c r="F2226" s="16">
        <v>306.722</v>
      </c>
      <c r="G2226" s="16">
        <v>0.0</v>
      </c>
      <c r="H2226" s="16">
        <v>0.0</v>
      </c>
      <c r="I2226" s="16">
        <v>0.0</v>
      </c>
      <c r="J2226" s="16">
        <v>0.0</v>
      </c>
      <c r="K2226" s="16">
        <v>0.0</v>
      </c>
      <c r="L2226" s="16">
        <v>306.722</v>
      </c>
      <c r="M2226" s="16">
        <v>241.805</v>
      </c>
      <c r="N2226" s="16">
        <v>531.01</v>
      </c>
      <c r="O2226" s="24">
        <v>65.9</v>
      </c>
      <c r="P2226" s="18">
        <f t="shared" si="1"/>
        <v>306.722</v>
      </c>
    </row>
    <row r="2227" ht="15.75" customHeight="1">
      <c r="A2227" s="19" t="s">
        <v>229</v>
      </c>
      <c r="B2227" s="19" t="s">
        <v>61</v>
      </c>
      <c r="C2227" s="20" t="s">
        <v>84</v>
      </c>
      <c r="D2227" s="14" t="str">
        <f>VLOOKUP(C2227,'State Key'!$A$2:$B$210,2,False)</f>
        <v>Uttar Pradesh</v>
      </c>
      <c r="E2227" s="21">
        <v>920.0</v>
      </c>
      <c r="F2227" s="22">
        <v>437.289</v>
      </c>
      <c r="G2227" s="22">
        <v>0.0</v>
      </c>
      <c r="H2227" s="22">
        <v>0.0</v>
      </c>
      <c r="I2227" s="22">
        <v>0.0</v>
      </c>
      <c r="J2227" s="22">
        <v>0.0</v>
      </c>
      <c r="K2227" s="22">
        <v>0.0</v>
      </c>
      <c r="L2227" s="22">
        <v>437.289</v>
      </c>
      <c r="M2227" s="22">
        <v>335.411</v>
      </c>
      <c r="N2227" s="22">
        <v>333.209</v>
      </c>
      <c r="O2227" s="24">
        <v>29.8</v>
      </c>
      <c r="P2227" s="18">
        <f t="shared" si="1"/>
        <v>437.289</v>
      </c>
    </row>
    <row r="2228" ht="15.75" customHeight="1">
      <c r="A2228" s="13" t="s">
        <v>229</v>
      </c>
      <c r="B2228" s="13" t="s">
        <v>61</v>
      </c>
      <c r="C2228" s="14" t="s">
        <v>85</v>
      </c>
      <c r="D2228" s="14" t="str">
        <f>VLOOKUP(C2228,'State Key'!$A$2:$B$210,2,False)</f>
        <v>Uttar Pradesh</v>
      </c>
      <c r="E2228" s="15">
        <v>1980.0</v>
      </c>
      <c r="F2228" s="16">
        <v>714.15508</v>
      </c>
      <c r="G2228" s="16">
        <v>0.0</v>
      </c>
      <c r="H2228" s="16">
        <v>0.0</v>
      </c>
      <c r="I2228" s="16">
        <v>0.0</v>
      </c>
      <c r="J2228" s="16">
        <v>0.0</v>
      </c>
      <c r="K2228" s="16">
        <v>0.0</v>
      </c>
      <c r="L2228" s="16">
        <v>714.15508</v>
      </c>
      <c r="M2228" s="16">
        <v>679.83</v>
      </c>
      <c r="N2228" s="16">
        <v>854.64</v>
      </c>
      <c r="O2228" s="24">
        <v>37.7</v>
      </c>
      <c r="P2228" s="18">
        <f t="shared" si="1"/>
        <v>714.15508</v>
      </c>
    </row>
    <row r="2229" ht="15.75" customHeight="1">
      <c r="A2229" s="19" t="s">
        <v>229</v>
      </c>
      <c r="B2229" s="19" t="s">
        <v>61</v>
      </c>
      <c r="C2229" s="20" t="s">
        <v>86</v>
      </c>
      <c r="D2229" s="14" t="str">
        <f>VLOOKUP(C2229,'State Key'!$A$2:$B$210,2,False)</f>
        <v>Haryana</v>
      </c>
      <c r="E2229" s="21">
        <v>1200.0</v>
      </c>
      <c r="F2229" s="22">
        <v>156.679</v>
      </c>
      <c r="G2229" s="22">
        <v>0.0</v>
      </c>
      <c r="H2229" s="22">
        <v>0.0</v>
      </c>
      <c r="I2229" s="22">
        <v>0.0</v>
      </c>
      <c r="J2229" s="22">
        <v>0.0</v>
      </c>
      <c r="K2229" s="22">
        <v>0.0</v>
      </c>
      <c r="L2229" s="22">
        <v>156.679</v>
      </c>
      <c r="M2229" s="22">
        <v>411.15</v>
      </c>
      <c r="N2229" s="22">
        <v>459.06</v>
      </c>
      <c r="O2229" s="24">
        <v>33.5</v>
      </c>
      <c r="P2229" s="18">
        <f t="shared" si="1"/>
        <v>156.679</v>
      </c>
    </row>
    <row r="2230" ht="15.75" customHeight="1">
      <c r="A2230" s="13" t="s">
        <v>229</v>
      </c>
      <c r="B2230" s="13" t="s">
        <v>61</v>
      </c>
      <c r="C2230" s="14" t="s">
        <v>87</v>
      </c>
      <c r="D2230" s="14" t="str">
        <f>VLOOKUP(C2230,'State Key'!$A$2:$B$210,2,False)</f>
        <v>Punjab</v>
      </c>
      <c r="E2230" s="15">
        <v>1400.0</v>
      </c>
      <c r="F2230" s="16">
        <v>531.7008</v>
      </c>
      <c r="G2230" s="16">
        <v>0.0</v>
      </c>
      <c r="H2230" s="16">
        <v>0.0</v>
      </c>
      <c r="I2230" s="16">
        <v>0.0</v>
      </c>
      <c r="J2230" s="16">
        <v>0.0</v>
      </c>
      <c r="K2230" s="16">
        <v>0.0</v>
      </c>
      <c r="L2230" s="16">
        <v>531.7008</v>
      </c>
      <c r="M2230" s="16">
        <v>494.1524</v>
      </c>
      <c r="N2230" s="16">
        <v>437.67</v>
      </c>
      <c r="O2230" s="24">
        <v>26.6</v>
      </c>
      <c r="P2230" s="18">
        <f t="shared" si="1"/>
        <v>531.7008</v>
      </c>
    </row>
    <row r="2231" ht="15.75" customHeight="1">
      <c r="A2231" s="19" t="s">
        <v>229</v>
      </c>
      <c r="B2231" s="19" t="s">
        <v>61</v>
      </c>
      <c r="C2231" s="20" t="s">
        <v>88</v>
      </c>
      <c r="D2231" s="14" t="str">
        <f>VLOOKUP(C2231,'State Key'!$A$2:$B$210,2,False)</f>
        <v>Uttar Pradesh</v>
      </c>
      <c r="E2231" s="21">
        <v>3000.0</v>
      </c>
      <c r="F2231" s="22">
        <v>1122.49</v>
      </c>
      <c r="G2231" s="22">
        <v>0.0</v>
      </c>
      <c r="H2231" s="22">
        <v>0.0</v>
      </c>
      <c r="I2231" s="22">
        <v>0.0</v>
      </c>
      <c r="J2231" s="22">
        <v>0.0</v>
      </c>
      <c r="K2231" s="22">
        <v>0.0</v>
      </c>
      <c r="L2231" s="22">
        <v>1122.49</v>
      </c>
      <c r="M2231" s="22">
        <v>1186.346</v>
      </c>
      <c r="N2231" s="22">
        <v>920.713</v>
      </c>
      <c r="O2231" s="24">
        <v>23.3</v>
      </c>
      <c r="P2231" s="18">
        <f t="shared" si="1"/>
        <v>1122.49</v>
      </c>
    </row>
    <row r="2232" ht="15.75" customHeight="1">
      <c r="A2232" s="13" t="s">
        <v>229</v>
      </c>
      <c r="B2232" s="13" t="s">
        <v>61</v>
      </c>
      <c r="C2232" s="14" t="s">
        <v>89</v>
      </c>
      <c r="D2232" s="14" t="str">
        <f>VLOOKUP(C2232,'State Key'!$A$2:$B$210,2,False)</f>
        <v>Punjab</v>
      </c>
      <c r="E2232" s="15">
        <v>840.0</v>
      </c>
      <c r="F2232" s="16">
        <v>29.77868</v>
      </c>
      <c r="G2232" s="16">
        <v>0.0</v>
      </c>
      <c r="H2232" s="16">
        <v>111.82697</v>
      </c>
      <c r="I2232" s="16">
        <v>0.0</v>
      </c>
      <c r="J2232" s="16">
        <v>0.0</v>
      </c>
      <c r="K2232" s="16">
        <v>0.131</v>
      </c>
      <c r="L2232" s="16">
        <v>141.73665</v>
      </c>
      <c r="M2232" s="16">
        <v>286.842</v>
      </c>
      <c r="N2232" s="16">
        <v>387.7</v>
      </c>
      <c r="O2232" s="24">
        <v>40.5</v>
      </c>
      <c r="P2232" s="18">
        <f t="shared" si="1"/>
        <v>141.73665</v>
      </c>
    </row>
    <row r="2233" ht="15.75" customHeight="1">
      <c r="A2233" s="19" t="s">
        <v>229</v>
      </c>
      <c r="B2233" s="19" t="s">
        <v>61</v>
      </c>
      <c r="C2233" s="20" t="s">
        <v>90</v>
      </c>
      <c r="D2233" s="14" t="str">
        <f>VLOOKUP(C2233,'State Key'!$A$2:$B$210,2,False)</f>
        <v>Uttar Pradesh</v>
      </c>
      <c r="E2233" s="21">
        <v>1200.0</v>
      </c>
      <c r="F2233" s="22">
        <v>485.002</v>
      </c>
      <c r="G2233" s="22">
        <v>0.0</v>
      </c>
      <c r="H2233" s="22">
        <v>0.0</v>
      </c>
      <c r="I2233" s="22">
        <v>0.0</v>
      </c>
      <c r="J2233" s="22">
        <v>0.0</v>
      </c>
      <c r="K2233" s="22">
        <v>0.0</v>
      </c>
      <c r="L2233" s="22">
        <v>485.002</v>
      </c>
      <c r="M2233" s="22">
        <v>408.409</v>
      </c>
      <c r="N2233" s="22">
        <v>361.74</v>
      </c>
      <c r="O2233" s="24">
        <v>26.6</v>
      </c>
      <c r="P2233" s="18">
        <f t="shared" si="1"/>
        <v>485.002</v>
      </c>
    </row>
    <row r="2234" ht="15.75" customHeight="1">
      <c r="A2234" s="13" t="s">
        <v>229</v>
      </c>
      <c r="B2234" s="13" t="s">
        <v>61</v>
      </c>
      <c r="C2234" s="14" t="s">
        <v>219</v>
      </c>
      <c r="D2234" s="14" t="str">
        <f>VLOOKUP(C2234,'State Key'!$A$2:$B$210,2,False)</f>
        <v>Rajasthan</v>
      </c>
      <c r="E2234" s="15">
        <v>300.0</v>
      </c>
      <c r="F2234" s="16">
        <v>0.0</v>
      </c>
      <c r="G2234" s="16">
        <v>0.0</v>
      </c>
      <c r="H2234" s="16">
        <v>0.0</v>
      </c>
      <c r="I2234" s="16">
        <v>0.0</v>
      </c>
      <c r="J2234" s="16">
        <v>62.86</v>
      </c>
      <c r="K2234" s="16">
        <v>0.0</v>
      </c>
      <c r="L2234" s="16">
        <v>62.86</v>
      </c>
      <c r="M2234" s="16">
        <v>62.86</v>
      </c>
      <c r="N2234" s="16">
        <v>27.8</v>
      </c>
      <c r="O2234" s="23">
        <v>13.3</v>
      </c>
      <c r="P2234" s="18">
        <f t="shared" si="1"/>
        <v>62.86</v>
      </c>
    </row>
    <row r="2235" ht="15.75" customHeight="1">
      <c r="A2235" s="19" t="s">
        <v>229</v>
      </c>
      <c r="B2235" s="19" t="s">
        <v>61</v>
      </c>
      <c r="C2235" s="20" t="s">
        <v>91</v>
      </c>
      <c r="D2235" s="14" t="str">
        <f>VLOOKUP(C2235,'State Key'!$A$2:$B$210,2,False)</f>
        <v>Uttar Pradesh</v>
      </c>
      <c r="E2235" s="21">
        <v>2000.0</v>
      </c>
      <c r="F2235" s="22">
        <v>816.73</v>
      </c>
      <c r="G2235" s="22">
        <v>0.0</v>
      </c>
      <c r="H2235" s="22">
        <v>0.0</v>
      </c>
      <c r="I2235" s="22">
        <v>0.0</v>
      </c>
      <c r="J2235" s="22">
        <v>0.0</v>
      </c>
      <c r="K2235" s="22">
        <v>0.0</v>
      </c>
      <c r="L2235" s="22">
        <v>816.73</v>
      </c>
      <c r="M2235" s="22">
        <v>888.988</v>
      </c>
      <c r="N2235" s="22">
        <v>366.132</v>
      </c>
      <c r="O2235" s="23">
        <v>12.4</v>
      </c>
      <c r="P2235" s="18">
        <f t="shared" si="1"/>
        <v>816.73</v>
      </c>
    </row>
    <row r="2236" ht="15.75" customHeight="1">
      <c r="A2236" s="13" t="s">
        <v>229</v>
      </c>
      <c r="B2236" s="13" t="s">
        <v>61</v>
      </c>
      <c r="C2236" s="14" t="s">
        <v>92</v>
      </c>
      <c r="D2236" s="14" t="str">
        <f>VLOOKUP(C2236,'State Key'!$A$2:$B$210,2,False)</f>
        <v>Rajasthan</v>
      </c>
      <c r="E2236" s="15">
        <v>1320.0</v>
      </c>
      <c r="F2236" s="16">
        <v>211.38185</v>
      </c>
      <c r="G2236" s="16">
        <v>0.0</v>
      </c>
      <c r="H2236" s="16">
        <v>75.03157</v>
      </c>
      <c r="I2236" s="16">
        <v>0.0</v>
      </c>
      <c r="J2236" s="16">
        <v>0.0</v>
      </c>
      <c r="K2236" s="16">
        <v>0.0</v>
      </c>
      <c r="L2236" s="16">
        <v>286.41342</v>
      </c>
      <c r="M2236" s="16">
        <v>328.774</v>
      </c>
      <c r="N2236" s="16">
        <v>87.41</v>
      </c>
      <c r="O2236" s="23">
        <v>8.0</v>
      </c>
      <c r="P2236" s="18">
        <f t="shared" si="1"/>
        <v>286.41342</v>
      </c>
    </row>
    <row r="2237" ht="15.75" customHeight="1">
      <c r="A2237" s="19" t="s">
        <v>229</v>
      </c>
      <c r="B2237" s="19" t="s">
        <v>61</v>
      </c>
      <c r="C2237" s="20" t="s">
        <v>93</v>
      </c>
      <c r="D2237" s="14" t="str">
        <f>VLOOKUP(C2237,'State Key'!$A$2:$B$210,2,False)</f>
        <v>Rajasthan</v>
      </c>
      <c r="E2237" s="21">
        <v>1500.0</v>
      </c>
      <c r="F2237" s="22">
        <v>440.307</v>
      </c>
      <c r="G2237" s="22">
        <v>0.0</v>
      </c>
      <c r="H2237" s="22">
        <v>0.0</v>
      </c>
      <c r="I2237" s="22">
        <v>0.0</v>
      </c>
      <c r="J2237" s="22">
        <v>0.0</v>
      </c>
      <c r="K2237" s="22">
        <v>0.0</v>
      </c>
      <c r="L2237" s="22">
        <v>440.307</v>
      </c>
      <c r="M2237" s="22">
        <v>462.171</v>
      </c>
      <c r="N2237" s="22">
        <v>144.62</v>
      </c>
      <c r="O2237" s="23">
        <v>9.4</v>
      </c>
      <c r="P2237" s="18">
        <f t="shared" si="1"/>
        <v>440.307</v>
      </c>
    </row>
    <row r="2238" ht="15.75" customHeight="1">
      <c r="A2238" s="13" t="s">
        <v>229</v>
      </c>
      <c r="B2238" s="13" t="s">
        <v>61</v>
      </c>
      <c r="C2238" s="14" t="s">
        <v>94</v>
      </c>
      <c r="D2238" s="14" t="str">
        <f>VLOOKUP(C2238,'State Key'!$A$2:$B$210,2,False)</f>
        <v>Punjab</v>
      </c>
      <c r="E2238" s="15">
        <v>1980.0</v>
      </c>
      <c r="F2238" s="16">
        <v>577.137</v>
      </c>
      <c r="G2238" s="16">
        <v>0.0</v>
      </c>
      <c r="H2238" s="16">
        <v>0.0</v>
      </c>
      <c r="I2238" s="16">
        <v>0.0</v>
      </c>
      <c r="J2238" s="16">
        <v>0.0</v>
      </c>
      <c r="K2238" s="16">
        <v>0.0</v>
      </c>
      <c r="L2238" s="16">
        <v>577.137</v>
      </c>
      <c r="M2238" s="16">
        <v>674.325</v>
      </c>
      <c r="N2238" s="16">
        <v>201.82</v>
      </c>
      <c r="O2238" s="23">
        <v>9.0</v>
      </c>
      <c r="P2238" s="18">
        <f t="shared" si="1"/>
        <v>577.137</v>
      </c>
    </row>
    <row r="2239" ht="15.75" customHeight="1">
      <c r="A2239" s="19" t="s">
        <v>229</v>
      </c>
      <c r="B2239" s="19" t="s">
        <v>61</v>
      </c>
      <c r="C2239" s="20" t="s">
        <v>95</v>
      </c>
      <c r="D2239" s="14" t="str">
        <f>VLOOKUP(C2239,'State Key'!$A$2:$B$210,2,False)</f>
        <v>Uttar Pradesh</v>
      </c>
      <c r="E2239" s="21">
        <v>1760.0</v>
      </c>
      <c r="F2239" s="22">
        <v>425.94</v>
      </c>
      <c r="G2239" s="22">
        <v>4.13</v>
      </c>
      <c r="H2239" s="22">
        <v>138.37</v>
      </c>
      <c r="I2239" s="22">
        <v>0.0</v>
      </c>
      <c r="J2239" s="22">
        <v>44.31</v>
      </c>
      <c r="K2239" s="22">
        <v>0.0</v>
      </c>
      <c r="L2239" s="22">
        <v>612.75</v>
      </c>
      <c r="M2239" s="22">
        <v>621.583</v>
      </c>
      <c r="N2239" s="22">
        <v>686.388</v>
      </c>
      <c r="O2239" s="24">
        <v>33.1</v>
      </c>
      <c r="P2239" s="18">
        <f t="shared" si="1"/>
        <v>612.75</v>
      </c>
    </row>
    <row r="2240" ht="15.75" customHeight="1">
      <c r="A2240" s="13" t="s">
        <v>229</v>
      </c>
      <c r="B2240" s="13" t="s">
        <v>61</v>
      </c>
      <c r="C2240" s="14" t="s">
        <v>96</v>
      </c>
      <c r="D2240" s="14" t="str">
        <f>VLOOKUP(C2240,'State Key'!$A$2:$B$210,2,False)</f>
        <v>Uttar Pradesh</v>
      </c>
      <c r="E2240" s="15">
        <v>1550.0</v>
      </c>
      <c r="F2240" s="16">
        <v>417.37</v>
      </c>
      <c r="G2240" s="16">
        <v>8.21</v>
      </c>
      <c r="H2240" s="16">
        <v>67.92</v>
      </c>
      <c r="I2240" s="16">
        <v>0.0</v>
      </c>
      <c r="J2240" s="16">
        <v>15.57</v>
      </c>
      <c r="K2240" s="16">
        <v>0.0</v>
      </c>
      <c r="L2240" s="16">
        <v>509.07</v>
      </c>
      <c r="M2240" s="16">
        <v>539.714</v>
      </c>
      <c r="N2240" s="16">
        <v>454.327</v>
      </c>
      <c r="O2240" s="24">
        <v>25.3</v>
      </c>
      <c r="P2240" s="18">
        <f t="shared" si="1"/>
        <v>509.07</v>
      </c>
    </row>
    <row r="2241" ht="15.75" customHeight="1">
      <c r="A2241" s="19" t="s">
        <v>229</v>
      </c>
      <c r="B2241" s="19" t="s">
        <v>61</v>
      </c>
      <c r="C2241" s="20" t="s">
        <v>97</v>
      </c>
      <c r="D2241" s="14" t="str">
        <f>VLOOKUP(C2241,'State Key'!$A$2:$B$210,2,False)</f>
        <v>Uttar Pradesh</v>
      </c>
      <c r="E2241" s="21">
        <v>90.0</v>
      </c>
      <c r="F2241" s="22">
        <v>32.286</v>
      </c>
      <c r="G2241" s="22">
        <v>0.0</v>
      </c>
      <c r="H2241" s="22">
        <v>0.0</v>
      </c>
      <c r="I2241" s="22">
        <v>0.0</v>
      </c>
      <c r="J2241" s="22">
        <v>0.0</v>
      </c>
      <c r="K2241" s="22">
        <v>0.0</v>
      </c>
      <c r="L2241" s="22">
        <v>32.286</v>
      </c>
      <c r="M2241" s="22">
        <v>32.79</v>
      </c>
      <c r="N2241" s="22">
        <v>57.08</v>
      </c>
      <c r="O2241" s="24">
        <v>52.2</v>
      </c>
      <c r="P2241" s="18">
        <f t="shared" si="1"/>
        <v>32.286</v>
      </c>
    </row>
    <row r="2242" ht="15.75" customHeight="1">
      <c r="A2242" s="13" t="s">
        <v>229</v>
      </c>
      <c r="B2242" s="13" t="s">
        <v>61</v>
      </c>
      <c r="C2242" s="14" t="s">
        <v>98</v>
      </c>
      <c r="D2242" s="14" t="str">
        <f>VLOOKUP(C2242,'State Key'!$A$2:$B$210,2,False)</f>
        <v>Haryana</v>
      </c>
      <c r="E2242" s="15">
        <v>600.0</v>
      </c>
      <c r="F2242" s="16">
        <v>236.595</v>
      </c>
      <c r="G2242" s="16">
        <v>0.0</v>
      </c>
      <c r="H2242" s="16">
        <v>0.0</v>
      </c>
      <c r="I2242" s="16">
        <v>0.0</v>
      </c>
      <c r="J2242" s="16">
        <v>0.0</v>
      </c>
      <c r="K2242" s="16">
        <v>0.0</v>
      </c>
      <c r="L2242" s="16">
        <v>236.595</v>
      </c>
      <c r="M2242" s="16">
        <v>240.097</v>
      </c>
      <c r="N2242" s="16">
        <v>280.25</v>
      </c>
      <c r="O2242" s="24">
        <v>35.0</v>
      </c>
      <c r="P2242" s="18">
        <f t="shared" si="1"/>
        <v>236.595</v>
      </c>
    </row>
    <row r="2243" ht="15.75" customHeight="1">
      <c r="A2243" s="19" t="s">
        <v>229</v>
      </c>
      <c r="B2243" s="19" t="s">
        <v>99</v>
      </c>
      <c r="C2243" s="20" t="s">
        <v>230</v>
      </c>
      <c r="D2243" s="14" t="str">
        <f>VLOOKUP(C2243,'State Key'!$A$2:$B$210,2,False)</f>
        <v>Karnataka</v>
      </c>
      <c r="E2243" s="21">
        <v>1200.0</v>
      </c>
      <c r="F2243" s="22">
        <v>0.0</v>
      </c>
      <c r="G2243" s="22">
        <v>0.0</v>
      </c>
      <c r="H2243" s="22">
        <v>0.0</v>
      </c>
      <c r="I2243" s="22">
        <v>0.0</v>
      </c>
      <c r="J2243" s="22">
        <v>203.755</v>
      </c>
      <c r="K2243" s="22">
        <v>0.0</v>
      </c>
      <c r="L2243" s="22">
        <v>203.755</v>
      </c>
      <c r="M2243" s="22">
        <v>284.97</v>
      </c>
      <c r="N2243" s="22">
        <v>209.55</v>
      </c>
      <c r="O2243" s="24">
        <v>22.1</v>
      </c>
      <c r="P2243" s="18">
        <f t="shared" si="1"/>
        <v>203.755</v>
      </c>
    </row>
    <row r="2244" ht="15.75" customHeight="1">
      <c r="A2244" s="13" t="s">
        <v>229</v>
      </c>
      <c r="B2244" s="13" t="s">
        <v>99</v>
      </c>
      <c r="C2244" s="14" t="s">
        <v>100</v>
      </c>
      <c r="D2244" s="14" t="str">
        <f>VLOOKUP(C2244,'State Key'!$A$2:$B$210,2,False)</f>
        <v>Karnataka</v>
      </c>
      <c r="E2244" s="15">
        <v>1700.0</v>
      </c>
      <c r="F2244" s="16">
        <v>175.30798</v>
      </c>
      <c r="G2244" s="16">
        <v>127.53533</v>
      </c>
      <c r="H2244" s="16">
        <v>315.19109</v>
      </c>
      <c r="I2244" s="16">
        <v>0.0</v>
      </c>
      <c r="J2244" s="16">
        <v>31.25302</v>
      </c>
      <c r="K2244" s="16">
        <v>0.0</v>
      </c>
      <c r="L2244" s="16">
        <v>649.28742</v>
      </c>
      <c r="M2244" s="16">
        <v>628.693</v>
      </c>
      <c r="N2244" s="16">
        <v>262.1655</v>
      </c>
      <c r="O2244" s="23">
        <v>12.5</v>
      </c>
      <c r="P2244" s="18">
        <f t="shared" si="1"/>
        <v>649.28742</v>
      </c>
    </row>
    <row r="2245" ht="15.75" customHeight="1">
      <c r="A2245" s="19" t="s">
        <v>229</v>
      </c>
      <c r="B2245" s="19" t="s">
        <v>99</v>
      </c>
      <c r="C2245" s="20" t="s">
        <v>101</v>
      </c>
      <c r="D2245" s="14" t="str">
        <f>VLOOKUP(C2245,'State Key'!$A$2:$B$210,2,False)</f>
        <v>Telangana</v>
      </c>
      <c r="E2245" s="21">
        <v>1080.0</v>
      </c>
      <c r="F2245" s="22">
        <v>0.0</v>
      </c>
      <c r="G2245" s="22">
        <v>437.299</v>
      </c>
      <c r="H2245" s="22">
        <v>0.0</v>
      </c>
      <c r="I2245" s="22">
        <v>0.0</v>
      </c>
      <c r="J2245" s="22">
        <v>0.0</v>
      </c>
      <c r="K2245" s="22">
        <v>0.0</v>
      </c>
      <c r="L2245" s="22">
        <v>437.299</v>
      </c>
      <c r="M2245" s="22">
        <v>441.194</v>
      </c>
      <c r="N2245" s="22">
        <v>179.638</v>
      </c>
      <c r="O2245" s="23">
        <v>12.2</v>
      </c>
      <c r="P2245" s="18">
        <f t="shared" si="1"/>
        <v>437.299</v>
      </c>
    </row>
    <row r="2246" ht="15.75" customHeight="1">
      <c r="A2246" s="13" t="s">
        <v>229</v>
      </c>
      <c r="B2246" s="13" t="s">
        <v>99</v>
      </c>
      <c r="C2246" s="14" t="s">
        <v>102</v>
      </c>
      <c r="D2246" s="14" t="str">
        <f>VLOOKUP(C2246,'State Key'!$A$2:$B$210,2,False)</f>
        <v>Andhra Pradesh</v>
      </c>
      <c r="E2246" s="15">
        <v>2400.0</v>
      </c>
      <c r="F2246" s="16">
        <v>632.927</v>
      </c>
      <c r="G2246" s="16">
        <v>0.0</v>
      </c>
      <c r="H2246" s="16">
        <v>0.0</v>
      </c>
      <c r="I2246" s="16">
        <v>0.0</v>
      </c>
      <c r="J2246" s="16">
        <v>35.762</v>
      </c>
      <c r="K2246" s="16">
        <v>0.0</v>
      </c>
      <c r="L2246" s="16">
        <v>668.689</v>
      </c>
      <c r="M2246" s="16">
        <v>671.089</v>
      </c>
      <c r="N2246" s="16">
        <v>33.236</v>
      </c>
      <c r="O2246" s="17">
        <v>1.5</v>
      </c>
      <c r="P2246" s="18">
        <f t="shared" si="1"/>
        <v>668.689</v>
      </c>
    </row>
    <row r="2247" ht="15.75" customHeight="1">
      <c r="A2247" s="19" t="s">
        <v>229</v>
      </c>
      <c r="B2247" s="19" t="s">
        <v>99</v>
      </c>
      <c r="C2247" s="20" t="s">
        <v>103</v>
      </c>
      <c r="D2247" s="14" t="str">
        <f>VLOOKUP(C2247,'State Key'!$A$2:$B$210,2,False)</f>
        <v>Andhra Pradesh</v>
      </c>
      <c r="E2247" s="21">
        <v>2560.0</v>
      </c>
      <c r="F2247" s="22">
        <v>709.253</v>
      </c>
      <c r="G2247" s="22">
        <v>254.577</v>
      </c>
      <c r="H2247" s="22">
        <v>0.0</v>
      </c>
      <c r="I2247" s="22">
        <v>0.0</v>
      </c>
      <c r="J2247" s="22">
        <v>0.0</v>
      </c>
      <c r="K2247" s="22">
        <v>0.0</v>
      </c>
      <c r="L2247" s="22">
        <v>963.83</v>
      </c>
      <c r="M2247" s="22">
        <v>1067.687</v>
      </c>
      <c r="N2247" s="22">
        <v>49.95</v>
      </c>
      <c r="O2247" s="17">
        <v>1.4</v>
      </c>
      <c r="P2247" s="18">
        <f t="shared" si="1"/>
        <v>963.83</v>
      </c>
    </row>
    <row r="2248" ht="15.75" customHeight="1">
      <c r="A2248" s="13" t="s">
        <v>229</v>
      </c>
      <c r="B2248" s="13" t="s">
        <v>99</v>
      </c>
      <c r="C2248" s="14" t="s">
        <v>104</v>
      </c>
      <c r="D2248" s="14" t="str">
        <f>VLOOKUP(C2248,'State Key'!$A$2:$B$210,2,False)</f>
        <v>Tamil Nadu</v>
      </c>
      <c r="E2248" s="15">
        <v>1200.0</v>
      </c>
      <c r="F2248" s="16">
        <v>0.0</v>
      </c>
      <c r="G2248" s="16">
        <v>0.0</v>
      </c>
      <c r="H2248" s="16">
        <v>0.0</v>
      </c>
      <c r="I2248" s="16">
        <v>0.0</v>
      </c>
      <c r="J2248" s="16">
        <v>502.881</v>
      </c>
      <c r="K2248" s="16">
        <v>0.0</v>
      </c>
      <c r="L2248" s="16">
        <v>502.881</v>
      </c>
      <c r="M2248" s="16">
        <v>445.9192</v>
      </c>
      <c r="N2248" s="16">
        <v>161.08</v>
      </c>
      <c r="O2248" s="23">
        <v>10.8</v>
      </c>
      <c r="P2248" s="18">
        <f t="shared" si="1"/>
        <v>502.881</v>
      </c>
    </row>
    <row r="2249" ht="15.75" customHeight="1">
      <c r="A2249" s="19" t="s">
        <v>229</v>
      </c>
      <c r="B2249" s="19" t="s">
        <v>99</v>
      </c>
      <c r="C2249" s="20" t="s">
        <v>105</v>
      </c>
      <c r="D2249" s="14" t="str">
        <f>VLOOKUP(C2249,'State Key'!$A$2:$B$210,2,False)</f>
        <v>Telangana</v>
      </c>
      <c r="E2249" s="21">
        <v>1100.0</v>
      </c>
      <c r="F2249" s="22">
        <v>0.0</v>
      </c>
      <c r="G2249" s="22">
        <v>342.652</v>
      </c>
      <c r="H2249" s="22">
        <v>0.0</v>
      </c>
      <c r="I2249" s="22">
        <v>0.0</v>
      </c>
      <c r="J2249" s="22">
        <v>0.0</v>
      </c>
      <c r="K2249" s="22">
        <v>0.0</v>
      </c>
      <c r="L2249" s="22">
        <v>342.652</v>
      </c>
      <c r="M2249" s="22">
        <v>381.54</v>
      </c>
      <c r="N2249" s="22">
        <v>339.186</v>
      </c>
      <c r="O2249" s="24">
        <v>26.7</v>
      </c>
      <c r="P2249" s="18">
        <f t="shared" si="1"/>
        <v>342.652</v>
      </c>
    </row>
    <row r="2250" ht="15.75" customHeight="1">
      <c r="A2250" s="13" t="s">
        <v>229</v>
      </c>
      <c r="B2250" s="13" t="s">
        <v>99</v>
      </c>
      <c r="C2250" s="14" t="s">
        <v>106</v>
      </c>
      <c r="D2250" s="14" t="str">
        <f>VLOOKUP(C2250,'State Key'!$A$2:$B$210,2,False)</f>
        <v>Telangana</v>
      </c>
      <c r="E2250" s="15">
        <v>1000.0</v>
      </c>
      <c r="F2250" s="16">
        <v>0.0</v>
      </c>
      <c r="G2250" s="16">
        <v>366.388</v>
      </c>
      <c r="H2250" s="16">
        <v>0.0</v>
      </c>
      <c r="I2250" s="16">
        <v>0.0</v>
      </c>
      <c r="J2250" s="16">
        <v>0.0</v>
      </c>
      <c r="K2250" s="16">
        <v>0.0</v>
      </c>
      <c r="L2250" s="16">
        <v>366.388</v>
      </c>
      <c r="M2250" s="16">
        <v>380.73</v>
      </c>
      <c r="N2250" s="16">
        <v>141.789</v>
      </c>
      <c r="O2250" s="23">
        <v>11.2</v>
      </c>
      <c r="P2250" s="18">
        <f t="shared" si="1"/>
        <v>366.388</v>
      </c>
    </row>
    <row r="2251" ht="15.75" customHeight="1">
      <c r="A2251" s="19" t="s">
        <v>229</v>
      </c>
      <c r="B2251" s="19" t="s">
        <v>99</v>
      </c>
      <c r="C2251" s="20" t="s">
        <v>107</v>
      </c>
      <c r="D2251" s="14" t="str">
        <f>VLOOKUP(C2251,'State Key'!$A$2:$B$210,2,False)</f>
        <v>Telangana</v>
      </c>
      <c r="E2251" s="21">
        <v>800.0</v>
      </c>
      <c r="F2251" s="22">
        <v>0.0</v>
      </c>
      <c r="G2251" s="22">
        <v>219.773</v>
      </c>
      <c r="H2251" s="22">
        <v>0.0</v>
      </c>
      <c r="I2251" s="22">
        <v>0.0</v>
      </c>
      <c r="J2251" s="22">
        <v>0.0</v>
      </c>
      <c r="K2251" s="22">
        <v>0.0</v>
      </c>
      <c r="L2251" s="22">
        <v>219.773</v>
      </c>
      <c r="M2251" s="22">
        <v>247.869</v>
      </c>
      <c r="N2251" s="22">
        <v>66.36</v>
      </c>
      <c r="O2251" s="23">
        <v>8.0</v>
      </c>
      <c r="P2251" s="18">
        <f t="shared" si="1"/>
        <v>219.773</v>
      </c>
    </row>
    <row r="2252" ht="15.75" customHeight="1">
      <c r="A2252" s="13" t="s">
        <v>229</v>
      </c>
      <c r="B2252" s="13" t="s">
        <v>99</v>
      </c>
      <c r="C2252" s="14" t="s">
        <v>108</v>
      </c>
      <c r="D2252" s="14" t="str">
        <f>VLOOKUP(C2252,'State Key'!$A$2:$B$210,2,False)</f>
        <v>Karnataka</v>
      </c>
      <c r="E2252" s="15">
        <v>2400.0</v>
      </c>
      <c r="F2252" s="16">
        <v>245.71</v>
      </c>
      <c r="G2252" s="16">
        <v>124.04</v>
      </c>
      <c r="H2252" s="16">
        <v>139.42</v>
      </c>
      <c r="I2252" s="16">
        <v>0.0</v>
      </c>
      <c r="J2252" s="16">
        <v>181.41</v>
      </c>
      <c r="K2252" s="16">
        <v>0.0</v>
      </c>
      <c r="L2252" s="16">
        <v>690.58</v>
      </c>
      <c r="M2252" s="16">
        <v>738.959</v>
      </c>
      <c r="N2252" s="16">
        <v>518.962</v>
      </c>
      <c r="O2252" s="24">
        <v>21.1</v>
      </c>
      <c r="P2252" s="18">
        <f t="shared" si="1"/>
        <v>690.58</v>
      </c>
    </row>
    <row r="2253" ht="15.75" customHeight="1">
      <c r="A2253" s="19" t="s">
        <v>229</v>
      </c>
      <c r="B2253" s="19" t="s">
        <v>99</v>
      </c>
      <c r="C2253" s="20" t="s">
        <v>231</v>
      </c>
      <c r="D2253" s="14" t="str">
        <f>VLOOKUP(C2253,'State Key'!$A$2:$B$210,2,False)</f>
        <v>Karnataka</v>
      </c>
      <c r="E2253" s="21">
        <v>1200.0</v>
      </c>
      <c r="F2253" s="22">
        <v>0.0</v>
      </c>
      <c r="G2253" s="22">
        <v>0.0</v>
      </c>
      <c r="H2253" s="22">
        <v>0.0</v>
      </c>
      <c r="I2253" s="22">
        <v>0.0</v>
      </c>
      <c r="J2253" s="22">
        <v>203.755</v>
      </c>
      <c r="K2253" s="22">
        <v>0.0</v>
      </c>
      <c r="L2253" s="22">
        <v>203.755</v>
      </c>
      <c r="M2253" s="22">
        <v>284.97</v>
      </c>
      <c r="N2253" s="22">
        <v>209.55</v>
      </c>
      <c r="O2253" s="24">
        <v>22.1</v>
      </c>
      <c r="P2253" s="18">
        <f t="shared" si="1"/>
        <v>203.755</v>
      </c>
    </row>
    <row r="2254" ht="15.75" customHeight="1">
      <c r="A2254" s="13" t="s">
        <v>229</v>
      </c>
      <c r="B2254" s="13" t="s">
        <v>99</v>
      </c>
      <c r="C2254" s="14" t="s">
        <v>109</v>
      </c>
      <c r="D2254" s="14" t="str">
        <f>VLOOKUP(C2254,'State Key'!$A$2:$B$210,2,False)</f>
        <v>Tamil Nadu</v>
      </c>
      <c r="E2254" s="15">
        <v>840.0</v>
      </c>
      <c r="F2254" s="16">
        <v>157.8711</v>
      </c>
      <c r="G2254" s="16">
        <v>271.7423</v>
      </c>
      <c r="H2254" s="16">
        <v>0.0</v>
      </c>
      <c r="I2254" s="16">
        <v>0.0</v>
      </c>
      <c r="J2254" s="16">
        <v>0.0</v>
      </c>
      <c r="K2254" s="16">
        <v>0.0</v>
      </c>
      <c r="L2254" s="16">
        <v>429.6134</v>
      </c>
      <c r="M2254" s="16">
        <v>384.3214</v>
      </c>
      <c r="N2254" s="16">
        <v>230.709</v>
      </c>
      <c r="O2254" s="24">
        <v>18.0</v>
      </c>
      <c r="P2254" s="18">
        <f t="shared" si="1"/>
        <v>429.6134</v>
      </c>
    </row>
    <row r="2255" ht="15.75" customHeight="1">
      <c r="A2255" s="19" t="s">
        <v>229</v>
      </c>
      <c r="B2255" s="19" t="s">
        <v>99</v>
      </c>
      <c r="C2255" s="20" t="s">
        <v>110</v>
      </c>
      <c r="D2255" s="14" t="str">
        <f>VLOOKUP(C2255,'State Key'!$A$2:$B$210,2,False)</f>
        <v>Tamil Nadu</v>
      </c>
      <c r="E2255" s="21">
        <v>600.0</v>
      </c>
      <c r="F2255" s="22">
        <v>85.51</v>
      </c>
      <c r="G2255" s="22">
        <v>151.41</v>
      </c>
      <c r="H2255" s="22">
        <v>0.0</v>
      </c>
      <c r="I2255" s="22">
        <v>0.0</v>
      </c>
      <c r="J2255" s="22">
        <v>0.0</v>
      </c>
      <c r="K2255" s="22">
        <v>0.0</v>
      </c>
      <c r="L2255" s="22">
        <v>236.92</v>
      </c>
      <c r="M2255" s="22">
        <v>191.552</v>
      </c>
      <c r="N2255" s="22">
        <v>251.4</v>
      </c>
      <c r="O2255" s="24">
        <v>39.4</v>
      </c>
      <c r="P2255" s="18">
        <f t="shared" si="1"/>
        <v>236.92</v>
      </c>
    </row>
    <row r="2256" ht="15.75" customHeight="1">
      <c r="A2256" s="13" t="s">
        <v>229</v>
      </c>
      <c r="B2256" s="13" t="s">
        <v>99</v>
      </c>
      <c r="C2256" s="14" t="s">
        <v>111</v>
      </c>
      <c r="D2256" s="14" t="str">
        <f>VLOOKUP(C2256,'State Key'!$A$2:$B$210,2,False)</f>
        <v>Tamil Nadu</v>
      </c>
      <c r="E2256" s="15">
        <v>1200.0</v>
      </c>
      <c r="F2256" s="16">
        <v>0.0</v>
      </c>
      <c r="G2256" s="16">
        <v>0.0</v>
      </c>
      <c r="H2256" s="16">
        <v>0.0</v>
      </c>
      <c r="I2256" s="16">
        <v>0.0</v>
      </c>
      <c r="J2256" s="16">
        <v>405.956</v>
      </c>
      <c r="K2256" s="16">
        <v>0.0</v>
      </c>
      <c r="L2256" s="16">
        <v>405.956</v>
      </c>
      <c r="M2256" s="16">
        <v>422.89</v>
      </c>
      <c r="N2256" s="16">
        <v>110.68</v>
      </c>
      <c r="O2256" s="23">
        <v>7.9</v>
      </c>
      <c r="P2256" s="18">
        <f t="shared" si="1"/>
        <v>405.956</v>
      </c>
    </row>
    <row r="2257" ht="15.75" customHeight="1">
      <c r="A2257" s="19" t="s">
        <v>229</v>
      </c>
      <c r="B2257" s="19" t="s">
        <v>99</v>
      </c>
      <c r="C2257" s="20" t="s">
        <v>112</v>
      </c>
      <c r="D2257" s="14" t="str">
        <f>VLOOKUP(C2257,'State Key'!$A$2:$B$210,2,False)</f>
        <v>Tamil Nadu</v>
      </c>
      <c r="E2257" s="21">
        <v>1830.0</v>
      </c>
      <c r="F2257" s="22">
        <v>760.918</v>
      </c>
      <c r="G2257" s="22">
        <v>0.0</v>
      </c>
      <c r="H2257" s="22">
        <v>0.0</v>
      </c>
      <c r="I2257" s="22">
        <v>0.0</v>
      </c>
      <c r="J2257" s="22">
        <v>73.098</v>
      </c>
      <c r="K2257" s="22">
        <v>0.0</v>
      </c>
      <c r="L2257" s="22">
        <v>834.016</v>
      </c>
      <c r="M2257" s="22">
        <v>775.178</v>
      </c>
      <c r="N2257" s="22">
        <v>413.904</v>
      </c>
      <c r="O2257" s="24">
        <v>16.0</v>
      </c>
      <c r="P2257" s="18">
        <f t="shared" si="1"/>
        <v>834.016</v>
      </c>
    </row>
    <row r="2258" ht="15.75" customHeight="1">
      <c r="A2258" s="13" t="s">
        <v>229</v>
      </c>
      <c r="B2258" s="13" t="s">
        <v>99</v>
      </c>
      <c r="C2258" s="14" t="s">
        <v>113</v>
      </c>
      <c r="D2258" s="14" t="str">
        <f>VLOOKUP(C2258,'State Key'!$A$2:$B$210,2,False)</f>
        <v>Tamil Nadu</v>
      </c>
      <c r="E2258" s="15">
        <v>1000.0</v>
      </c>
      <c r="F2258" s="16">
        <v>195.716</v>
      </c>
      <c r="G2258" s="16">
        <v>0.0</v>
      </c>
      <c r="H2258" s="16">
        <v>151.06</v>
      </c>
      <c r="I2258" s="16">
        <v>0.0</v>
      </c>
      <c r="J2258" s="16">
        <v>74.82</v>
      </c>
      <c r="K2258" s="16">
        <v>0.0</v>
      </c>
      <c r="L2258" s="16">
        <v>421.596</v>
      </c>
      <c r="M2258" s="16">
        <v>386.129</v>
      </c>
      <c r="N2258" s="16">
        <v>288.74</v>
      </c>
      <c r="O2258" s="24">
        <v>22.4</v>
      </c>
      <c r="P2258" s="18">
        <f t="shared" si="1"/>
        <v>421.596</v>
      </c>
    </row>
    <row r="2259" ht="15.75" customHeight="1">
      <c r="A2259" s="19" t="s">
        <v>229</v>
      </c>
      <c r="B2259" s="19" t="s">
        <v>99</v>
      </c>
      <c r="C2259" s="20" t="s">
        <v>228</v>
      </c>
      <c r="D2259" s="14" t="str">
        <f>VLOOKUP(C2259,'State Key'!$A$2:$B$210,2,False)</f>
        <v>Tamil Nadu</v>
      </c>
      <c r="E2259" s="21">
        <v>414.0</v>
      </c>
      <c r="F2259" s="22">
        <v>0.0</v>
      </c>
      <c r="G2259" s="22">
        <v>0.0</v>
      </c>
      <c r="H2259" s="22">
        <v>0.0</v>
      </c>
      <c r="I2259" s="22">
        <v>0.0</v>
      </c>
      <c r="J2259" s="22">
        <v>199.0</v>
      </c>
      <c r="K2259" s="22">
        <v>0.0</v>
      </c>
      <c r="L2259" s="22">
        <v>199.0</v>
      </c>
      <c r="M2259" s="22">
        <v>182.39</v>
      </c>
      <c r="N2259" s="22">
        <v>16.61</v>
      </c>
      <c r="O2259" s="17">
        <v>2.7</v>
      </c>
      <c r="P2259" s="18">
        <f t="shared" si="1"/>
        <v>199</v>
      </c>
    </row>
    <row r="2260" ht="15.75" customHeight="1">
      <c r="A2260" s="13" t="s">
        <v>229</v>
      </c>
      <c r="B2260" s="13" t="s">
        <v>99</v>
      </c>
      <c r="C2260" s="14" t="s">
        <v>114</v>
      </c>
      <c r="D2260" s="14" t="str">
        <f>VLOOKUP(C2260,'State Key'!$A$2:$B$210,2,False)</f>
        <v>Andhra Pradesh</v>
      </c>
      <c r="E2260" s="15">
        <v>1320.0</v>
      </c>
      <c r="F2260" s="16">
        <v>329.278</v>
      </c>
      <c r="G2260" s="16">
        <v>0.0</v>
      </c>
      <c r="H2260" s="16">
        <v>0.0</v>
      </c>
      <c r="I2260" s="16">
        <v>0.0</v>
      </c>
      <c r="J2260" s="16">
        <v>275.005</v>
      </c>
      <c r="K2260" s="16">
        <v>0.0</v>
      </c>
      <c r="L2260" s="16">
        <v>604.283</v>
      </c>
      <c r="M2260" s="16">
        <v>499.87</v>
      </c>
      <c r="N2260" s="16">
        <v>313.39</v>
      </c>
      <c r="O2260" s="24">
        <v>18.8</v>
      </c>
      <c r="P2260" s="18">
        <f t="shared" si="1"/>
        <v>604.283</v>
      </c>
    </row>
    <row r="2261" ht="15.75" customHeight="1">
      <c r="A2261" s="19" t="s">
        <v>229</v>
      </c>
      <c r="B2261" s="19" t="s">
        <v>99</v>
      </c>
      <c r="C2261" s="20" t="s">
        <v>115</v>
      </c>
      <c r="D2261" s="14" t="str">
        <f>VLOOKUP(C2261,'State Key'!$A$2:$B$210,2,False)</f>
        <v>Karnataka</v>
      </c>
      <c r="E2261" s="21">
        <v>1720.0</v>
      </c>
      <c r="F2261" s="22">
        <v>466.439</v>
      </c>
      <c r="G2261" s="22">
        <v>237.922</v>
      </c>
      <c r="H2261" s="22">
        <v>0.0</v>
      </c>
      <c r="I2261" s="22">
        <v>0.0</v>
      </c>
      <c r="J2261" s="22">
        <v>0.13</v>
      </c>
      <c r="K2261" s="22">
        <v>0.0</v>
      </c>
      <c r="L2261" s="22">
        <v>704.491</v>
      </c>
      <c r="M2261" s="22">
        <v>660.459</v>
      </c>
      <c r="N2261" s="22">
        <v>427.19</v>
      </c>
      <c r="O2261" s="24">
        <v>19.4</v>
      </c>
      <c r="P2261" s="18">
        <f t="shared" si="1"/>
        <v>704.491</v>
      </c>
    </row>
    <row r="2262" ht="15.75" customHeight="1">
      <c r="A2262" s="13" t="s">
        <v>229</v>
      </c>
      <c r="B2262" s="13" t="s">
        <v>99</v>
      </c>
      <c r="C2262" s="14" t="s">
        <v>116</v>
      </c>
      <c r="D2262" s="14" t="str">
        <f>VLOOKUP(C2262,'State Key'!$A$2:$B$210,2,False)</f>
        <v>Telangana</v>
      </c>
      <c r="E2262" s="15">
        <v>2600.0</v>
      </c>
      <c r="F2262" s="16">
        <v>0.0</v>
      </c>
      <c r="G2262" s="16">
        <v>891.87</v>
      </c>
      <c r="H2262" s="16">
        <v>0.0</v>
      </c>
      <c r="I2262" s="16">
        <v>0.0</v>
      </c>
      <c r="J2262" s="16">
        <v>0.0</v>
      </c>
      <c r="K2262" s="16">
        <v>0.0</v>
      </c>
      <c r="L2262" s="16">
        <v>891.87</v>
      </c>
      <c r="M2262" s="16">
        <v>1032.72</v>
      </c>
      <c r="N2262" s="16">
        <v>475.04</v>
      </c>
      <c r="O2262" s="23">
        <v>13.8</v>
      </c>
      <c r="P2262" s="18">
        <f t="shared" si="1"/>
        <v>891.87</v>
      </c>
    </row>
    <row r="2263" ht="15.75" customHeight="1">
      <c r="A2263" s="19" t="s">
        <v>229</v>
      </c>
      <c r="B2263" s="19" t="s">
        <v>99</v>
      </c>
      <c r="C2263" s="20" t="s">
        <v>117</v>
      </c>
      <c r="D2263" s="14" t="str">
        <f>VLOOKUP(C2263,'State Key'!$A$2:$B$210,2,False)</f>
        <v>Telangana</v>
      </c>
      <c r="E2263" s="21">
        <v>62.5</v>
      </c>
      <c r="F2263" s="22">
        <v>0.0</v>
      </c>
      <c r="G2263" s="22">
        <v>6.779</v>
      </c>
      <c r="H2263" s="22">
        <v>0.0</v>
      </c>
      <c r="I2263" s="22">
        <v>0.0</v>
      </c>
      <c r="J2263" s="22">
        <v>0.0</v>
      </c>
      <c r="K2263" s="22">
        <v>0.0</v>
      </c>
      <c r="L2263" s="22">
        <v>6.779</v>
      </c>
      <c r="M2263" s="22">
        <v>9.789</v>
      </c>
      <c r="N2263" s="22">
        <v>4.027</v>
      </c>
      <c r="O2263" s="23">
        <v>12.3</v>
      </c>
      <c r="P2263" s="18">
        <f t="shared" si="1"/>
        <v>6.779</v>
      </c>
    </row>
    <row r="2264" ht="15.75" customHeight="1">
      <c r="A2264" s="13" t="s">
        <v>229</v>
      </c>
      <c r="B2264" s="13" t="s">
        <v>99</v>
      </c>
      <c r="C2264" s="14" t="s">
        <v>118</v>
      </c>
      <c r="D2264" s="14" t="str">
        <f>VLOOKUP(C2264,'State Key'!$A$2:$B$210,2,False)</f>
        <v>Andhra Pradesh</v>
      </c>
      <c r="E2264" s="15">
        <v>1650.0</v>
      </c>
      <c r="F2264" s="16">
        <v>492.9255</v>
      </c>
      <c r="G2264" s="16">
        <v>146.658</v>
      </c>
      <c r="H2264" s="16">
        <v>0.0</v>
      </c>
      <c r="I2264" s="16">
        <v>0.0</v>
      </c>
      <c r="J2264" s="16">
        <v>0.0</v>
      </c>
      <c r="K2264" s="16">
        <v>0.0</v>
      </c>
      <c r="L2264" s="16">
        <v>639.5835</v>
      </c>
      <c r="M2264" s="16">
        <v>724.795</v>
      </c>
      <c r="N2264" s="16">
        <v>55.49</v>
      </c>
      <c r="O2264" s="17">
        <v>2.3</v>
      </c>
      <c r="P2264" s="18">
        <f t="shared" si="1"/>
        <v>639.5835</v>
      </c>
    </row>
    <row r="2265" ht="15.75" customHeight="1">
      <c r="A2265" s="19" t="s">
        <v>229</v>
      </c>
      <c r="B2265" s="19" t="s">
        <v>99</v>
      </c>
      <c r="C2265" s="20" t="s">
        <v>119</v>
      </c>
      <c r="D2265" s="14" t="str">
        <f>VLOOKUP(C2265,'State Key'!$A$2:$B$210,2,False)</f>
        <v>Andhra Pradesh</v>
      </c>
      <c r="E2265" s="21">
        <v>1320.0</v>
      </c>
      <c r="F2265" s="22">
        <v>203.279</v>
      </c>
      <c r="G2265" s="22">
        <v>0.0</v>
      </c>
      <c r="H2265" s="22">
        <v>0.0</v>
      </c>
      <c r="I2265" s="22">
        <v>0.0</v>
      </c>
      <c r="J2265" s="22">
        <v>284.66</v>
      </c>
      <c r="K2265" s="22">
        <v>0.0</v>
      </c>
      <c r="L2265" s="22">
        <v>487.939</v>
      </c>
      <c r="M2265" s="22">
        <v>523.447</v>
      </c>
      <c r="N2265" s="22">
        <v>333.84</v>
      </c>
      <c r="O2265" s="24">
        <v>19.1</v>
      </c>
      <c r="P2265" s="18">
        <f t="shared" si="1"/>
        <v>487.939</v>
      </c>
    </row>
    <row r="2266" ht="15.75" customHeight="1">
      <c r="A2266" s="13" t="s">
        <v>229</v>
      </c>
      <c r="B2266" s="13" t="s">
        <v>99</v>
      </c>
      <c r="C2266" s="14" t="s">
        <v>120</v>
      </c>
      <c r="D2266" s="14" t="str">
        <f>VLOOKUP(C2266,'State Key'!$A$2:$B$210,2,False)</f>
        <v>Andhra Pradesh</v>
      </c>
      <c r="E2266" s="15">
        <v>2000.0</v>
      </c>
      <c r="F2266" s="16">
        <v>587.87</v>
      </c>
      <c r="G2266" s="16">
        <v>33.92</v>
      </c>
      <c r="H2266" s="16">
        <v>97.39</v>
      </c>
      <c r="I2266" s="16">
        <v>0.0</v>
      </c>
      <c r="J2266" s="16">
        <v>0.06</v>
      </c>
      <c r="K2266" s="16">
        <v>0.0</v>
      </c>
      <c r="L2266" s="16">
        <v>719.24</v>
      </c>
      <c r="M2266" s="16">
        <v>767.688</v>
      </c>
      <c r="N2266" s="16">
        <v>566.576</v>
      </c>
      <c r="O2266" s="24">
        <v>22.1</v>
      </c>
      <c r="P2266" s="18">
        <f t="shared" si="1"/>
        <v>719.24</v>
      </c>
    </row>
    <row r="2267" ht="15.75" customHeight="1">
      <c r="A2267" s="19" t="s">
        <v>229</v>
      </c>
      <c r="B2267" s="19" t="s">
        <v>99</v>
      </c>
      <c r="C2267" s="20" t="s">
        <v>121</v>
      </c>
      <c r="D2267" s="14" t="str">
        <f>VLOOKUP(C2267,'State Key'!$A$2:$B$210,2,False)</f>
        <v>Andhra Pradesh</v>
      </c>
      <c r="E2267" s="21">
        <v>600.0</v>
      </c>
      <c r="F2267" s="22">
        <v>0.0</v>
      </c>
      <c r="G2267" s="22">
        <v>0.0</v>
      </c>
      <c r="H2267" s="22">
        <v>0.0</v>
      </c>
      <c r="I2267" s="22">
        <v>0.0</v>
      </c>
      <c r="J2267" s="22">
        <v>203.8331</v>
      </c>
      <c r="K2267" s="22">
        <v>0.0</v>
      </c>
      <c r="L2267" s="22">
        <v>203.8331</v>
      </c>
      <c r="M2267" s="22">
        <v>182.95</v>
      </c>
      <c r="N2267" s="22">
        <v>66.95</v>
      </c>
      <c r="O2267" s="23">
        <v>11.0</v>
      </c>
      <c r="P2267" s="18">
        <f t="shared" si="1"/>
        <v>203.8331</v>
      </c>
    </row>
    <row r="2268" ht="15.75" customHeight="1">
      <c r="A2268" s="13" t="s">
        <v>229</v>
      </c>
      <c r="B2268" s="13" t="s">
        <v>99</v>
      </c>
      <c r="C2268" s="14" t="s">
        <v>122</v>
      </c>
      <c r="D2268" s="14" t="str">
        <f>VLOOKUP(C2268,'State Key'!$A$2:$B$210,2,False)</f>
        <v>Telangana</v>
      </c>
      <c r="E2268" s="15">
        <v>1200.0</v>
      </c>
      <c r="F2268" s="16">
        <v>0.0</v>
      </c>
      <c r="G2268" s="16">
        <v>370.28</v>
      </c>
      <c r="H2268" s="16">
        <v>0.0</v>
      </c>
      <c r="I2268" s="16">
        <v>0.0</v>
      </c>
      <c r="J2268" s="16">
        <v>0.0</v>
      </c>
      <c r="K2268" s="16">
        <v>0.0</v>
      </c>
      <c r="L2268" s="16">
        <v>370.28</v>
      </c>
      <c r="M2268" s="16">
        <v>438.232</v>
      </c>
      <c r="N2268" s="16">
        <v>107.34</v>
      </c>
      <c r="O2268" s="23">
        <v>7.3</v>
      </c>
      <c r="P2268" s="18">
        <f t="shared" si="1"/>
        <v>370.28</v>
      </c>
    </row>
    <row r="2269" ht="15.75" customHeight="1">
      <c r="A2269" s="19" t="s">
        <v>229</v>
      </c>
      <c r="B2269" s="19" t="s">
        <v>99</v>
      </c>
      <c r="C2269" s="20" t="s">
        <v>220</v>
      </c>
      <c r="D2269" s="14" t="str">
        <f>VLOOKUP(C2269,'State Key'!$A$2:$B$210,2,False)</f>
        <v>Telangana</v>
      </c>
      <c r="E2269" s="21">
        <v>1600.0</v>
      </c>
      <c r="F2269" s="22">
        <v>0.0</v>
      </c>
      <c r="G2269" s="22">
        <v>367.28</v>
      </c>
      <c r="H2269" s="22">
        <v>0.0</v>
      </c>
      <c r="I2269" s="22">
        <v>0.0</v>
      </c>
      <c r="J2269" s="22">
        <v>0.0</v>
      </c>
      <c r="K2269" s="22">
        <v>0.0</v>
      </c>
      <c r="L2269" s="22">
        <v>367.28</v>
      </c>
      <c r="M2269" s="22">
        <v>362.387</v>
      </c>
      <c r="N2269" s="22">
        <v>173.709</v>
      </c>
      <c r="O2269" s="24">
        <v>14.4</v>
      </c>
      <c r="P2269" s="18">
        <f t="shared" si="1"/>
        <v>367.28</v>
      </c>
    </row>
    <row r="2270" ht="15.75" customHeight="1">
      <c r="A2270" s="13" t="s">
        <v>229</v>
      </c>
      <c r="B2270" s="13" t="s">
        <v>99</v>
      </c>
      <c r="C2270" s="14" t="s">
        <v>123</v>
      </c>
      <c r="D2270" s="14" t="str">
        <f>VLOOKUP(C2270,'State Key'!$A$2:$B$210,2,False)</f>
        <v>Andhra Pradesh</v>
      </c>
      <c r="E2270" s="15">
        <v>300.0</v>
      </c>
      <c r="F2270" s="16">
        <v>0.0</v>
      </c>
      <c r="G2270" s="16">
        <v>0.0</v>
      </c>
      <c r="H2270" s="16">
        <v>0.0</v>
      </c>
      <c r="I2270" s="16">
        <v>0.0</v>
      </c>
      <c r="J2270" s="16">
        <v>0.0</v>
      </c>
      <c r="K2270" s="16">
        <v>0.0</v>
      </c>
      <c r="L2270" s="16">
        <v>0.0</v>
      </c>
      <c r="M2270" s="16">
        <v>0.0</v>
      </c>
      <c r="N2270" s="16">
        <v>0.0</v>
      </c>
      <c r="O2270" s="13" t="s">
        <v>58</v>
      </c>
      <c r="P2270" s="18">
        <f t="shared" si="1"/>
        <v>0</v>
      </c>
    </row>
    <row r="2271" ht="15.75" customHeight="1">
      <c r="A2271" s="19" t="s">
        <v>229</v>
      </c>
      <c r="B2271" s="19" t="s">
        <v>99</v>
      </c>
      <c r="C2271" s="20" t="s">
        <v>124</v>
      </c>
      <c r="D2271" s="14" t="str">
        <f>VLOOKUP(C2271,'State Key'!$A$2:$B$210,2,False)</f>
        <v>Karnataka</v>
      </c>
      <c r="E2271" s="21">
        <v>260.0</v>
      </c>
      <c r="F2271" s="22">
        <v>0.0</v>
      </c>
      <c r="G2271" s="22">
        <v>0.0</v>
      </c>
      <c r="H2271" s="22">
        <v>0.0</v>
      </c>
      <c r="I2271" s="22">
        <v>0.0</v>
      </c>
      <c r="J2271" s="22">
        <v>31.34</v>
      </c>
      <c r="K2271" s="22">
        <v>0.0</v>
      </c>
      <c r="L2271" s="22">
        <v>31.34</v>
      </c>
      <c r="M2271" s="22">
        <v>31.34</v>
      </c>
      <c r="N2271" s="22">
        <v>0.0</v>
      </c>
      <c r="O2271" s="17">
        <v>0.0</v>
      </c>
      <c r="P2271" s="18">
        <f t="shared" si="1"/>
        <v>31.34</v>
      </c>
    </row>
    <row r="2272" ht="15.75" customHeight="1">
      <c r="A2272" s="13" t="s">
        <v>229</v>
      </c>
      <c r="B2272" s="13" t="s">
        <v>99</v>
      </c>
      <c r="C2272" s="14" t="s">
        <v>125</v>
      </c>
      <c r="D2272" s="14" t="str">
        <f>VLOOKUP(C2272,'State Key'!$A$2:$B$210,2,False)</f>
        <v>Karnataka</v>
      </c>
      <c r="E2272" s="15">
        <v>600.0</v>
      </c>
      <c r="F2272" s="16">
        <v>0.0</v>
      </c>
      <c r="G2272" s="16">
        <v>0.0</v>
      </c>
      <c r="H2272" s="16">
        <v>0.0</v>
      </c>
      <c r="I2272" s="16">
        <v>0.0</v>
      </c>
      <c r="J2272" s="16">
        <v>95.53</v>
      </c>
      <c r="K2272" s="16">
        <v>0.0</v>
      </c>
      <c r="L2272" s="16">
        <v>95.53</v>
      </c>
      <c r="M2272" s="16">
        <v>68.71</v>
      </c>
      <c r="N2272" s="16">
        <v>34.39</v>
      </c>
      <c r="O2272" s="24">
        <v>15.0</v>
      </c>
      <c r="P2272" s="18">
        <f t="shared" si="1"/>
        <v>95.53</v>
      </c>
    </row>
    <row r="2273" ht="15.75" customHeight="1">
      <c r="A2273" s="19" t="s">
        <v>229</v>
      </c>
      <c r="B2273" s="19" t="s">
        <v>99</v>
      </c>
      <c r="C2273" s="20" t="s">
        <v>126</v>
      </c>
      <c r="D2273" s="14" t="str">
        <f>VLOOKUP(C2273,'State Key'!$A$2:$B$210,2,False)</f>
        <v>Tamil Nadu</v>
      </c>
      <c r="E2273" s="21">
        <v>300.0</v>
      </c>
      <c r="F2273" s="22">
        <v>0.0</v>
      </c>
      <c r="G2273" s="22">
        <v>0.0</v>
      </c>
      <c r="H2273" s="22">
        <v>0.0</v>
      </c>
      <c r="I2273" s="22">
        <v>0.0</v>
      </c>
      <c r="J2273" s="22">
        <v>0.0</v>
      </c>
      <c r="K2273" s="22">
        <v>0.0</v>
      </c>
      <c r="L2273" s="22">
        <v>0.0</v>
      </c>
      <c r="M2273" s="22">
        <v>0.0</v>
      </c>
      <c r="N2273" s="22">
        <v>0.0</v>
      </c>
      <c r="O2273" s="19" t="s">
        <v>58</v>
      </c>
      <c r="P2273" s="18">
        <f t="shared" si="1"/>
        <v>0</v>
      </c>
    </row>
    <row r="2274" ht="15.75" customHeight="1">
      <c r="A2274" s="13" t="s">
        <v>229</v>
      </c>
      <c r="B2274" s="13" t="s">
        <v>99</v>
      </c>
      <c r="C2274" s="14" t="s">
        <v>127</v>
      </c>
      <c r="D2274" s="14" t="str">
        <f>VLOOKUP(C2274,'State Key'!$A$2:$B$210,2,False)</f>
        <v>Tamil Nadu</v>
      </c>
      <c r="E2274" s="15">
        <v>525.0</v>
      </c>
      <c r="F2274" s="16">
        <v>0.0</v>
      </c>
      <c r="G2274" s="16">
        <v>0.0</v>
      </c>
      <c r="H2274" s="16">
        <v>0.0</v>
      </c>
      <c r="I2274" s="16">
        <v>0.0</v>
      </c>
      <c r="J2274" s="16">
        <v>161.1</v>
      </c>
      <c r="K2274" s="16">
        <v>0.0</v>
      </c>
      <c r="L2274" s="16">
        <v>161.1</v>
      </c>
      <c r="M2274" s="16">
        <v>156.06</v>
      </c>
      <c r="N2274" s="16">
        <v>26.3</v>
      </c>
      <c r="O2274" s="17">
        <v>5.1</v>
      </c>
      <c r="P2274" s="18">
        <f t="shared" si="1"/>
        <v>161.1</v>
      </c>
    </row>
    <row r="2275" ht="15.75" customHeight="1">
      <c r="A2275" s="19" t="s">
        <v>229</v>
      </c>
      <c r="B2275" s="19" t="s">
        <v>99</v>
      </c>
      <c r="C2275" s="20" t="s">
        <v>128</v>
      </c>
      <c r="D2275" s="14" t="str">
        <f>VLOOKUP(C2275,'State Key'!$A$2:$B$210,2,False)</f>
        <v>Tamil Nadu</v>
      </c>
      <c r="E2275" s="21">
        <v>1050.0</v>
      </c>
      <c r="F2275" s="22">
        <v>558.612</v>
      </c>
      <c r="G2275" s="22">
        <v>0.0</v>
      </c>
      <c r="H2275" s="22">
        <v>0.0</v>
      </c>
      <c r="I2275" s="22">
        <v>0.0</v>
      </c>
      <c r="J2275" s="22">
        <v>0.0</v>
      </c>
      <c r="K2275" s="22">
        <v>10.843</v>
      </c>
      <c r="L2275" s="22">
        <v>569.455</v>
      </c>
      <c r="M2275" s="22">
        <v>526.236</v>
      </c>
      <c r="N2275" s="22">
        <v>214.4</v>
      </c>
      <c r="O2275" s="23">
        <v>12.2</v>
      </c>
      <c r="P2275" s="18">
        <f t="shared" si="1"/>
        <v>569.455</v>
      </c>
    </row>
    <row r="2276" ht="15.75" customHeight="1">
      <c r="A2276" s="13" t="s">
        <v>229</v>
      </c>
      <c r="B2276" s="13" t="s">
        <v>99</v>
      </c>
      <c r="C2276" s="14" t="s">
        <v>130</v>
      </c>
      <c r="D2276" s="14" t="str">
        <f>VLOOKUP(C2276,'State Key'!$A$2:$B$210,2,False)</f>
        <v>Tamil Nadu</v>
      </c>
      <c r="E2276" s="15">
        <v>1500.0</v>
      </c>
      <c r="F2276" s="16">
        <v>371.577</v>
      </c>
      <c r="G2276" s="16">
        <v>42.64</v>
      </c>
      <c r="H2276" s="16">
        <v>0.0</v>
      </c>
      <c r="I2276" s="16">
        <v>0.0</v>
      </c>
      <c r="J2276" s="16">
        <v>0.0</v>
      </c>
      <c r="K2276" s="16">
        <v>0.0</v>
      </c>
      <c r="L2276" s="16">
        <v>414.217</v>
      </c>
      <c r="M2276" s="16">
        <v>386.802</v>
      </c>
      <c r="N2276" s="16">
        <v>609.06</v>
      </c>
      <c r="O2276" s="24">
        <v>47.2</v>
      </c>
      <c r="P2276" s="18">
        <f t="shared" si="1"/>
        <v>414.217</v>
      </c>
    </row>
    <row r="2277" ht="15.75" customHeight="1">
      <c r="A2277" s="19" t="s">
        <v>229</v>
      </c>
      <c r="B2277" s="19" t="s">
        <v>99</v>
      </c>
      <c r="C2277" s="20" t="s">
        <v>131</v>
      </c>
      <c r="D2277" s="14" t="str">
        <f>VLOOKUP(C2277,'State Key'!$A$2:$B$210,2,False)</f>
        <v>Andhra Pradesh</v>
      </c>
      <c r="E2277" s="21">
        <v>1040.0</v>
      </c>
      <c r="F2277" s="22">
        <v>216.42365</v>
      </c>
      <c r="G2277" s="22">
        <v>0.0</v>
      </c>
      <c r="H2277" s="22">
        <v>0.0</v>
      </c>
      <c r="I2277" s="22">
        <v>0.0</v>
      </c>
      <c r="J2277" s="22">
        <v>67.84791</v>
      </c>
      <c r="K2277" s="22">
        <v>0.0</v>
      </c>
      <c r="L2277" s="22">
        <v>284.27156</v>
      </c>
      <c r="M2277" s="22">
        <v>394.684</v>
      </c>
      <c r="N2277" s="22">
        <v>53.9749</v>
      </c>
      <c r="O2277" s="17">
        <v>4.1</v>
      </c>
      <c r="P2277" s="18">
        <f t="shared" si="1"/>
        <v>284.27156</v>
      </c>
    </row>
    <row r="2278" ht="15.75" customHeight="1">
      <c r="A2278" s="13" t="s">
        <v>229</v>
      </c>
      <c r="B2278" s="13" t="s">
        <v>99</v>
      </c>
      <c r="C2278" s="14" t="s">
        <v>132</v>
      </c>
      <c r="D2278" s="14" t="str">
        <f>VLOOKUP(C2278,'State Key'!$A$2:$B$210,2,False)</f>
        <v>Karnataka</v>
      </c>
      <c r="E2278" s="15">
        <v>1600.0</v>
      </c>
      <c r="F2278" s="16">
        <v>0.0</v>
      </c>
      <c r="G2278" s="16">
        <v>331.258</v>
      </c>
      <c r="H2278" s="16">
        <v>0.0</v>
      </c>
      <c r="I2278" s="16">
        <v>0.0</v>
      </c>
      <c r="J2278" s="16">
        <v>20.066</v>
      </c>
      <c r="K2278" s="16">
        <v>0.0</v>
      </c>
      <c r="L2278" s="16">
        <v>351.324</v>
      </c>
      <c r="M2278" s="16">
        <v>405.942</v>
      </c>
      <c r="N2278" s="16">
        <v>221.231</v>
      </c>
      <c r="O2278" s="24">
        <v>16.3</v>
      </c>
      <c r="P2278" s="18">
        <f t="shared" si="1"/>
        <v>351.324</v>
      </c>
    </row>
    <row r="2279" ht="15.75" customHeight="1">
      <c r="A2279" s="19" t="s">
        <v>229</v>
      </c>
      <c r="B2279" s="19" t="s">
        <v>133</v>
      </c>
      <c r="C2279" s="20" t="s">
        <v>211</v>
      </c>
      <c r="D2279" s="14" t="str">
        <f>VLOOKUP(C2279,'State Key'!$A$2:$B$210,2,False)</f>
        <v>Gujarat</v>
      </c>
      <c r="E2279" s="21">
        <v>2640.0</v>
      </c>
      <c r="F2279" s="22">
        <v>0.0</v>
      </c>
      <c r="G2279" s="22">
        <v>0.0</v>
      </c>
      <c r="H2279" s="22">
        <v>0.0</v>
      </c>
      <c r="I2279" s="22">
        <v>0.0</v>
      </c>
      <c r="J2279" s="22">
        <v>704.317</v>
      </c>
      <c r="K2279" s="22">
        <v>0.0</v>
      </c>
      <c r="L2279" s="22">
        <v>704.317</v>
      </c>
      <c r="M2279" s="22">
        <v>715.168</v>
      </c>
      <c r="N2279" s="22">
        <v>120.82</v>
      </c>
      <c r="O2279" s="17">
        <v>5.1</v>
      </c>
      <c r="P2279" s="18">
        <f t="shared" si="1"/>
        <v>704.317</v>
      </c>
    </row>
    <row r="2280" ht="15.75" customHeight="1">
      <c r="A2280" s="13" t="s">
        <v>229</v>
      </c>
      <c r="B2280" s="13" t="s">
        <v>133</v>
      </c>
      <c r="C2280" s="14" t="s">
        <v>212</v>
      </c>
      <c r="D2280" s="14" t="str">
        <f>VLOOKUP(C2280,'State Key'!$A$2:$B$210,2,False)</f>
        <v>Gujarat</v>
      </c>
      <c r="E2280" s="15">
        <v>1980.0</v>
      </c>
      <c r="F2280" s="16">
        <v>0.0</v>
      </c>
      <c r="G2280" s="16">
        <v>0.0</v>
      </c>
      <c r="H2280" s="16">
        <v>0.0</v>
      </c>
      <c r="I2280" s="16">
        <v>0.0</v>
      </c>
      <c r="J2280" s="16">
        <v>602.264</v>
      </c>
      <c r="K2280" s="16">
        <v>0.0</v>
      </c>
      <c r="L2280" s="16">
        <v>602.264</v>
      </c>
      <c r="M2280" s="16">
        <v>643.329</v>
      </c>
      <c r="N2280" s="16">
        <v>74.451</v>
      </c>
      <c r="O2280" s="17">
        <v>3.5</v>
      </c>
      <c r="P2280" s="18">
        <f t="shared" si="1"/>
        <v>602.264</v>
      </c>
    </row>
    <row r="2281" ht="15.75" customHeight="1">
      <c r="A2281" s="19" t="s">
        <v>229</v>
      </c>
      <c r="B2281" s="19" t="s">
        <v>133</v>
      </c>
      <c r="C2281" s="20" t="s">
        <v>213</v>
      </c>
      <c r="D2281" s="14" t="str">
        <f>VLOOKUP(C2281,'State Key'!$A$2:$B$210,2,False)</f>
        <v>Chhattisgarh</v>
      </c>
      <c r="E2281" s="21">
        <v>600.0</v>
      </c>
      <c r="F2281" s="22">
        <v>227.677</v>
      </c>
      <c r="G2281" s="22">
        <v>0.0</v>
      </c>
      <c r="H2281" s="22">
        <v>0.0</v>
      </c>
      <c r="I2281" s="22">
        <v>97.145</v>
      </c>
      <c r="J2281" s="22">
        <v>0.0</v>
      </c>
      <c r="K2281" s="22">
        <v>0.0</v>
      </c>
      <c r="L2281" s="22">
        <v>324.822</v>
      </c>
      <c r="M2281" s="22">
        <v>311.038</v>
      </c>
      <c r="N2281" s="22">
        <v>134.36</v>
      </c>
      <c r="O2281" s="23">
        <v>13.0</v>
      </c>
      <c r="P2281" s="18">
        <f t="shared" si="1"/>
        <v>324.822</v>
      </c>
    </row>
    <row r="2282" ht="15.75" customHeight="1">
      <c r="A2282" s="13" t="s">
        <v>229</v>
      </c>
      <c r="B2282" s="13" t="s">
        <v>133</v>
      </c>
      <c r="C2282" s="14" t="s">
        <v>214</v>
      </c>
      <c r="D2282" s="14" t="str">
        <f>VLOOKUP(C2282,'State Key'!$A$2:$B$210,2,False)</f>
        <v>Chhattisgarh</v>
      </c>
      <c r="E2282" s="15">
        <v>1370.0</v>
      </c>
      <c r="F2282" s="16">
        <v>391.234</v>
      </c>
      <c r="G2282" s="16">
        <v>0.0</v>
      </c>
      <c r="H2282" s="16">
        <v>0.0</v>
      </c>
      <c r="I2282" s="16">
        <v>98.74</v>
      </c>
      <c r="J2282" s="16">
        <v>0.0</v>
      </c>
      <c r="K2282" s="16">
        <v>84.557</v>
      </c>
      <c r="L2282" s="16">
        <v>574.531</v>
      </c>
      <c r="M2282" s="16">
        <v>559.589</v>
      </c>
      <c r="N2282" s="16">
        <v>285.73</v>
      </c>
      <c r="O2282" s="24">
        <v>15.3</v>
      </c>
      <c r="P2282" s="18">
        <f t="shared" si="1"/>
        <v>574.531</v>
      </c>
    </row>
    <row r="2283" ht="15.75" customHeight="1">
      <c r="A2283" s="19" t="s">
        <v>229</v>
      </c>
      <c r="B2283" s="19" t="s">
        <v>133</v>
      </c>
      <c r="C2283" s="20" t="s">
        <v>215</v>
      </c>
      <c r="D2283" s="14" t="str">
        <f>VLOOKUP(C2283,'State Key'!$A$2:$B$210,2,False)</f>
        <v>Maharashtra</v>
      </c>
      <c r="E2283" s="21">
        <v>3300.0</v>
      </c>
      <c r="F2283" s="22">
        <v>1121.689</v>
      </c>
      <c r="G2283" s="22">
        <v>0.0</v>
      </c>
      <c r="H2283" s="22">
        <v>0.0</v>
      </c>
      <c r="I2283" s="22">
        <v>0.0</v>
      </c>
      <c r="J2283" s="22">
        <v>0.0</v>
      </c>
      <c r="K2283" s="22">
        <v>0.0</v>
      </c>
      <c r="L2283" s="22">
        <v>1121.689</v>
      </c>
      <c r="M2283" s="22">
        <v>1258.983</v>
      </c>
      <c r="N2283" s="22">
        <v>605.41</v>
      </c>
      <c r="O2283" s="24">
        <v>14.4</v>
      </c>
      <c r="P2283" s="18">
        <f t="shared" si="1"/>
        <v>1121.689</v>
      </c>
    </row>
    <row r="2284" ht="15.75" customHeight="1">
      <c r="A2284" s="13" t="s">
        <v>229</v>
      </c>
      <c r="B2284" s="13" t="s">
        <v>133</v>
      </c>
      <c r="C2284" s="14" t="s">
        <v>134</v>
      </c>
      <c r="D2284" s="14" t="str">
        <f>VLOOKUP(C2284,'State Key'!$A$2:$B$210,2,False)</f>
        <v>Chhattisgarh</v>
      </c>
      <c r="E2284" s="15">
        <v>1800.0</v>
      </c>
      <c r="F2284" s="16">
        <v>506.6715</v>
      </c>
      <c r="G2284" s="16">
        <v>0.0</v>
      </c>
      <c r="H2284" s="16">
        <v>0.0</v>
      </c>
      <c r="I2284" s="16">
        <v>0.0</v>
      </c>
      <c r="J2284" s="16">
        <v>0.0</v>
      </c>
      <c r="K2284" s="16">
        <v>0.0</v>
      </c>
      <c r="L2284" s="16">
        <v>506.6715</v>
      </c>
      <c r="M2284" s="16">
        <v>598.438</v>
      </c>
      <c r="N2284" s="16">
        <v>499.24</v>
      </c>
      <c r="O2284" s="24">
        <v>25.0</v>
      </c>
      <c r="P2284" s="18">
        <f t="shared" si="1"/>
        <v>506.6715</v>
      </c>
    </row>
    <row r="2285" ht="15.75" customHeight="1">
      <c r="A2285" s="19" t="s">
        <v>229</v>
      </c>
      <c r="B2285" s="19" t="s">
        <v>133</v>
      </c>
      <c r="C2285" s="20" t="s">
        <v>135</v>
      </c>
      <c r="D2285" s="14" t="str">
        <f>VLOOKUP(C2285,'State Key'!$A$2:$B$210,2,False)</f>
        <v>Madhya Pradesh</v>
      </c>
      <c r="E2285" s="21">
        <v>210.0</v>
      </c>
      <c r="F2285" s="22">
        <v>70.238</v>
      </c>
      <c r="G2285" s="22">
        <v>0.0</v>
      </c>
      <c r="H2285" s="22">
        <v>0.0</v>
      </c>
      <c r="I2285" s="22">
        <v>0.0</v>
      </c>
      <c r="J2285" s="22">
        <v>0.0</v>
      </c>
      <c r="K2285" s="22">
        <v>0.0</v>
      </c>
      <c r="L2285" s="22">
        <v>70.238</v>
      </c>
      <c r="M2285" s="22">
        <v>92.301</v>
      </c>
      <c r="N2285" s="22">
        <v>38.815</v>
      </c>
      <c r="O2285" s="23">
        <v>12.6</v>
      </c>
      <c r="P2285" s="18">
        <f t="shared" si="1"/>
        <v>70.238</v>
      </c>
    </row>
    <row r="2286" ht="15.75" customHeight="1">
      <c r="A2286" s="13" t="s">
        <v>229</v>
      </c>
      <c r="B2286" s="13" t="s">
        <v>133</v>
      </c>
      <c r="C2286" s="14" t="s">
        <v>136</v>
      </c>
      <c r="D2286" s="14" t="str">
        <f>VLOOKUP(C2286,'State Key'!$A$2:$B$210,2,False)</f>
        <v>Maharashtra</v>
      </c>
      <c r="E2286" s="15">
        <v>1350.0</v>
      </c>
      <c r="F2286" s="16">
        <v>567.896</v>
      </c>
      <c r="G2286" s="16">
        <v>0.0</v>
      </c>
      <c r="H2286" s="16">
        <v>0.0</v>
      </c>
      <c r="I2286" s="16">
        <v>0.0</v>
      </c>
      <c r="J2286" s="16">
        <v>0.0</v>
      </c>
      <c r="K2286" s="16">
        <v>0.0</v>
      </c>
      <c r="L2286" s="16">
        <v>567.896</v>
      </c>
      <c r="M2286" s="16">
        <v>597.835</v>
      </c>
      <c r="N2286" s="16">
        <v>178.53</v>
      </c>
      <c r="O2286" s="23">
        <v>9.0</v>
      </c>
      <c r="P2286" s="18">
        <f t="shared" si="1"/>
        <v>567.896</v>
      </c>
    </row>
    <row r="2287" ht="15.75" customHeight="1">
      <c r="A2287" s="19" t="s">
        <v>229</v>
      </c>
      <c r="B2287" s="19" t="s">
        <v>133</v>
      </c>
      <c r="C2287" s="20" t="s">
        <v>137</v>
      </c>
      <c r="D2287" s="14" t="str">
        <f>VLOOKUP(C2287,'State Key'!$A$2:$B$210,2,False)</f>
        <v>Madhya Pradesh</v>
      </c>
      <c r="E2287" s="21">
        <v>1250.0</v>
      </c>
      <c r="F2287" s="22">
        <v>276.78</v>
      </c>
      <c r="G2287" s="22">
        <v>0.0</v>
      </c>
      <c r="H2287" s="22">
        <v>0.0</v>
      </c>
      <c r="I2287" s="22">
        <v>141.54</v>
      </c>
      <c r="J2287" s="22">
        <v>0.0</v>
      </c>
      <c r="K2287" s="22">
        <v>0.0</v>
      </c>
      <c r="L2287" s="22">
        <v>418.32</v>
      </c>
      <c r="M2287" s="22">
        <v>486.08</v>
      </c>
      <c r="N2287" s="22">
        <v>372.23</v>
      </c>
      <c r="O2287" s="24">
        <v>23.0</v>
      </c>
      <c r="P2287" s="18">
        <f t="shared" si="1"/>
        <v>418.32</v>
      </c>
    </row>
    <row r="2288" ht="15.75" customHeight="1">
      <c r="A2288" s="13" t="s">
        <v>229</v>
      </c>
      <c r="B2288" s="13" t="s">
        <v>133</v>
      </c>
      <c r="C2288" s="14" t="s">
        <v>139</v>
      </c>
      <c r="D2288" s="14" t="str">
        <f>VLOOKUP(C2288,'State Key'!$A$2:$B$210,2,False)</f>
        <v>Chhattisgarh</v>
      </c>
      <c r="E2288" s="15">
        <v>600.0</v>
      </c>
      <c r="F2288" s="16">
        <v>167.48</v>
      </c>
      <c r="G2288" s="16">
        <v>0.0</v>
      </c>
      <c r="H2288" s="16">
        <v>0.0</v>
      </c>
      <c r="I2288" s="16">
        <v>52.87</v>
      </c>
      <c r="J2288" s="16">
        <v>0.0</v>
      </c>
      <c r="K2288" s="16">
        <v>0.0</v>
      </c>
      <c r="L2288" s="16">
        <v>220.35</v>
      </c>
      <c r="M2288" s="16">
        <v>263.67</v>
      </c>
      <c r="N2288" s="16">
        <v>68.27</v>
      </c>
      <c r="O2288" s="23">
        <v>7.8</v>
      </c>
      <c r="P2288" s="18">
        <f t="shared" si="1"/>
        <v>220.35</v>
      </c>
    </row>
    <row r="2289" ht="15.75" customHeight="1">
      <c r="A2289" s="19" t="s">
        <v>229</v>
      </c>
      <c r="B2289" s="19" t="s">
        <v>133</v>
      </c>
      <c r="C2289" s="20" t="s">
        <v>140</v>
      </c>
      <c r="D2289" s="14" t="str">
        <f>VLOOKUP(C2289,'State Key'!$A$2:$B$210,2,False)</f>
        <v>Chhattisgarh</v>
      </c>
      <c r="E2289" s="21">
        <v>300.0</v>
      </c>
      <c r="F2289" s="22">
        <v>89.373</v>
      </c>
      <c r="G2289" s="22">
        <v>0.0</v>
      </c>
      <c r="H2289" s="22">
        <v>0.0</v>
      </c>
      <c r="I2289" s="22">
        <v>0.0</v>
      </c>
      <c r="J2289" s="22">
        <v>0.0</v>
      </c>
      <c r="K2289" s="22">
        <v>0.0</v>
      </c>
      <c r="L2289" s="22">
        <v>89.373</v>
      </c>
      <c r="M2289" s="22">
        <v>144.79</v>
      </c>
      <c r="N2289" s="22">
        <v>75.25</v>
      </c>
      <c r="O2289" s="24">
        <v>15.6</v>
      </c>
      <c r="P2289" s="18">
        <f t="shared" si="1"/>
        <v>89.373</v>
      </c>
    </row>
    <row r="2290" ht="15.75" customHeight="1">
      <c r="A2290" s="13" t="s">
        <v>229</v>
      </c>
      <c r="B2290" s="13" t="s">
        <v>133</v>
      </c>
      <c r="C2290" s="14" t="s">
        <v>141</v>
      </c>
      <c r="D2290" s="14" t="str">
        <f>VLOOKUP(C2290,'State Key'!$A$2:$B$210,2,False)</f>
        <v>Chhattisgarh</v>
      </c>
      <c r="E2290" s="15">
        <v>1200.0</v>
      </c>
      <c r="F2290" s="16">
        <v>300.37807</v>
      </c>
      <c r="G2290" s="16">
        <v>0.0</v>
      </c>
      <c r="H2290" s="16">
        <v>0.0</v>
      </c>
      <c r="I2290" s="16">
        <v>229.005</v>
      </c>
      <c r="J2290" s="16">
        <v>0.0</v>
      </c>
      <c r="K2290" s="16">
        <v>0.0</v>
      </c>
      <c r="L2290" s="16">
        <v>529.38307</v>
      </c>
      <c r="M2290" s="16">
        <v>552.101</v>
      </c>
      <c r="N2290" s="16">
        <v>222.97</v>
      </c>
      <c r="O2290" s="23">
        <v>12.1</v>
      </c>
      <c r="P2290" s="18">
        <f t="shared" si="1"/>
        <v>529.38307</v>
      </c>
    </row>
    <row r="2291" ht="15.75" customHeight="1">
      <c r="A2291" s="19" t="s">
        <v>229</v>
      </c>
      <c r="B2291" s="19" t="s">
        <v>133</v>
      </c>
      <c r="C2291" s="20" t="s">
        <v>142</v>
      </c>
      <c r="D2291" s="14" t="str">
        <f>VLOOKUP(C2291,'State Key'!$A$2:$B$210,2,False)</f>
        <v>Maharashtra</v>
      </c>
      <c r="E2291" s="21">
        <v>270.0</v>
      </c>
      <c r="F2291" s="22">
        <v>0.0</v>
      </c>
      <c r="G2291" s="22">
        <v>0.0</v>
      </c>
      <c r="H2291" s="22">
        <v>0.0</v>
      </c>
      <c r="I2291" s="22">
        <v>65.833</v>
      </c>
      <c r="J2291" s="22">
        <v>0.0</v>
      </c>
      <c r="K2291" s="22">
        <v>10.392</v>
      </c>
      <c r="L2291" s="22">
        <v>76.225</v>
      </c>
      <c r="M2291" s="22">
        <v>101.398</v>
      </c>
      <c r="N2291" s="22">
        <v>113.49</v>
      </c>
      <c r="O2291" s="24">
        <v>33.6</v>
      </c>
      <c r="P2291" s="18">
        <f t="shared" si="1"/>
        <v>76.225</v>
      </c>
    </row>
    <row r="2292" ht="15.75" customHeight="1">
      <c r="A2292" s="13" t="s">
        <v>229</v>
      </c>
      <c r="B2292" s="13" t="s">
        <v>133</v>
      </c>
      <c r="C2292" s="14" t="s">
        <v>143</v>
      </c>
      <c r="D2292" s="14" t="str">
        <f>VLOOKUP(C2292,'State Key'!$A$2:$B$210,2,False)</f>
        <v>Chhattisgarh</v>
      </c>
      <c r="E2292" s="15">
        <v>500.0</v>
      </c>
      <c r="F2292" s="16">
        <v>218.753</v>
      </c>
      <c r="G2292" s="16">
        <v>0.0</v>
      </c>
      <c r="H2292" s="16">
        <v>0.0</v>
      </c>
      <c r="I2292" s="16">
        <v>0.0</v>
      </c>
      <c r="J2292" s="16">
        <v>0.0</v>
      </c>
      <c r="K2292" s="16">
        <v>0.0</v>
      </c>
      <c r="L2292" s="16">
        <v>218.753</v>
      </c>
      <c r="M2292" s="16">
        <v>235.731</v>
      </c>
      <c r="N2292" s="16">
        <v>367.495</v>
      </c>
      <c r="O2292" s="24">
        <v>46.8</v>
      </c>
      <c r="P2292" s="18">
        <f t="shared" si="1"/>
        <v>218.753</v>
      </c>
    </row>
    <row r="2293" ht="15.75" customHeight="1">
      <c r="A2293" s="19" t="s">
        <v>229</v>
      </c>
      <c r="B2293" s="19" t="s">
        <v>133</v>
      </c>
      <c r="C2293" s="20" t="s">
        <v>144</v>
      </c>
      <c r="D2293" s="14" t="str">
        <f>VLOOKUP(C2293,'State Key'!$A$2:$B$210,2,False)</f>
        <v>Maharashtra</v>
      </c>
      <c r="E2293" s="21">
        <v>1210.0</v>
      </c>
      <c r="F2293" s="22">
        <v>508.447</v>
      </c>
      <c r="G2293" s="22">
        <v>0.0</v>
      </c>
      <c r="H2293" s="22">
        <v>0.0</v>
      </c>
      <c r="I2293" s="22">
        <v>0.0</v>
      </c>
      <c r="J2293" s="22">
        <v>38.83</v>
      </c>
      <c r="K2293" s="22">
        <v>0.0</v>
      </c>
      <c r="L2293" s="22">
        <v>547.277</v>
      </c>
      <c r="M2293" s="22">
        <v>488.397</v>
      </c>
      <c r="N2293" s="22">
        <v>517.519</v>
      </c>
      <c r="O2293" s="24">
        <v>31.8</v>
      </c>
      <c r="P2293" s="18">
        <f t="shared" si="1"/>
        <v>547.277</v>
      </c>
    </row>
    <row r="2294" ht="15.75" customHeight="1">
      <c r="A2294" s="13" t="s">
        <v>229</v>
      </c>
      <c r="B2294" s="13" t="s">
        <v>133</v>
      </c>
      <c r="C2294" s="14" t="s">
        <v>145</v>
      </c>
      <c r="D2294" s="14" t="str">
        <f>VLOOKUP(C2294,'State Key'!$A$2:$B$210,2,False)</f>
        <v>Madhya Pradesh</v>
      </c>
      <c r="E2294" s="15">
        <v>500.0</v>
      </c>
      <c r="F2294" s="16">
        <v>169.72</v>
      </c>
      <c r="G2294" s="16">
        <v>0.0</v>
      </c>
      <c r="H2294" s="16">
        <v>0.0</v>
      </c>
      <c r="I2294" s="16">
        <v>57.69</v>
      </c>
      <c r="J2294" s="16">
        <v>0.0</v>
      </c>
      <c r="K2294" s="16">
        <v>0.0</v>
      </c>
      <c r="L2294" s="16">
        <v>227.41</v>
      </c>
      <c r="M2294" s="16">
        <v>209.58</v>
      </c>
      <c r="N2294" s="16">
        <v>201.81</v>
      </c>
      <c r="O2294" s="24">
        <v>28.9</v>
      </c>
      <c r="P2294" s="18">
        <f t="shared" si="1"/>
        <v>227.41</v>
      </c>
    </row>
    <row r="2295" ht="15.75" customHeight="1">
      <c r="A2295" s="19" t="s">
        <v>229</v>
      </c>
      <c r="B2295" s="19" t="s">
        <v>133</v>
      </c>
      <c r="C2295" s="20" t="s">
        <v>146</v>
      </c>
      <c r="D2295" s="14" t="str">
        <f>VLOOKUP(C2295,'State Key'!$A$2:$B$210,2,False)</f>
        <v>Chhattisgarh</v>
      </c>
      <c r="E2295" s="21">
        <v>600.0</v>
      </c>
      <c r="F2295" s="22">
        <v>64.928</v>
      </c>
      <c r="G2295" s="22">
        <v>0.0</v>
      </c>
      <c r="H2295" s="22">
        <v>0.0</v>
      </c>
      <c r="I2295" s="22">
        <v>201.023</v>
      </c>
      <c r="J2295" s="22">
        <v>0.0</v>
      </c>
      <c r="K2295" s="22">
        <v>0.0</v>
      </c>
      <c r="L2295" s="22">
        <v>265.951</v>
      </c>
      <c r="M2295" s="22">
        <v>239.62</v>
      </c>
      <c r="N2295" s="22">
        <v>233.24</v>
      </c>
      <c r="O2295" s="24">
        <v>29.2</v>
      </c>
      <c r="P2295" s="18">
        <f t="shared" si="1"/>
        <v>265.951</v>
      </c>
    </row>
    <row r="2296" ht="15.75" customHeight="1">
      <c r="A2296" s="13" t="s">
        <v>229</v>
      </c>
      <c r="B2296" s="13" t="s">
        <v>133</v>
      </c>
      <c r="C2296" s="14" t="s">
        <v>147</v>
      </c>
      <c r="D2296" s="14" t="str">
        <f>VLOOKUP(C2296,'State Key'!$A$2:$B$210,2,False)</f>
        <v>Maharashtra</v>
      </c>
      <c r="E2296" s="15">
        <v>600.0</v>
      </c>
      <c r="F2296" s="16">
        <v>0.0</v>
      </c>
      <c r="G2296" s="16">
        <v>0.0</v>
      </c>
      <c r="H2296" s="16">
        <v>0.0</v>
      </c>
      <c r="I2296" s="16">
        <v>0.0</v>
      </c>
      <c r="J2296" s="16">
        <v>0.0</v>
      </c>
      <c r="K2296" s="16">
        <v>0.0</v>
      </c>
      <c r="L2296" s="16">
        <v>0.0</v>
      </c>
      <c r="M2296" s="16">
        <v>0.0</v>
      </c>
      <c r="N2296" s="16">
        <v>0.0</v>
      </c>
      <c r="O2296" s="13" t="s">
        <v>58</v>
      </c>
      <c r="P2296" s="18">
        <f t="shared" si="1"/>
        <v>0</v>
      </c>
    </row>
    <row r="2297" ht="15.75" customHeight="1">
      <c r="A2297" s="19" t="s">
        <v>229</v>
      </c>
      <c r="B2297" s="19" t="s">
        <v>133</v>
      </c>
      <c r="C2297" s="20" t="s">
        <v>148</v>
      </c>
      <c r="D2297" s="14" t="str">
        <f>VLOOKUP(C2297,'State Key'!$A$2:$B$210,2,False)</f>
        <v>Chhattisgarh</v>
      </c>
      <c r="E2297" s="21">
        <v>30.0</v>
      </c>
      <c r="F2297" s="22">
        <v>5.932</v>
      </c>
      <c r="G2297" s="22">
        <v>0.0</v>
      </c>
      <c r="H2297" s="22">
        <v>0.0</v>
      </c>
      <c r="I2297" s="22">
        <v>0.0</v>
      </c>
      <c r="J2297" s="22">
        <v>0.0</v>
      </c>
      <c r="K2297" s="22">
        <v>47.487</v>
      </c>
      <c r="L2297" s="22">
        <v>53.419</v>
      </c>
      <c r="M2297" s="22">
        <v>62.229</v>
      </c>
      <c r="N2297" s="22">
        <v>69.67</v>
      </c>
      <c r="O2297" s="24">
        <v>33.6</v>
      </c>
      <c r="P2297" s="18">
        <f t="shared" si="1"/>
        <v>53.419</v>
      </c>
    </row>
    <row r="2298" ht="15.75" customHeight="1">
      <c r="A2298" s="13" t="s">
        <v>229</v>
      </c>
      <c r="B2298" s="13" t="s">
        <v>133</v>
      </c>
      <c r="C2298" s="14" t="s">
        <v>149</v>
      </c>
      <c r="D2298" s="14" t="str">
        <f>VLOOKUP(C2298,'State Key'!$A$2:$B$210,2,False)</f>
        <v>Maharashtra</v>
      </c>
      <c r="E2298" s="15">
        <v>2920.0</v>
      </c>
      <c r="F2298" s="16">
        <v>941.372</v>
      </c>
      <c r="G2298" s="16">
        <v>104.827</v>
      </c>
      <c r="H2298" s="16">
        <v>0.0</v>
      </c>
      <c r="I2298" s="16">
        <v>0.0</v>
      </c>
      <c r="J2298" s="16">
        <v>146.169</v>
      </c>
      <c r="K2298" s="16">
        <v>0.0</v>
      </c>
      <c r="L2298" s="16">
        <v>1192.368</v>
      </c>
      <c r="M2298" s="16">
        <v>1204.6819</v>
      </c>
      <c r="N2298" s="16">
        <v>641.34</v>
      </c>
      <c r="O2298" s="24">
        <v>16.0</v>
      </c>
      <c r="P2298" s="18">
        <f t="shared" si="1"/>
        <v>1192.368</v>
      </c>
    </row>
    <row r="2299" ht="15.75" customHeight="1">
      <c r="A2299" s="19" t="s">
        <v>229</v>
      </c>
      <c r="B2299" s="19" t="s">
        <v>133</v>
      </c>
      <c r="C2299" s="20" t="s">
        <v>150</v>
      </c>
      <c r="D2299" s="14" t="str">
        <f>VLOOKUP(C2299,'State Key'!$A$2:$B$210,2,False)</f>
        <v>Maharashtra</v>
      </c>
      <c r="E2299" s="21">
        <v>500.0</v>
      </c>
      <c r="F2299" s="22">
        <v>184.801</v>
      </c>
      <c r="G2299" s="22">
        <v>0.0</v>
      </c>
      <c r="H2299" s="22">
        <v>0.0</v>
      </c>
      <c r="I2299" s="22">
        <v>0.0</v>
      </c>
      <c r="J2299" s="22">
        <v>0.0</v>
      </c>
      <c r="K2299" s="22">
        <v>0.0</v>
      </c>
      <c r="L2299" s="22">
        <v>184.801</v>
      </c>
      <c r="M2299" s="22">
        <v>189.458</v>
      </c>
      <c r="N2299" s="22">
        <v>151.14</v>
      </c>
      <c r="O2299" s="24">
        <v>23.9</v>
      </c>
      <c r="P2299" s="18">
        <f t="shared" si="1"/>
        <v>184.801</v>
      </c>
    </row>
    <row r="2300" ht="15.75" customHeight="1">
      <c r="A2300" s="13" t="s">
        <v>229</v>
      </c>
      <c r="B2300" s="13" t="s">
        <v>133</v>
      </c>
      <c r="C2300" s="14" t="s">
        <v>151</v>
      </c>
      <c r="D2300" s="14" t="str">
        <f>VLOOKUP(C2300,'State Key'!$A$2:$B$210,2,False)</f>
        <v>Maharashtra</v>
      </c>
      <c r="E2300" s="15">
        <v>600.0</v>
      </c>
      <c r="F2300" s="16">
        <v>254.09</v>
      </c>
      <c r="G2300" s="16">
        <v>0.0</v>
      </c>
      <c r="H2300" s="16">
        <v>0.0</v>
      </c>
      <c r="I2300" s="16">
        <v>20.177</v>
      </c>
      <c r="J2300" s="16">
        <v>0.0</v>
      </c>
      <c r="K2300" s="16">
        <v>0.0</v>
      </c>
      <c r="L2300" s="16">
        <v>274.267</v>
      </c>
      <c r="M2300" s="16">
        <v>266.441</v>
      </c>
      <c r="N2300" s="16">
        <v>249.18</v>
      </c>
      <c r="O2300" s="24">
        <v>28.1</v>
      </c>
      <c r="P2300" s="18">
        <f t="shared" si="1"/>
        <v>274.267</v>
      </c>
    </row>
    <row r="2301" ht="15.75" customHeight="1">
      <c r="A2301" s="19" t="s">
        <v>229</v>
      </c>
      <c r="B2301" s="19" t="s">
        <v>133</v>
      </c>
      <c r="C2301" s="20" t="s">
        <v>152</v>
      </c>
      <c r="D2301" s="14" t="str">
        <f>VLOOKUP(C2301,'State Key'!$A$2:$B$210,2,False)</f>
        <v>Chhattisgarh</v>
      </c>
      <c r="E2301" s="21">
        <v>500.0</v>
      </c>
      <c r="F2301" s="22">
        <v>273.513</v>
      </c>
      <c r="G2301" s="22">
        <v>0.0</v>
      </c>
      <c r="H2301" s="22">
        <v>0.0</v>
      </c>
      <c r="I2301" s="22">
        <v>0.0</v>
      </c>
      <c r="J2301" s="22">
        <v>0.0</v>
      </c>
      <c r="K2301" s="22">
        <v>0.0</v>
      </c>
      <c r="L2301" s="22">
        <v>273.513</v>
      </c>
      <c r="M2301" s="22">
        <v>248.205</v>
      </c>
      <c r="N2301" s="22">
        <v>304.035</v>
      </c>
      <c r="O2301" s="24">
        <v>36.7</v>
      </c>
      <c r="P2301" s="18">
        <f t="shared" si="1"/>
        <v>273.513</v>
      </c>
    </row>
    <row r="2302" ht="15.75" customHeight="1">
      <c r="A2302" s="13" t="s">
        <v>229</v>
      </c>
      <c r="B2302" s="13" t="s">
        <v>133</v>
      </c>
      <c r="C2302" s="14" t="s">
        <v>153</v>
      </c>
      <c r="D2302" s="14" t="str">
        <f>VLOOKUP(C2302,'State Key'!$A$2:$B$210,2,False)</f>
        <v>Madhya Pradesh</v>
      </c>
      <c r="E2302" s="15">
        <v>1600.0</v>
      </c>
      <c r="F2302" s="16">
        <v>177.51</v>
      </c>
      <c r="G2302" s="16">
        <v>81.16</v>
      </c>
      <c r="H2302" s="16">
        <v>227.07</v>
      </c>
      <c r="I2302" s="16">
        <v>0.0</v>
      </c>
      <c r="J2302" s="16">
        <v>0.0</v>
      </c>
      <c r="K2302" s="16">
        <v>0.0</v>
      </c>
      <c r="L2302" s="16">
        <v>485.74</v>
      </c>
      <c r="M2302" s="16">
        <v>476.482</v>
      </c>
      <c r="N2302" s="16">
        <v>513.993</v>
      </c>
      <c r="O2302" s="24">
        <v>32.4</v>
      </c>
      <c r="P2302" s="18">
        <f t="shared" si="1"/>
        <v>485.74</v>
      </c>
    </row>
    <row r="2303" ht="15.75" customHeight="1">
      <c r="A2303" s="19" t="s">
        <v>229</v>
      </c>
      <c r="B2303" s="19" t="s">
        <v>133</v>
      </c>
      <c r="C2303" s="20" t="s">
        <v>154</v>
      </c>
      <c r="D2303" s="14" t="str">
        <f>VLOOKUP(C2303,'State Key'!$A$2:$B$210,2,False)</f>
        <v>Gujarat</v>
      </c>
      <c r="E2303" s="21">
        <v>630.0</v>
      </c>
      <c r="F2303" s="22">
        <v>172.868</v>
      </c>
      <c r="G2303" s="22">
        <v>0.0</v>
      </c>
      <c r="H2303" s="22">
        <v>0.0</v>
      </c>
      <c r="I2303" s="22">
        <v>0.0</v>
      </c>
      <c r="J2303" s="22">
        <v>15.969</v>
      </c>
      <c r="K2303" s="22">
        <v>0.0</v>
      </c>
      <c r="L2303" s="22">
        <v>188.837</v>
      </c>
      <c r="M2303" s="22">
        <v>259.786</v>
      </c>
      <c r="N2303" s="22">
        <v>96.09</v>
      </c>
      <c r="O2303" s="23">
        <v>11.1</v>
      </c>
      <c r="P2303" s="18">
        <f t="shared" si="1"/>
        <v>188.837</v>
      </c>
    </row>
    <row r="2304" ht="15.75" customHeight="1">
      <c r="A2304" s="13" t="s">
        <v>229</v>
      </c>
      <c r="B2304" s="13" t="s">
        <v>133</v>
      </c>
      <c r="C2304" s="14" t="s">
        <v>155</v>
      </c>
      <c r="D2304" s="14" t="str">
        <f>VLOOKUP(C2304,'State Key'!$A$2:$B$210,2,False)</f>
        <v>Maharashtra</v>
      </c>
      <c r="E2304" s="15">
        <v>120.0</v>
      </c>
      <c r="F2304" s="16">
        <v>0.0</v>
      </c>
      <c r="G2304" s="16">
        <v>0.0</v>
      </c>
      <c r="H2304" s="16">
        <v>0.0</v>
      </c>
      <c r="I2304" s="16">
        <v>0.0</v>
      </c>
      <c r="J2304" s="16">
        <v>0.0</v>
      </c>
      <c r="K2304" s="16">
        <v>0.0</v>
      </c>
      <c r="L2304" s="16">
        <v>0.0</v>
      </c>
      <c r="M2304" s="16">
        <v>0.0</v>
      </c>
      <c r="N2304" s="16">
        <v>0.0</v>
      </c>
      <c r="O2304" s="13" t="s">
        <v>58</v>
      </c>
      <c r="P2304" s="18">
        <f t="shared" si="1"/>
        <v>0</v>
      </c>
    </row>
    <row r="2305" ht="15.75" customHeight="1">
      <c r="A2305" s="19" t="s">
        <v>229</v>
      </c>
      <c r="B2305" s="19" t="s">
        <v>133</v>
      </c>
      <c r="C2305" s="20" t="s">
        <v>156</v>
      </c>
      <c r="D2305" s="14" t="str">
        <f>VLOOKUP(C2305,'State Key'!$A$2:$B$210,2,False)</f>
        <v>Maharashtra</v>
      </c>
      <c r="E2305" s="21">
        <v>600.0</v>
      </c>
      <c r="F2305" s="22">
        <v>133.571</v>
      </c>
      <c r="G2305" s="22">
        <v>0.0</v>
      </c>
      <c r="H2305" s="22">
        <v>0.0</v>
      </c>
      <c r="I2305" s="22">
        <v>155.973</v>
      </c>
      <c r="J2305" s="22">
        <v>0.0</v>
      </c>
      <c r="K2305" s="22">
        <v>0.0</v>
      </c>
      <c r="L2305" s="22">
        <v>289.544</v>
      </c>
      <c r="M2305" s="22">
        <v>247.233</v>
      </c>
      <c r="N2305" s="22">
        <v>122.89</v>
      </c>
      <c r="O2305" s="24">
        <v>14.9</v>
      </c>
      <c r="P2305" s="18">
        <f t="shared" si="1"/>
        <v>289.544</v>
      </c>
    </row>
    <row r="2306" ht="15.75" customHeight="1">
      <c r="A2306" s="13" t="s">
        <v>229</v>
      </c>
      <c r="B2306" s="13" t="s">
        <v>133</v>
      </c>
      <c r="C2306" s="14" t="s">
        <v>157</v>
      </c>
      <c r="D2306" s="14" t="str">
        <f>VLOOKUP(C2306,'State Key'!$A$2:$B$210,2,False)</f>
        <v>Maharashtra</v>
      </c>
      <c r="E2306" s="15">
        <v>300.0</v>
      </c>
      <c r="F2306" s="16">
        <v>0.0</v>
      </c>
      <c r="G2306" s="16">
        <v>0.0</v>
      </c>
      <c r="H2306" s="16">
        <v>0.0</v>
      </c>
      <c r="I2306" s="16">
        <v>0.0</v>
      </c>
      <c r="J2306" s="16">
        <v>50.0</v>
      </c>
      <c r="K2306" s="16">
        <v>0.0</v>
      </c>
      <c r="L2306" s="16">
        <v>50.0</v>
      </c>
      <c r="M2306" s="16">
        <v>65.74</v>
      </c>
      <c r="N2306" s="16">
        <v>31.56</v>
      </c>
      <c r="O2306" s="24">
        <v>14.4</v>
      </c>
      <c r="P2306" s="18">
        <f t="shared" si="1"/>
        <v>50</v>
      </c>
    </row>
    <row r="2307" ht="15.75" customHeight="1">
      <c r="A2307" s="19" t="s">
        <v>229</v>
      </c>
      <c r="B2307" s="19" t="s">
        <v>133</v>
      </c>
      <c r="C2307" s="20" t="s">
        <v>158</v>
      </c>
      <c r="D2307" s="14" t="str">
        <f>VLOOKUP(C2307,'State Key'!$A$2:$B$210,2,False)</f>
        <v>Chhattisgarh</v>
      </c>
      <c r="E2307" s="21">
        <v>270.0</v>
      </c>
      <c r="F2307" s="22">
        <v>43.3491</v>
      </c>
      <c r="G2307" s="22">
        <v>0.0</v>
      </c>
      <c r="H2307" s="22">
        <v>0.0</v>
      </c>
      <c r="I2307" s="22">
        <v>0.0</v>
      </c>
      <c r="J2307" s="22">
        <v>0.0</v>
      </c>
      <c r="K2307" s="22">
        <v>130.2466</v>
      </c>
      <c r="L2307" s="22">
        <v>173.5957</v>
      </c>
      <c r="M2307" s="22">
        <v>80.81</v>
      </c>
      <c r="N2307" s="22">
        <v>226.65</v>
      </c>
      <c r="O2307" s="24">
        <v>84.1</v>
      </c>
      <c r="P2307" s="18">
        <f t="shared" si="1"/>
        <v>173.5957</v>
      </c>
    </row>
    <row r="2308" ht="15.75" customHeight="1">
      <c r="A2308" s="13" t="s">
        <v>229</v>
      </c>
      <c r="B2308" s="13" t="s">
        <v>133</v>
      </c>
      <c r="C2308" s="14" t="s">
        <v>159</v>
      </c>
      <c r="D2308" s="14" t="str">
        <f>VLOOKUP(C2308,'State Key'!$A$2:$B$210,2,False)</f>
        <v>Chhattisgarh</v>
      </c>
      <c r="E2308" s="15">
        <v>35.0</v>
      </c>
      <c r="F2308" s="16">
        <v>0.0</v>
      </c>
      <c r="G2308" s="16">
        <v>0.0</v>
      </c>
      <c r="H2308" s="16">
        <v>0.0</v>
      </c>
      <c r="I2308" s="16">
        <v>0.0</v>
      </c>
      <c r="J2308" s="16">
        <v>0.0</v>
      </c>
      <c r="K2308" s="16">
        <v>0.0</v>
      </c>
      <c r="L2308" s="16">
        <v>0.0</v>
      </c>
      <c r="M2308" s="16">
        <v>0.0</v>
      </c>
      <c r="N2308" s="16">
        <v>0.0</v>
      </c>
      <c r="O2308" s="13" t="s">
        <v>58</v>
      </c>
      <c r="P2308" s="18">
        <f t="shared" si="1"/>
        <v>0</v>
      </c>
    </row>
    <row r="2309" ht="15.75" customHeight="1">
      <c r="A2309" s="19" t="s">
        <v>229</v>
      </c>
      <c r="B2309" s="19" t="s">
        <v>133</v>
      </c>
      <c r="C2309" s="20" t="s">
        <v>160</v>
      </c>
      <c r="D2309" s="14" t="str">
        <f>VLOOKUP(C2309,'State Key'!$A$2:$B$210,2,False)</f>
        <v>Maharashtra</v>
      </c>
      <c r="E2309" s="21">
        <v>1340.0</v>
      </c>
      <c r="F2309" s="22">
        <v>607.122</v>
      </c>
      <c r="G2309" s="22">
        <v>0.0</v>
      </c>
      <c r="H2309" s="22">
        <v>0.0</v>
      </c>
      <c r="I2309" s="22">
        <v>0.0</v>
      </c>
      <c r="J2309" s="22">
        <v>81.42</v>
      </c>
      <c r="K2309" s="22">
        <v>0.0</v>
      </c>
      <c r="L2309" s="22">
        <v>688.542</v>
      </c>
      <c r="M2309" s="22">
        <v>637.507</v>
      </c>
      <c r="N2309" s="22">
        <v>221.95</v>
      </c>
      <c r="O2309" s="23">
        <v>10.4</v>
      </c>
      <c r="P2309" s="18">
        <f t="shared" si="1"/>
        <v>688.542</v>
      </c>
    </row>
    <row r="2310" ht="15.75" customHeight="1">
      <c r="A2310" s="13" t="s">
        <v>229</v>
      </c>
      <c r="B2310" s="13" t="s">
        <v>133</v>
      </c>
      <c r="C2310" s="14" t="s">
        <v>161</v>
      </c>
      <c r="D2310" s="14" t="str">
        <f>VLOOKUP(C2310,'State Key'!$A$2:$B$210,2,False)</f>
        <v>Madhya Pradesh</v>
      </c>
      <c r="E2310" s="15">
        <v>1320.0</v>
      </c>
      <c r="F2310" s="16">
        <v>325.95</v>
      </c>
      <c r="G2310" s="16">
        <v>44.66</v>
      </c>
      <c r="H2310" s="16">
        <v>84.07</v>
      </c>
      <c r="I2310" s="16">
        <v>0.0</v>
      </c>
      <c r="J2310" s="16">
        <v>81.0</v>
      </c>
      <c r="K2310" s="16">
        <v>0.0</v>
      </c>
      <c r="L2310" s="16">
        <v>535.68</v>
      </c>
      <c r="M2310" s="16">
        <v>416.112</v>
      </c>
      <c r="N2310" s="16">
        <v>646.05</v>
      </c>
      <c r="O2310" s="24">
        <v>46.6</v>
      </c>
      <c r="P2310" s="18">
        <f t="shared" si="1"/>
        <v>535.68</v>
      </c>
    </row>
    <row r="2311" ht="15.75" customHeight="1">
      <c r="A2311" s="19" t="s">
        <v>229</v>
      </c>
      <c r="B2311" s="19" t="s">
        <v>133</v>
      </c>
      <c r="C2311" s="20" t="s">
        <v>162</v>
      </c>
      <c r="D2311" s="14" t="str">
        <f>VLOOKUP(C2311,'State Key'!$A$2:$B$210,2,False)</f>
        <v>Maharashtra</v>
      </c>
      <c r="E2311" s="21">
        <v>2190.0</v>
      </c>
      <c r="F2311" s="22">
        <v>790.687</v>
      </c>
      <c r="G2311" s="22">
        <v>59.296</v>
      </c>
      <c r="H2311" s="22">
        <v>0.0</v>
      </c>
      <c r="I2311" s="22">
        <v>0.0</v>
      </c>
      <c r="J2311" s="22">
        <v>0.0</v>
      </c>
      <c r="K2311" s="22">
        <v>0.0</v>
      </c>
      <c r="L2311" s="22">
        <v>849.983</v>
      </c>
      <c r="M2311" s="22">
        <v>913.991</v>
      </c>
      <c r="N2311" s="22">
        <v>429.024</v>
      </c>
      <c r="O2311" s="24">
        <v>14.1</v>
      </c>
      <c r="P2311" s="18">
        <f t="shared" si="1"/>
        <v>849.983</v>
      </c>
    </row>
    <row r="2312" ht="15.75" customHeight="1">
      <c r="A2312" s="13" t="s">
        <v>229</v>
      </c>
      <c r="B2312" s="13" t="s">
        <v>133</v>
      </c>
      <c r="C2312" s="14" t="s">
        <v>163</v>
      </c>
      <c r="D2312" s="14" t="str">
        <f>VLOOKUP(C2312,'State Key'!$A$2:$B$210,2,False)</f>
        <v>Chhattisgarh</v>
      </c>
      <c r="E2312" s="15">
        <v>2600.0</v>
      </c>
      <c r="F2312" s="16">
        <v>1149.96</v>
      </c>
      <c r="G2312" s="16">
        <v>0.0</v>
      </c>
      <c r="H2312" s="16">
        <v>0.0</v>
      </c>
      <c r="I2312" s="16">
        <v>0.0</v>
      </c>
      <c r="J2312" s="16">
        <v>0.0</v>
      </c>
      <c r="K2312" s="16">
        <v>0.0</v>
      </c>
      <c r="L2312" s="16">
        <v>1149.96</v>
      </c>
      <c r="M2312" s="16">
        <v>1138.719</v>
      </c>
      <c r="N2312" s="16">
        <v>383.492</v>
      </c>
      <c r="O2312" s="23">
        <v>10.1</v>
      </c>
      <c r="P2312" s="18">
        <f t="shared" si="1"/>
        <v>1149.96</v>
      </c>
    </row>
    <row r="2313" ht="15.75" customHeight="1">
      <c r="A2313" s="19" t="s">
        <v>229</v>
      </c>
      <c r="B2313" s="19" t="s">
        <v>133</v>
      </c>
      <c r="C2313" s="20" t="s">
        <v>164</v>
      </c>
      <c r="D2313" s="14" t="str">
        <f>VLOOKUP(C2313,'State Key'!$A$2:$B$210,2,False)</f>
        <v>Chhattisgarh</v>
      </c>
      <c r="E2313" s="21">
        <v>1340.0</v>
      </c>
      <c r="F2313" s="22">
        <v>595.844</v>
      </c>
      <c r="G2313" s="22">
        <v>0.0</v>
      </c>
      <c r="H2313" s="22">
        <v>0.0</v>
      </c>
      <c r="I2313" s="22">
        <v>0.0</v>
      </c>
      <c r="J2313" s="22">
        <v>0.0</v>
      </c>
      <c r="K2313" s="22">
        <v>0.0</v>
      </c>
      <c r="L2313" s="22">
        <v>595.844</v>
      </c>
      <c r="M2313" s="22">
        <v>590.676</v>
      </c>
      <c r="N2313" s="22">
        <v>134.11</v>
      </c>
      <c r="O2313" s="17">
        <v>6.8</v>
      </c>
      <c r="P2313" s="18">
        <f t="shared" si="1"/>
        <v>595.844</v>
      </c>
    </row>
    <row r="2314" ht="15.75" customHeight="1">
      <c r="A2314" s="13" t="s">
        <v>229</v>
      </c>
      <c r="B2314" s="13" t="s">
        <v>133</v>
      </c>
      <c r="C2314" s="14" t="s">
        <v>165</v>
      </c>
      <c r="D2314" s="14" t="str">
        <f>VLOOKUP(C2314,'State Key'!$A$2:$B$210,2,False)</f>
        <v>Chhattisgarh</v>
      </c>
      <c r="E2314" s="15">
        <v>1600.0</v>
      </c>
      <c r="F2314" s="16">
        <v>0.0</v>
      </c>
      <c r="G2314" s="16">
        <v>0.0</v>
      </c>
      <c r="H2314" s="16">
        <v>842.74</v>
      </c>
      <c r="I2314" s="16">
        <v>0.0</v>
      </c>
      <c r="J2314" s="16">
        <v>0.0</v>
      </c>
      <c r="K2314" s="16">
        <v>0.0</v>
      </c>
      <c r="L2314" s="16">
        <v>842.74</v>
      </c>
      <c r="M2314" s="16">
        <v>769.545</v>
      </c>
      <c r="N2314" s="16">
        <v>518.676</v>
      </c>
      <c r="O2314" s="24">
        <v>20.2</v>
      </c>
      <c r="P2314" s="18">
        <f t="shared" si="1"/>
        <v>842.74</v>
      </c>
    </row>
    <row r="2315" ht="15.75" customHeight="1">
      <c r="A2315" s="19" t="s">
        <v>229</v>
      </c>
      <c r="B2315" s="19" t="s">
        <v>133</v>
      </c>
      <c r="C2315" s="20" t="s">
        <v>166</v>
      </c>
      <c r="D2315" s="14" t="str">
        <f>VLOOKUP(C2315,'State Key'!$A$2:$B$210,2,False)</f>
        <v>Madhya Pradesh</v>
      </c>
      <c r="E2315" s="21">
        <v>1200.0</v>
      </c>
      <c r="F2315" s="22">
        <v>242.143</v>
      </c>
      <c r="G2315" s="22">
        <v>0.0</v>
      </c>
      <c r="H2315" s="22">
        <v>0.0</v>
      </c>
      <c r="I2315" s="22">
        <v>0.0</v>
      </c>
      <c r="J2315" s="22">
        <v>0.0</v>
      </c>
      <c r="K2315" s="22">
        <v>122.403</v>
      </c>
      <c r="L2315" s="22">
        <v>364.546</v>
      </c>
      <c r="M2315" s="22">
        <v>470.076</v>
      </c>
      <c r="N2315" s="22">
        <v>345.42</v>
      </c>
      <c r="O2315" s="24">
        <v>22.0</v>
      </c>
      <c r="P2315" s="18">
        <f t="shared" si="1"/>
        <v>364.546</v>
      </c>
    </row>
    <row r="2316" ht="15.75" customHeight="1">
      <c r="A2316" s="13" t="s">
        <v>229</v>
      </c>
      <c r="B2316" s="13" t="s">
        <v>133</v>
      </c>
      <c r="C2316" s="14" t="s">
        <v>167</v>
      </c>
      <c r="D2316" s="14" t="str">
        <f>VLOOKUP(C2316,'State Key'!$A$2:$B$210,2,False)</f>
        <v>Chhattisgarh</v>
      </c>
      <c r="E2316" s="15">
        <v>1000.0</v>
      </c>
      <c r="F2316" s="16">
        <v>28.329</v>
      </c>
      <c r="G2316" s="16">
        <v>0.0</v>
      </c>
      <c r="H2316" s="16">
        <v>415.01</v>
      </c>
      <c r="I2316" s="16">
        <v>0.0</v>
      </c>
      <c r="J2316" s="16">
        <v>0.0</v>
      </c>
      <c r="K2316" s="16">
        <v>0.0</v>
      </c>
      <c r="L2316" s="16">
        <v>443.339</v>
      </c>
      <c r="M2316" s="16">
        <v>478.297</v>
      </c>
      <c r="N2316" s="16">
        <v>389.39</v>
      </c>
      <c r="O2316" s="24">
        <v>24.4</v>
      </c>
      <c r="P2316" s="18">
        <f t="shared" si="1"/>
        <v>443.339</v>
      </c>
    </row>
    <row r="2317" ht="15.75" customHeight="1">
      <c r="A2317" s="19" t="s">
        <v>229</v>
      </c>
      <c r="B2317" s="19" t="s">
        <v>133</v>
      </c>
      <c r="C2317" s="20" t="s">
        <v>168</v>
      </c>
      <c r="D2317" s="14" t="str">
        <f>VLOOKUP(C2317,'State Key'!$A$2:$B$210,2,False)</f>
        <v>Maharashtra</v>
      </c>
      <c r="E2317" s="21">
        <v>2320.0</v>
      </c>
      <c r="F2317" s="22">
        <v>573.97</v>
      </c>
      <c r="G2317" s="22">
        <v>48.91</v>
      </c>
      <c r="H2317" s="22">
        <v>19.45</v>
      </c>
      <c r="I2317" s="22">
        <v>0.0</v>
      </c>
      <c r="J2317" s="22">
        <v>88.18</v>
      </c>
      <c r="K2317" s="22">
        <v>0.0</v>
      </c>
      <c r="L2317" s="22">
        <v>730.51</v>
      </c>
      <c r="M2317" s="22">
        <v>824.408</v>
      </c>
      <c r="N2317" s="22">
        <v>493.993</v>
      </c>
      <c r="O2317" s="24">
        <v>18.0</v>
      </c>
      <c r="P2317" s="18">
        <f t="shared" si="1"/>
        <v>730.51</v>
      </c>
    </row>
    <row r="2318" ht="15.75" customHeight="1">
      <c r="A2318" s="13" t="s">
        <v>229</v>
      </c>
      <c r="B2318" s="13" t="s">
        <v>133</v>
      </c>
      <c r="C2318" s="14" t="s">
        <v>169</v>
      </c>
      <c r="D2318" s="14" t="str">
        <f>VLOOKUP(C2318,'State Key'!$A$2:$B$210,2,False)</f>
        <v>Madhya Pradesh</v>
      </c>
      <c r="E2318" s="15">
        <v>246.01</v>
      </c>
      <c r="F2318" s="16">
        <v>0.0</v>
      </c>
      <c r="G2318" s="16">
        <v>0.0</v>
      </c>
      <c r="H2318" s="16">
        <v>0.0</v>
      </c>
      <c r="I2318" s="16">
        <v>0.0</v>
      </c>
      <c r="J2318" s="16">
        <v>0.0</v>
      </c>
      <c r="K2318" s="16">
        <v>0.0</v>
      </c>
      <c r="L2318" s="16">
        <v>0.0</v>
      </c>
      <c r="M2318" s="16">
        <v>0.0</v>
      </c>
      <c r="N2318" s="16">
        <v>0.0</v>
      </c>
      <c r="O2318" s="13" t="s">
        <v>58</v>
      </c>
      <c r="P2318" s="18">
        <f t="shared" si="1"/>
        <v>0</v>
      </c>
    </row>
    <row r="2319" ht="15.75" customHeight="1">
      <c r="A2319" s="19" t="s">
        <v>229</v>
      </c>
      <c r="B2319" s="19" t="s">
        <v>133</v>
      </c>
      <c r="C2319" s="20" t="s">
        <v>172</v>
      </c>
      <c r="D2319" s="14" t="str">
        <f>VLOOKUP(C2319,'State Key'!$A$2:$B$210,2,False)</f>
        <v>Gujarat</v>
      </c>
      <c r="E2319" s="21">
        <v>4000.0</v>
      </c>
      <c r="F2319" s="22">
        <v>0.0</v>
      </c>
      <c r="G2319" s="22">
        <v>0.0</v>
      </c>
      <c r="H2319" s="22">
        <v>0.0</v>
      </c>
      <c r="I2319" s="22">
        <v>0.0</v>
      </c>
      <c r="J2319" s="22">
        <v>915.38</v>
      </c>
      <c r="K2319" s="22">
        <v>0.0</v>
      </c>
      <c r="L2319" s="22">
        <v>915.38</v>
      </c>
      <c r="M2319" s="22">
        <v>901.551</v>
      </c>
      <c r="N2319" s="22">
        <v>628.35</v>
      </c>
      <c r="O2319" s="24">
        <v>20.9</v>
      </c>
      <c r="P2319" s="18">
        <f t="shared" si="1"/>
        <v>915.38</v>
      </c>
    </row>
    <row r="2320" ht="15.75" customHeight="1">
      <c r="A2320" s="13" t="s">
        <v>229</v>
      </c>
      <c r="B2320" s="13" t="s">
        <v>133</v>
      </c>
      <c r="C2320" s="14" t="s">
        <v>173</v>
      </c>
      <c r="D2320" s="14" t="str">
        <f>VLOOKUP(C2320,'State Key'!$A$2:$B$210,2,False)</f>
        <v>Maharashtra</v>
      </c>
      <c r="E2320" s="15">
        <v>1350.0</v>
      </c>
      <c r="F2320" s="16">
        <v>0.0</v>
      </c>
      <c r="G2320" s="16">
        <v>0.0</v>
      </c>
      <c r="H2320" s="16">
        <v>0.0</v>
      </c>
      <c r="I2320" s="16">
        <v>0.0</v>
      </c>
      <c r="J2320" s="16">
        <v>0.0</v>
      </c>
      <c r="K2320" s="16">
        <v>0.0</v>
      </c>
      <c r="L2320" s="16">
        <v>0.0</v>
      </c>
      <c r="M2320" s="16">
        <v>0.0</v>
      </c>
      <c r="N2320" s="16">
        <v>0.0</v>
      </c>
      <c r="O2320" s="13" t="s">
        <v>58</v>
      </c>
      <c r="P2320" s="18">
        <f t="shared" si="1"/>
        <v>0</v>
      </c>
    </row>
    <row r="2321" ht="15.75" customHeight="1">
      <c r="A2321" s="19" t="s">
        <v>229</v>
      </c>
      <c r="B2321" s="19" t="s">
        <v>133</v>
      </c>
      <c r="C2321" s="20" t="s">
        <v>174</v>
      </c>
      <c r="D2321" s="14" t="str">
        <f>VLOOKUP(C2321,'State Key'!$A$2:$B$210,2,False)</f>
        <v>Maharashtra</v>
      </c>
      <c r="E2321" s="21">
        <v>630.0</v>
      </c>
      <c r="F2321" s="22">
        <v>245.76</v>
      </c>
      <c r="G2321" s="22">
        <v>0.0</v>
      </c>
      <c r="H2321" s="22">
        <v>0.0</v>
      </c>
      <c r="I2321" s="22">
        <v>0.0</v>
      </c>
      <c r="J2321" s="22">
        <v>29.26</v>
      </c>
      <c r="K2321" s="22">
        <v>0.0</v>
      </c>
      <c r="L2321" s="22">
        <v>275.02</v>
      </c>
      <c r="M2321" s="22">
        <v>287.887</v>
      </c>
      <c r="N2321" s="22">
        <v>111.18</v>
      </c>
      <c r="O2321" s="23">
        <v>11.6</v>
      </c>
      <c r="P2321" s="18">
        <f t="shared" si="1"/>
        <v>275.02</v>
      </c>
    </row>
    <row r="2322" ht="15.75" customHeight="1">
      <c r="A2322" s="13" t="s">
        <v>229</v>
      </c>
      <c r="B2322" s="13" t="s">
        <v>133</v>
      </c>
      <c r="C2322" s="14" t="s">
        <v>175</v>
      </c>
      <c r="D2322" s="14" t="str">
        <f>VLOOKUP(C2322,'State Key'!$A$2:$B$210,2,False)</f>
        <v>Chhattisgarh</v>
      </c>
      <c r="E2322" s="15">
        <v>600.0</v>
      </c>
      <c r="F2322" s="16">
        <v>205.85</v>
      </c>
      <c r="G2322" s="16">
        <v>0.0</v>
      </c>
      <c r="H2322" s="16">
        <v>0.0</v>
      </c>
      <c r="I2322" s="16">
        <v>4.09</v>
      </c>
      <c r="J2322" s="16">
        <v>0.0</v>
      </c>
      <c r="K2322" s="16">
        <v>0.0</v>
      </c>
      <c r="L2322" s="16">
        <v>209.94</v>
      </c>
      <c r="M2322" s="16">
        <v>251.0899</v>
      </c>
      <c r="N2322" s="16">
        <v>120.89</v>
      </c>
      <c r="O2322" s="24">
        <v>14.4</v>
      </c>
      <c r="P2322" s="18">
        <f t="shared" si="1"/>
        <v>209.94</v>
      </c>
    </row>
    <row r="2323" ht="15.75" customHeight="1">
      <c r="A2323" s="19" t="s">
        <v>229</v>
      </c>
      <c r="B2323" s="19" t="s">
        <v>133</v>
      </c>
      <c r="C2323" s="20" t="s">
        <v>176</v>
      </c>
      <c r="D2323" s="14" t="str">
        <f>VLOOKUP(C2323,'State Key'!$A$2:$B$210,2,False)</f>
        <v>Madhya Pradesh</v>
      </c>
      <c r="E2323" s="21">
        <v>1320.0</v>
      </c>
      <c r="F2323" s="22">
        <v>0.0</v>
      </c>
      <c r="G2323" s="22">
        <v>0.0</v>
      </c>
      <c r="H2323" s="22">
        <v>396.0178</v>
      </c>
      <c r="I2323" s="22">
        <v>134.4783</v>
      </c>
      <c r="J2323" s="22">
        <v>0.0</v>
      </c>
      <c r="K2323" s="22">
        <v>0.0</v>
      </c>
      <c r="L2323" s="22">
        <v>530.4961</v>
      </c>
      <c r="M2323" s="22">
        <v>468.4884</v>
      </c>
      <c r="N2323" s="22">
        <v>398.417</v>
      </c>
      <c r="O2323" s="24">
        <v>25.5</v>
      </c>
      <c r="P2323" s="18">
        <f t="shared" si="1"/>
        <v>530.4961</v>
      </c>
    </row>
    <row r="2324" ht="15.75" customHeight="1">
      <c r="A2324" s="13" t="s">
        <v>229</v>
      </c>
      <c r="B2324" s="13" t="s">
        <v>133</v>
      </c>
      <c r="C2324" s="14" t="s">
        <v>177</v>
      </c>
      <c r="D2324" s="14" t="str">
        <f>VLOOKUP(C2324,'State Key'!$A$2:$B$210,2,False)</f>
        <v>Madhya Pradesh</v>
      </c>
      <c r="E2324" s="15">
        <v>90.0</v>
      </c>
      <c r="F2324" s="16">
        <v>17.86</v>
      </c>
      <c r="G2324" s="16">
        <v>0.0</v>
      </c>
      <c r="H2324" s="16">
        <v>0.0</v>
      </c>
      <c r="I2324" s="16">
        <v>0.0</v>
      </c>
      <c r="J2324" s="16">
        <v>0.0</v>
      </c>
      <c r="K2324" s="16">
        <v>16.48</v>
      </c>
      <c r="L2324" s="16">
        <v>34.34</v>
      </c>
      <c r="M2324" s="16">
        <v>34.09</v>
      </c>
      <c r="N2324" s="16">
        <v>91.44</v>
      </c>
      <c r="O2324" s="24">
        <v>80.5</v>
      </c>
      <c r="P2324" s="18">
        <f t="shared" si="1"/>
        <v>34.34</v>
      </c>
    </row>
    <row r="2325" ht="15.75" customHeight="1">
      <c r="A2325" s="19" t="s">
        <v>229</v>
      </c>
      <c r="B2325" s="19" t="s">
        <v>133</v>
      </c>
      <c r="C2325" s="20" t="s">
        <v>178</v>
      </c>
      <c r="D2325" s="14" t="str">
        <f>VLOOKUP(C2325,'State Key'!$A$2:$B$210,2,False)</f>
        <v>Chhattisgarh</v>
      </c>
      <c r="E2325" s="21">
        <v>1000.0</v>
      </c>
      <c r="F2325" s="22">
        <v>92.866</v>
      </c>
      <c r="G2325" s="22">
        <v>0.0</v>
      </c>
      <c r="H2325" s="22">
        <v>0.0</v>
      </c>
      <c r="I2325" s="22">
        <v>278.99</v>
      </c>
      <c r="J2325" s="22">
        <v>0.0</v>
      </c>
      <c r="K2325" s="22">
        <v>0.0</v>
      </c>
      <c r="L2325" s="22">
        <v>371.856</v>
      </c>
      <c r="M2325" s="22">
        <v>397.142</v>
      </c>
      <c r="N2325" s="22">
        <v>242.301</v>
      </c>
      <c r="O2325" s="24">
        <v>18.3</v>
      </c>
      <c r="P2325" s="18">
        <f t="shared" si="1"/>
        <v>371.856</v>
      </c>
    </row>
    <row r="2326" ht="15.75" customHeight="1">
      <c r="A2326" s="13" t="s">
        <v>229</v>
      </c>
      <c r="B2326" s="13" t="s">
        <v>133</v>
      </c>
      <c r="C2326" s="14" t="s">
        <v>179</v>
      </c>
      <c r="D2326" s="14" t="str">
        <f>VLOOKUP(C2326,'State Key'!$A$2:$B$210,2,False)</f>
        <v>Maharashtra</v>
      </c>
      <c r="E2326" s="15">
        <v>500.0</v>
      </c>
      <c r="F2326" s="16">
        <v>233.02</v>
      </c>
      <c r="G2326" s="16">
        <v>3.998</v>
      </c>
      <c r="H2326" s="16">
        <v>0.0</v>
      </c>
      <c r="I2326" s="16">
        <v>0.0</v>
      </c>
      <c r="J2326" s="16">
        <v>0.0</v>
      </c>
      <c r="K2326" s="16">
        <v>0.0</v>
      </c>
      <c r="L2326" s="16">
        <v>237.018</v>
      </c>
      <c r="M2326" s="16">
        <v>214.596</v>
      </c>
      <c r="N2326" s="16">
        <v>133.32</v>
      </c>
      <c r="O2326" s="24">
        <v>18.6</v>
      </c>
      <c r="P2326" s="18">
        <f t="shared" si="1"/>
        <v>237.018</v>
      </c>
    </row>
    <row r="2327" ht="15.75" customHeight="1">
      <c r="A2327" s="19" t="s">
        <v>229</v>
      </c>
      <c r="B2327" s="19" t="s">
        <v>133</v>
      </c>
      <c r="C2327" s="20" t="s">
        <v>180</v>
      </c>
      <c r="D2327" s="14" t="str">
        <f>VLOOKUP(C2327,'State Key'!$A$2:$B$210,2,False)</f>
        <v>Maharashtra</v>
      </c>
      <c r="E2327" s="21">
        <v>750.0</v>
      </c>
      <c r="F2327" s="22">
        <v>101.752</v>
      </c>
      <c r="G2327" s="22">
        <v>177.711</v>
      </c>
      <c r="H2327" s="22">
        <v>0.0</v>
      </c>
      <c r="I2327" s="22">
        <v>0.0</v>
      </c>
      <c r="J2327" s="22">
        <v>0.0</v>
      </c>
      <c r="K2327" s="22">
        <v>0.0</v>
      </c>
      <c r="L2327" s="22">
        <v>279.463</v>
      </c>
      <c r="M2327" s="22">
        <v>277.521</v>
      </c>
      <c r="N2327" s="22">
        <v>182.19</v>
      </c>
      <c r="O2327" s="24">
        <v>19.7</v>
      </c>
      <c r="P2327" s="18">
        <f t="shared" si="1"/>
        <v>279.463</v>
      </c>
    </row>
    <row r="2328" ht="15.75" customHeight="1">
      <c r="A2328" s="13" t="s">
        <v>229</v>
      </c>
      <c r="B2328" s="13" t="s">
        <v>133</v>
      </c>
      <c r="C2328" s="14" t="s">
        <v>181</v>
      </c>
      <c r="D2328" s="14" t="str">
        <f>VLOOKUP(C2328,'State Key'!$A$2:$B$210,2,False)</f>
        <v>Chhattisgarh</v>
      </c>
      <c r="E2328" s="15">
        <v>600.0</v>
      </c>
      <c r="F2328" s="16">
        <v>314.05</v>
      </c>
      <c r="G2328" s="16">
        <v>0.0</v>
      </c>
      <c r="H2328" s="16">
        <v>0.0</v>
      </c>
      <c r="I2328" s="16">
        <v>19.92</v>
      </c>
      <c r="J2328" s="16">
        <v>0.0</v>
      </c>
      <c r="K2328" s="16">
        <v>0.0</v>
      </c>
      <c r="L2328" s="16">
        <v>333.97</v>
      </c>
      <c r="M2328" s="16">
        <v>276.28</v>
      </c>
      <c r="N2328" s="16">
        <v>274.18</v>
      </c>
      <c r="O2328" s="24">
        <v>29.8</v>
      </c>
      <c r="P2328" s="18">
        <f t="shared" si="1"/>
        <v>333.97</v>
      </c>
    </row>
    <row r="2329" ht="15.75" customHeight="1">
      <c r="A2329" s="19" t="s">
        <v>229</v>
      </c>
      <c r="B2329" s="19" t="s">
        <v>133</v>
      </c>
      <c r="C2329" s="20" t="s">
        <v>183</v>
      </c>
      <c r="D2329" s="14" t="str">
        <f>VLOOKUP(C2329,'State Key'!$A$2:$B$210,2,False)</f>
        <v>Chhattisgarh</v>
      </c>
      <c r="E2329" s="21">
        <v>100.0</v>
      </c>
      <c r="F2329" s="22">
        <v>0.0</v>
      </c>
      <c r="G2329" s="22">
        <v>0.0</v>
      </c>
      <c r="H2329" s="22">
        <v>0.0</v>
      </c>
      <c r="I2329" s="22">
        <v>0.0</v>
      </c>
      <c r="J2329" s="22">
        <v>0.0</v>
      </c>
      <c r="K2329" s="22">
        <v>47.686</v>
      </c>
      <c r="L2329" s="22">
        <v>47.686</v>
      </c>
      <c r="M2329" s="22">
        <v>72.05</v>
      </c>
      <c r="N2329" s="22">
        <v>27.75</v>
      </c>
      <c r="O2329" s="23">
        <v>11.6</v>
      </c>
      <c r="P2329" s="18">
        <f t="shared" si="1"/>
        <v>47.686</v>
      </c>
    </row>
    <row r="2330" ht="15.75" customHeight="1">
      <c r="A2330" s="13" t="s">
        <v>229</v>
      </c>
      <c r="B2330" s="13" t="s">
        <v>133</v>
      </c>
      <c r="C2330" s="14" t="s">
        <v>184</v>
      </c>
      <c r="D2330" s="14" t="str">
        <f>VLOOKUP(C2330,'State Key'!$A$2:$B$210,2,False)</f>
        <v>Gujarat</v>
      </c>
      <c r="E2330" s="15">
        <v>362.0</v>
      </c>
      <c r="F2330" s="16">
        <v>92.454</v>
      </c>
      <c r="G2330" s="16">
        <v>0.0</v>
      </c>
      <c r="H2330" s="16">
        <v>0.0</v>
      </c>
      <c r="I2330" s="16">
        <v>0.0</v>
      </c>
      <c r="J2330" s="16">
        <v>8.057</v>
      </c>
      <c r="K2330" s="16">
        <v>0.0</v>
      </c>
      <c r="L2330" s="16">
        <v>100.511</v>
      </c>
      <c r="M2330" s="16">
        <v>140.17</v>
      </c>
      <c r="N2330" s="16">
        <v>65.9</v>
      </c>
      <c r="O2330" s="24">
        <v>14.1</v>
      </c>
      <c r="P2330" s="18">
        <f t="shared" si="1"/>
        <v>100.511</v>
      </c>
    </row>
    <row r="2331" ht="15.75" customHeight="1">
      <c r="A2331" s="19" t="s">
        <v>229</v>
      </c>
      <c r="B2331" s="19" t="s">
        <v>133</v>
      </c>
      <c r="C2331" s="20" t="s">
        <v>185</v>
      </c>
      <c r="D2331" s="14" t="str">
        <f>VLOOKUP(C2331,'State Key'!$A$2:$B$210,2,False)</f>
        <v>Gujarat</v>
      </c>
      <c r="E2331" s="21">
        <v>1200.0</v>
      </c>
      <c r="F2331" s="22">
        <v>0.0</v>
      </c>
      <c r="G2331" s="22">
        <v>0.0</v>
      </c>
      <c r="H2331" s="22">
        <v>0.0</v>
      </c>
      <c r="I2331" s="22">
        <v>0.0</v>
      </c>
      <c r="J2331" s="22">
        <v>164.69</v>
      </c>
      <c r="K2331" s="22">
        <v>0.0</v>
      </c>
      <c r="L2331" s="22">
        <v>164.69</v>
      </c>
      <c r="M2331" s="22">
        <v>179.655</v>
      </c>
      <c r="N2331" s="22">
        <v>44.21</v>
      </c>
      <c r="O2331" s="23">
        <v>7.4</v>
      </c>
      <c r="P2331" s="18">
        <f t="shared" si="1"/>
        <v>164.69</v>
      </c>
    </row>
    <row r="2332" ht="15.75" customHeight="1">
      <c r="A2332" s="13" t="s">
        <v>229</v>
      </c>
      <c r="B2332" s="13" t="s">
        <v>133</v>
      </c>
      <c r="C2332" s="14" t="s">
        <v>186</v>
      </c>
      <c r="D2332" s="14" t="str">
        <f>VLOOKUP(C2332,'State Key'!$A$2:$B$210,2,False)</f>
        <v>Chhattisgarh</v>
      </c>
      <c r="E2332" s="15">
        <v>135.0</v>
      </c>
      <c r="F2332" s="16">
        <v>0.0</v>
      </c>
      <c r="G2332" s="16">
        <v>0.0</v>
      </c>
      <c r="H2332" s="16">
        <v>0.0</v>
      </c>
      <c r="I2332" s="16">
        <v>0.0</v>
      </c>
      <c r="J2332" s="16">
        <v>0.0</v>
      </c>
      <c r="K2332" s="16">
        <v>0.0</v>
      </c>
      <c r="L2332" s="16">
        <v>0.0</v>
      </c>
      <c r="M2332" s="16">
        <v>0.0</v>
      </c>
      <c r="N2332" s="16">
        <v>0.0</v>
      </c>
      <c r="O2332" s="13" t="s">
        <v>58</v>
      </c>
      <c r="P2332" s="18">
        <f t="shared" si="1"/>
        <v>0</v>
      </c>
    </row>
    <row r="2333" ht="15.75" customHeight="1">
      <c r="A2333" s="19" t="s">
        <v>229</v>
      </c>
      <c r="B2333" s="19" t="s">
        <v>133</v>
      </c>
      <c r="C2333" s="20" t="s">
        <v>187</v>
      </c>
      <c r="D2333" s="14" t="str">
        <f>VLOOKUP(C2333,'State Key'!$A$2:$B$210,2,False)</f>
        <v>Madhya Pradesh</v>
      </c>
      <c r="E2333" s="21">
        <v>1340.0</v>
      </c>
      <c r="F2333" s="22">
        <v>504.182</v>
      </c>
      <c r="G2333" s="22">
        <v>0.0</v>
      </c>
      <c r="H2333" s="22">
        <v>0.0</v>
      </c>
      <c r="I2333" s="22">
        <v>0.0</v>
      </c>
      <c r="J2333" s="22">
        <v>0.0</v>
      </c>
      <c r="K2333" s="22">
        <v>0.0</v>
      </c>
      <c r="L2333" s="22">
        <v>504.182</v>
      </c>
      <c r="M2333" s="22">
        <v>541.001</v>
      </c>
      <c r="N2333" s="22">
        <v>295.72</v>
      </c>
      <c r="O2333" s="24">
        <v>16.4</v>
      </c>
      <c r="P2333" s="18">
        <f t="shared" si="1"/>
        <v>504.182</v>
      </c>
    </row>
    <row r="2334" ht="15.75" customHeight="1">
      <c r="A2334" s="13" t="s">
        <v>229</v>
      </c>
      <c r="B2334" s="13" t="s">
        <v>133</v>
      </c>
      <c r="C2334" s="14" t="s">
        <v>188</v>
      </c>
      <c r="D2334" s="14" t="str">
        <f>VLOOKUP(C2334,'State Key'!$A$2:$B$210,2,False)</f>
        <v>Madhya Pradesh</v>
      </c>
      <c r="E2334" s="15">
        <v>3960.0</v>
      </c>
      <c r="F2334" s="16">
        <v>0.0</v>
      </c>
      <c r="G2334" s="16">
        <v>0.0</v>
      </c>
      <c r="H2334" s="16">
        <v>1257.554</v>
      </c>
      <c r="I2334" s="16">
        <v>0.0</v>
      </c>
      <c r="J2334" s="16">
        <v>0.0</v>
      </c>
      <c r="K2334" s="16">
        <v>0.0</v>
      </c>
      <c r="L2334" s="16">
        <v>1257.554</v>
      </c>
      <c r="M2334" s="16">
        <v>1569.504</v>
      </c>
      <c r="N2334" s="16">
        <v>70.858</v>
      </c>
      <c r="O2334" s="17">
        <v>1.4</v>
      </c>
      <c r="P2334" s="18">
        <f t="shared" si="1"/>
        <v>1257.554</v>
      </c>
    </row>
    <row r="2335" ht="15.75" customHeight="1">
      <c r="A2335" s="19" t="s">
        <v>229</v>
      </c>
      <c r="B2335" s="19" t="s">
        <v>133</v>
      </c>
      <c r="C2335" s="20" t="s">
        <v>189</v>
      </c>
      <c r="D2335" s="14" t="str">
        <f>VLOOKUP(C2335,'State Key'!$A$2:$B$210,2,False)</f>
        <v>Madhya Pradesh</v>
      </c>
      <c r="E2335" s="21">
        <v>1330.0</v>
      </c>
      <c r="F2335" s="22">
        <v>208.34</v>
      </c>
      <c r="G2335" s="22">
        <v>0.0</v>
      </c>
      <c r="H2335" s="22">
        <v>0.0</v>
      </c>
      <c r="I2335" s="22">
        <v>0.0</v>
      </c>
      <c r="J2335" s="22">
        <v>0.0</v>
      </c>
      <c r="K2335" s="22">
        <v>0.0</v>
      </c>
      <c r="L2335" s="22">
        <v>208.34</v>
      </c>
      <c r="M2335" s="22">
        <v>224.245</v>
      </c>
      <c r="N2335" s="22">
        <v>108.98</v>
      </c>
      <c r="O2335" s="24">
        <v>14.6</v>
      </c>
      <c r="P2335" s="18">
        <f t="shared" si="1"/>
        <v>208.34</v>
      </c>
    </row>
    <row r="2336" ht="15.75" customHeight="1">
      <c r="A2336" s="13" t="s">
        <v>229</v>
      </c>
      <c r="B2336" s="13" t="s">
        <v>133</v>
      </c>
      <c r="C2336" s="14" t="s">
        <v>190</v>
      </c>
      <c r="D2336" s="14" t="str">
        <f>VLOOKUP(C2336,'State Key'!$A$2:$B$210,2,False)</f>
        <v>Madhya Pradesh</v>
      </c>
      <c r="E2336" s="15">
        <v>600.0</v>
      </c>
      <c r="F2336" s="16">
        <v>117.631</v>
      </c>
      <c r="G2336" s="16">
        <v>0.0</v>
      </c>
      <c r="H2336" s="16">
        <v>0.0</v>
      </c>
      <c r="I2336" s="16">
        <v>167.184</v>
      </c>
      <c r="J2336" s="16">
        <v>0.0</v>
      </c>
      <c r="K2336" s="16">
        <v>0.0</v>
      </c>
      <c r="L2336" s="16">
        <v>284.815</v>
      </c>
      <c r="M2336" s="16">
        <v>255.907</v>
      </c>
      <c r="N2336" s="16">
        <v>44.53</v>
      </c>
      <c r="O2336" s="17">
        <v>5.2</v>
      </c>
      <c r="P2336" s="18">
        <f t="shared" si="1"/>
        <v>284.815</v>
      </c>
    </row>
    <row r="2337" ht="15.75" customHeight="1">
      <c r="A2337" s="19" t="s">
        <v>229</v>
      </c>
      <c r="B2337" s="19" t="s">
        <v>133</v>
      </c>
      <c r="C2337" s="20" t="s">
        <v>191</v>
      </c>
      <c r="D2337" s="14" t="str">
        <f>VLOOKUP(C2337,'State Key'!$A$2:$B$210,2,False)</f>
        <v>Maharashtra</v>
      </c>
      <c r="E2337" s="21">
        <v>300.0</v>
      </c>
      <c r="F2337" s="22">
        <v>0.0</v>
      </c>
      <c r="G2337" s="22">
        <v>0.0</v>
      </c>
      <c r="H2337" s="22">
        <v>0.0</v>
      </c>
      <c r="I2337" s="22">
        <v>0.0</v>
      </c>
      <c r="J2337" s="22">
        <v>15.759</v>
      </c>
      <c r="K2337" s="22">
        <v>82.752</v>
      </c>
      <c r="L2337" s="22">
        <v>98.511</v>
      </c>
      <c r="M2337" s="22">
        <v>88.664</v>
      </c>
      <c r="N2337" s="22">
        <v>142.54</v>
      </c>
      <c r="O2337" s="24">
        <v>48.2</v>
      </c>
      <c r="P2337" s="18">
        <f t="shared" si="1"/>
        <v>98.511</v>
      </c>
    </row>
    <row r="2338" ht="15.75" customHeight="1">
      <c r="A2338" s="13" t="s">
        <v>229</v>
      </c>
      <c r="B2338" s="13" t="s">
        <v>133</v>
      </c>
      <c r="C2338" s="14" t="s">
        <v>192</v>
      </c>
      <c r="D2338" s="14" t="str">
        <f>VLOOKUP(C2338,'State Key'!$A$2:$B$210,2,False)</f>
        <v>Madhya Pradesh</v>
      </c>
      <c r="E2338" s="15">
        <v>2520.0</v>
      </c>
      <c r="F2338" s="16">
        <v>1004.392</v>
      </c>
      <c r="G2338" s="16">
        <v>0.0</v>
      </c>
      <c r="H2338" s="16">
        <v>0.0</v>
      </c>
      <c r="I2338" s="16">
        <v>0.0</v>
      </c>
      <c r="J2338" s="16">
        <v>0.0</v>
      </c>
      <c r="K2338" s="16">
        <v>0.0</v>
      </c>
      <c r="L2338" s="16">
        <v>1004.392</v>
      </c>
      <c r="M2338" s="16">
        <v>907.645</v>
      </c>
      <c r="N2338" s="16">
        <v>467.97</v>
      </c>
      <c r="O2338" s="24">
        <v>15.5</v>
      </c>
      <c r="P2338" s="18">
        <f t="shared" si="1"/>
        <v>1004.392</v>
      </c>
    </row>
    <row r="2339" ht="15.75" customHeight="1">
      <c r="A2339" s="19" t="s">
        <v>229</v>
      </c>
      <c r="B2339" s="19" t="s">
        <v>133</v>
      </c>
      <c r="C2339" s="20" t="s">
        <v>193</v>
      </c>
      <c r="D2339" s="14" t="str">
        <f>VLOOKUP(C2339,'State Key'!$A$2:$B$210,2,False)</f>
        <v>Gujarat</v>
      </c>
      <c r="E2339" s="21">
        <v>500.0</v>
      </c>
      <c r="F2339" s="22">
        <v>0.0</v>
      </c>
      <c r="G2339" s="22">
        <v>0.0</v>
      </c>
      <c r="H2339" s="22">
        <v>0.0</v>
      </c>
      <c r="I2339" s="22">
        <v>0.0</v>
      </c>
      <c r="J2339" s="22">
        <v>12.152</v>
      </c>
      <c r="K2339" s="22">
        <v>0.0</v>
      </c>
      <c r="L2339" s="22">
        <v>12.152</v>
      </c>
      <c r="M2339" s="22">
        <v>49.449</v>
      </c>
      <c r="N2339" s="22">
        <v>56.43</v>
      </c>
      <c r="O2339" s="24">
        <v>34.2</v>
      </c>
      <c r="P2339" s="18">
        <f t="shared" si="1"/>
        <v>12.152</v>
      </c>
    </row>
    <row r="2340" ht="15.75" customHeight="1">
      <c r="A2340" s="13" t="s">
        <v>229</v>
      </c>
      <c r="B2340" s="13" t="s">
        <v>133</v>
      </c>
      <c r="C2340" s="14" t="s">
        <v>194</v>
      </c>
      <c r="D2340" s="14" t="str">
        <f>VLOOKUP(C2340,'State Key'!$A$2:$B$210,2,False)</f>
        <v>Chhattisgarh</v>
      </c>
      <c r="E2340" s="15">
        <v>2980.0</v>
      </c>
      <c r="F2340" s="16">
        <v>1054.35</v>
      </c>
      <c r="G2340" s="16">
        <v>0.0</v>
      </c>
      <c r="H2340" s="16">
        <v>36.83</v>
      </c>
      <c r="I2340" s="16">
        <v>0.0</v>
      </c>
      <c r="J2340" s="16">
        <v>0.0</v>
      </c>
      <c r="K2340" s="16">
        <v>0.0</v>
      </c>
      <c r="L2340" s="16">
        <v>1091.18</v>
      </c>
      <c r="M2340" s="16">
        <v>1043.729</v>
      </c>
      <c r="N2340" s="16">
        <v>685.465</v>
      </c>
      <c r="O2340" s="24">
        <v>19.7</v>
      </c>
      <c r="P2340" s="18">
        <f t="shared" si="1"/>
        <v>1091.18</v>
      </c>
    </row>
    <row r="2341" ht="15.75" customHeight="1">
      <c r="A2341" s="19" t="s">
        <v>229</v>
      </c>
      <c r="B2341" s="19" t="s">
        <v>133</v>
      </c>
      <c r="C2341" s="20" t="s">
        <v>195</v>
      </c>
      <c r="D2341" s="14" t="str">
        <f>VLOOKUP(C2341,'State Key'!$A$2:$B$210,2,False)</f>
        <v>Maharashtra</v>
      </c>
      <c r="E2341" s="21">
        <v>1320.0</v>
      </c>
      <c r="F2341" s="22">
        <v>191.79</v>
      </c>
      <c r="G2341" s="22">
        <v>113.67</v>
      </c>
      <c r="H2341" s="22">
        <v>74.03</v>
      </c>
      <c r="I2341" s="22">
        <v>0.0</v>
      </c>
      <c r="J2341" s="22">
        <v>0.0</v>
      </c>
      <c r="K2341" s="22">
        <v>0.0</v>
      </c>
      <c r="L2341" s="22">
        <v>379.49</v>
      </c>
      <c r="M2341" s="22">
        <v>424.783</v>
      </c>
      <c r="N2341" s="22">
        <v>444.643</v>
      </c>
      <c r="O2341" s="24">
        <v>31.4</v>
      </c>
      <c r="P2341" s="18">
        <f t="shared" si="1"/>
        <v>379.49</v>
      </c>
    </row>
    <row r="2342" ht="15.75" customHeight="1">
      <c r="A2342" s="13" t="s">
        <v>229</v>
      </c>
      <c r="B2342" s="13" t="s">
        <v>133</v>
      </c>
      <c r="C2342" s="14" t="s">
        <v>196</v>
      </c>
      <c r="D2342" s="14" t="str">
        <f>VLOOKUP(C2342,'State Key'!$A$2:$B$210,2,False)</f>
        <v>Chhattisgarh</v>
      </c>
      <c r="E2342" s="15">
        <v>63.0</v>
      </c>
      <c r="F2342" s="16">
        <v>0.0</v>
      </c>
      <c r="G2342" s="16">
        <v>0.0</v>
      </c>
      <c r="H2342" s="16">
        <v>0.0</v>
      </c>
      <c r="I2342" s="16">
        <v>0.0</v>
      </c>
      <c r="J2342" s="16">
        <v>0.0</v>
      </c>
      <c r="K2342" s="16">
        <v>33.2232</v>
      </c>
      <c r="L2342" s="16">
        <v>33.2232</v>
      </c>
      <c r="M2342" s="16">
        <v>74.057</v>
      </c>
      <c r="N2342" s="16">
        <v>56.91</v>
      </c>
      <c r="O2342" s="24">
        <v>23.1</v>
      </c>
      <c r="P2342" s="18">
        <f t="shared" si="1"/>
        <v>33.2232</v>
      </c>
    </row>
    <row r="2343" ht="15.75" customHeight="1">
      <c r="A2343" s="19" t="s">
        <v>229</v>
      </c>
      <c r="B2343" s="19" t="s">
        <v>133</v>
      </c>
      <c r="C2343" s="20" t="s">
        <v>197</v>
      </c>
      <c r="D2343" s="14" t="str">
        <f>VLOOKUP(C2343,'State Key'!$A$2:$B$210,2,False)</f>
        <v>Chhattisgarh</v>
      </c>
      <c r="E2343" s="21">
        <v>25.0</v>
      </c>
      <c r="F2343" s="22">
        <v>0.0</v>
      </c>
      <c r="G2343" s="22">
        <v>0.0</v>
      </c>
      <c r="H2343" s="22">
        <v>0.0</v>
      </c>
      <c r="I2343" s="22">
        <v>0.0</v>
      </c>
      <c r="J2343" s="22">
        <v>0.0</v>
      </c>
      <c r="K2343" s="22">
        <v>0.0</v>
      </c>
      <c r="L2343" s="22">
        <v>0.0</v>
      </c>
      <c r="M2343" s="22">
        <v>0.0</v>
      </c>
      <c r="N2343" s="22">
        <v>0.0</v>
      </c>
      <c r="O2343" s="19" t="s">
        <v>58</v>
      </c>
      <c r="P2343" s="18">
        <f t="shared" si="1"/>
        <v>0</v>
      </c>
    </row>
    <row r="2344" ht="15.75" customHeight="1">
      <c r="A2344" s="13" t="s">
        <v>229</v>
      </c>
      <c r="B2344" s="13" t="s">
        <v>133</v>
      </c>
      <c r="C2344" s="14" t="s">
        <v>198</v>
      </c>
      <c r="D2344" s="14" t="str">
        <f>VLOOKUP(C2344,'State Key'!$A$2:$B$210,2,False)</f>
        <v>Chhattisgarh</v>
      </c>
      <c r="E2344" s="15">
        <v>2400.0</v>
      </c>
      <c r="F2344" s="16">
        <v>401.871</v>
      </c>
      <c r="G2344" s="16">
        <v>0.0</v>
      </c>
      <c r="H2344" s="16">
        <v>0.0</v>
      </c>
      <c r="I2344" s="16">
        <v>834.055</v>
      </c>
      <c r="J2344" s="16">
        <v>1.019</v>
      </c>
      <c r="K2344" s="16">
        <v>0.0</v>
      </c>
      <c r="L2344" s="16">
        <v>1236.945</v>
      </c>
      <c r="M2344" s="16">
        <v>1310.057</v>
      </c>
      <c r="N2344" s="16">
        <v>114.357</v>
      </c>
      <c r="O2344" s="17">
        <v>2.6</v>
      </c>
      <c r="P2344" s="18">
        <f t="shared" si="1"/>
        <v>1236.945</v>
      </c>
    </row>
    <row r="2345" ht="15.75" customHeight="1">
      <c r="A2345" s="19" t="s">
        <v>229</v>
      </c>
      <c r="B2345" s="19" t="s">
        <v>133</v>
      </c>
      <c r="C2345" s="20" t="s">
        <v>200</v>
      </c>
      <c r="D2345" s="14" t="str">
        <f>VLOOKUP(C2345,'State Key'!$A$2:$B$210,2,False)</f>
        <v>Maharashtra</v>
      </c>
      <c r="E2345" s="21">
        <v>750.0</v>
      </c>
      <c r="F2345" s="22">
        <v>0.0</v>
      </c>
      <c r="G2345" s="22">
        <v>0.0</v>
      </c>
      <c r="H2345" s="22">
        <v>0.0</v>
      </c>
      <c r="I2345" s="22">
        <v>0.0</v>
      </c>
      <c r="J2345" s="22">
        <v>266.75074</v>
      </c>
      <c r="K2345" s="22">
        <v>0.0</v>
      </c>
      <c r="L2345" s="22">
        <v>266.75074</v>
      </c>
      <c r="M2345" s="22">
        <v>239.377</v>
      </c>
      <c r="N2345" s="22">
        <v>248.72</v>
      </c>
      <c r="O2345" s="24">
        <v>31.2</v>
      </c>
      <c r="P2345" s="18">
        <f t="shared" si="1"/>
        <v>266.75074</v>
      </c>
    </row>
    <row r="2346" ht="15.75" customHeight="1">
      <c r="A2346" s="13" t="s">
        <v>229</v>
      </c>
      <c r="B2346" s="13" t="s">
        <v>133</v>
      </c>
      <c r="C2346" s="14" t="s">
        <v>201</v>
      </c>
      <c r="D2346" s="14" t="str">
        <f>VLOOKUP(C2346,'State Key'!$A$2:$B$210,2,False)</f>
        <v>Chhattisgarh</v>
      </c>
      <c r="E2346" s="15">
        <v>1440.0</v>
      </c>
      <c r="F2346" s="16">
        <v>182.613</v>
      </c>
      <c r="G2346" s="16">
        <v>0.0</v>
      </c>
      <c r="H2346" s="16">
        <v>0.0</v>
      </c>
      <c r="I2346" s="16">
        <v>193.774</v>
      </c>
      <c r="J2346" s="16">
        <v>0.0</v>
      </c>
      <c r="K2346" s="16">
        <v>159.787</v>
      </c>
      <c r="L2346" s="16">
        <v>536.174</v>
      </c>
      <c r="M2346" s="16">
        <v>553.475</v>
      </c>
      <c r="N2346" s="16">
        <v>578.75</v>
      </c>
      <c r="O2346" s="24">
        <v>31.4</v>
      </c>
      <c r="P2346" s="18">
        <f t="shared" si="1"/>
        <v>536.174</v>
      </c>
    </row>
    <row r="2347" ht="15.75" customHeight="1">
      <c r="A2347" s="19" t="s">
        <v>229</v>
      </c>
      <c r="B2347" s="19" t="s">
        <v>133</v>
      </c>
      <c r="C2347" s="20" t="s">
        <v>202</v>
      </c>
      <c r="D2347" s="14" t="str">
        <f>VLOOKUP(C2347,'State Key'!$A$2:$B$210,2,False)</f>
        <v>Gujarat</v>
      </c>
      <c r="E2347" s="21">
        <v>1110.0</v>
      </c>
      <c r="F2347" s="22">
        <v>321.06</v>
      </c>
      <c r="G2347" s="22">
        <v>0.0</v>
      </c>
      <c r="H2347" s="22">
        <v>0.0</v>
      </c>
      <c r="I2347" s="22">
        <v>0.0</v>
      </c>
      <c r="J2347" s="22">
        <v>20.284</v>
      </c>
      <c r="K2347" s="22">
        <v>0.0</v>
      </c>
      <c r="L2347" s="22">
        <v>341.344</v>
      </c>
      <c r="M2347" s="22">
        <v>397.059</v>
      </c>
      <c r="N2347" s="22">
        <v>306.66</v>
      </c>
      <c r="O2347" s="24">
        <v>23.2</v>
      </c>
      <c r="P2347" s="18">
        <f t="shared" si="1"/>
        <v>341.344</v>
      </c>
    </row>
    <row r="2348" ht="15.75" customHeight="1">
      <c r="A2348" s="13" t="s">
        <v>229</v>
      </c>
      <c r="B2348" s="13" t="s">
        <v>133</v>
      </c>
      <c r="C2348" s="14" t="s">
        <v>203</v>
      </c>
      <c r="D2348" s="14" t="str">
        <f>VLOOKUP(C2348,'State Key'!$A$2:$B$210,2,False)</f>
        <v>Madhya Pradesh</v>
      </c>
      <c r="E2348" s="15">
        <v>4760.0</v>
      </c>
      <c r="F2348" s="16">
        <v>1918.13</v>
      </c>
      <c r="G2348" s="16">
        <v>0.0</v>
      </c>
      <c r="H2348" s="16">
        <v>75.51</v>
      </c>
      <c r="I2348" s="16">
        <v>0.0</v>
      </c>
      <c r="J2348" s="16">
        <v>0.0</v>
      </c>
      <c r="K2348" s="16">
        <v>0.0</v>
      </c>
      <c r="L2348" s="16">
        <v>1993.64</v>
      </c>
      <c r="M2348" s="16">
        <v>2015.504</v>
      </c>
      <c r="N2348" s="16">
        <v>765.226</v>
      </c>
      <c r="O2348" s="23">
        <v>11.4</v>
      </c>
      <c r="P2348" s="18">
        <f t="shared" si="1"/>
        <v>1993.64</v>
      </c>
    </row>
    <row r="2349" ht="15.75" customHeight="1">
      <c r="A2349" s="19" t="s">
        <v>229</v>
      </c>
      <c r="B2349" s="19" t="s">
        <v>133</v>
      </c>
      <c r="C2349" s="20" t="s">
        <v>204</v>
      </c>
      <c r="D2349" s="14" t="str">
        <f>VLOOKUP(C2349,'State Key'!$A$2:$B$210,2,False)</f>
        <v>Gujarat</v>
      </c>
      <c r="E2349" s="21">
        <v>2270.0</v>
      </c>
      <c r="F2349" s="22">
        <v>872.586</v>
      </c>
      <c r="G2349" s="22">
        <v>0.0</v>
      </c>
      <c r="H2349" s="22">
        <v>0.0</v>
      </c>
      <c r="I2349" s="22">
        <v>0.0</v>
      </c>
      <c r="J2349" s="22">
        <v>20.299</v>
      </c>
      <c r="K2349" s="22">
        <v>0.0</v>
      </c>
      <c r="L2349" s="22">
        <v>892.885</v>
      </c>
      <c r="M2349" s="22">
        <v>859.305</v>
      </c>
      <c r="N2349" s="22">
        <v>561.0</v>
      </c>
      <c r="O2349" s="24">
        <v>19.6</v>
      </c>
      <c r="P2349" s="18">
        <f t="shared" si="1"/>
        <v>892.885</v>
      </c>
    </row>
    <row r="2350" ht="15.75" customHeight="1">
      <c r="A2350" s="13" t="s">
        <v>229</v>
      </c>
      <c r="B2350" s="13" t="s">
        <v>133</v>
      </c>
      <c r="C2350" s="14" t="s">
        <v>205</v>
      </c>
      <c r="D2350" s="14" t="str">
        <f>VLOOKUP(C2350,'State Key'!$A$2:$B$210,2,False)</f>
        <v>Maharashtra</v>
      </c>
      <c r="E2350" s="15">
        <v>540.0</v>
      </c>
      <c r="F2350" s="16">
        <v>263.31</v>
      </c>
      <c r="G2350" s="16">
        <v>0.0</v>
      </c>
      <c r="H2350" s="16">
        <v>0.0</v>
      </c>
      <c r="I2350" s="16">
        <v>0.0</v>
      </c>
      <c r="J2350" s="16">
        <v>0.0</v>
      </c>
      <c r="K2350" s="16">
        <v>2.0</v>
      </c>
      <c r="L2350" s="16">
        <v>265.31</v>
      </c>
      <c r="M2350" s="16">
        <v>212.43</v>
      </c>
      <c r="N2350" s="16">
        <v>249.58</v>
      </c>
      <c r="O2350" s="24">
        <v>35.2</v>
      </c>
      <c r="P2350" s="18">
        <f t="shared" si="1"/>
        <v>265.31</v>
      </c>
    </row>
    <row r="2351" ht="15.75" customHeight="1">
      <c r="A2351" s="19" t="s">
        <v>232</v>
      </c>
      <c r="B2351" s="19" t="s">
        <v>22</v>
      </c>
      <c r="C2351" s="20" t="s">
        <v>23</v>
      </c>
      <c r="D2351" s="14" t="str">
        <f>VLOOKUP(C2351,'State Key'!$A$2:$B$210,2,False)</f>
        <v>West Bengal</v>
      </c>
      <c r="E2351" s="21">
        <v>1050.0</v>
      </c>
      <c r="F2351" s="22">
        <v>0.0</v>
      </c>
      <c r="G2351" s="22">
        <v>0.0</v>
      </c>
      <c r="H2351" s="22">
        <v>477.584</v>
      </c>
      <c r="I2351" s="22">
        <v>0.0</v>
      </c>
      <c r="J2351" s="22">
        <v>0.0</v>
      </c>
      <c r="K2351" s="22">
        <v>0.0</v>
      </c>
      <c r="L2351" s="22">
        <v>477.584</v>
      </c>
      <c r="M2351" s="22">
        <v>463.437</v>
      </c>
      <c r="N2351" s="22">
        <v>162.15</v>
      </c>
      <c r="O2351" s="23">
        <v>10.5</v>
      </c>
      <c r="P2351" s="18">
        <f t="shared" si="1"/>
        <v>477.584</v>
      </c>
    </row>
    <row r="2352" ht="15.75" customHeight="1">
      <c r="A2352" s="13" t="s">
        <v>232</v>
      </c>
      <c r="B2352" s="13" t="s">
        <v>22</v>
      </c>
      <c r="C2352" s="14" t="s">
        <v>24</v>
      </c>
      <c r="D2352" s="14" t="str">
        <f>VLOOKUP(C2352,'State Key'!$A$2:$B$210,2,False)</f>
        <v>West Bengal</v>
      </c>
      <c r="E2352" s="15">
        <v>270.0</v>
      </c>
      <c r="F2352" s="16">
        <v>0.0</v>
      </c>
      <c r="G2352" s="16">
        <v>0.0</v>
      </c>
      <c r="H2352" s="16">
        <v>122.998</v>
      </c>
      <c r="I2352" s="16">
        <v>0.0</v>
      </c>
      <c r="J2352" s="16">
        <v>0.0</v>
      </c>
      <c r="K2352" s="16">
        <v>0.0</v>
      </c>
      <c r="L2352" s="16">
        <v>122.998</v>
      </c>
      <c r="M2352" s="16">
        <v>110.864</v>
      </c>
      <c r="N2352" s="16">
        <v>70.63</v>
      </c>
      <c r="O2352" s="24">
        <v>19.1</v>
      </c>
      <c r="P2352" s="18">
        <f t="shared" si="1"/>
        <v>122.998</v>
      </c>
    </row>
    <row r="2353" ht="15.75" customHeight="1">
      <c r="A2353" s="19" t="s">
        <v>232</v>
      </c>
      <c r="B2353" s="19" t="s">
        <v>22</v>
      </c>
      <c r="C2353" s="20" t="s">
        <v>25</v>
      </c>
      <c r="D2353" s="14" t="str">
        <f>VLOOKUP(C2353,'State Key'!$A$2:$B$210,2,False)</f>
        <v>Bihar</v>
      </c>
      <c r="E2353" s="21">
        <v>710.0</v>
      </c>
      <c r="F2353" s="22">
        <v>22.89</v>
      </c>
      <c r="G2353" s="22">
        <v>0.0</v>
      </c>
      <c r="H2353" s="22">
        <v>196.88</v>
      </c>
      <c r="I2353" s="22">
        <v>0.0</v>
      </c>
      <c r="J2353" s="22">
        <v>0.0</v>
      </c>
      <c r="K2353" s="22">
        <v>0.0</v>
      </c>
      <c r="L2353" s="22">
        <v>219.77</v>
      </c>
      <c r="M2353" s="22">
        <v>209.411</v>
      </c>
      <c r="N2353" s="22">
        <v>204.108</v>
      </c>
      <c r="O2353" s="24">
        <v>29.2</v>
      </c>
      <c r="P2353" s="18">
        <f t="shared" si="1"/>
        <v>219.77</v>
      </c>
    </row>
    <row r="2354" ht="15.75" customHeight="1">
      <c r="A2354" s="13" t="s">
        <v>232</v>
      </c>
      <c r="B2354" s="13" t="s">
        <v>22</v>
      </c>
      <c r="C2354" s="14" t="s">
        <v>26</v>
      </c>
      <c r="D2354" s="14" t="str">
        <f>VLOOKUP(C2354,'State Key'!$A$2:$B$210,2,False)</f>
        <v>Bihar</v>
      </c>
      <c r="E2354" s="15">
        <v>2640.0</v>
      </c>
      <c r="F2354" s="16">
        <v>594.51</v>
      </c>
      <c r="G2354" s="16">
        <v>0.0</v>
      </c>
      <c r="H2354" s="16">
        <v>478.54</v>
      </c>
      <c r="I2354" s="16">
        <v>0.0</v>
      </c>
      <c r="J2354" s="16">
        <v>15.196</v>
      </c>
      <c r="K2354" s="16">
        <v>0.0</v>
      </c>
      <c r="L2354" s="16">
        <v>1088.246</v>
      </c>
      <c r="M2354" s="16">
        <v>1073.157</v>
      </c>
      <c r="N2354" s="16">
        <v>740.593</v>
      </c>
      <c r="O2354" s="24">
        <v>20.7</v>
      </c>
      <c r="P2354" s="18">
        <f t="shared" si="1"/>
        <v>1088.246</v>
      </c>
    </row>
    <row r="2355" ht="15.75" customHeight="1">
      <c r="A2355" s="19" t="s">
        <v>232</v>
      </c>
      <c r="B2355" s="19" t="s">
        <v>22</v>
      </c>
      <c r="C2355" s="20" t="s">
        <v>27</v>
      </c>
      <c r="D2355" s="14" t="str">
        <f>VLOOKUP(C2355,'State Key'!$A$2:$B$210,2,False)</f>
        <v>Jharkhand</v>
      </c>
      <c r="E2355" s="21">
        <v>500.0</v>
      </c>
      <c r="F2355" s="22">
        <v>180.12</v>
      </c>
      <c r="G2355" s="22">
        <v>0.0</v>
      </c>
      <c r="H2355" s="22">
        <v>0.0</v>
      </c>
      <c r="I2355" s="22">
        <v>0.0</v>
      </c>
      <c r="J2355" s="22">
        <v>0.0</v>
      </c>
      <c r="K2355" s="22">
        <v>0.0</v>
      </c>
      <c r="L2355" s="22">
        <v>180.12</v>
      </c>
      <c r="M2355" s="22">
        <v>182.49</v>
      </c>
      <c r="N2355" s="22">
        <v>306.34</v>
      </c>
      <c r="O2355" s="24">
        <v>50.4</v>
      </c>
      <c r="P2355" s="18">
        <f t="shared" si="1"/>
        <v>180.12</v>
      </c>
    </row>
    <row r="2356" ht="15.75" customHeight="1">
      <c r="A2356" s="13" t="s">
        <v>232</v>
      </c>
      <c r="B2356" s="13" t="s">
        <v>22</v>
      </c>
      <c r="C2356" s="14" t="s">
        <v>28</v>
      </c>
      <c r="D2356" s="14" t="str">
        <f>VLOOKUP(C2356,'State Key'!$A$2:$B$210,2,False)</f>
        <v>West Bengal</v>
      </c>
      <c r="E2356" s="15">
        <v>750.0</v>
      </c>
      <c r="F2356" s="16">
        <v>105.14</v>
      </c>
      <c r="G2356" s="16">
        <v>0.0</v>
      </c>
      <c r="H2356" s="16">
        <v>28.139</v>
      </c>
      <c r="I2356" s="16">
        <v>177.112</v>
      </c>
      <c r="J2356" s="16">
        <v>0.0</v>
      </c>
      <c r="K2356" s="16">
        <v>0.0</v>
      </c>
      <c r="L2356" s="16">
        <v>310.391</v>
      </c>
      <c r="M2356" s="16">
        <v>307.752</v>
      </c>
      <c r="N2356" s="16">
        <v>260.37</v>
      </c>
      <c r="O2356" s="24">
        <v>25.4</v>
      </c>
      <c r="P2356" s="18">
        <f t="shared" si="1"/>
        <v>310.391</v>
      </c>
    </row>
    <row r="2357" ht="15.75" customHeight="1">
      <c r="A2357" s="19" t="s">
        <v>232</v>
      </c>
      <c r="B2357" s="19" t="s">
        <v>22</v>
      </c>
      <c r="C2357" s="20" t="s">
        <v>29</v>
      </c>
      <c r="D2357" s="14" t="str">
        <f>VLOOKUP(C2357,'State Key'!$A$2:$B$210,2,False)</f>
        <v>Jharkhand</v>
      </c>
      <c r="E2357" s="21">
        <v>500.0</v>
      </c>
      <c r="F2357" s="22">
        <v>135.312</v>
      </c>
      <c r="G2357" s="22">
        <v>0.0</v>
      </c>
      <c r="H2357" s="22">
        <v>40.243</v>
      </c>
      <c r="I2357" s="22">
        <v>0.0</v>
      </c>
      <c r="J2357" s="22">
        <v>0.0</v>
      </c>
      <c r="K2357" s="22">
        <v>0.0</v>
      </c>
      <c r="L2357" s="22">
        <v>175.555</v>
      </c>
      <c r="M2357" s="22">
        <v>237.252</v>
      </c>
      <c r="N2357" s="22">
        <v>185.44</v>
      </c>
      <c r="O2357" s="24">
        <v>23.4</v>
      </c>
      <c r="P2357" s="18">
        <f t="shared" si="1"/>
        <v>175.555</v>
      </c>
    </row>
    <row r="2358" ht="15.75" customHeight="1">
      <c r="A2358" s="13" t="s">
        <v>232</v>
      </c>
      <c r="B2358" s="13" t="s">
        <v>22</v>
      </c>
      <c r="C2358" s="14" t="s">
        <v>30</v>
      </c>
      <c r="D2358" s="14" t="str">
        <f>VLOOKUP(C2358,'State Key'!$A$2:$B$210,2,False)</f>
        <v>West Bengal</v>
      </c>
      <c r="E2358" s="15">
        <v>550.0</v>
      </c>
      <c r="F2358" s="16">
        <v>88.344</v>
      </c>
      <c r="G2358" s="16">
        <v>0.0</v>
      </c>
      <c r="H2358" s="16">
        <v>90.763</v>
      </c>
      <c r="I2358" s="16">
        <v>0.0</v>
      </c>
      <c r="J2358" s="16">
        <v>0.0</v>
      </c>
      <c r="K2358" s="16">
        <v>0.0</v>
      </c>
      <c r="L2358" s="16">
        <v>179.107</v>
      </c>
      <c r="M2358" s="16">
        <v>219.791</v>
      </c>
      <c r="N2358" s="16">
        <v>71.96</v>
      </c>
      <c r="O2358" s="23">
        <v>9.8</v>
      </c>
      <c r="P2358" s="18">
        <f t="shared" si="1"/>
        <v>179.107</v>
      </c>
    </row>
    <row r="2359" ht="15.75" customHeight="1">
      <c r="A2359" s="19" t="s">
        <v>232</v>
      </c>
      <c r="B2359" s="19" t="s">
        <v>22</v>
      </c>
      <c r="C2359" s="20" t="s">
        <v>31</v>
      </c>
      <c r="D2359" s="14" t="str">
        <f>VLOOKUP(C2359,'State Key'!$A$2:$B$210,2,False)</f>
        <v>Odisha</v>
      </c>
      <c r="E2359" s="21">
        <v>1600.0</v>
      </c>
      <c r="F2359" s="22">
        <v>564.43</v>
      </c>
      <c r="G2359" s="22">
        <v>0.0</v>
      </c>
      <c r="H2359" s="22">
        <v>97.7</v>
      </c>
      <c r="I2359" s="22">
        <v>0.0</v>
      </c>
      <c r="J2359" s="22">
        <v>0.0</v>
      </c>
      <c r="K2359" s="22">
        <v>0.0</v>
      </c>
      <c r="L2359" s="22">
        <v>662.13</v>
      </c>
      <c r="M2359" s="22">
        <v>409.423</v>
      </c>
      <c r="N2359" s="22">
        <v>514.731</v>
      </c>
      <c r="O2359" s="24">
        <v>37.7</v>
      </c>
      <c r="P2359" s="18">
        <f t="shared" si="1"/>
        <v>662.13</v>
      </c>
    </row>
    <row r="2360" ht="15.75" customHeight="1">
      <c r="A2360" s="13" t="s">
        <v>232</v>
      </c>
      <c r="B2360" s="13" t="s">
        <v>22</v>
      </c>
      <c r="C2360" s="14" t="s">
        <v>32</v>
      </c>
      <c r="D2360" s="14" t="str">
        <f>VLOOKUP(C2360,'State Key'!$A$2:$B$210,2,False)</f>
        <v>Odisha</v>
      </c>
      <c r="E2360" s="15">
        <v>1200.0</v>
      </c>
      <c r="F2360" s="16">
        <v>230.165</v>
      </c>
      <c r="G2360" s="16">
        <v>0.0</v>
      </c>
      <c r="H2360" s="16">
        <v>0.0</v>
      </c>
      <c r="I2360" s="16">
        <v>288.979</v>
      </c>
      <c r="J2360" s="16">
        <v>0.0</v>
      </c>
      <c r="K2360" s="16">
        <v>0.0</v>
      </c>
      <c r="L2360" s="16">
        <v>519.144</v>
      </c>
      <c r="M2360" s="16">
        <v>581.238</v>
      </c>
      <c r="N2360" s="16">
        <v>1307.27</v>
      </c>
      <c r="O2360" s="24">
        <v>67.5</v>
      </c>
      <c r="P2360" s="18">
        <f t="shared" si="1"/>
        <v>519.144</v>
      </c>
    </row>
    <row r="2361" ht="15.75" customHeight="1">
      <c r="A2361" s="19" t="s">
        <v>232</v>
      </c>
      <c r="B2361" s="19" t="s">
        <v>22</v>
      </c>
      <c r="C2361" s="20" t="s">
        <v>33</v>
      </c>
      <c r="D2361" s="14" t="str">
        <f>VLOOKUP(C2361,'State Key'!$A$2:$B$210,2,False)</f>
        <v>West Bengal</v>
      </c>
      <c r="E2361" s="21">
        <v>12.0</v>
      </c>
      <c r="F2361" s="22">
        <v>4.0</v>
      </c>
      <c r="G2361" s="22">
        <v>0.0</v>
      </c>
      <c r="H2361" s="22">
        <v>0.0</v>
      </c>
      <c r="I2361" s="22">
        <v>0.0</v>
      </c>
      <c r="J2361" s="22">
        <v>0.0</v>
      </c>
      <c r="K2361" s="22">
        <v>0.0</v>
      </c>
      <c r="L2361" s="22">
        <v>4.0</v>
      </c>
      <c r="M2361" s="22">
        <v>1.3</v>
      </c>
      <c r="N2361" s="22">
        <v>6.5</v>
      </c>
      <c r="O2361" s="24">
        <v>150.0</v>
      </c>
      <c r="P2361" s="18">
        <f t="shared" si="1"/>
        <v>4</v>
      </c>
    </row>
    <row r="2362" ht="15.75" customHeight="1">
      <c r="A2362" s="13" t="s">
        <v>232</v>
      </c>
      <c r="B2362" s="13" t="s">
        <v>22</v>
      </c>
      <c r="C2362" s="14" t="s">
        <v>34</v>
      </c>
      <c r="D2362" s="14" t="str">
        <f>VLOOKUP(C2362,'State Key'!$A$2:$B$210,2,False)</f>
        <v>West Bengal</v>
      </c>
      <c r="E2362" s="15">
        <v>1000.0</v>
      </c>
      <c r="F2362" s="16">
        <v>369.599</v>
      </c>
      <c r="G2362" s="16">
        <v>0.0</v>
      </c>
      <c r="H2362" s="16">
        <v>11.047</v>
      </c>
      <c r="I2362" s="16">
        <v>0.0</v>
      </c>
      <c r="J2362" s="16">
        <v>7.548</v>
      </c>
      <c r="K2362" s="16">
        <v>0.0</v>
      </c>
      <c r="L2362" s="16">
        <v>388.194</v>
      </c>
      <c r="M2362" s="16">
        <v>359.755</v>
      </c>
      <c r="N2362" s="16">
        <v>360.74</v>
      </c>
      <c r="O2362" s="24">
        <v>30.1</v>
      </c>
      <c r="P2362" s="18">
        <f t="shared" si="1"/>
        <v>388.194</v>
      </c>
    </row>
    <row r="2363" ht="15.75" customHeight="1">
      <c r="A2363" s="19" t="s">
        <v>232</v>
      </c>
      <c r="B2363" s="19" t="s">
        <v>22</v>
      </c>
      <c r="C2363" s="20" t="s">
        <v>35</v>
      </c>
      <c r="D2363" s="14" t="str">
        <f>VLOOKUP(C2363,'State Key'!$A$2:$B$210,2,False)</f>
        <v>West Bengal</v>
      </c>
      <c r="E2363" s="21">
        <v>2100.0</v>
      </c>
      <c r="F2363" s="22">
        <v>623.8</v>
      </c>
      <c r="G2363" s="22">
        <v>0.0</v>
      </c>
      <c r="H2363" s="22">
        <v>0.0</v>
      </c>
      <c r="I2363" s="22">
        <v>0.0</v>
      </c>
      <c r="J2363" s="22">
        <v>0.0</v>
      </c>
      <c r="K2363" s="22">
        <v>0.0</v>
      </c>
      <c r="L2363" s="22">
        <v>623.8</v>
      </c>
      <c r="M2363" s="22">
        <v>743.696</v>
      </c>
      <c r="N2363" s="22">
        <v>705.057</v>
      </c>
      <c r="O2363" s="24">
        <v>28.4</v>
      </c>
      <c r="P2363" s="18">
        <f t="shared" si="1"/>
        <v>623.8</v>
      </c>
    </row>
    <row r="2364" ht="15.75" customHeight="1">
      <c r="A2364" s="13" t="s">
        <v>232</v>
      </c>
      <c r="B2364" s="13" t="s">
        <v>22</v>
      </c>
      <c r="C2364" s="14" t="s">
        <v>36</v>
      </c>
      <c r="D2364" s="14" t="str">
        <f>VLOOKUP(C2364,'State Key'!$A$2:$B$210,2,False)</f>
        <v>West Bengal</v>
      </c>
      <c r="E2364" s="15">
        <v>600.0</v>
      </c>
      <c r="F2364" s="16">
        <v>249.366</v>
      </c>
      <c r="G2364" s="16">
        <v>0.0</v>
      </c>
      <c r="H2364" s="16">
        <v>0.0</v>
      </c>
      <c r="I2364" s="16">
        <v>0.0</v>
      </c>
      <c r="J2364" s="16">
        <v>0.0</v>
      </c>
      <c r="K2364" s="16">
        <v>0.0</v>
      </c>
      <c r="L2364" s="16">
        <v>249.366</v>
      </c>
      <c r="M2364" s="16">
        <v>239.014</v>
      </c>
      <c r="N2364" s="16">
        <v>255.46</v>
      </c>
      <c r="O2364" s="24">
        <v>32.1</v>
      </c>
      <c r="P2364" s="18">
        <f t="shared" si="1"/>
        <v>249.366</v>
      </c>
    </row>
    <row r="2365" ht="15.75" customHeight="1">
      <c r="A2365" s="19" t="s">
        <v>232</v>
      </c>
      <c r="B2365" s="19" t="s">
        <v>22</v>
      </c>
      <c r="C2365" s="20" t="s">
        <v>37</v>
      </c>
      <c r="D2365" s="14" t="str">
        <f>VLOOKUP(C2365,'State Key'!$A$2:$B$210,2,False)</f>
        <v>West Bengal</v>
      </c>
      <c r="E2365" s="21">
        <v>300.0</v>
      </c>
      <c r="F2365" s="22">
        <v>164.068</v>
      </c>
      <c r="G2365" s="22">
        <v>0.0</v>
      </c>
      <c r="H2365" s="22">
        <v>0.0</v>
      </c>
      <c r="I2365" s="22">
        <v>0.0</v>
      </c>
      <c r="J2365" s="22">
        <v>0.0</v>
      </c>
      <c r="K2365" s="22">
        <v>0.0</v>
      </c>
      <c r="L2365" s="22">
        <v>164.068</v>
      </c>
      <c r="M2365" s="22">
        <v>147.272</v>
      </c>
      <c r="N2365" s="22">
        <v>30.98</v>
      </c>
      <c r="O2365" s="17">
        <v>6.3</v>
      </c>
      <c r="P2365" s="18">
        <f t="shared" si="1"/>
        <v>164.068</v>
      </c>
    </row>
    <row r="2366" ht="15.75" customHeight="1">
      <c r="A2366" s="13" t="s">
        <v>232</v>
      </c>
      <c r="B2366" s="13" t="s">
        <v>22</v>
      </c>
      <c r="C2366" s="14" t="s">
        <v>38</v>
      </c>
      <c r="D2366" s="14" t="str">
        <f>VLOOKUP(C2366,'State Key'!$A$2:$B$210,2,False)</f>
        <v>Odisha</v>
      </c>
      <c r="E2366" s="15">
        <v>1740.0</v>
      </c>
      <c r="F2366" s="16">
        <v>198.889</v>
      </c>
      <c r="G2366" s="16">
        <v>0.0</v>
      </c>
      <c r="H2366" s="16">
        <v>578.0</v>
      </c>
      <c r="I2366" s="16">
        <v>0.0</v>
      </c>
      <c r="J2366" s="16">
        <v>0.0</v>
      </c>
      <c r="K2366" s="16">
        <v>0.0</v>
      </c>
      <c r="L2366" s="16">
        <v>776.889</v>
      </c>
      <c r="M2366" s="16">
        <v>816.655</v>
      </c>
      <c r="N2366" s="16">
        <v>289.21</v>
      </c>
      <c r="O2366" s="23">
        <v>10.6</v>
      </c>
      <c r="P2366" s="18">
        <f t="shared" si="1"/>
        <v>776.889</v>
      </c>
    </row>
    <row r="2367" ht="15.75" customHeight="1">
      <c r="A2367" s="19" t="s">
        <v>232</v>
      </c>
      <c r="B2367" s="19" t="s">
        <v>22</v>
      </c>
      <c r="C2367" s="20" t="s">
        <v>39</v>
      </c>
      <c r="D2367" s="14" t="str">
        <f>VLOOKUP(C2367,'State Key'!$A$2:$B$210,2,False)</f>
        <v>Jharkhand</v>
      </c>
      <c r="E2367" s="21">
        <v>240.0</v>
      </c>
      <c r="F2367" s="22">
        <v>85.48</v>
      </c>
      <c r="G2367" s="22">
        <v>0.0</v>
      </c>
      <c r="H2367" s="22">
        <v>0.0</v>
      </c>
      <c r="I2367" s="22">
        <v>19.2</v>
      </c>
      <c r="J2367" s="22">
        <v>0.0</v>
      </c>
      <c r="K2367" s="22">
        <v>58.662</v>
      </c>
      <c r="L2367" s="22">
        <v>163.342</v>
      </c>
      <c r="M2367" s="22">
        <v>95.293</v>
      </c>
      <c r="N2367" s="22">
        <v>142.04</v>
      </c>
      <c r="O2367" s="24">
        <v>44.7</v>
      </c>
      <c r="P2367" s="18">
        <f t="shared" si="1"/>
        <v>163.342</v>
      </c>
    </row>
    <row r="2368" ht="15.75" customHeight="1">
      <c r="A2368" s="13" t="s">
        <v>232</v>
      </c>
      <c r="B2368" s="13" t="s">
        <v>22</v>
      </c>
      <c r="C2368" s="14" t="s">
        <v>40</v>
      </c>
      <c r="D2368" s="14" t="str">
        <f>VLOOKUP(C2368,'State Key'!$A$2:$B$210,2,False)</f>
        <v>Bihar</v>
      </c>
      <c r="E2368" s="15">
        <v>2340.0</v>
      </c>
      <c r="F2368" s="16">
        <v>1232.7</v>
      </c>
      <c r="G2368" s="16">
        <v>0.0</v>
      </c>
      <c r="H2368" s="16">
        <v>11.79</v>
      </c>
      <c r="I2368" s="16">
        <v>0.0</v>
      </c>
      <c r="J2368" s="16">
        <v>0.0</v>
      </c>
      <c r="K2368" s="16">
        <v>0.0</v>
      </c>
      <c r="L2368" s="16">
        <v>1244.49</v>
      </c>
      <c r="M2368" s="16">
        <v>1237.443</v>
      </c>
      <c r="N2368" s="16">
        <v>683.73</v>
      </c>
      <c r="O2368" s="24">
        <v>16.6</v>
      </c>
      <c r="P2368" s="18">
        <f t="shared" si="1"/>
        <v>1244.49</v>
      </c>
    </row>
    <row r="2369" ht="15.75" customHeight="1">
      <c r="A2369" s="19" t="s">
        <v>232</v>
      </c>
      <c r="B2369" s="19" t="s">
        <v>22</v>
      </c>
      <c r="C2369" s="20" t="s">
        <v>41</v>
      </c>
      <c r="D2369" s="14" t="str">
        <f>VLOOKUP(C2369,'State Key'!$A$2:$B$210,2,False)</f>
        <v>Odisha</v>
      </c>
      <c r="E2369" s="21">
        <v>1050.0</v>
      </c>
      <c r="F2369" s="22">
        <v>357.565</v>
      </c>
      <c r="G2369" s="22">
        <v>0.0</v>
      </c>
      <c r="H2369" s="22">
        <v>0.0</v>
      </c>
      <c r="I2369" s="22">
        <v>177.523</v>
      </c>
      <c r="J2369" s="22">
        <v>0.0</v>
      </c>
      <c r="K2369" s="22">
        <v>0.0</v>
      </c>
      <c r="L2369" s="22">
        <v>535.088</v>
      </c>
      <c r="M2369" s="22">
        <v>549.64</v>
      </c>
      <c r="N2369" s="22">
        <v>102.28</v>
      </c>
      <c r="O2369" s="17">
        <v>5.6</v>
      </c>
      <c r="P2369" s="18">
        <f t="shared" si="1"/>
        <v>535.088</v>
      </c>
    </row>
    <row r="2370" ht="15.75" customHeight="1">
      <c r="A2370" s="13" t="s">
        <v>232</v>
      </c>
      <c r="B2370" s="13" t="s">
        <v>22</v>
      </c>
      <c r="C2370" s="14" t="s">
        <v>42</v>
      </c>
      <c r="D2370" s="14" t="str">
        <f>VLOOKUP(C2370,'State Key'!$A$2:$B$210,2,False)</f>
        <v>Jharkhand</v>
      </c>
      <c r="E2370" s="15">
        <v>1000.0</v>
      </c>
      <c r="F2370" s="16">
        <v>353.691</v>
      </c>
      <c r="G2370" s="16">
        <v>0.0</v>
      </c>
      <c r="H2370" s="16">
        <v>18.027</v>
      </c>
      <c r="I2370" s="16">
        <v>0.0</v>
      </c>
      <c r="J2370" s="16">
        <v>0.0</v>
      </c>
      <c r="K2370" s="16">
        <v>0.0</v>
      </c>
      <c r="L2370" s="16">
        <v>371.718</v>
      </c>
      <c r="M2370" s="16">
        <v>415.587</v>
      </c>
      <c r="N2370" s="16">
        <v>332.84</v>
      </c>
      <c r="O2370" s="24">
        <v>24.0</v>
      </c>
      <c r="P2370" s="18">
        <f t="shared" si="1"/>
        <v>371.718</v>
      </c>
    </row>
    <row r="2371" ht="15.75" customHeight="1">
      <c r="A2371" s="19" t="s">
        <v>232</v>
      </c>
      <c r="B2371" s="19" t="s">
        <v>22</v>
      </c>
      <c r="C2371" s="20" t="s">
        <v>43</v>
      </c>
      <c r="D2371" s="14" t="str">
        <f>VLOOKUP(C2371,'State Key'!$A$2:$B$210,2,False)</f>
        <v>West Bengal</v>
      </c>
      <c r="E2371" s="21">
        <v>840.0</v>
      </c>
      <c r="F2371" s="22">
        <v>0.0</v>
      </c>
      <c r="G2371" s="22">
        <v>0.0</v>
      </c>
      <c r="H2371" s="22">
        <v>376.613</v>
      </c>
      <c r="I2371" s="22">
        <v>0.0</v>
      </c>
      <c r="J2371" s="22">
        <v>0.0</v>
      </c>
      <c r="K2371" s="22">
        <v>0.0</v>
      </c>
      <c r="L2371" s="22">
        <v>376.613</v>
      </c>
      <c r="M2371" s="22">
        <v>352.732</v>
      </c>
      <c r="N2371" s="22">
        <v>96.08</v>
      </c>
      <c r="O2371" s="23">
        <v>8.2</v>
      </c>
      <c r="P2371" s="18">
        <f t="shared" si="1"/>
        <v>376.613</v>
      </c>
    </row>
    <row r="2372" ht="15.75" customHeight="1">
      <c r="A2372" s="13" t="s">
        <v>232</v>
      </c>
      <c r="B2372" s="13" t="s">
        <v>22</v>
      </c>
      <c r="C2372" s="14" t="s">
        <v>44</v>
      </c>
      <c r="D2372" s="14" t="str">
        <f>VLOOKUP(C2372,'State Key'!$A$2:$B$210,2,False)</f>
        <v>Jharkhand</v>
      </c>
      <c r="E2372" s="15">
        <v>540.0</v>
      </c>
      <c r="F2372" s="16">
        <v>186.904</v>
      </c>
      <c r="G2372" s="16">
        <v>0.0</v>
      </c>
      <c r="H2372" s="16">
        <v>0.0</v>
      </c>
      <c r="I2372" s="16">
        <v>0.0</v>
      </c>
      <c r="J2372" s="16">
        <v>0.0</v>
      </c>
      <c r="K2372" s="16">
        <v>91.604</v>
      </c>
      <c r="L2372" s="16">
        <v>278.508</v>
      </c>
      <c r="M2372" s="16">
        <v>261.647</v>
      </c>
      <c r="N2372" s="16">
        <v>47.17</v>
      </c>
      <c r="O2372" s="17">
        <v>5.4</v>
      </c>
      <c r="P2372" s="18">
        <f t="shared" si="1"/>
        <v>278.508</v>
      </c>
    </row>
    <row r="2373" ht="15.75" customHeight="1">
      <c r="A2373" s="19" t="s">
        <v>232</v>
      </c>
      <c r="B2373" s="19" t="s">
        <v>22</v>
      </c>
      <c r="C2373" s="20" t="s">
        <v>45</v>
      </c>
      <c r="D2373" s="14" t="str">
        <f>VLOOKUP(C2373,'State Key'!$A$2:$B$210,2,False)</f>
        <v>Jharkhand</v>
      </c>
      <c r="E2373" s="21">
        <v>1050.0</v>
      </c>
      <c r="F2373" s="22">
        <v>505.527</v>
      </c>
      <c r="G2373" s="22">
        <v>0.0</v>
      </c>
      <c r="H2373" s="22">
        <v>0.0</v>
      </c>
      <c r="I2373" s="22">
        <v>0.0</v>
      </c>
      <c r="J2373" s="22">
        <v>0.0</v>
      </c>
      <c r="K2373" s="22">
        <v>0.0</v>
      </c>
      <c r="L2373" s="22">
        <v>505.527</v>
      </c>
      <c r="M2373" s="22">
        <v>407.858</v>
      </c>
      <c r="N2373" s="22">
        <v>476.34</v>
      </c>
      <c r="O2373" s="24">
        <v>35.0</v>
      </c>
      <c r="P2373" s="18">
        <f t="shared" si="1"/>
        <v>505.527</v>
      </c>
    </row>
    <row r="2374" ht="15.75" customHeight="1">
      <c r="A2374" s="13" t="s">
        <v>232</v>
      </c>
      <c r="B2374" s="13" t="s">
        <v>22</v>
      </c>
      <c r="C2374" s="14" t="s">
        <v>46</v>
      </c>
      <c r="D2374" s="14" t="str">
        <f>VLOOKUP(C2374,'State Key'!$A$2:$B$210,2,False)</f>
        <v>West Bengal</v>
      </c>
      <c r="E2374" s="15">
        <v>2340.0</v>
      </c>
      <c r="F2374" s="16">
        <v>898.19</v>
      </c>
      <c r="G2374" s="16">
        <v>0.0</v>
      </c>
      <c r="H2374" s="16">
        <v>100.943</v>
      </c>
      <c r="I2374" s="16">
        <v>0.0</v>
      </c>
      <c r="J2374" s="16">
        <v>6.31</v>
      </c>
      <c r="K2374" s="16">
        <v>35.195</v>
      </c>
      <c r="L2374" s="16">
        <v>1040.638</v>
      </c>
      <c r="M2374" s="16">
        <v>1023.873</v>
      </c>
      <c r="N2374" s="16">
        <v>385.02</v>
      </c>
      <c r="O2374" s="23">
        <v>11.3</v>
      </c>
      <c r="P2374" s="18">
        <f t="shared" si="1"/>
        <v>1040.638</v>
      </c>
    </row>
    <row r="2375" ht="15.75" customHeight="1">
      <c r="A2375" s="19" t="s">
        <v>232</v>
      </c>
      <c r="B2375" s="19" t="s">
        <v>22</v>
      </c>
      <c r="C2375" s="20" t="s">
        <v>47</v>
      </c>
      <c r="D2375" s="14" t="str">
        <f>VLOOKUP(C2375,'State Key'!$A$2:$B$210,2,False)</f>
        <v>Bihar</v>
      </c>
      <c r="E2375" s="21">
        <v>390.0</v>
      </c>
      <c r="F2375" s="22">
        <v>3.917</v>
      </c>
      <c r="G2375" s="22">
        <v>0.0</v>
      </c>
      <c r="H2375" s="22">
        <v>150.029</v>
      </c>
      <c r="I2375" s="22">
        <v>0.0</v>
      </c>
      <c r="J2375" s="22">
        <v>0.0</v>
      </c>
      <c r="K2375" s="22">
        <v>0.0</v>
      </c>
      <c r="L2375" s="22">
        <v>153.946</v>
      </c>
      <c r="M2375" s="22">
        <v>147.854</v>
      </c>
      <c r="N2375" s="22">
        <v>143.37</v>
      </c>
      <c r="O2375" s="24">
        <v>29.1</v>
      </c>
      <c r="P2375" s="18">
        <f t="shared" si="1"/>
        <v>153.946</v>
      </c>
    </row>
    <row r="2376" ht="15.75" customHeight="1">
      <c r="A2376" s="13" t="s">
        <v>232</v>
      </c>
      <c r="B2376" s="13" t="s">
        <v>22</v>
      </c>
      <c r="C2376" s="14" t="s">
        <v>48</v>
      </c>
      <c r="D2376" s="14" t="str">
        <f>VLOOKUP(C2376,'State Key'!$A$2:$B$210,2,False)</f>
        <v>Bihar</v>
      </c>
      <c r="E2376" s="15">
        <v>1980.0</v>
      </c>
      <c r="F2376" s="16">
        <v>793.7</v>
      </c>
      <c r="G2376" s="16">
        <v>0.0</v>
      </c>
      <c r="H2376" s="16">
        <v>53.58</v>
      </c>
      <c r="I2376" s="16">
        <v>0.0</v>
      </c>
      <c r="J2376" s="16">
        <v>53.73</v>
      </c>
      <c r="K2376" s="16">
        <v>0.0</v>
      </c>
      <c r="L2376" s="16">
        <v>901.01</v>
      </c>
      <c r="M2376" s="16">
        <v>756.72</v>
      </c>
      <c r="N2376" s="16">
        <v>994.855</v>
      </c>
      <c r="O2376" s="24">
        <v>39.4</v>
      </c>
      <c r="P2376" s="18">
        <f t="shared" si="1"/>
        <v>901.01</v>
      </c>
    </row>
    <row r="2377" ht="15.75" customHeight="1">
      <c r="A2377" s="19" t="s">
        <v>232</v>
      </c>
      <c r="B2377" s="19" t="s">
        <v>22</v>
      </c>
      <c r="C2377" s="20" t="s">
        <v>49</v>
      </c>
      <c r="D2377" s="14" t="str">
        <f>VLOOKUP(C2377,'State Key'!$A$2:$B$210,2,False)</f>
        <v>Bihar</v>
      </c>
      <c r="E2377" s="21">
        <v>1000.0</v>
      </c>
      <c r="F2377" s="22">
        <v>544.3123</v>
      </c>
      <c r="G2377" s="22">
        <v>0.0</v>
      </c>
      <c r="H2377" s="22">
        <v>0.0</v>
      </c>
      <c r="I2377" s="22">
        <v>0.0</v>
      </c>
      <c r="J2377" s="22">
        <v>0.0</v>
      </c>
      <c r="K2377" s="22">
        <v>0.0</v>
      </c>
      <c r="L2377" s="22">
        <v>544.3123</v>
      </c>
      <c r="M2377" s="22">
        <v>481.091</v>
      </c>
      <c r="N2377" s="22">
        <v>239.7</v>
      </c>
      <c r="O2377" s="24">
        <v>14.9</v>
      </c>
      <c r="P2377" s="18">
        <f t="shared" si="1"/>
        <v>544.3123</v>
      </c>
    </row>
    <row r="2378" ht="15.75" customHeight="1">
      <c r="A2378" s="13" t="s">
        <v>232</v>
      </c>
      <c r="B2378" s="13" t="s">
        <v>22</v>
      </c>
      <c r="C2378" s="14" t="s">
        <v>50</v>
      </c>
      <c r="D2378" s="14" t="str">
        <f>VLOOKUP(C2378,'State Key'!$A$2:$B$210,2,False)</f>
        <v>Jharkhand</v>
      </c>
      <c r="E2378" s="15">
        <v>1320.0</v>
      </c>
      <c r="F2378" s="16">
        <v>470.79</v>
      </c>
      <c r="G2378" s="16">
        <v>0.0</v>
      </c>
      <c r="H2378" s="16">
        <v>210.89</v>
      </c>
      <c r="I2378" s="16">
        <v>0.0</v>
      </c>
      <c r="J2378" s="16">
        <v>0.0</v>
      </c>
      <c r="K2378" s="16">
        <v>90.04</v>
      </c>
      <c r="L2378" s="16">
        <v>771.72</v>
      </c>
      <c r="M2378" s="16">
        <v>644.458</v>
      </c>
      <c r="N2378" s="16">
        <v>259.872</v>
      </c>
      <c r="O2378" s="23">
        <v>12.1</v>
      </c>
      <c r="P2378" s="18">
        <f t="shared" si="1"/>
        <v>771.72</v>
      </c>
    </row>
    <row r="2379" ht="15.75" customHeight="1">
      <c r="A2379" s="19" t="s">
        <v>232</v>
      </c>
      <c r="B2379" s="19" t="s">
        <v>22</v>
      </c>
      <c r="C2379" s="20" t="s">
        <v>51</v>
      </c>
      <c r="D2379" s="14" t="str">
        <f>VLOOKUP(C2379,'State Key'!$A$2:$B$210,2,False)</f>
        <v>West Bengal</v>
      </c>
      <c r="E2379" s="21">
        <v>1200.0</v>
      </c>
      <c r="F2379" s="22">
        <v>154.28</v>
      </c>
      <c r="G2379" s="22">
        <v>0.0</v>
      </c>
      <c r="H2379" s="22">
        <v>0.0</v>
      </c>
      <c r="I2379" s="22">
        <v>0.0</v>
      </c>
      <c r="J2379" s="22">
        <v>0.0</v>
      </c>
      <c r="K2379" s="22">
        <v>0.0</v>
      </c>
      <c r="L2379" s="22">
        <v>154.28</v>
      </c>
      <c r="M2379" s="22">
        <v>211.341</v>
      </c>
      <c r="N2379" s="22">
        <v>390.45</v>
      </c>
      <c r="O2379" s="24">
        <v>55.4</v>
      </c>
      <c r="P2379" s="18">
        <f t="shared" si="1"/>
        <v>154.28</v>
      </c>
    </row>
    <row r="2380" ht="15.75" customHeight="1">
      <c r="A2380" s="13" t="s">
        <v>232</v>
      </c>
      <c r="B2380" s="13" t="s">
        <v>22</v>
      </c>
      <c r="C2380" s="14" t="s">
        <v>52</v>
      </c>
      <c r="D2380" s="14" t="str">
        <f>VLOOKUP(C2380,'State Key'!$A$2:$B$210,2,False)</f>
        <v>West Bengal</v>
      </c>
      <c r="E2380" s="15">
        <v>1600.0</v>
      </c>
      <c r="F2380" s="16">
        <v>0.0</v>
      </c>
      <c r="G2380" s="16">
        <v>0.0</v>
      </c>
      <c r="H2380" s="16">
        <v>749.531</v>
      </c>
      <c r="I2380" s="16">
        <v>0.0</v>
      </c>
      <c r="J2380" s="16">
        <v>0.0</v>
      </c>
      <c r="K2380" s="16">
        <v>0.0</v>
      </c>
      <c r="L2380" s="16">
        <v>749.531</v>
      </c>
      <c r="M2380" s="16">
        <v>706.674</v>
      </c>
      <c r="N2380" s="16">
        <v>372.76</v>
      </c>
      <c r="O2380" s="24">
        <v>15.8</v>
      </c>
      <c r="P2380" s="18">
        <f t="shared" si="1"/>
        <v>749.531</v>
      </c>
    </row>
    <row r="2381" ht="15.75" customHeight="1">
      <c r="A2381" s="19" t="s">
        <v>232</v>
      </c>
      <c r="B2381" s="19" t="s">
        <v>22</v>
      </c>
      <c r="C2381" s="20" t="s">
        <v>53</v>
      </c>
      <c r="D2381" s="14" t="str">
        <f>VLOOKUP(C2381,'State Key'!$A$2:$B$210,2,False)</f>
        <v>West Bengal</v>
      </c>
      <c r="E2381" s="21">
        <v>500.0</v>
      </c>
      <c r="F2381" s="22">
        <v>0.0</v>
      </c>
      <c r="G2381" s="22">
        <v>0.0</v>
      </c>
      <c r="H2381" s="22">
        <v>222.127</v>
      </c>
      <c r="I2381" s="22">
        <v>0.0</v>
      </c>
      <c r="J2381" s="22">
        <v>0.0</v>
      </c>
      <c r="K2381" s="22">
        <v>0.0</v>
      </c>
      <c r="L2381" s="22">
        <v>222.127</v>
      </c>
      <c r="M2381" s="22">
        <v>226.3999</v>
      </c>
      <c r="N2381" s="22">
        <v>73.93</v>
      </c>
      <c r="O2381" s="23">
        <v>9.8</v>
      </c>
      <c r="P2381" s="18">
        <f t="shared" si="1"/>
        <v>222.127</v>
      </c>
    </row>
    <row r="2382" ht="15.75" customHeight="1">
      <c r="A2382" s="13" t="s">
        <v>232</v>
      </c>
      <c r="B2382" s="13" t="s">
        <v>22</v>
      </c>
      <c r="C2382" s="14" t="s">
        <v>54</v>
      </c>
      <c r="D2382" s="14" t="str">
        <f>VLOOKUP(C2382,'State Key'!$A$2:$B$210,2,False)</f>
        <v>West Bengal</v>
      </c>
      <c r="E2382" s="15">
        <v>135.0</v>
      </c>
      <c r="F2382" s="16">
        <v>23.125</v>
      </c>
      <c r="G2382" s="16">
        <v>0.0</v>
      </c>
      <c r="H2382" s="16">
        <v>0.0</v>
      </c>
      <c r="I2382" s="16">
        <v>23.952</v>
      </c>
      <c r="J2382" s="16">
        <v>0.0</v>
      </c>
      <c r="K2382" s="16">
        <v>0.0</v>
      </c>
      <c r="L2382" s="16">
        <v>47.077</v>
      </c>
      <c r="M2382" s="16">
        <v>56.59</v>
      </c>
      <c r="N2382" s="16">
        <v>55.51</v>
      </c>
      <c r="O2382" s="24">
        <v>29.4</v>
      </c>
      <c r="P2382" s="18">
        <f t="shared" si="1"/>
        <v>47.077</v>
      </c>
    </row>
    <row r="2383" ht="15.75" customHeight="1">
      <c r="A2383" s="19" t="s">
        <v>232</v>
      </c>
      <c r="B2383" s="19" t="s">
        <v>22</v>
      </c>
      <c r="C2383" s="20" t="s">
        <v>55</v>
      </c>
      <c r="D2383" s="14" t="str">
        <f>VLOOKUP(C2383,'State Key'!$A$2:$B$210,2,False)</f>
        <v>Odisha</v>
      </c>
      <c r="E2383" s="21">
        <v>3000.0</v>
      </c>
      <c r="F2383" s="22">
        <v>1255.41</v>
      </c>
      <c r="G2383" s="22">
        <v>0.0</v>
      </c>
      <c r="H2383" s="22">
        <v>109.44</v>
      </c>
      <c r="I2383" s="22">
        <v>0.0</v>
      </c>
      <c r="J2383" s="22">
        <v>0.0</v>
      </c>
      <c r="K2383" s="22">
        <v>0.0</v>
      </c>
      <c r="L2383" s="22">
        <v>1364.85</v>
      </c>
      <c r="M2383" s="22">
        <v>1486.898</v>
      </c>
      <c r="N2383" s="22">
        <v>350.323</v>
      </c>
      <c r="O2383" s="23">
        <v>7.1</v>
      </c>
      <c r="P2383" s="18">
        <f t="shared" si="1"/>
        <v>1364.85</v>
      </c>
    </row>
    <row r="2384" ht="15.75" customHeight="1">
      <c r="A2384" s="13" t="s">
        <v>232</v>
      </c>
      <c r="B2384" s="13" t="s">
        <v>22</v>
      </c>
      <c r="C2384" s="14" t="s">
        <v>56</v>
      </c>
      <c r="D2384" s="14" t="str">
        <f>VLOOKUP(C2384,'State Key'!$A$2:$B$210,2,False)</f>
        <v>Jharkhand</v>
      </c>
      <c r="E2384" s="15">
        <v>420.0</v>
      </c>
      <c r="F2384" s="16">
        <v>142.04</v>
      </c>
      <c r="G2384" s="16">
        <v>0.0</v>
      </c>
      <c r="H2384" s="16">
        <v>0.0</v>
      </c>
      <c r="I2384" s="16">
        <v>0.0</v>
      </c>
      <c r="J2384" s="16">
        <v>0.0</v>
      </c>
      <c r="K2384" s="16">
        <v>0.0</v>
      </c>
      <c r="L2384" s="16">
        <v>142.04</v>
      </c>
      <c r="M2384" s="16">
        <v>167.87</v>
      </c>
      <c r="N2384" s="16">
        <v>39.62</v>
      </c>
      <c r="O2384" s="23">
        <v>7.1</v>
      </c>
      <c r="P2384" s="18">
        <f t="shared" si="1"/>
        <v>142.04</v>
      </c>
    </row>
    <row r="2385" ht="15.75" customHeight="1">
      <c r="A2385" s="19" t="s">
        <v>232</v>
      </c>
      <c r="B2385" s="19" t="s">
        <v>22</v>
      </c>
      <c r="C2385" s="20" t="s">
        <v>57</v>
      </c>
      <c r="D2385" s="14" t="str">
        <f>VLOOKUP(C2385,'State Key'!$A$2:$B$210,2,False)</f>
        <v>West Bengal</v>
      </c>
      <c r="E2385" s="21">
        <v>240.0</v>
      </c>
      <c r="F2385" s="22">
        <v>0.0</v>
      </c>
      <c r="G2385" s="22">
        <v>0.0</v>
      </c>
      <c r="H2385" s="22">
        <v>0.0</v>
      </c>
      <c r="I2385" s="22">
        <v>0.0</v>
      </c>
      <c r="J2385" s="22">
        <v>0.0</v>
      </c>
      <c r="K2385" s="22">
        <v>0.0</v>
      </c>
      <c r="L2385" s="22">
        <v>0.0</v>
      </c>
      <c r="M2385" s="22">
        <v>0.0</v>
      </c>
      <c r="N2385" s="22">
        <v>0.0</v>
      </c>
      <c r="O2385" s="19" t="s">
        <v>58</v>
      </c>
      <c r="P2385" s="18">
        <f t="shared" si="1"/>
        <v>0</v>
      </c>
    </row>
    <row r="2386" ht="15.75" customHeight="1">
      <c r="A2386" s="13" t="s">
        <v>232</v>
      </c>
      <c r="B2386" s="13" t="s">
        <v>22</v>
      </c>
      <c r="C2386" s="14" t="s">
        <v>59</v>
      </c>
      <c r="D2386" s="14" t="str">
        <f>VLOOKUP(C2386,'State Key'!$A$2:$B$210,2,False)</f>
        <v>Odisha</v>
      </c>
      <c r="E2386" s="15">
        <v>350.0</v>
      </c>
      <c r="F2386" s="16">
        <v>29.7</v>
      </c>
      <c r="G2386" s="16">
        <v>0.0</v>
      </c>
      <c r="H2386" s="16">
        <v>0.0</v>
      </c>
      <c r="I2386" s="16">
        <v>0.0</v>
      </c>
      <c r="J2386" s="16">
        <v>0.0</v>
      </c>
      <c r="K2386" s="16">
        <v>0.0</v>
      </c>
      <c r="L2386" s="16">
        <v>29.7</v>
      </c>
      <c r="M2386" s="16">
        <v>19.85</v>
      </c>
      <c r="N2386" s="16">
        <v>9.85</v>
      </c>
      <c r="O2386" s="24">
        <v>14.9</v>
      </c>
      <c r="P2386" s="18">
        <f t="shared" si="1"/>
        <v>29.7</v>
      </c>
    </row>
    <row r="2387" ht="15.75" customHeight="1">
      <c r="A2387" s="19" t="s">
        <v>232</v>
      </c>
      <c r="B2387" s="19" t="s">
        <v>22</v>
      </c>
      <c r="C2387" s="20" t="s">
        <v>60</v>
      </c>
      <c r="D2387" s="14" t="str">
        <f>VLOOKUP(C2387,'State Key'!$A$2:$B$210,2,False)</f>
        <v>Odisha</v>
      </c>
      <c r="E2387" s="21">
        <v>600.0</v>
      </c>
      <c r="F2387" s="22">
        <v>258.76</v>
      </c>
      <c r="G2387" s="22">
        <v>0.0</v>
      </c>
      <c r="H2387" s="22">
        <v>0.0</v>
      </c>
      <c r="I2387" s="22">
        <v>0.0</v>
      </c>
      <c r="J2387" s="22">
        <v>0.0</v>
      </c>
      <c r="K2387" s="22">
        <v>0.0</v>
      </c>
      <c r="L2387" s="22">
        <v>258.76</v>
      </c>
      <c r="M2387" s="22">
        <v>230.95</v>
      </c>
      <c r="N2387" s="22">
        <v>117.57</v>
      </c>
      <c r="O2387" s="24">
        <v>15.3</v>
      </c>
      <c r="P2387" s="18">
        <f t="shared" si="1"/>
        <v>258.76</v>
      </c>
    </row>
    <row r="2388" ht="15.75" customHeight="1">
      <c r="A2388" s="13" t="s">
        <v>232</v>
      </c>
      <c r="B2388" s="13" t="s">
        <v>61</v>
      </c>
      <c r="C2388" s="14" t="s">
        <v>209</v>
      </c>
      <c r="D2388" s="14" t="str">
        <f>VLOOKUP(C2388,'State Key'!$A$2:$B$210,2,False)</f>
        <v>Rajasthan</v>
      </c>
      <c r="E2388" s="15">
        <v>1320.0</v>
      </c>
      <c r="F2388" s="16">
        <v>407.602</v>
      </c>
      <c r="G2388" s="16">
        <v>0.0</v>
      </c>
      <c r="H2388" s="16">
        <v>0.0</v>
      </c>
      <c r="I2388" s="16">
        <v>0.0</v>
      </c>
      <c r="J2388" s="16">
        <v>119.338</v>
      </c>
      <c r="K2388" s="16">
        <v>0.0</v>
      </c>
      <c r="L2388" s="16">
        <v>526.94</v>
      </c>
      <c r="M2388" s="16">
        <v>506.999</v>
      </c>
      <c r="N2388" s="16">
        <v>341.45</v>
      </c>
      <c r="O2388" s="24">
        <v>20.2</v>
      </c>
      <c r="P2388" s="18">
        <f t="shared" si="1"/>
        <v>526.94</v>
      </c>
    </row>
    <row r="2389" ht="15.75" customHeight="1">
      <c r="A2389" s="19" t="s">
        <v>232</v>
      </c>
      <c r="B2389" s="19" t="s">
        <v>61</v>
      </c>
      <c r="C2389" s="20" t="s">
        <v>62</v>
      </c>
      <c r="D2389" s="14" t="str">
        <f>VLOOKUP(C2389,'State Key'!$A$2:$B$210,2,False)</f>
        <v>Uttar Pradesh</v>
      </c>
      <c r="E2389" s="21">
        <v>1200.0</v>
      </c>
      <c r="F2389" s="22">
        <v>590.91</v>
      </c>
      <c r="G2389" s="22">
        <v>0.0</v>
      </c>
      <c r="H2389" s="22">
        <v>0.0</v>
      </c>
      <c r="I2389" s="22">
        <v>0.0</v>
      </c>
      <c r="J2389" s="22">
        <v>0.0</v>
      </c>
      <c r="K2389" s="22">
        <v>0.0</v>
      </c>
      <c r="L2389" s="22">
        <v>590.91</v>
      </c>
      <c r="M2389" s="22">
        <v>484.66</v>
      </c>
      <c r="N2389" s="22">
        <v>129.57</v>
      </c>
      <c r="O2389" s="23">
        <v>8.0</v>
      </c>
      <c r="P2389" s="18">
        <f t="shared" si="1"/>
        <v>590.91</v>
      </c>
    </row>
    <row r="2390" ht="15.75" customHeight="1">
      <c r="A2390" s="13" t="s">
        <v>232</v>
      </c>
      <c r="B2390" s="13" t="s">
        <v>61</v>
      </c>
      <c r="C2390" s="14" t="s">
        <v>63</v>
      </c>
      <c r="D2390" s="14" t="str">
        <f>VLOOKUP(C2390,'State Key'!$A$2:$B$210,2,False)</f>
        <v>Uttar Pradesh</v>
      </c>
      <c r="E2390" s="15">
        <v>2630.0</v>
      </c>
      <c r="F2390" s="16">
        <v>1136.208</v>
      </c>
      <c r="G2390" s="16">
        <v>0.0</v>
      </c>
      <c r="H2390" s="16">
        <v>0.0</v>
      </c>
      <c r="I2390" s="16">
        <v>0.0</v>
      </c>
      <c r="J2390" s="16">
        <v>0.0</v>
      </c>
      <c r="K2390" s="16">
        <v>0.0</v>
      </c>
      <c r="L2390" s="16">
        <v>1136.208</v>
      </c>
      <c r="M2390" s="16">
        <v>1161.793</v>
      </c>
      <c r="N2390" s="16">
        <v>508.68</v>
      </c>
      <c r="O2390" s="23">
        <v>13.1</v>
      </c>
      <c r="P2390" s="18">
        <f t="shared" si="1"/>
        <v>1136.208</v>
      </c>
    </row>
    <row r="2391" ht="15.75" customHeight="1">
      <c r="A2391" s="19" t="s">
        <v>232</v>
      </c>
      <c r="B2391" s="19" t="s">
        <v>61</v>
      </c>
      <c r="C2391" s="20" t="s">
        <v>64</v>
      </c>
      <c r="D2391" s="14" t="str">
        <f>VLOOKUP(C2391,'State Key'!$A$2:$B$210,2,False)</f>
        <v>Uttar Pradesh</v>
      </c>
      <c r="E2391" s="21">
        <v>90.0</v>
      </c>
      <c r="F2391" s="22">
        <v>8.09</v>
      </c>
      <c r="G2391" s="22">
        <v>0.0</v>
      </c>
      <c r="H2391" s="22">
        <v>0.0</v>
      </c>
      <c r="I2391" s="22">
        <v>0.0</v>
      </c>
      <c r="J2391" s="22">
        <v>0.0</v>
      </c>
      <c r="K2391" s="22">
        <v>0.0</v>
      </c>
      <c r="L2391" s="22">
        <v>8.09</v>
      </c>
      <c r="M2391" s="22">
        <v>36.149</v>
      </c>
      <c r="N2391" s="22">
        <v>78.69</v>
      </c>
      <c r="O2391" s="24">
        <v>65.3</v>
      </c>
      <c r="P2391" s="18">
        <f t="shared" si="1"/>
        <v>8.09</v>
      </c>
    </row>
    <row r="2392" ht="15.75" customHeight="1">
      <c r="A2392" s="13" t="s">
        <v>232</v>
      </c>
      <c r="B2392" s="13" t="s">
        <v>61</v>
      </c>
      <c r="C2392" s="14" t="s">
        <v>65</v>
      </c>
      <c r="D2392" s="14" t="str">
        <f>VLOOKUP(C2392,'State Key'!$A$2:$B$210,2,False)</f>
        <v>Rajasthan</v>
      </c>
      <c r="E2392" s="15">
        <v>500.0</v>
      </c>
      <c r="F2392" s="16">
        <v>174.38</v>
      </c>
      <c r="G2392" s="16">
        <v>0.0</v>
      </c>
      <c r="H2392" s="16">
        <v>0.0</v>
      </c>
      <c r="I2392" s="16">
        <v>0.0</v>
      </c>
      <c r="J2392" s="16">
        <v>0.0</v>
      </c>
      <c r="K2392" s="16">
        <v>0.0</v>
      </c>
      <c r="L2392" s="16">
        <v>174.38</v>
      </c>
      <c r="M2392" s="16">
        <v>217.97</v>
      </c>
      <c r="N2392" s="16">
        <v>36.98</v>
      </c>
      <c r="O2392" s="17">
        <v>5.1</v>
      </c>
      <c r="P2392" s="18">
        <f t="shared" si="1"/>
        <v>174.38</v>
      </c>
    </row>
    <row r="2393" ht="15.75" customHeight="1">
      <c r="A2393" s="19" t="s">
        <v>232</v>
      </c>
      <c r="B2393" s="19" t="s">
        <v>61</v>
      </c>
      <c r="C2393" s="20" t="s">
        <v>66</v>
      </c>
      <c r="D2393" s="14" t="str">
        <f>VLOOKUP(C2393,'State Key'!$A$2:$B$210,2,False)</f>
        <v>Rajasthan</v>
      </c>
      <c r="E2393" s="21">
        <v>500.0</v>
      </c>
      <c r="F2393" s="22">
        <v>181.1</v>
      </c>
      <c r="G2393" s="22">
        <v>0.0</v>
      </c>
      <c r="H2393" s="22">
        <v>3.98</v>
      </c>
      <c r="I2393" s="22">
        <v>0.0</v>
      </c>
      <c r="J2393" s="22">
        <v>0.0</v>
      </c>
      <c r="K2393" s="22">
        <v>0.0</v>
      </c>
      <c r="L2393" s="22">
        <v>185.08</v>
      </c>
      <c r="M2393" s="22">
        <v>226.38</v>
      </c>
      <c r="N2393" s="22">
        <v>32.23</v>
      </c>
      <c r="O2393" s="17">
        <v>4.3</v>
      </c>
      <c r="P2393" s="18">
        <f t="shared" si="1"/>
        <v>185.08</v>
      </c>
    </row>
    <row r="2394" ht="15.75" customHeight="1">
      <c r="A2394" s="13" t="s">
        <v>232</v>
      </c>
      <c r="B2394" s="13" t="s">
        <v>61</v>
      </c>
      <c r="C2394" s="14" t="s">
        <v>67</v>
      </c>
      <c r="D2394" s="14" t="str">
        <f>VLOOKUP(C2394,'State Key'!$A$2:$B$210,2,False)</f>
        <v>Rajasthan</v>
      </c>
      <c r="E2394" s="15">
        <v>1320.0</v>
      </c>
      <c r="F2394" s="16">
        <v>88.71012</v>
      </c>
      <c r="G2394" s="16">
        <v>0.0</v>
      </c>
      <c r="H2394" s="16">
        <v>429.5993</v>
      </c>
      <c r="I2394" s="16">
        <v>0.0</v>
      </c>
      <c r="J2394" s="16">
        <v>0.0</v>
      </c>
      <c r="K2394" s="16">
        <v>0.0</v>
      </c>
      <c r="L2394" s="16">
        <v>518.30942</v>
      </c>
      <c r="M2394" s="16">
        <v>430.8063</v>
      </c>
      <c r="N2394" s="16">
        <v>177.86</v>
      </c>
      <c r="O2394" s="23">
        <v>12.4</v>
      </c>
      <c r="P2394" s="18">
        <f t="shared" si="1"/>
        <v>518.30942</v>
      </c>
    </row>
    <row r="2395" ht="15.75" customHeight="1">
      <c r="A2395" s="19" t="s">
        <v>232</v>
      </c>
      <c r="B2395" s="19" t="s">
        <v>61</v>
      </c>
      <c r="C2395" s="20" t="s">
        <v>68</v>
      </c>
      <c r="D2395" s="14" t="str">
        <f>VLOOKUP(C2395,'State Key'!$A$2:$B$210,2,False)</f>
        <v>Uttar Pradesh</v>
      </c>
      <c r="E2395" s="21">
        <v>1820.0</v>
      </c>
      <c r="F2395" s="22">
        <v>560.87</v>
      </c>
      <c r="G2395" s="22">
        <v>0.0</v>
      </c>
      <c r="H2395" s="22">
        <v>70.72</v>
      </c>
      <c r="I2395" s="22">
        <v>0.0</v>
      </c>
      <c r="J2395" s="22">
        <v>23.86</v>
      </c>
      <c r="K2395" s="22">
        <v>0.0</v>
      </c>
      <c r="L2395" s="22">
        <v>655.45</v>
      </c>
      <c r="M2395" s="22">
        <v>612.588</v>
      </c>
      <c r="N2395" s="22">
        <v>857.654</v>
      </c>
      <c r="O2395" s="24">
        <v>42.0</v>
      </c>
      <c r="P2395" s="18">
        <f t="shared" si="1"/>
        <v>655.45</v>
      </c>
    </row>
    <row r="2396" ht="15.75" customHeight="1">
      <c r="A2396" s="13" t="s">
        <v>232</v>
      </c>
      <c r="B2396" s="13" t="s">
        <v>61</v>
      </c>
      <c r="C2396" s="14" t="s">
        <v>69</v>
      </c>
      <c r="D2396" s="14" t="str">
        <f>VLOOKUP(C2396,'State Key'!$A$2:$B$210,2,False)</f>
        <v>Punjab</v>
      </c>
      <c r="E2396" s="15">
        <v>920.0</v>
      </c>
      <c r="F2396" s="16">
        <v>57.205</v>
      </c>
      <c r="G2396" s="16">
        <v>0.0</v>
      </c>
      <c r="H2396" s="16">
        <v>228.214</v>
      </c>
      <c r="I2396" s="16">
        <v>0.0</v>
      </c>
      <c r="J2396" s="16">
        <v>0.0</v>
      </c>
      <c r="K2396" s="16">
        <v>0.068</v>
      </c>
      <c r="L2396" s="16">
        <v>285.487</v>
      </c>
      <c r="M2396" s="16">
        <v>243.24</v>
      </c>
      <c r="N2396" s="16">
        <v>365.884</v>
      </c>
      <c r="O2396" s="24">
        <v>45.1</v>
      </c>
      <c r="P2396" s="18">
        <f t="shared" si="1"/>
        <v>285.487</v>
      </c>
    </row>
    <row r="2397" ht="15.75" customHeight="1">
      <c r="A2397" s="19" t="s">
        <v>232</v>
      </c>
      <c r="B2397" s="19" t="s">
        <v>61</v>
      </c>
      <c r="C2397" s="20" t="s">
        <v>70</v>
      </c>
      <c r="D2397" s="14" t="str">
        <f>VLOOKUP(C2397,'State Key'!$A$2:$B$210,2,False)</f>
        <v>Punjab</v>
      </c>
      <c r="E2397" s="21">
        <v>540.0</v>
      </c>
      <c r="F2397" s="22">
        <v>0.0</v>
      </c>
      <c r="G2397" s="22">
        <v>0.0</v>
      </c>
      <c r="H2397" s="22">
        <v>138.1044</v>
      </c>
      <c r="I2397" s="22">
        <v>0.0</v>
      </c>
      <c r="J2397" s="22">
        <v>0.0</v>
      </c>
      <c r="K2397" s="22">
        <v>0.0</v>
      </c>
      <c r="L2397" s="22">
        <v>138.1044</v>
      </c>
      <c r="M2397" s="22">
        <v>184.375</v>
      </c>
      <c r="N2397" s="22">
        <v>128.72</v>
      </c>
      <c r="O2397" s="24">
        <v>20.9</v>
      </c>
      <c r="P2397" s="18">
        <f t="shared" si="1"/>
        <v>138.1044</v>
      </c>
    </row>
    <row r="2398" ht="15.75" customHeight="1">
      <c r="A2398" s="13" t="s">
        <v>232</v>
      </c>
      <c r="B2398" s="13" t="s">
        <v>61</v>
      </c>
      <c r="C2398" s="14" t="s">
        <v>71</v>
      </c>
      <c r="D2398" s="14" t="str">
        <f>VLOOKUP(C2398,'State Key'!$A$2:$B$210,2,False)</f>
        <v>Uttar Pradesh</v>
      </c>
      <c r="E2398" s="15">
        <v>1265.0</v>
      </c>
      <c r="F2398" s="16">
        <v>465.432</v>
      </c>
      <c r="G2398" s="16">
        <v>0.0</v>
      </c>
      <c r="H2398" s="16">
        <v>0.0</v>
      </c>
      <c r="I2398" s="16">
        <v>0.0</v>
      </c>
      <c r="J2398" s="16">
        <v>0.0</v>
      </c>
      <c r="K2398" s="16">
        <v>0.0</v>
      </c>
      <c r="L2398" s="16">
        <v>465.432</v>
      </c>
      <c r="M2398" s="16">
        <v>407.964</v>
      </c>
      <c r="N2398" s="16">
        <v>652.69</v>
      </c>
      <c r="O2398" s="24">
        <v>48.0</v>
      </c>
      <c r="P2398" s="18">
        <f t="shared" si="1"/>
        <v>465.432</v>
      </c>
    </row>
    <row r="2399" ht="15.75" customHeight="1">
      <c r="A2399" s="19" t="s">
        <v>232</v>
      </c>
      <c r="B2399" s="19" t="s">
        <v>61</v>
      </c>
      <c r="C2399" s="20" t="s">
        <v>72</v>
      </c>
      <c r="D2399" s="14" t="str">
        <f>VLOOKUP(C2399,'State Key'!$A$2:$B$210,2,False)</f>
        <v>Haryana</v>
      </c>
      <c r="E2399" s="21">
        <v>1500.0</v>
      </c>
      <c r="F2399" s="22">
        <v>508.98433</v>
      </c>
      <c r="G2399" s="22">
        <v>0.0</v>
      </c>
      <c r="H2399" s="22">
        <v>0.0</v>
      </c>
      <c r="I2399" s="22">
        <v>0.0</v>
      </c>
      <c r="J2399" s="22">
        <v>43.013</v>
      </c>
      <c r="K2399" s="22">
        <v>0.0</v>
      </c>
      <c r="L2399" s="22">
        <v>551.99733</v>
      </c>
      <c r="M2399" s="22">
        <v>450.911</v>
      </c>
      <c r="N2399" s="22">
        <v>819.23</v>
      </c>
      <c r="O2399" s="24">
        <v>54.5</v>
      </c>
      <c r="P2399" s="18">
        <f t="shared" si="1"/>
        <v>551.99733</v>
      </c>
    </row>
    <row r="2400" ht="15.75" customHeight="1">
      <c r="A2400" s="13" t="s">
        <v>232</v>
      </c>
      <c r="B2400" s="13" t="s">
        <v>61</v>
      </c>
      <c r="C2400" s="14" t="s">
        <v>226</v>
      </c>
      <c r="D2400" s="14" t="str">
        <f>VLOOKUP(C2400,'State Key'!$A$2:$B$210,2,False)</f>
        <v>Uttar Pradesh</v>
      </c>
      <c r="E2400" s="15">
        <v>660.0</v>
      </c>
      <c r="F2400" s="16">
        <v>98.586</v>
      </c>
      <c r="G2400" s="16">
        <v>0.0</v>
      </c>
      <c r="H2400" s="16">
        <v>0.0</v>
      </c>
      <c r="I2400" s="16">
        <v>0.0</v>
      </c>
      <c r="J2400" s="16">
        <v>0.0</v>
      </c>
      <c r="K2400" s="16">
        <v>0.0</v>
      </c>
      <c r="L2400" s="16">
        <v>98.586</v>
      </c>
      <c r="M2400" s="16">
        <v>107.0</v>
      </c>
      <c r="N2400" s="16">
        <v>28.54</v>
      </c>
      <c r="O2400" s="23">
        <v>8.0</v>
      </c>
      <c r="P2400" s="18">
        <f t="shared" si="1"/>
        <v>98.586</v>
      </c>
    </row>
    <row r="2401" ht="15.75" customHeight="1">
      <c r="A2401" s="19" t="s">
        <v>232</v>
      </c>
      <c r="B2401" s="19" t="s">
        <v>61</v>
      </c>
      <c r="C2401" s="20" t="s">
        <v>73</v>
      </c>
      <c r="D2401" s="14" t="str">
        <f>VLOOKUP(C2401,'State Key'!$A$2:$B$210,2,False)</f>
        <v>Rajasthan</v>
      </c>
      <c r="E2401" s="21">
        <v>1200.0</v>
      </c>
      <c r="F2401" s="22">
        <v>19.643</v>
      </c>
      <c r="G2401" s="22">
        <v>0.0</v>
      </c>
      <c r="H2401" s="22">
        <v>405.999</v>
      </c>
      <c r="I2401" s="22">
        <v>0.0</v>
      </c>
      <c r="J2401" s="22">
        <v>0.0</v>
      </c>
      <c r="K2401" s="22">
        <v>0.0</v>
      </c>
      <c r="L2401" s="22">
        <v>425.642</v>
      </c>
      <c r="M2401" s="22">
        <v>355.127</v>
      </c>
      <c r="N2401" s="22">
        <v>207.35</v>
      </c>
      <c r="O2401" s="24">
        <v>17.5</v>
      </c>
      <c r="P2401" s="18">
        <f t="shared" si="1"/>
        <v>425.642</v>
      </c>
    </row>
    <row r="2402" ht="15.75" customHeight="1">
      <c r="A2402" s="13" t="s">
        <v>232</v>
      </c>
      <c r="B2402" s="13" t="s">
        <v>61</v>
      </c>
      <c r="C2402" s="14" t="s">
        <v>75</v>
      </c>
      <c r="D2402" s="14" t="str">
        <f>VLOOKUP(C2402,'State Key'!$A$2:$B$210,2,False)</f>
        <v>Uttar Pradesh</v>
      </c>
      <c r="E2402" s="15">
        <v>90.0</v>
      </c>
      <c r="F2402" s="16">
        <v>15.46</v>
      </c>
      <c r="G2402" s="16">
        <v>0.0</v>
      </c>
      <c r="H2402" s="16">
        <v>0.0</v>
      </c>
      <c r="I2402" s="16">
        <v>0.0</v>
      </c>
      <c r="J2402" s="16">
        <v>0.0</v>
      </c>
      <c r="K2402" s="16">
        <v>0.0</v>
      </c>
      <c r="L2402" s="16">
        <v>15.46</v>
      </c>
      <c r="M2402" s="16">
        <v>38.37</v>
      </c>
      <c r="N2402" s="16">
        <v>73.4</v>
      </c>
      <c r="O2402" s="24">
        <v>57.4</v>
      </c>
      <c r="P2402" s="18">
        <f t="shared" si="1"/>
        <v>15.46</v>
      </c>
    </row>
    <row r="2403" ht="15.75" customHeight="1">
      <c r="A2403" s="19" t="s">
        <v>232</v>
      </c>
      <c r="B2403" s="19" t="s">
        <v>61</v>
      </c>
      <c r="C2403" s="20" t="s">
        <v>76</v>
      </c>
      <c r="D2403" s="14" t="str">
        <f>VLOOKUP(C2403,'State Key'!$A$2:$B$210,2,False)</f>
        <v>Rajasthan</v>
      </c>
      <c r="E2403" s="21">
        <v>1240.0</v>
      </c>
      <c r="F2403" s="22">
        <v>637.23093</v>
      </c>
      <c r="G2403" s="22">
        <v>0.0</v>
      </c>
      <c r="H2403" s="22">
        <v>0.0</v>
      </c>
      <c r="I2403" s="22">
        <v>0.0</v>
      </c>
      <c r="J2403" s="22">
        <v>0.0</v>
      </c>
      <c r="K2403" s="22">
        <v>20.4668</v>
      </c>
      <c r="L2403" s="22">
        <v>657.69773</v>
      </c>
      <c r="M2403" s="22">
        <v>607.687</v>
      </c>
      <c r="N2403" s="22">
        <v>176.33</v>
      </c>
      <c r="O2403" s="23">
        <v>8.7</v>
      </c>
      <c r="P2403" s="18">
        <f t="shared" si="1"/>
        <v>657.69773</v>
      </c>
    </row>
    <row r="2404" ht="15.75" customHeight="1">
      <c r="A2404" s="13" t="s">
        <v>232</v>
      </c>
      <c r="B2404" s="13" t="s">
        <v>61</v>
      </c>
      <c r="C2404" s="14" t="s">
        <v>77</v>
      </c>
      <c r="D2404" s="14" t="str">
        <f>VLOOKUP(C2404,'State Key'!$A$2:$B$210,2,False)</f>
        <v>Uttar Pradesh</v>
      </c>
      <c r="E2404" s="15">
        <v>90.0</v>
      </c>
      <c r="F2404" s="16">
        <v>38.811</v>
      </c>
      <c r="G2404" s="16">
        <v>0.0</v>
      </c>
      <c r="H2404" s="16">
        <v>0.0</v>
      </c>
      <c r="I2404" s="16">
        <v>0.0</v>
      </c>
      <c r="J2404" s="16">
        <v>0.0</v>
      </c>
      <c r="K2404" s="16">
        <v>0.0</v>
      </c>
      <c r="L2404" s="16">
        <v>38.811</v>
      </c>
      <c r="M2404" s="16">
        <v>37.516</v>
      </c>
      <c r="N2404" s="16">
        <v>61.89</v>
      </c>
      <c r="O2404" s="24">
        <v>49.5</v>
      </c>
      <c r="P2404" s="18">
        <f t="shared" si="1"/>
        <v>38.811</v>
      </c>
    </row>
    <row r="2405" ht="15.75" customHeight="1">
      <c r="A2405" s="19" t="s">
        <v>232</v>
      </c>
      <c r="B2405" s="19" t="s">
        <v>61</v>
      </c>
      <c r="C2405" s="20" t="s">
        <v>78</v>
      </c>
      <c r="D2405" s="14" t="str">
        <f>VLOOKUP(C2405,'State Key'!$A$2:$B$210,2,False)</f>
        <v>Uttar Pradesh</v>
      </c>
      <c r="E2405" s="21">
        <v>1980.0</v>
      </c>
      <c r="F2405" s="22">
        <v>701.349</v>
      </c>
      <c r="G2405" s="22">
        <v>0.0</v>
      </c>
      <c r="H2405" s="22">
        <v>0.0</v>
      </c>
      <c r="I2405" s="22">
        <v>0.0</v>
      </c>
      <c r="J2405" s="22">
        <v>0.0</v>
      </c>
      <c r="K2405" s="22">
        <v>0.0</v>
      </c>
      <c r="L2405" s="22">
        <v>701.349</v>
      </c>
      <c r="M2405" s="22">
        <v>765.285</v>
      </c>
      <c r="N2405" s="22">
        <v>535.62</v>
      </c>
      <c r="O2405" s="24">
        <v>21.0</v>
      </c>
      <c r="P2405" s="18">
        <f t="shared" si="1"/>
        <v>701.349</v>
      </c>
    </row>
    <row r="2406" ht="15.75" customHeight="1">
      <c r="A2406" s="13" t="s">
        <v>232</v>
      </c>
      <c r="B2406" s="13" t="s">
        <v>61</v>
      </c>
      <c r="C2406" s="14" t="s">
        <v>79</v>
      </c>
      <c r="D2406" s="14" t="str">
        <f>VLOOKUP(C2406,'State Key'!$A$2:$B$210,2,False)</f>
        <v>Haryana</v>
      </c>
      <c r="E2406" s="15">
        <v>1320.0</v>
      </c>
      <c r="F2406" s="16">
        <v>383.505</v>
      </c>
      <c r="G2406" s="16">
        <v>0.0</v>
      </c>
      <c r="H2406" s="16">
        <v>0.0</v>
      </c>
      <c r="I2406" s="16">
        <v>0.0</v>
      </c>
      <c r="J2406" s="16">
        <v>0.0</v>
      </c>
      <c r="K2406" s="16">
        <v>0.0</v>
      </c>
      <c r="L2406" s="16">
        <v>383.505</v>
      </c>
      <c r="M2406" s="16">
        <v>463.976</v>
      </c>
      <c r="N2406" s="16">
        <v>576.54</v>
      </c>
      <c r="O2406" s="24">
        <v>37.3</v>
      </c>
      <c r="P2406" s="18">
        <f t="shared" si="1"/>
        <v>383.505</v>
      </c>
    </row>
    <row r="2407" ht="15.75" customHeight="1">
      <c r="A2407" s="19" t="s">
        <v>232</v>
      </c>
      <c r="B2407" s="19" t="s">
        <v>61</v>
      </c>
      <c r="C2407" s="20" t="s">
        <v>80</v>
      </c>
      <c r="D2407" s="14" t="str">
        <f>VLOOKUP(C2407,'State Key'!$A$2:$B$210,2,False)</f>
        <v>Uttar Pradesh</v>
      </c>
      <c r="E2407" s="21">
        <v>90.0</v>
      </c>
      <c r="F2407" s="22">
        <v>15.949</v>
      </c>
      <c r="G2407" s="22">
        <v>0.0</v>
      </c>
      <c r="H2407" s="22">
        <v>0.0</v>
      </c>
      <c r="I2407" s="22">
        <v>0.0</v>
      </c>
      <c r="J2407" s="22">
        <v>0.0</v>
      </c>
      <c r="K2407" s="22">
        <v>0.0</v>
      </c>
      <c r="L2407" s="22">
        <v>15.949</v>
      </c>
      <c r="M2407" s="22">
        <v>37.992</v>
      </c>
      <c r="N2407" s="22">
        <v>58.11</v>
      </c>
      <c r="O2407" s="24">
        <v>45.9</v>
      </c>
      <c r="P2407" s="18">
        <f t="shared" si="1"/>
        <v>15.949</v>
      </c>
    </row>
    <row r="2408" ht="15.75" customHeight="1">
      <c r="A2408" s="13" t="s">
        <v>232</v>
      </c>
      <c r="B2408" s="13" t="s">
        <v>61</v>
      </c>
      <c r="C2408" s="14" t="s">
        <v>81</v>
      </c>
      <c r="D2408" s="14" t="str">
        <f>VLOOKUP(C2408,'State Key'!$A$2:$B$210,2,False)</f>
        <v>Uttar Pradesh</v>
      </c>
      <c r="E2408" s="15">
        <v>1320.0</v>
      </c>
      <c r="F2408" s="16">
        <v>399.6174</v>
      </c>
      <c r="G2408" s="16">
        <v>0.0</v>
      </c>
      <c r="H2408" s="16">
        <v>0.0</v>
      </c>
      <c r="I2408" s="16">
        <v>0.0</v>
      </c>
      <c r="J2408" s="16">
        <v>28.1805</v>
      </c>
      <c r="K2408" s="16">
        <v>0.0</v>
      </c>
      <c r="L2408" s="16">
        <v>427.7979</v>
      </c>
      <c r="M2408" s="16">
        <v>558.291</v>
      </c>
      <c r="N2408" s="16">
        <v>327.348</v>
      </c>
      <c r="O2408" s="24">
        <v>17.6</v>
      </c>
      <c r="P2408" s="18">
        <f t="shared" si="1"/>
        <v>427.7979</v>
      </c>
    </row>
    <row r="2409" ht="15.75" customHeight="1">
      <c r="A2409" s="19" t="s">
        <v>232</v>
      </c>
      <c r="B2409" s="19" t="s">
        <v>61</v>
      </c>
      <c r="C2409" s="20" t="s">
        <v>82</v>
      </c>
      <c r="D2409" s="14" t="str">
        <f>VLOOKUP(C2409,'State Key'!$A$2:$B$210,2,False)</f>
        <v>Uttar Pradesh</v>
      </c>
      <c r="E2409" s="21">
        <v>1660.0</v>
      </c>
      <c r="F2409" s="22">
        <v>504.456</v>
      </c>
      <c r="G2409" s="22">
        <v>0.0</v>
      </c>
      <c r="H2409" s="22">
        <v>0.0</v>
      </c>
      <c r="I2409" s="22">
        <v>0.0</v>
      </c>
      <c r="J2409" s="22">
        <v>0.0</v>
      </c>
      <c r="K2409" s="22">
        <v>0.0</v>
      </c>
      <c r="L2409" s="22">
        <v>504.456</v>
      </c>
      <c r="M2409" s="22">
        <v>572.463</v>
      </c>
      <c r="N2409" s="22">
        <v>218.12</v>
      </c>
      <c r="O2409" s="23">
        <v>11.4</v>
      </c>
      <c r="P2409" s="18">
        <f t="shared" si="1"/>
        <v>504.456</v>
      </c>
    </row>
    <row r="2410" ht="15.75" customHeight="1">
      <c r="A2410" s="13" t="s">
        <v>232</v>
      </c>
      <c r="B2410" s="13" t="s">
        <v>61</v>
      </c>
      <c r="C2410" s="14" t="s">
        <v>83</v>
      </c>
      <c r="D2410" s="14" t="str">
        <f>VLOOKUP(C2410,'State Key'!$A$2:$B$210,2,False)</f>
        <v>Haryana</v>
      </c>
      <c r="E2410" s="15">
        <v>710.0</v>
      </c>
      <c r="F2410" s="16">
        <v>211.108</v>
      </c>
      <c r="G2410" s="16">
        <v>0.0</v>
      </c>
      <c r="H2410" s="16">
        <v>0.0</v>
      </c>
      <c r="I2410" s="16">
        <v>0.0</v>
      </c>
      <c r="J2410" s="16">
        <v>0.0</v>
      </c>
      <c r="K2410" s="16">
        <v>0.0</v>
      </c>
      <c r="L2410" s="16">
        <v>211.108</v>
      </c>
      <c r="M2410" s="16">
        <v>340.181</v>
      </c>
      <c r="N2410" s="16">
        <v>401.93</v>
      </c>
      <c r="O2410" s="24">
        <v>35.4</v>
      </c>
      <c r="P2410" s="18">
        <f t="shared" si="1"/>
        <v>211.108</v>
      </c>
    </row>
    <row r="2411" ht="15.75" customHeight="1">
      <c r="A2411" s="19" t="s">
        <v>232</v>
      </c>
      <c r="B2411" s="19" t="s">
        <v>61</v>
      </c>
      <c r="C2411" s="20" t="s">
        <v>84</v>
      </c>
      <c r="D2411" s="14" t="str">
        <f>VLOOKUP(C2411,'State Key'!$A$2:$B$210,2,False)</f>
        <v>Uttar Pradesh</v>
      </c>
      <c r="E2411" s="21">
        <v>920.0</v>
      </c>
      <c r="F2411" s="22">
        <v>341.439</v>
      </c>
      <c r="G2411" s="22">
        <v>0.0</v>
      </c>
      <c r="H2411" s="22">
        <v>0.0</v>
      </c>
      <c r="I2411" s="22">
        <v>0.0</v>
      </c>
      <c r="J2411" s="22">
        <v>0.0</v>
      </c>
      <c r="K2411" s="22">
        <v>0.0</v>
      </c>
      <c r="L2411" s="22">
        <v>341.439</v>
      </c>
      <c r="M2411" s="22">
        <v>375.083</v>
      </c>
      <c r="N2411" s="22">
        <v>299.565</v>
      </c>
      <c r="O2411" s="24">
        <v>24.0</v>
      </c>
      <c r="P2411" s="18">
        <f t="shared" si="1"/>
        <v>341.439</v>
      </c>
    </row>
    <row r="2412" ht="15.75" customHeight="1">
      <c r="A2412" s="13" t="s">
        <v>232</v>
      </c>
      <c r="B2412" s="13" t="s">
        <v>61</v>
      </c>
      <c r="C2412" s="14" t="s">
        <v>85</v>
      </c>
      <c r="D2412" s="14" t="str">
        <f>VLOOKUP(C2412,'State Key'!$A$2:$B$210,2,False)</f>
        <v>Uttar Pradesh</v>
      </c>
      <c r="E2412" s="15">
        <v>1980.0</v>
      </c>
      <c r="F2412" s="16">
        <v>566.37071</v>
      </c>
      <c r="G2412" s="16">
        <v>0.0</v>
      </c>
      <c r="H2412" s="16">
        <v>0.0</v>
      </c>
      <c r="I2412" s="16">
        <v>0.0</v>
      </c>
      <c r="J2412" s="16">
        <v>0.0</v>
      </c>
      <c r="K2412" s="16">
        <v>0.0</v>
      </c>
      <c r="L2412" s="16">
        <v>566.37071</v>
      </c>
      <c r="M2412" s="16">
        <v>690.241</v>
      </c>
      <c r="N2412" s="16">
        <v>723.27</v>
      </c>
      <c r="O2412" s="24">
        <v>31.4</v>
      </c>
      <c r="P2412" s="18">
        <f t="shared" si="1"/>
        <v>566.37071</v>
      </c>
    </row>
    <row r="2413" ht="15.75" customHeight="1">
      <c r="A2413" s="19" t="s">
        <v>232</v>
      </c>
      <c r="B2413" s="19" t="s">
        <v>61</v>
      </c>
      <c r="C2413" s="20" t="s">
        <v>86</v>
      </c>
      <c r="D2413" s="14" t="str">
        <f>VLOOKUP(C2413,'State Key'!$A$2:$B$210,2,False)</f>
        <v>Haryana</v>
      </c>
      <c r="E2413" s="21">
        <v>1200.0</v>
      </c>
      <c r="F2413" s="22">
        <v>283.942</v>
      </c>
      <c r="G2413" s="22">
        <v>0.0</v>
      </c>
      <c r="H2413" s="22">
        <v>0.0</v>
      </c>
      <c r="I2413" s="22">
        <v>0.0</v>
      </c>
      <c r="J2413" s="22">
        <v>0.0</v>
      </c>
      <c r="K2413" s="22">
        <v>0.0</v>
      </c>
      <c r="L2413" s="22">
        <v>283.942</v>
      </c>
      <c r="M2413" s="22">
        <v>282.631</v>
      </c>
      <c r="N2413" s="22">
        <v>460.803</v>
      </c>
      <c r="O2413" s="24">
        <v>48.9</v>
      </c>
      <c r="P2413" s="18">
        <f t="shared" si="1"/>
        <v>283.942</v>
      </c>
    </row>
    <row r="2414" ht="15.75" customHeight="1">
      <c r="A2414" s="13" t="s">
        <v>232</v>
      </c>
      <c r="B2414" s="13" t="s">
        <v>61</v>
      </c>
      <c r="C2414" s="14" t="s">
        <v>87</v>
      </c>
      <c r="D2414" s="14" t="str">
        <f>VLOOKUP(C2414,'State Key'!$A$2:$B$210,2,False)</f>
        <v>Punjab</v>
      </c>
      <c r="E2414" s="15">
        <v>1400.0</v>
      </c>
      <c r="F2414" s="16">
        <v>490.2945</v>
      </c>
      <c r="G2414" s="16">
        <v>0.0</v>
      </c>
      <c r="H2414" s="16">
        <v>0.0</v>
      </c>
      <c r="I2414" s="16">
        <v>0.0</v>
      </c>
      <c r="J2414" s="16">
        <v>0.0</v>
      </c>
      <c r="K2414" s="16">
        <v>0.0</v>
      </c>
      <c r="L2414" s="16">
        <v>490.2945</v>
      </c>
      <c r="M2414" s="16">
        <v>546.8909</v>
      </c>
      <c r="N2414" s="16">
        <v>381.07</v>
      </c>
      <c r="O2414" s="24">
        <v>20.9</v>
      </c>
      <c r="P2414" s="18">
        <f t="shared" si="1"/>
        <v>490.2945</v>
      </c>
    </row>
    <row r="2415" ht="15.75" customHeight="1">
      <c r="A2415" s="19" t="s">
        <v>232</v>
      </c>
      <c r="B2415" s="19" t="s">
        <v>61</v>
      </c>
      <c r="C2415" s="20" t="s">
        <v>88</v>
      </c>
      <c r="D2415" s="14" t="str">
        <f>VLOOKUP(C2415,'State Key'!$A$2:$B$210,2,False)</f>
        <v>Uttar Pradesh</v>
      </c>
      <c r="E2415" s="21">
        <v>3000.0</v>
      </c>
      <c r="F2415" s="22">
        <v>1218.82</v>
      </c>
      <c r="G2415" s="22">
        <v>0.0</v>
      </c>
      <c r="H2415" s="22">
        <v>0.0</v>
      </c>
      <c r="I2415" s="22">
        <v>0.0</v>
      </c>
      <c r="J2415" s="22">
        <v>0.0</v>
      </c>
      <c r="K2415" s="22">
        <v>0.0</v>
      </c>
      <c r="L2415" s="22">
        <v>1218.82</v>
      </c>
      <c r="M2415" s="22">
        <v>1202.297</v>
      </c>
      <c r="N2415" s="22">
        <v>936.921</v>
      </c>
      <c r="O2415" s="24">
        <v>23.4</v>
      </c>
      <c r="P2415" s="18">
        <f t="shared" si="1"/>
        <v>1218.82</v>
      </c>
    </row>
    <row r="2416" ht="15.75" customHeight="1">
      <c r="A2416" s="13" t="s">
        <v>232</v>
      </c>
      <c r="B2416" s="13" t="s">
        <v>61</v>
      </c>
      <c r="C2416" s="14" t="s">
        <v>89</v>
      </c>
      <c r="D2416" s="14" t="str">
        <f>VLOOKUP(C2416,'State Key'!$A$2:$B$210,2,False)</f>
        <v>Punjab</v>
      </c>
      <c r="E2416" s="15">
        <v>840.0</v>
      </c>
      <c r="F2416" s="16">
        <v>7.9616</v>
      </c>
      <c r="G2416" s="16">
        <v>0.0</v>
      </c>
      <c r="H2416" s="16">
        <v>94.1808</v>
      </c>
      <c r="I2416" s="16">
        <v>0.0</v>
      </c>
      <c r="J2416" s="16">
        <v>0.0</v>
      </c>
      <c r="K2416" s="16">
        <v>0.0</v>
      </c>
      <c r="L2416" s="16">
        <v>102.1424</v>
      </c>
      <c r="M2416" s="16">
        <v>308.6</v>
      </c>
      <c r="N2416" s="16">
        <v>167.0</v>
      </c>
      <c r="O2416" s="24">
        <v>16.2</v>
      </c>
      <c r="P2416" s="18">
        <f t="shared" si="1"/>
        <v>102.1424</v>
      </c>
    </row>
    <row r="2417" ht="15.75" customHeight="1">
      <c r="A2417" s="19" t="s">
        <v>232</v>
      </c>
      <c r="B2417" s="19" t="s">
        <v>61</v>
      </c>
      <c r="C2417" s="20" t="s">
        <v>90</v>
      </c>
      <c r="D2417" s="14" t="str">
        <f>VLOOKUP(C2417,'State Key'!$A$2:$B$210,2,False)</f>
        <v>Uttar Pradesh</v>
      </c>
      <c r="E2417" s="21">
        <v>1200.0</v>
      </c>
      <c r="F2417" s="22">
        <v>448.865</v>
      </c>
      <c r="G2417" s="22">
        <v>0.0</v>
      </c>
      <c r="H2417" s="22">
        <v>0.0</v>
      </c>
      <c r="I2417" s="22">
        <v>0.0</v>
      </c>
      <c r="J2417" s="22">
        <v>0.0</v>
      </c>
      <c r="K2417" s="22">
        <v>0.0</v>
      </c>
      <c r="L2417" s="22">
        <v>448.865</v>
      </c>
      <c r="M2417" s="22">
        <v>455.387</v>
      </c>
      <c r="N2417" s="22">
        <v>355.22</v>
      </c>
      <c r="O2417" s="24">
        <v>23.4</v>
      </c>
      <c r="P2417" s="18">
        <f t="shared" si="1"/>
        <v>448.865</v>
      </c>
    </row>
    <row r="2418" ht="15.75" customHeight="1">
      <c r="A2418" s="13" t="s">
        <v>232</v>
      </c>
      <c r="B2418" s="13" t="s">
        <v>61</v>
      </c>
      <c r="C2418" s="14" t="s">
        <v>219</v>
      </c>
      <c r="D2418" s="14" t="str">
        <f>VLOOKUP(C2418,'State Key'!$A$2:$B$210,2,False)</f>
        <v>Rajasthan</v>
      </c>
      <c r="E2418" s="15">
        <v>300.0</v>
      </c>
      <c r="F2418" s="16">
        <v>0.0</v>
      </c>
      <c r="G2418" s="16">
        <v>0.0</v>
      </c>
      <c r="H2418" s="16">
        <v>0.0</v>
      </c>
      <c r="I2418" s="16">
        <v>0.0</v>
      </c>
      <c r="J2418" s="16">
        <v>45.2</v>
      </c>
      <c r="K2418" s="16">
        <v>0.0</v>
      </c>
      <c r="L2418" s="16">
        <v>45.2</v>
      </c>
      <c r="M2418" s="16">
        <v>73.0</v>
      </c>
      <c r="N2418" s="16">
        <v>0.0</v>
      </c>
      <c r="O2418" s="17">
        <v>0.0</v>
      </c>
      <c r="P2418" s="18">
        <f t="shared" si="1"/>
        <v>45.2</v>
      </c>
    </row>
    <row r="2419" ht="15.75" customHeight="1">
      <c r="A2419" s="19" t="s">
        <v>232</v>
      </c>
      <c r="B2419" s="19" t="s">
        <v>61</v>
      </c>
      <c r="C2419" s="20" t="s">
        <v>91</v>
      </c>
      <c r="D2419" s="14" t="str">
        <f>VLOOKUP(C2419,'State Key'!$A$2:$B$210,2,False)</f>
        <v>Uttar Pradesh</v>
      </c>
      <c r="E2419" s="21">
        <v>2000.0</v>
      </c>
      <c r="F2419" s="22">
        <v>881.687</v>
      </c>
      <c r="G2419" s="22">
        <v>0.0</v>
      </c>
      <c r="H2419" s="22">
        <v>0.0</v>
      </c>
      <c r="I2419" s="22">
        <v>0.0</v>
      </c>
      <c r="J2419" s="22">
        <v>0.0</v>
      </c>
      <c r="K2419" s="22">
        <v>0.0</v>
      </c>
      <c r="L2419" s="22">
        <v>881.687</v>
      </c>
      <c r="M2419" s="22">
        <v>930.519</v>
      </c>
      <c r="N2419" s="22">
        <v>317.158</v>
      </c>
      <c r="O2419" s="23">
        <v>10.2</v>
      </c>
      <c r="P2419" s="18">
        <f t="shared" si="1"/>
        <v>881.687</v>
      </c>
    </row>
    <row r="2420" ht="15.75" customHeight="1">
      <c r="A2420" s="13" t="s">
        <v>232</v>
      </c>
      <c r="B2420" s="13" t="s">
        <v>61</v>
      </c>
      <c r="C2420" s="14" t="s">
        <v>92</v>
      </c>
      <c r="D2420" s="14" t="str">
        <f>VLOOKUP(C2420,'State Key'!$A$2:$B$210,2,False)</f>
        <v>Rajasthan</v>
      </c>
      <c r="E2420" s="15">
        <v>1320.0</v>
      </c>
      <c r="F2420" s="16">
        <v>334.95388</v>
      </c>
      <c r="G2420" s="16">
        <v>0.0</v>
      </c>
      <c r="H2420" s="16">
        <v>137.1419</v>
      </c>
      <c r="I2420" s="16">
        <v>0.0</v>
      </c>
      <c r="J2420" s="16">
        <v>0.0</v>
      </c>
      <c r="K2420" s="16">
        <v>0.0</v>
      </c>
      <c r="L2420" s="16">
        <v>472.09578</v>
      </c>
      <c r="M2420" s="16">
        <v>381.893</v>
      </c>
      <c r="N2420" s="16">
        <v>177.61</v>
      </c>
      <c r="O2420" s="24">
        <v>14.0</v>
      </c>
      <c r="P2420" s="18">
        <f t="shared" si="1"/>
        <v>472.09578</v>
      </c>
    </row>
    <row r="2421" ht="15.75" customHeight="1">
      <c r="A2421" s="19" t="s">
        <v>232</v>
      </c>
      <c r="B2421" s="19" t="s">
        <v>61</v>
      </c>
      <c r="C2421" s="20" t="s">
        <v>93</v>
      </c>
      <c r="D2421" s="14" t="str">
        <f>VLOOKUP(C2421,'State Key'!$A$2:$B$210,2,False)</f>
        <v>Rajasthan</v>
      </c>
      <c r="E2421" s="21">
        <v>1500.0</v>
      </c>
      <c r="F2421" s="22">
        <v>448.291</v>
      </c>
      <c r="G2421" s="22">
        <v>0.0</v>
      </c>
      <c r="H2421" s="22">
        <v>0.0</v>
      </c>
      <c r="I2421" s="22">
        <v>0.0</v>
      </c>
      <c r="J2421" s="22">
        <v>0.0</v>
      </c>
      <c r="K2421" s="22">
        <v>0.0</v>
      </c>
      <c r="L2421" s="22">
        <v>448.291</v>
      </c>
      <c r="M2421" s="22">
        <v>515.604</v>
      </c>
      <c r="N2421" s="22">
        <v>77.31</v>
      </c>
      <c r="O2421" s="17">
        <v>4.5</v>
      </c>
      <c r="P2421" s="18">
        <f t="shared" si="1"/>
        <v>448.291</v>
      </c>
    </row>
    <row r="2422" ht="15.75" customHeight="1">
      <c r="A2422" s="13" t="s">
        <v>232</v>
      </c>
      <c r="B2422" s="13" t="s">
        <v>61</v>
      </c>
      <c r="C2422" s="14" t="s">
        <v>94</v>
      </c>
      <c r="D2422" s="14" t="str">
        <f>VLOOKUP(C2422,'State Key'!$A$2:$B$210,2,False)</f>
        <v>Punjab</v>
      </c>
      <c r="E2422" s="15">
        <v>1980.0</v>
      </c>
      <c r="F2422" s="16">
        <v>637.18</v>
      </c>
      <c r="G2422" s="16">
        <v>0.0</v>
      </c>
      <c r="H2422" s="16">
        <v>0.0</v>
      </c>
      <c r="I2422" s="16">
        <v>0.0</v>
      </c>
      <c r="J2422" s="16">
        <v>0.0</v>
      </c>
      <c r="K2422" s="16">
        <v>0.0</v>
      </c>
      <c r="L2422" s="16">
        <v>637.18</v>
      </c>
      <c r="M2422" s="16">
        <v>777.096</v>
      </c>
      <c r="N2422" s="16">
        <v>61.9</v>
      </c>
      <c r="O2422" s="17">
        <v>2.4</v>
      </c>
      <c r="P2422" s="18">
        <f t="shared" si="1"/>
        <v>637.18</v>
      </c>
    </row>
    <row r="2423" ht="15.75" customHeight="1">
      <c r="A2423" s="19" t="s">
        <v>232</v>
      </c>
      <c r="B2423" s="19" t="s">
        <v>61</v>
      </c>
      <c r="C2423" s="20" t="s">
        <v>95</v>
      </c>
      <c r="D2423" s="14" t="str">
        <f>VLOOKUP(C2423,'State Key'!$A$2:$B$210,2,False)</f>
        <v>Uttar Pradesh</v>
      </c>
      <c r="E2423" s="21">
        <v>1760.0</v>
      </c>
      <c r="F2423" s="22">
        <v>445.82</v>
      </c>
      <c r="G2423" s="22">
        <v>0.0</v>
      </c>
      <c r="H2423" s="22">
        <v>208.52</v>
      </c>
      <c r="I2423" s="22">
        <v>0.0</v>
      </c>
      <c r="J2423" s="22">
        <v>12.42</v>
      </c>
      <c r="K2423" s="22">
        <v>0.0</v>
      </c>
      <c r="L2423" s="22">
        <v>666.76</v>
      </c>
      <c r="M2423" s="22">
        <v>680.682</v>
      </c>
      <c r="N2423" s="22">
        <v>670.931</v>
      </c>
      <c r="O2423" s="24">
        <v>29.6</v>
      </c>
      <c r="P2423" s="18">
        <f t="shared" si="1"/>
        <v>666.76</v>
      </c>
    </row>
    <row r="2424" ht="15.75" customHeight="1">
      <c r="A2424" s="13" t="s">
        <v>232</v>
      </c>
      <c r="B2424" s="13" t="s">
        <v>61</v>
      </c>
      <c r="C2424" s="14" t="s">
        <v>96</v>
      </c>
      <c r="D2424" s="14" t="str">
        <f>VLOOKUP(C2424,'State Key'!$A$2:$B$210,2,False)</f>
        <v>Uttar Pradesh</v>
      </c>
      <c r="E2424" s="15">
        <v>1550.0</v>
      </c>
      <c r="F2424" s="16">
        <v>432.87</v>
      </c>
      <c r="G2424" s="16">
        <v>0.0</v>
      </c>
      <c r="H2424" s="16">
        <v>137.03</v>
      </c>
      <c r="I2424" s="16">
        <v>0.0</v>
      </c>
      <c r="J2424" s="16">
        <v>22.913</v>
      </c>
      <c r="K2424" s="16">
        <v>0.0</v>
      </c>
      <c r="L2424" s="16">
        <v>592.813</v>
      </c>
      <c r="M2424" s="16">
        <v>538.031</v>
      </c>
      <c r="N2424" s="16">
        <v>481.098</v>
      </c>
      <c r="O2424" s="24">
        <v>26.8</v>
      </c>
      <c r="P2424" s="18">
        <f t="shared" si="1"/>
        <v>592.813</v>
      </c>
    </row>
    <row r="2425" ht="15.75" customHeight="1">
      <c r="A2425" s="19" t="s">
        <v>232</v>
      </c>
      <c r="B2425" s="19" t="s">
        <v>61</v>
      </c>
      <c r="C2425" s="20" t="s">
        <v>97</v>
      </c>
      <c r="D2425" s="14" t="str">
        <f>VLOOKUP(C2425,'State Key'!$A$2:$B$210,2,False)</f>
        <v>Uttar Pradesh</v>
      </c>
      <c r="E2425" s="21">
        <v>90.0</v>
      </c>
      <c r="F2425" s="22">
        <v>35.512</v>
      </c>
      <c r="G2425" s="22">
        <v>0.0</v>
      </c>
      <c r="H2425" s="22">
        <v>0.0</v>
      </c>
      <c r="I2425" s="22">
        <v>0.0</v>
      </c>
      <c r="J2425" s="22">
        <v>0.0</v>
      </c>
      <c r="K2425" s="22">
        <v>0.0</v>
      </c>
      <c r="L2425" s="22">
        <v>35.512</v>
      </c>
      <c r="M2425" s="22">
        <v>39.307</v>
      </c>
      <c r="N2425" s="22">
        <v>53.28</v>
      </c>
      <c r="O2425" s="24">
        <v>40.7</v>
      </c>
      <c r="P2425" s="18">
        <f t="shared" si="1"/>
        <v>35.512</v>
      </c>
    </row>
    <row r="2426" ht="15.75" customHeight="1">
      <c r="A2426" s="13" t="s">
        <v>232</v>
      </c>
      <c r="B2426" s="13" t="s">
        <v>61</v>
      </c>
      <c r="C2426" s="14" t="s">
        <v>98</v>
      </c>
      <c r="D2426" s="14" t="str">
        <f>VLOOKUP(C2426,'State Key'!$A$2:$B$210,2,False)</f>
        <v>Haryana</v>
      </c>
      <c r="E2426" s="15">
        <v>600.0</v>
      </c>
      <c r="F2426" s="16">
        <v>281.002</v>
      </c>
      <c r="G2426" s="16">
        <v>0.0</v>
      </c>
      <c r="H2426" s="16">
        <v>0.0</v>
      </c>
      <c r="I2426" s="16">
        <v>0.0</v>
      </c>
      <c r="J2426" s="16">
        <v>0.0</v>
      </c>
      <c r="K2426" s="16">
        <v>0.0</v>
      </c>
      <c r="L2426" s="16">
        <v>281.002</v>
      </c>
      <c r="M2426" s="16">
        <v>276.795</v>
      </c>
      <c r="N2426" s="16">
        <v>284.46</v>
      </c>
      <c r="O2426" s="24">
        <v>30.8</v>
      </c>
      <c r="P2426" s="18">
        <f t="shared" si="1"/>
        <v>281.002</v>
      </c>
    </row>
    <row r="2427" ht="15.75" customHeight="1">
      <c r="A2427" s="19" t="s">
        <v>232</v>
      </c>
      <c r="B2427" s="19" t="s">
        <v>99</v>
      </c>
      <c r="C2427" s="20" t="s">
        <v>230</v>
      </c>
      <c r="D2427" s="14" t="str">
        <f>VLOOKUP(C2427,'State Key'!$A$2:$B$210,2,False)</f>
        <v>Karnataka</v>
      </c>
      <c r="E2427" s="21">
        <v>1200.0</v>
      </c>
      <c r="F2427" s="22">
        <v>0.0</v>
      </c>
      <c r="G2427" s="22">
        <v>0.0</v>
      </c>
      <c r="H2427" s="22">
        <v>0.0</v>
      </c>
      <c r="I2427" s="22">
        <v>0.0</v>
      </c>
      <c r="J2427" s="22">
        <v>258.866</v>
      </c>
      <c r="K2427" s="22">
        <v>0.0</v>
      </c>
      <c r="L2427" s="22">
        <v>258.866</v>
      </c>
      <c r="M2427" s="22">
        <v>287.462</v>
      </c>
      <c r="N2427" s="22">
        <v>180.95</v>
      </c>
      <c r="O2427" s="24">
        <v>18.9</v>
      </c>
      <c r="P2427" s="18">
        <f t="shared" si="1"/>
        <v>258.866</v>
      </c>
    </row>
    <row r="2428" ht="15.75" customHeight="1">
      <c r="A2428" s="13" t="s">
        <v>232</v>
      </c>
      <c r="B2428" s="13" t="s">
        <v>99</v>
      </c>
      <c r="C2428" s="14" t="s">
        <v>100</v>
      </c>
      <c r="D2428" s="14" t="str">
        <f>VLOOKUP(C2428,'State Key'!$A$2:$B$210,2,False)</f>
        <v>Karnataka</v>
      </c>
      <c r="E2428" s="15">
        <v>1700.0</v>
      </c>
      <c r="F2428" s="16">
        <v>167.95827</v>
      </c>
      <c r="G2428" s="16">
        <v>151.48529</v>
      </c>
      <c r="H2428" s="16">
        <v>371.70708</v>
      </c>
      <c r="I2428" s="16">
        <v>0.0</v>
      </c>
      <c r="J2428" s="16">
        <v>4.00684</v>
      </c>
      <c r="K2428" s="16">
        <v>0.0</v>
      </c>
      <c r="L2428" s="16">
        <v>695.15748</v>
      </c>
      <c r="M2428" s="16">
        <v>513.739</v>
      </c>
      <c r="N2428" s="16">
        <v>438.0226</v>
      </c>
      <c r="O2428" s="24">
        <v>25.6</v>
      </c>
      <c r="P2428" s="18">
        <f t="shared" si="1"/>
        <v>695.15748</v>
      </c>
    </row>
    <row r="2429" ht="15.75" customHeight="1">
      <c r="A2429" s="19" t="s">
        <v>232</v>
      </c>
      <c r="B2429" s="19" t="s">
        <v>99</v>
      </c>
      <c r="C2429" s="20" t="s">
        <v>101</v>
      </c>
      <c r="D2429" s="14" t="str">
        <f>VLOOKUP(C2429,'State Key'!$A$2:$B$210,2,False)</f>
        <v>Telangana</v>
      </c>
      <c r="E2429" s="21">
        <v>1080.0</v>
      </c>
      <c r="F2429" s="22">
        <v>0.0</v>
      </c>
      <c r="G2429" s="22">
        <v>438.015</v>
      </c>
      <c r="H2429" s="22">
        <v>0.0</v>
      </c>
      <c r="I2429" s="22">
        <v>0.0</v>
      </c>
      <c r="J2429" s="22">
        <v>0.0</v>
      </c>
      <c r="K2429" s="22">
        <v>0.0</v>
      </c>
      <c r="L2429" s="22">
        <v>438.015</v>
      </c>
      <c r="M2429" s="22">
        <v>454.545</v>
      </c>
      <c r="N2429" s="22">
        <v>153.974</v>
      </c>
      <c r="O2429" s="23">
        <v>10.2</v>
      </c>
      <c r="P2429" s="18">
        <f t="shared" si="1"/>
        <v>438.015</v>
      </c>
    </row>
    <row r="2430" ht="15.75" customHeight="1">
      <c r="A2430" s="13" t="s">
        <v>232</v>
      </c>
      <c r="B2430" s="13" t="s">
        <v>99</v>
      </c>
      <c r="C2430" s="14" t="s">
        <v>102</v>
      </c>
      <c r="D2430" s="14" t="str">
        <f>VLOOKUP(C2430,'State Key'!$A$2:$B$210,2,False)</f>
        <v>Andhra Pradesh</v>
      </c>
      <c r="E2430" s="15">
        <v>2400.0</v>
      </c>
      <c r="F2430" s="16">
        <v>672.173</v>
      </c>
      <c r="G2430" s="16">
        <v>0.0</v>
      </c>
      <c r="H2430" s="16">
        <v>0.0</v>
      </c>
      <c r="I2430" s="16">
        <v>0.0</v>
      </c>
      <c r="J2430" s="16">
        <v>40.047</v>
      </c>
      <c r="K2430" s="16">
        <v>0.0</v>
      </c>
      <c r="L2430" s="16">
        <v>712.22</v>
      </c>
      <c r="M2430" s="16">
        <v>712.839</v>
      </c>
      <c r="N2430" s="16">
        <v>28.6</v>
      </c>
      <c r="O2430" s="17">
        <v>1.2</v>
      </c>
      <c r="P2430" s="18">
        <f t="shared" si="1"/>
        <v>712.22</v>
      </c>
    </row>
    <row r="2431" ht="15.75" customHeight="1">
      <c r="A2431" s="19" t="s">
        <v>232</v>
      </c>
      <c r="B2431" s="19" t="s">
        <v>99</v>
      </c>
      <c r="C2431" s="20" t="s">
        <v>103</v>
      </c>
      <c r="D2431" s="14" t="str">
        <f>VLOOKUP(C2431,'State Key'!$A$2:$B$210,2,False)</f>
        <v>Andhra Pradesh</v>
      </c>
      <c r="E2431" s="21">
        <v>2560.0</v>
      </c>
      <c r="F2431" s="22">
        <v>769.84198</v>
      </c>
      <c r="G2431" s="22">
        <v>281.538</v>
      </c>
      <c r="H2431" s="22">
        <v>0.0</v>
      </c>
      <c r="I2431" s="22">
        <v>0.0</v>
      </c>
      <c r="J2431" s="22">
        <v>0.0</v>
      </c>
      <c r="K2431" s="22">
        <v>0.0</v>
      </c>
      <c r="L2431" s="22">
        <v>1051.37998</v>
      </c>
      <c r="M2431" s="22">
        <v>1014.076</v>
      </c>
      <c r="N2431" s="22">
        <v>86.654</v>
      </c>
      <c r="O2431" s="17">
        <v>2.6</v>
      </c>
      <c r="P2431" s="18">
        <f t="shared" si="1"/>
        <v>1051.37998</v>
      </c>
    </row>
    <row r="2432" ht="15.75" customHeight="1">
      <c r="A2432" s="13" t="s">
        <v>232</v>
      </c>
      <c r="B2432" s="13" t="s">
        <v>99</v>
      </c>
      <c r="C2432" s="14" t="s">
        <v>104</v>
      </c>
      <c r="D2432" s="14" t="str">
        <f>VLOOKUP(C2432,'State Key'!$A$2:$B$210,2,False)</f>
        <v>Tamil Nadu</v>
      </c>
      <c r="E2432" s="15">
        <v>1200.0</v>
      </c>
      <c r="F2432" s="16">
        <v>0.0</v>
      </c>
      <c r="G2432" s="16">
        <v>0.0</v>
      </c>
      <c r="H2432" s="16">
        <v>0.0</v>
      </c>
      <c r="I2432" s="16">
        <v>0.0</v>
      </c>
      <c r="J2432" s="16">
        <v>489.9972</v>
      </c>
      <c r="K2432" s="16">
        <v>0.0</v>
      </c>
      <c r="L2432" s="16">
        <v>489.9972</v>
      </c>
      <c r="M2432" s="16">
        <v>435.0776</v>
      </c>
      <c r="N2432" s="16">
        <v>216.0</v>
      </c>
      <c r="O2432" s="24">
        <v>14.9</v>
      </c>
      <c r="P2432" s="18">
        <f t="shared" si="1"/>
        <v>489.9972</v>
      </c>
    </row>
    <row r="2433" ht="15.75" customHeight="1">
      <c r="A2433" s="19" t="s">
        <v>232</v>
      </c>
      <c r="B2433" s="19" t="s">
        <v>99</v>
      </c>
      <c r="C2433" s="20" t="s">
        <v>105</v>
      </c>
      <c r="D2433" s="14" t="str">
        <f>VLOOKUP(C2433,'State Key'!$A$2:$B$210,2,False)</f>
        <v>Telangana</v>
      </c>
      <c r="E2433" s="21">
        <v>1100.0</v>
      </c>
      <c r="F2433" s="22">
        <v>0.0</v>
      </c>
      <c r="G2433" s="22">
        <v>347.732</v>
      </c>
      <c r="H2433" s="22">
        <v>0.0</v>
      </c>
      <c r="I2433" s="22">
        <v>0.0</v>
      </c>
      <c r="J2433" s="22">
        <v>0.0</v>
      </c>
      <c r="K2433" s="22">
        <v>0.0</v>
      </c>
      <c r="L2433" s="22">
        <v>347.732</v>
      </c>
      <c r="M2433" s="22">
        <v>399.184</v>
      </c>
      <c r="N2433" s="22">
        <v>278.258</v>
      </c>
      <c r="O2433" s="24">
        <v>20.9</v>
      </c>
      <c r="P2433" s="18">
        <f t="shared" si="1"/>
        <v>347.732</v>
      </c>
    </row>
    <row r="2434" ht="15.75" customHeight="1">
      <c r="A2434" s="13" t="s">
        <v>232</v>
      </c>
      <c r="B2434" s="13" t="s">
        <v>99</v>
      </c>
      <c r="C2434" s="14" t="s">
        <v>106</v>
      </c>
      <c r="D2434" s="14" t="str">
        <f>VLOOKUP(C2434,'State Key'!$A$2:$B$210,2,False)</f>
        <v>Telangana</v>
      </c>
      <c r="E2434" s="15">
        <v>1000.0</v>
      </c>
      <c r="F2434" s="16">
        <v>0.0</v>
      </c>
      <c r="G2434" s="16">
        <v>419.239</v>
      </c>
      <c r="H2434" s="16">
        <v>0.0</v>
      </c>
      <c r="I2434" s="16">
        <v>0.0</v>
      </c>
      <c r="J2434" s="16">
        <v>0.0</v>
      </c>
      <c r="K2434" s="16">
        <v>0.0</v>
      </c>
      <c r="L2434" s="16">
        <v>419.239</v>
      </c>
      <c r="M2434" s="16">
        <v>389.47</v>
      </c>
      <c r="N2434" s="16">
        <v>163.928</v>
      </c>
      <c r="O2434" s="23">
        <v>12.6</v>
      </c>
      <c r="P2434" s="18">
        <f t="shared" si="1"/>
        <v>419.239</v>
      </c>
    </row>
    <row r="2435" ht="15.75" customHeight="1">
      <c r="A2435" s="19" t="s">
        <v>232</v>
      </c>
      <c r="B2435" s="19" t="s">
        <v>99</v>
      </c>
      <c r="C2435" s="20" t="s">
        <v>107</v>
      </c>
      <c r="D2435" s="14" t="str">
        <f>VLOOKUP(C2435,'State Key'!$A$2:$B$210,2,False)</f>
        <v>Telangana</v>
      </c>
      <c r="E2435" s="21">
        <v>800.0</v>
      </c>
      <c r="F2435" s="22">
        <v>0.0</v>
      </c>
      <c r="G2435" s="22">
        <v>276.642</v>
      </c>
      <c r="H2435" s="22">
        <v>0.0</v>
      </c>
      <c r="I2435" s="22">
        <v>0.0</v>
      </c>
      <c r="J2435" s="22">
        <v>0.0</v>
      </c>
      <c r="K2435" s="22">
        <v>0.0</v>
      </c>
      <c r="L2435" s="22">
        <v>276.642</v>
      </c>
      <c r="M2435" s="22">
        <v>260.07</v>
      </c>
      <c r="N2435" s="22">
        <v>77.811</v>
      </c>
      <c r="O2435" s="23">
        <v>9.0</v>
      </c>
      <c r="P2435" s="18">
        <f t="shared" si="1"/>
        <v>276.642</v>
      </c>
    </row>
    <row r="2436" ht="15.75" customHeight="1">
      <c r="A2436" s="13" t="s">
        <v>232</v>
      </c>
      <c r="B2436" s="13" t="s">
        <v>99</v>
      </c>
      <c r="C2436" s="14" t="s">
        <v>108</v>
      </c>
      <c r="D2436" s="14" t="str">
        <f>VLOOKUP(C2436,'State Key'!$A$2:$B$210,2,False)</f>
        <v>Karnataka</v>
      </c>
      <c r="E2436" s="15">
        <v>2400.0</v>
      </c>
      <c r="F2436" s="16">
        <v>400.15</v>
      </c>
      <c r="G2436" s="16">
        <v>123.79</v>
      </c>
      <c r="H2436" s="16">
        <v>107.32</v>
      </c>
      <c r="I2436" s="16">
        <v>0.0</v>
      </c>
      <c r="J2436" s="16">
        <v>4.001</v>
      </c>
      <c r="K2436" s="16">
        <v>0.0</v>
      </c>
      <c r="L2436" s="16">
        <v>635.261</v>
      </c>
      <c r="M2436" s="16">
        <v>686.86</v>
      </c>
      <c r="N2436" s="16">
        <v>467.412</v>
      </c>
      <c r="O2436" s="24">
        <v>20.4</v>
      </c>
      <c r="P2436" s="18">
        <f t="shared" si="1"/>
        <v>635.261</v>
      </c>
    </row>
    <row r="2437" ht="15.75" customHeight="1">
      <c r="A2437" s="19" t="s">
        <v>232</v>
      </c>
      <c r="B2437" s="19" t="s">
        <v>99</v>
      </c>
      <c r="C2437" s="20" t="s">
        <v>231</v>
      </c>
      <c r="D2437" s="14" t="str">
        <f>VLOOKUP(C2437,'State Key'!$A$2:$B$210,2,False)</f>
        <v>Karnataka</v>
      </c>
      <c r="E2437" s="21">
        <v>1200.0</v>
      </c>
      <c r="F2437" s="22">
        <v>0.0</v>
      </c>
      <c r="G2437" s="22">
        <v>0.0</v>
      </c>
      <c r="H2437" s="22">
        <v>0.0</v>
      </c>
      <c r="I2437" s="22">
        <v>0.0</v>
      </c>
      <c r="J2437" s="22">
        <v>258.866</v>
      </c>
      <c r="K2437" s="22">
        <v>0.0</v>
      </c>
      <c r="L2437" s="22">
        <v>258.866</v>
      </c>
      <c r="M2437" s="22">
        <v>287.462</v>
      </c>
      <c r="N2437" s="22">
        <v>180.95</v>
      </c>
      <c r="O2437" s="24">
        <v>18.9</v>
      </c>
      <c r="P2437" s="18">
        <f t="shared" si="1"/>
        <v>258.866</v>
      </c>
    </row>
    <row r="2438" ht="15.75" customHeight="1">
      <c r="A2438" s="13" t="s">
        <v>232</v>
      </c>
      <c r="B2438" s="13" t="s">
        <v>99</v>
      </c>
      <c r="C2438" s="14" t="s">
        <v>109</v>
      </c>
      <c r="D2438" s="14" t="str">
        <f>VLOOKUP(C2438,'State Key'!$A$2:$B$210,2,False)</f>
        <v>Tamil Nadu</v>
      </c>
      <c r="E2438" s="15">
        <v>840.0</v>
      </c>
      <c r="F2438" s="16">
        <v>167.2737</v>
      </c>
      <c r="G2438" s="16">
        <v>169.3019</v>
      </c>
      <c r="H2438" s="16">
        <v>0.0</v>
      </c>
      <c r="I2438" s="16">
        <v>0.0</v>
      </c>
      <c r="J2438" s="16">
        <v>0.0</v>
      </c>
      <c r="K2438" s="16">
        <v>0.0</v>
      </c>
      <c r="L2438" s="16">
        <v>336.5756</v>
      </c>
      <c r="M2438" s="16">
        <v>328.1994</v>
      </c>
      <c r="N2438" s="16">
        <v>239.195</v>
      </c>
      <c r="O2438" s="24">
        <v>21.9</v>
      </c>
      <c r="P2438" s="18">
        <f t="shared" si="1"/>
        <v>336.5756</v>
      </c>
    </row>
    <row r="2439" ht="15.75" customHeight="1">
      <c r="A2439" s="19" t="s">
        <v>232</v>
      </c>
      <c r="B2439" s="19" t="s">
        <v>99</v>
      </c>
      <c r="C2439" s="20" t="s">
        <v>110</v>
      </c>
      <c r="D2439" s="14" t="str">
        <f>VLOOKUP(C2439,'State Key'!$A$2:$B$210,2,False)</f>
        <v>Tamil Nadu</v>
      </c>
      <c r="E2439" s="21">
        <v>600.0</v>
      </c>
      <c r="F2439" s="22">
        <v>106.33</v>
      </c>
      <c r="G2439" s="22">
        <v>107.99</v>
      </c>
      <c r="H2439" s="22">
        <v>0.0</v>
      </c>
      <c r="I2439" s="22">
        <v>0.0</v>
      </c>
      <c r="J2439" s="22">
        <v>0.0</v>
      </c>
      <c r="K2439" s="22">
        <v>0.0</v>
      </c>
      <c r="L2439" s="22">
        <v>214.32</v>
      </c>
      <c r="M2439" s="22">
        <v>205.021</v>
      </c>
      <c r="N2439" s="22">
        <v>260.7</v>
      </c>
      <c r="O2439" s="24">
        <v>38.1</v>
      </c>
      <c r="P2439" s="18">
        <f t="shared" si="1"/>
        <v>214.32</v>
      </c>
    </row>
    <row r="2440" ht="15.75" customHeight="1">
      <c r="A2440" s="13" t="s">
        <v>232</v>
      </c>
      <c r="B2440" s="13" t="s">
        <v>99</v>
      </c>
      <c r="C2440" s="14" t="s">
        <v>111</v>
      </c>
      <c r="D2440" s="14" t="str">
        <f>VLOOKUP(C2440,'State Key'!$A$2:$B$210,2,False)</f>
        <v>Tamil Nadu</v>
      </c>
      <c r="E2440" s="15">
        <v>1200.0</v>
      </c>
      <c r="F2440" s="16">
        <v>0.0</v>
      </c>
      <c r="G2440" s="16">
        <v>0.0</v>
      </c>
      <c r="H2440" s="16">
        <v>0.0</v>
      </c>
      <c r="I2440" s="16">
        <v>0.0</v>
      </c>
      <c r="J2440" s="16">
        <v>447.24</v>
      </c>
      <c r="K2440" s="16">
        <v>0.0</v>
      </c>
      <c r="L2440" s="16">
        <v>447.24</v>
      </c>
      <c r="M2440" s="16">
        <v>414.996</v>
      </c>
      <c r="N2440" s="16">
        <v>140.85</v>
      </c>
      <c r="O2440" s="23">
        <v>10.2</v>
      </c>
      <c r="P2440" s="18">
        <f t="shared" si="1"/>
        <v>447.24</v>
      </c>
    </row>
    <row r="2441" ht="15.75" customHeight="1">
      <c r="A2441" s="19" t="s">
        <v>232</v>
      </c>
      <c r="B2441" s="19" t="s">
        <v>99</v>
      </c>
      <c r="C2441" s="20" t="s">
        <v>112</v>
      </c>
      <c r="D2441" s="14" t="str">
        <f>VLOOKUP(C2441,'State Key'!$A$2:$B$210,2,False)</f>
        <v>Tamil Nadu</v>
      </c>
      <c r="E2441" s="21">
        <v>1830.0</v>
      </c>
      <c r="F2441" s="22">
        <v>748.714</v>
      </c>
      <c r="G2441" s="22">
        <v>0.0</v>
      </c>
      <c r="H2441" s="22">
        <v>0.0</v>
      </c>
      <c r="I2441" s="22">
        <v>0.0</v>
      </c>
      <c r="J2441" s="22">
        <v>228.594</v>
      </c>
      <c r="K2441" s="22">
        <v>0.0</v>
      </c>
      <c r="L2441" s="22">
        <v>977.308</v>
      </c>
      <c r="M2441" s="22">
        <v>883.771</v>
      </c>
      <c r="N2441" s="22">
        <v>500.668</v>
      </c>
      <c r="O2441" s="24">
        <v>17.0</v>
      </c>
      <c r="P2441" s="18">
        <f t="shared" si="1"/>
        <v>977.308</v>
      </c>
    </row>
    <row r="2442" ht="15.75" customHeight="1">
      <c r="A2442" s="13" t="s">
        <v>232</v>
      </c>
      <c r="B2442" s="13" t="s">
        <v>99</v>
      </c>
      <c r="C2442" s="14" t="s">
        <v>113</v>
      </c>
      <c r="D2442" s="14" t="str">
        <f>VLOOKUP(C2442,'State Key'!$A$2:$B$210,2,False)</f>
        <v>Tamil Nadu</v>
      </c>
      <c r="E2442" s="15">
        <v>1000.0</v>
      </c>
      <c r="F2442" s="16">
        <v>59.497</v>
      </c>
      <c r="G2442" s="16">
        <v>0.0</v>
      </c>
      <c r="H2442" s="16">
        <v>134.18</v>
      </c>
      <c r="I2442" s="16">
        <v>0.0</v>
      </c>
      <c r="J2442" s="16">
        <v>150.199</v>
      </c>
      <c r="K2442" s="16">
        <v>0.0</v>
      </c>
      <c r="L2442" s="16">
        <v>343.876</v>
      </c>
      <c r="M2442" s="16">
        <v>386.155</v>
      </c>
      <c r="N2442" s="16">
        <v>256.638</v>
      </c>
      <c r="O2442" s="24">
        <v>19.9</v>
      </c>
      <c r="P2442" s="18">
        <f t="shared" si="1"/>
        <v>343.876</v>
      </c>
    </row>
    <row r="2443" ht="15.75" customHeight="1">
      <c r="A2443" s="19" t="s">
        <v>232</v>
      </c>
      <c r="B2443" s="19" t="s">
        <v>99</v>
      </c>
      <c r="C2443" s="20" t="s">
        <v>228</v>
      </c>
      <c r="D2443" s="14" t="str">
        <f>VLOOKUP(C2443,'State Key'!$A$2:$B$210,2,False)</f>
        <v>Tamil Nadu</v>
      </c>
      <c r="E2443" s="21">
        <v>414.0</v>
      </c>
      <c r="F2443" s="22">
        <v>31.3358</v>
      </c>
      <c r="G2443" s="22">
        <v>0.0</v>
      </c>
      <c r="H2443" s="22">
        <v>0.0</v>
      </c>
      <c r="I2443" s="22">
        <v>0.0</v>
      </c>
      <c r="J2443" s="22">
        <v>0.0</v>
      </c>
      <c r="K2443" s="22">
        <v>121.99897</v>
      </c>
      <c r="L2443" s="22">
        <v>153.33477</v>
      </c>
      <c r="M2443" s="22">
        <v>152.156</v>
      </c>
      <c r="N2443" s="22">
        <v>125.72</v>
      </c>
      <c r="O2443" s="24">
        <v>24.8</v>
      </c>
      <c r="P2443" s="18">
        <f t="shared" si="1"/>
        <v>153.33477</v>
      </c>
    </row>
    <row r="2444" ht="15.75" customHeight="1">
      <c r="A2444" s="13" t="s">
        <v>232</v>
      </c>
      <c r="B2444" s="13" t="s">
        <v>99</v>
      </c>
      <c r="C2444" s="14" t="s">
        <v>114</v>
      </c>
      <c r="D2444" s="14" t="str">
        <f>VLOOKUP(C2444,'State Key'!$A$2:$B$210,2,False)</f>
        <v>Andhra Pradesh</v>
      </c>
      <c r="E2444" s="15">
        <v>1320.0</v>
      </c>
      <c r="F2444" s="16">
        <v>222.608</v>
      </c>
      <c r="G2444" s="16">
        <v>0.0</v>
      </c>
      <c r="H2444" s="16">
        <v>0.0</v>
      </c>
      <c r="I2444" s="16">
        <v>0.0</v>
      </c>
      <c r="J2444" s="16">
        <v>208.654</v>
      </c>
      <c r="K2444" s="16">
        <v>0.0</v>
      </c>
      <c r="L2444" s="16">
        <v>431.262</v>
      </c>
      <c r="M2444" s="16">
        <v>539.471</v>
      </c>
      <c r="N2444" s="16">
        <v>205.18</v>
      </c>
      <c r="O2444" s="23">
        <v>11.4</v>
      </c>
      <c r="P2444" s="18">
        <f t="shared" si="1"/>
        <v>431.262</v>
      </c>
    </row>
    <row r="2445" ht="15.75" customHeight="1">
      <c r="A2445" s="19" t="s">
        <v>232</v>
      </c>
      <c r="B2445" s="19" t="s">
        <v>99</v>
      </c>
      <c r="C2445" s="20" t="s">
        <v>115</v>
      </c>
      <c r="D2445" s="14" t="str">
        <f>VLOOKUP(C2445,'State Key'!$A$2:$B$210,2,False)</f>
        <v>Karnataka</v>
      </c>
      <c r="E2445" s="21">
        <v>1720.0</v>
      </c>
      <c r="F2445" s="22">
        <v>463.543</v>
      </c>
      <c r="G2445" s="22">
        <v>259.939</v>
      </c>
      <c r="H2445" s="22">
        <v>0.0</v>
      </c>
      <c r="I2445" s="22">
        <v>0.0</v>
      </c>
      <c r="J2445" s="22">
        <v>3.972</v>
      </c>
      <c r="K2445" s="22">
        <v>0.0</v>
      </c>
      <c r="L2445" s="22">
        <v>727.454</v>
      </c>
      <c r="M2445" s="22">
        <v>635.038</v>
      </c>
      <c r="N2445" s="22">
        <v>519.6</v>
      </c>
      <c r="O2445" s="24">
        <v>24.5</v>
      </c>
      <c r="P2445" s="18">
        <f t="shared" si="1"/>
        <v>727.454</v>
      </c>
    </row>
    <row r="2446" ht="15.75" customHeight="1">
      <c r="A2446" s="13" t="s">
        <v>232</v>
      </c>
      <c r="B2446" s="13" t="s">
        <v>99</v>
      </c>
      <c r="C2446" s="14" t="s">
        <v>116</v>
      </c>
      <c r="D2446" s="14" t="str">
        <f>VLOOKUP(C2446,'State Key'!$A$2:$B$210,2,False)</f>
        <v>Telangana</v>
      </c>
      <c r="E2446" s="15">
        <v>2600.0</v>
      </c>
      <c r="F2446" s="16">
        <v>4.05</v>
      </c>
      <c r="G2446" s="16">
        <v>986.82</v>
      </c>
      <c r="H2446" s="16">
        <v>4.04</v>
      </c>
      <c r="I2446" s="16">
        <v>0.0</v>
      </c>
      <c r="J2446" s="16">
        <v>0.0</v>
      </c>
      <c r="K2446" s="16">
        <v>0.0</v>
      </c>
      <c r="L2446" s="16">
        <v>994.91</v>
      </c>
      <c r="M2446" s="16">
        <v>940.324</v>
      </c>
      <c r="N2446" s="16">
        <v>530.604</v>
      </c>
      <c r="O2446" s="24">
        <v>16.9</v>
      </c>
      <c r="P2446" s="18">
        <f t="shared" si="1"/>
        <v>994.91</v>
      </c>
    </row>
    <row r="2447" ht="15.75" customHeight="1">
      <c r="A2447" s="19" t="s">
        <v>232</v>
      </c>
      <c r="B2447" s="19" t="s">
        <v>99</v>
      </c>
      <c r="C2447" s="20" t="s">
        <v>117</v>
      </c>
      <c r="D2447" s="14" t="str">
        <f>VLOOKUP(C2447,'State Key'!$A$2:$B$210,2,False)</f>
        <v>Telangana</v>
      </c>
      <c r="E2447" s="21">
        <v>62.5</v>
      </c>
      <c r="F2447" s="22">
        <v>0.0</v>
      </c>
      <c r="G2447" s="22">
        <v>10.448</v>
      </c>
      <c r="H2447" s="22">
        <v>0.0</v>
      </c>
      <c r="I2447" s="22">
        <v>0.0</v>
      </c>
      <c r="J2447" s="22">
        <v>0.0</v>
      </c>
      <c r="K2447" s="22">
        <v>0.0</v>
      </c>
      <c r="L2447" s="22">
        <v>10.448</v>
      </c>
      <c r="M2447" s="22">
        <v>9.915</v>
      </c>
      <c r="N2447" s="22">
        <v>4.56</v>
      </c>
      <c r="O2447" s="23">
        <v>13.8</v>
      </c>
      <c r="P2447" s="18">
        <f t="shared" si="1"/>
        <v>10.448</v>
      </c>
    </row>
    <row r="2448" ht="15.75" customHeight="1">
      <c r="A2448" s="13" t="s">
        <v>232</v>
      </c>
      <c r="B2448" s="13" t="s">
        <v>99</v>
      </c>
      <c r="C2448" s="14" t="s">
        <v>118</v>
      </c>
      <c r="D2448" s="14" t="str">
        <f>VLOOKUP(C2448,'State Key'!$A$2:$B$210,2,False)</f>
        <v>Andhra Pradesh</v>
      </c>
      <c r="E2448" s="15">
        <v>1650.0</v>
      </c>
      <c r="F2448" s="16">
        <v>506.959</v>
      </c>
      <c r="G2448" s="16">
        <v>179.593</v>
      </c>
      <c r="H2448" s="16">
        <v>0.0</v>
      </c>
      <c r="I2448" s="16">
        <v>0.0</v>
      </c>
      <c r="J2448" s="16">
        <v>0.0</v>
      </c>
      <c r="K2448" s="16">
        <v>0.0</v>
      </c>
      <c r="L2448" s="16">
        <v>686.552</v>
      </c>
      <c r="M2448" s="16">
        <v>731.988</v>
      </c>
      <c r="N2448" s="16">
        <v>10.16</v>
      </c>
      <c r="O2448" s="17">
        <v>0.4</v>
      </c>
      <c r="P2448" s="18">
        <f t="shared" si="1"/>
        <v>686.552</v>
      </c>
    </row>
    <row r="2449" ht="15.75" customHeight="1">
      <c r="A2449" s="19" t="s">
        <v>232</v>
      </c>
      <c r="B2449" s="19" t="s">
        <v>99</v>
      </c>
      <c r="C2449" s="20" t="s">
        <v>119</v>
      </c>
      <c r="D2449" s="14" t="str">
        <f>VLOOKUP(C2449,'State Key'!$A$2:$B$210,2,False)</f>
        <v>Andhra Pradesh</v>
      </c>
      <c r="E2449" s="21">
        <v>1320.0</v>
      </c>
      <c r="F2449" s="22">
        <v>235.062</v>
      </c>
      <c r="G2449" s="22">
        <v>0.0</v>
      </c>
      <c r="H2449" s="22">
        <v>0.0</v>
      </c>
      <c r="I2449" s="22">
        <v>0.0</v>
      </c>
      <c r="J2449" s="22">
        <v>239.111</v>
      </c>
      <c r="K2449" s="22">
        <v>0.0</v>
      </c>
      <c r="L2449" s="22">
        <v>474.173</v>
      </c>
      <c r="M2449" s="22">
        <v>504.8351</v>
      </c>
      <c r="N2449" s="22">
        <v>303.17</v>
      </c>
      <c r="O2449" s="24">
        <v>18.0</v>
      </c>
      <c r="P2449" s="18">
        <f t="shared" si="1"/>
        <v>474.173</v>
      </c>
    </row>
    <row r="2450" ht="15.75" customHeight="1">
      <c r="A2450" s="13" t="s">
        <v>232</v>
      </c>
      <c r="B2450" s="13" t="s">
        <v>99</v>
      </c>
      <c r="C2450" s="14" t="s">
        <v>120</v>
      </c>
      <c r="D2450" s="14" t="str">
        <f>VLOOKUP(C2450,'State Key'!$A$2:$B$210,2,False)</f>
        <v>Andhra Pradesh</v>
      </c>
      <c r="E2450" s="15">
        <v>2000.0</v>
      </c>
      <c r="F2450" s="16">
        <v>634.65</v>
      </c>
      <c r="G2450" s="16">
        <v>7.52</v>
      </c>
      <c r="H2450" s="16">
        <v>103.06</v>
      </c>
      <c r="I2450" s="16">
        <v>0.0</v>
      </c>
      <c r="J2450" s="16">
        <v>0.0</v>
      </c>
      <c r="K2450" s="16">
        <v>0.0</v>
      </c>
      <c r="L2450" s="16">
        <v>745.23</v>
      </c>
      <c r="M2450" s="16">
        <v>789.012</v>
      </c>
      <c r="N2450" s="16">
        <v>524.645</v>
      </c>
      <c r="O2450" s="24">
        <v>19.9</v>
      </c>
      <c r="P2450" s="18">
        <f t="shared" si="1"/>
        <v>745.23</v>
      </c>
    </row>
    <row r="2451" ht="15.75" customHeight="1">
      <c r="A2451" s="19" t="s">
        <v>232</v>
      </c>
      <c r="B2451" s="19" t="s">
        <v>99</v>
      </c>
      <c r="C2451" s="20" t="s">
        <v>121</v>
      </c>
      <c r="D2451" s="14" t="str">
        <f>VLOOKUP(C2451,'State Key'!$A$2:$B$210,2,False)</f>
        <v>Andhra Pradesh</v>
      </c>
      <c r="E2451" s="21">
        <v>600.0</v>
      </c>
      <c r="F2451" s="22">
        <v>0.0</v>
      </c>
      <c r="G2451" s="22">
        <v>0.0</v>
      </c>
      <c r="H2451" s="22">
        <v>0.0</v>
      </c>
      <c r="I2451" s="22">
        <v>0.0</v>
      </c>
      <c r="J2451" s="22">
        <v>331.1751</v>
      </c>
      <c r="K2451" s="22">
        <v>0.0</v>
      </c>
      <c r="L2451" s="22">
        <v>331.1751</v>
      </c>
      <c r="M2451" s="22">
        <v>200.77</v>
      </c>
      <c r="N2451" s="22">
        <v>197.8</v>
      </c>
      <c r="O2451" s="24">
        <v>29.6</v>
      </c>
      <c r="P2451" s="18">
        <f t="shared" si="1"/>
        <v>331.1751</v>
      </c>
    </row>
    <row r="2452" ht="15.75" customHeight="1">
      <c r="A2452" s="13" t="s">
        <v>232</v>
      </c>
      <c r="B2452" s="13" t="s">
        <v>99</v>
      </c>
      <c r="C2452" s="14" t="s">
        <v>122</v>
      </c>
      <c r="D2452" s="14" t="str">
        <f>VLOOKUP(C2452,'State Key'!$A$2:$B$210,2,False)</f>
        <v>Telangana</v>
      </c>
      <c r="E2452" s="15">
        <v>1200.0</v>
      </c>
      <c r="F2452" s="16">
        <v>0.0</v>
      </c>
      <c r="G2452" s="16">
        <v>495.086</v>
      </c>
      <c r="H2452" s="16">
        <v>0.0</v>
      </c>
      <c r="I2452" s="16">
        <v>0.0</v>
      </c>
      <c r="J2452" s="16">
        <v>0.0</v>
      </c>
      <c r="K2452" s="16">
        <v>0.0</v>
      </c>
      <c r="L2452" s="16">
        <v>495.086</v>
      </c>
      <c r="M2452" s="16">
        <v>470.31</v>
      </c>
      <c r="N2452" s="16">
        <v>132.12</v>
      </c>
      <c r="O2452" s="23">
        <v>8.4</v>
      </c>
      <c r="P2452" s="18">
        <f t="shared" si="1"/>
        <v>495.086</v>
      </c>
    </row>
    <row r="2453" ht="15.75" customHeight="1">
      <c r="A2453" s="19" t="s">
        <v>232</v>
      </c>
      <c r="B2453" s="19" t="s">
        <v>99</v>
      </c>
      <c r="C2453" s="20" t="s">
        <v>220</v>
      </c>
      <c r="D2453" s="14" t="str">
        <f>VLOOKUP(C2453,'State Key'!$A$2:$B$210,2,False)</f>
        <v>Telangana</v>
      </c>
      <c r="E2453" s="21">
        <v>1600.0</v>
      </c>
      <c r="F2453" s="22">
        <v>11.4</v>
      </c>
      <c r="G2453" s="22">
        <v>492.51</v>
      </c>
      <c r="H2453" s="22">
        <v>0.0</v>
      </c>
      <c r="I2453" s="22">
        <v>0.0</v>
      </c>
      <c r="J2453" s="22">
        <v>0.0</v>
      </c>
      <c r="K2453" s="22">
        <v>0.0</v>
      </c>
      <c r="L2453" s="22">
        <v>503.91</v>
      </c>
      <c r="M2453" s="22">
        <v>573.645</v>
      </c>
      <c r="N2453" s="22">
        <v>99.824</v>
      </c>
      <c r="O2453" s="17">
        <v>5.2</v>
      </c>
      <c r="P2453" s="18">
        <f t="shared" si="1"/>
        <v>503.91</v>
      </c>
    </row>
    <row r="2454" ht="15.75" customHeight="1">
      <c r="A2454" s="13" t="s">
        <v>232</v>
      </c>
      <c r="B2454" s="13" t="s">
        <v>99</v>
      </c>
      <c r="C2454" s="14" t="s">
        <v>123</v>
      </c>
      <c r="D2454" s="14" t="str">
        <f>VLOOKUP(C2454,'State Key'!$A$2:$B$210,2,False)</f>
        <v>Andhra Pradesh</v>
      </c>
      <c r="E2454" s="15">
        <v>300.0</v>
      </c>
      <c r="F2454" s="16">
        <v>0.0</v>
      </c>
      <c r="G2454" s="16">
        <v>0.0</v>
      </c>
      <c r="H2454" s="16">
        <v>0.0</v>
      </c>
      <c r="I2454" s="16">
        <v>0.0</v>
      </c>
      <c r="J2454" s="16">
        <v>0.0</v>
      </c>
      <c r="K2454" s="16">
        <v>0.0</v>
      </c>
      <c r="L2454" s="16">
        <v>0.0</v>
      </c>
      <c r="M2454" s="16">
        <v>0.0</v>
      </c>
      <c r="N2454" s="16">
        <v>0.0</v>
      </c>
      <c r="O2454" s="13" t="s">
        <v>58</v>
      </c>
      <c r="P2454" s="18">
        <f t="shared" si="1"/>
        <v>0</v>
      </c>
    </row>
    <row r="2455" ht="15.75" customHeight="1">
      <c r="A2455" s="19" t="s">
        <v>232</v>
      </c>
      <c r="B2455" s="19" t="s">
        <v>99</v>
      </c>
      <c r="C2455" s="20" t="s">
        <v>124</v>
      </c>
      <c r="D2455" s="14" t="str">
        <f>VLOOKUP(C2455,'State Key'!$A$2:$B$210,2,False)</f>
        <v>Karnataka</v>
      </c>
      <c r="E2455" s="21">
        <v>260.0</v>
      </c>
      <c r="F2455" s="22">
        <v>0.0</v>
      </c>
      <c r="G2455" s="22">
        <v>0.0</v>
      </c>
      <c r="H2455" s="22">
        <v>0.0</v>
      </c>
      <c r="I2455" s="22">
        <v>0.0</v>
      </c>
      <c r="J2455" s="22">
        <v>26.16</v>
      </c>
      <c r="K2455" s="22">
        <v>0.0</v>
      </c>
      <c r="L2455" s="22">
        <v>26.16</v>
      </c>
      <c r="M2455" s="22">
        <v>26.16</v>
      </c>
      <c r="N2455" s="22">
        <v>0.0</v>
      </c>
      <c r="O2455" s="17">
        <v>0.0</v>
      </c>
      <c r="P2455" s="18">
        <f t="shared" si="1"/>
        <v>26.16</v>
      </c>
    </row>
    <row r="2456" ht="15.75" customHeight="1">
      <c r="A2456" s="13" t="s">
        <v>232</v>
      </c>
      <c r="B2456" s="13" t="s">
        <v>99</v>
      </c>
      <c r="C2456" s="14" t="s">
        <v>125</v>
      </c>
      <c r="D2456" s="14" t="str">
        <f>VLOOKUP(C2456,'State Key'!$A$2:$B$210,2,False)</f>
        <v>Karnataka</v>
      </c>
      <c r="E2456" s="15">
        <v>600.0</v>
      </c>
      <c r="F2456" s="16">
        <v>0.0</v>
      </c>
      <c r="G2456" s="16">
        <v>0.0</v>
      </c>
      <c r="H2456" s="16">
        <v>0.0</v>
      </c>
      <c r="I2456" s="16">
        <v>0.0</v>
      </c>
      <c r="J2456" s="16">
        <v>66.65</v>
      </c>
      <c r="K2456" s="16">
        <v>0.0</v>
      </c>
      <c r="L2456" s="16">
        <v>66.65</v>
      </c>
      <c r="M2456" s="16">
        <v>64.65</v>
      </c>
      <c r="N2456" s="16">
        <v>36.27</v>
      </c>
      <c r="O2456" s="24">
        <v>16.8</v>
      </c>
      <c r="P2456" s="18">
        <f t="shared" si="1"/>
        <v>66.65</v>
      </c>
    </row>
    <row r="2457" ht="15.75" customHeight="1">
      <c r="A2457" s="19" t="s">
        <v>232</v>
      </c>
      <c r="B2457" s="19" t="s">
        <v>99</v>
      </c>
      <c r="C2457" s="20" t="s">
        <v>126</v>
      </c>
      <c r="D2457" s="14" t="str">
        <f>VLOOKUP(C2457,'State Key'!$A$2:$B$210,2,False)</f>
        <v>Tamil Nadu</v>
      </c>
      <c r="E2457" s="21">
        <v>300.0</v>
      </c>
      <c r="F2457" s="22">
        <v>0.0</v>
      </c>
      <c r="G2457" s="22">
        <v>0.0</v>
      </c>
      <c r="H2457" s="22">
        <v>0.0</v>
      </c>
      <c r="I2457" s="22">
        <v>0.0</v>
      </c>
      <c r="J2457" s="22">
        <v>0.0</v>
      </c>
      <c r="K2457" s="22">
        <v>0.0</v>
      </c>
      <c r="L2457" s="22">
        <v>0.0</v>
      </c>
      <c r="M2457" s="22">
        <v>0.0</v>
      </c>
      <c r="N2457" s="22">
        <v>0.0</v>
      </c>
      <c r="O2457" s="19" t="s">
        <v>58</v>
      </c>
      <c r="P2457" s="18">
        <f t="shared" si="1"/>
        <v>0</v>
      </c>
    </row>
    <row r="2458" ht="15.75" customHeight="1">
      <c r="A2458" s="13" t="s">
        <v>232</v>
      </c>
      <c r="B2458" s="13" t="s">
        <v>99</v>
      </c>
      <c r="C2458" s="14" t="s">
        <v>127</v>
      </c>
      <c r="D2458" s="14" t="str">
        <f>VLOOKUP(C2458,'State Key'!$A$2:$B$210,2,False)</f>
        <v>Tamil Nadu</v>
      </c>
      <c r="E2458" s="15">
        <v>525.0</v>
      </c>
      <c r="F2458" s="16">
        <v>0.0</v>
      </c>
      <c r="G2458" s="16">
        <v>0.0</v>
      </c>
      <c r="H2458" s="16">
        <v>0.0</v>
      </c>
      <c r="I2458" s="16">
        <v>0.0</v>
      </c>
      <c r="J2458" s="16">
        <v>145.142</v>
      </c>
      <c r="K2458" s="16">
        <v>0.0</v>
      </c>
      <c r="L2458" s="16">
        <v>145.142</v>
      </c>
      <c r="M2458" s="16">
        <v>146.582</v>
      </c>
      <c r="N2458" s="16">
        <v>24.86</v>
      </c>
      <c r="O2458" s="17">
        <v>5.1</v>
      </c>
      <c r="P2458" s="18">
        <f t="shared" si="1"/>
        <v>145.142</v>
      </c>
    </row>
    <row r="2459" ht="15.75" customHeight="1">
      <c r="A2459" s="19" t="s">
        <v>232</v>
      </c>
      <c r="B2459" s="19" t="s">
        <v>99</v>
      </c>
      <c r="C2459" s="20" t="s">
        <v>128</v>
      </c>
      <c r="D2459" s="14" t="str">
        <f>VLOOKUP(C2459,'State Key'!$A$2:$B$210,2,False)</f>
        <v>Tamil Nadu</v>
      </c>
      <c r="E2459" s="21">
        <v>1050.0</v>
      </c>
      <c r="F2459" s="22">
        <v>449.856</v>
      </c>
      <c r="G2459" s="22">
        <v>0.0</v>
      </c>
      <c r="H2459" s="22">
        <v>0.0</v>
      </c>
      <c r="I2459" s="22">
        <v>0.0</v>
      </c>
      <c r="J2459" s="22">
        <v>0.0</v>
      </c>
      <c r="K2459" s="22">
        <v>0.0</v>
      </c>
      <c r="L2459" s="22">
        <v>449.856</v>
      </c>
      <c r="M2459" s="22">
        <v>471.273</v>
      </c>
      <c r="N2459" s="22">
        <v>188.43</v>
      </c>
      <c r="O2459" s="23">
        <v>12.0</v>
      </c>
      <c r="P2459" s="18">
        <f t="shared" si="1"/>
        <v>449.856</v>
      </c>
    </row>
    <row r="2460" ht="15.75" customHeight="1">
      <c r="A2460" s="13" t="s">
        <v>232</v>
      </c>
      <c r="B2460" s="13" t="s">
        <v>99</v>
      </c>
      <c r="C2460" s="14" t="s">
        <v>130</v>
      </c>
      <c r="D2460" s="14" t="str">
        <f>VLOOKUP(C2460,'State Key'!$A$2:$B$210,2,False)</f>
        <v>Tamil Nadu</v>
      </c>
      <c r="E2460" s="15">
        <v>1500.0</v>
      </c>
      <c r="F2460" s="16">
        <v>242.726</v>
      </c>
      <c r="G2460" s="16">
        <v>0.0</v>
      </c>
      <c r="H2460" s="16">
        <v>0.0</v>
      </c>
      <c r="I2460" s="16">
        <v>0.0</v>
      </c>
      <c r="J2460" s="16">
        <v>0.0</v>
      </c>
      <c r="K2460" s="16">
        <v>0.0</v>
      </c>
      <c r="L2460" s="16">
        <v>242.726</v>
      </c>
      <c r="M2460" s="16">
        <v>397.444</v>
      </c>
      <c r="N2460" s="16">
        <v>454.35</v>
      </c>
      <c r="O2460" s="24">
        <v>34.3</v>
      </c>
      <c r="P2460" s="18">
        <f t="shared" si="1"/>
        <v>242.726</v>
      </c>
    </row>
    <row r="2461" ht="15.75" customHeight="1">
      <c r="A2461" s="19" t="s">
        <v>232</v>
      </c>
      <c r="B2461" s="19" t="s">
        <v>99</v>
      </c>
      <c r="C2461" s="20" t="s">
        <v>131</v>
      </c>
      <c r="D2461" s="14" t="str">
        <f>VLOOKUP(C2461,'State Key'!$A$2:$B$210,2,False)</f>
        <v>Andhra Pradesh</v>
      </c>
      <c r="E2461" s="21">
        <v>1040.0</v>
      </c>
      <c r="F2461" s="22">
        <v>287.32512</v>
      </c>
      <c r="G2461" s="22">
        <v>0.0</v>
      </c>
      <c r="H2461" s="22">
        <v>0.0</v>
      </c>
      <c r="I2461" s="22">
        <v>0.0</v>
      </c>
      <c r="J2461" s="22">
        <v>61.86243</v>
      </c>
      <c r="K2461" s="22">
        <v>0.0</v>
      </c>
      <c r="L2461" s="22">
        <v>349.18755</v>
      </c>
      <c r="M2461" s="22">
        <v>320.982</v>
      </c>
      <c r="N2461" s="22">
        <v>82.1833</v>
      </c>
      <c r="O2461" s="23">
        <v>7.7</v>
      </c>
      <c r="P2461" s="18">
        <f t="shared" si="1"/>
        <v>349.18755</v>
      </c>
    </row>
    <row r="2462" ht="15.75" customHeight="1">
      <c r="A2462" s="13" t="s">
        <v>232</v>
      </c>
      <c r="B2462" s="13" t="s">
        <v>99</v>
      </c>
      <c r="C2462" s="14" t="s">
        <v>132</v>
      </c>
      <c r="D2462" s="14" t="str">
        <f>VLOOKUP(C2462,'State Key'!$A$2:$B$210,2,False)</f>
        <v>Karnataka</v>
      </c>
      <c r="E2462" s="15">
        <v>1600.0</v>
      </c>
      <c r="F2462" s="16">
        <v>0.0</v>
      </c>
      <c r="G2462" s="16">
        <v>279.047</v>
      </c>
      <c r="H2462" s="16">
        <v>0.0</v>
      </c>
      <c r="I2462" s="16">
        <v>0.0</v>
      </c>
      <c r="J2462" s="16">
        <v>20.066</v>
      </c>
      <c r="K2462" s="16">
        <v>0.0</v>
      </c>
      <c r="L2462" s="16">
        <v>299.113</v>
      </c>
      <c r="M2462" s="16">
        <v>333.544</v>
      </c>
      <c r="N2462" s="16">
        <v>185.681</v>
      </c>
      <c r="O2462" s="24">
        <v>16.7</v>
      </c>
      <c r="P2462" s="18">
        <f t="shared" si="1"/>
        <v>299.113</v>
      </c>
    </row>
    <row r="2463" ht="15.75" customHeight="1">
      <c r="A2463" s="19" t="s">
        <v>232</v>
      </c>
      <c r="B2463" s="19" t="s">
        <v>133</v>
      </c>
      <c r="C2463" s="20" t="s">
        <v>211</v>
      </c>
      <c r="D2463" s="14" t="str">
        <f>VLOOKUP(C2463,'State Key'!$A$2:$B$210,2,False)</f>
        <v>Gujarat</v>
      </c>
      <c r="E2463" s="21">
        <v>2640.0</v>
      </c>
      <c r="F2463" s="22">
        <v>0.0</v>
      </c>
      <c r="G2463" s="22">
        <v>0.0</v>
      </c>
      <c r="H2463" s="22">
        <v>0.0</v>
      </c>
      <c r="I2463" s="22">
        <v>0.0</v>
      </c>
      <c r="J2463" s="22">
        <v>923.799</v>
      </c>
      <c r="K2463" s="22">
        <v>0.0</v>
      </c>
      <c r="L2463" s="22">
        <v>923.799</v>
      </c>
      <c r="M2463" s="22">
        <v>864.496</v>
      </c>
      <c r="N2463" s="22">
        <v>174.96</v>
      </c>
      <c r="O2463" s="17">
        <v>6.1</v>
      </c>
      <c r="P2463" s="18">
        <f t="shared" si="1"/>
        <v>923.799</v>
      </c>
    </row>
    <row r="2464" ht="15.75" customHeight="1">
      <c r="A2464" s="13" t="s">
        <v>232</v>
      </c>
      <c r="B2464" s="13" t="s">
        <v>133</v>
      </c>
      <c r="C2464" s="14" t="s">
        <v>212</v>
      </c>
      <c r="D2464" s="14" t="str">
        <f>VLOOKUP(C2464,'State Key'!$A$2:$B$210,2,False)</f>
        <v>Gujarat</v>
      </c>
      <c r="E2464" s="15">
        <v>1980.0</v>
      </c>
      <c r="F2464" s="16">
        <v>0.0</v>
      </c>
      <c r="G2464" s="16">
        <v>0.0</v>
      </c>
      <c r="H2464" s="16">
        <v>0.0</v>
      </c>
      <c r="I2464" s="16">
        <v>0.0</v>
      </c>
      <c r="J2464" s="16">
        <v>609.951</v>
      </c>
      <c r="K2464" s="16">
        <v>0.0</v>
      </c>
      <c r="L2464" s="16">
        <v>609.951</v>
      </c>
      <c r="M2464" s="16">
        <v>590.533</v>
      </c>
      <c r="N2464" s="16">
        <v>91.797</v>
      </c>
      <c r="O2464" s="17">
        <v>4.7</v>
      </c>
      <c r="P2464" s="18">
        <f t="shared" si="1"/>
        <v>609.951</v>
      </c>
    </row>
    <row r="2465" ht="15.75" customHeight="1">
      <c r="A2465" s="19" t="s">
        <v>232</v>
      </c>
      <c r="B2465" s="19" t="s">
        <v>133</v>
      </c>
      <c r="C2465" s="20" t="s">
        <v>213</v>
      </c>
      <c r="D2465" s="14" t="str">
        <f>VLOOKUP(C2465,'State Key'!$A$2:$B$210,2,False)</f>
        <v>Chhattisgarh</v>
      </c>
      <c r="E2465" s="21">
        <v>600.0</v>
      </c>
      <c r="F2465" s="22">
        <v>394.159</v>
      </c>
      <c r="G2465" s="22">
        <v>0.0</v>
      </c>
      <c r="H2465" s="22">
        <v>0.0</v>
      </c>
      <c r="I2465" s="22">
        <v>31.195</v>
      </c>
      <c r="J2465" s="22">
        <v>0.0</v>
      </c>
      <c r="K2465" s="22">
        <v>0.0</v>
      </c>
      <c r="L2465" s="22">
        <v>425.354</v>
      </c>
      <c r="M2465" s="22">
        <v>324.82</v>
      </c>
      <c r="N2465" s="22">
        <v>234.89</v>
      </c>
      <c r="O2465" s="24">
        <v>21.7</v>
      </c>
      <c r="P2465" s="18">
        <f t="shared" si="1"/>
        <v>425.354</v>
      </c>
    </row>
    <row r="2466" ht="15.75" customHeight="1">
      <c r="A2466" s="13" t="s">
        <v>232</v>
      </c>
      <c r="B2466" s="13" t="s">
        <v>133</v>
      </c>
      <c r="C2466" s="14" t="s">
        <v>214</v>
      </c>
      <c r="D2466" s="14" t="str">
        <f>VLOOKUP(C2466,'State Key'!$A$2:$B$210,2,False)</f>
        <v>Chhattisgarh</v>
      </c>
      <c r="E2466" s="15">
        <v>1370.0</v>
      </c>
      <c r="F2466" s="16">
        <v>494.133</v>
      </c>
      <c r="G2466" s="16">
        <v>0.0</v>
      </c>
      <c r="H2466" s="16">
        <v>0.0</v>
      </c>
      <c r="I2466" s="16">
        <v>19.905</v>
      </c>
      <c r="J2466" s="16">
        <v>7.918</v>
      </c>
      <c r="K2466" s="16">
        <v>0.0</v>
      </c>
      <c r="L2466" s="16">
        <v>521.956</v>
      </c>
      <c r="M2466" s="16">
        <v>585.46</v>
      </c>
      <c r="N2466" s="16">
        <v>222.23</v>
      </c>
      <c r="O2466" s="23">
        <v>11.4</v>
      </c>
      <c r="P2466" s="18">
        <f t="shared" si="1"/>
        <v>521.956</v>
      </c>
    </row>
    <row r="2467" ht="15.75" customHeight="1">
      <c r="A2467" s="19" t="s">
        <v>232</v>
      </c>
      <c r="B2467" s="19" t="s">
        <v>133</v>
      </c>
      <c r="C2467" s="20" t="s">
        <v>215</v>
      </c>
      <c r="D2467" s="14" t="str">
        <f>VLOOKUP(C2467,'State Key'!$A$2:$B$210,2,False)</f>
        <v>Maharashtra</v>
      </c>
      <c r="E2467" s="21">
        <v>3300.0</v>
      </c>
      <c r="F2467" s="22">
        <v>1176.307</v>
      </c>
      <c r="G2467" s="22">
        <v>0.0</v>
      </c>
      <c r="H2467" s="22">
        <v>0.0</v>
      </c>
      <c r="I2467" s="22">
        <v>0.0</v>
      </c>
      <c r="J2467" s="22">
        <v>15.512</v>
      </c>
      <c r="K2467" s="22">
        <v>0.0</v>
      </c>
      <c r="L2467" s="22">
        <v>1191.819</v>
      </c>
      <c r="M2467" s="22">
        <v>1240.396</v>
      </c>
      <c r="N2467" s="22">
        <v>556.83</v>
      </c>
      <c r="O2467" s="23">
        <v>13.5</v>
      </c>
      <c r="P2467" s="18">
        <f t="shared" si="1"/>
        <v>1191.819</v>
      </c>
    </row>
    <row r="2468" ht="15.75" customHeight="1">
      <c r="A2468" s="13" t="s">
        <v>232</v>
      </c>
      <c r="B2468" s="13" t="s">
        <v>133</v>
      </c>
      <c r="C2468" s="14" t="s">
        <v>134</v>
      </c>
      <c r="D2468" s="14" t="str">
        <f>VLOOKUP(C2468,'State Key'!$A$2:$B$210,2,False)</f>
        <v>Chhattisgarh</v>
      </c>
      <c r="E2468" s="15">
        <v>1800.0</v>
      </c>
      <c r="F2468" s="16">
        <v>604.5689</v>
      </c>
      <c r="G2468" s="16">
        <v>0.0</v>
      </c>
      <c r="H2468" s="16">
        <v>0.0</v>
      </c>
      <c r="I2468" s="16">
        <v>3.9851</v>
      </c>
      <c r="J2468" s="16">
        <v>0.0</v>
      </c>
      <c r="K2468" s="16">
        <v>0.0</v>
      </c>
      <c r="L2468" s="16">
        <v>608.554</v>
      </c>
      <c r="M2468" s="16">
        <v>721.779</v>
      </c>
      <c r="N2468" s="16">
        <v>383.87</v>
      </c>
      <c r="O2468" s="24">
        <v>16.0</v>
      </c>
      <c r="P2468" s="18">
        <f t="shared" si="1"/>
        <v>608.554</v>
      </c>
    </row>
    <row r="2469" ht="15.75" customHeight="1">
      <c r="A2469" s="19" t="s">
        <v>232</v>
      </c>
      <c r="B2469" s="19" t="s">
        <v>133</v>
      </c>
      <c r="C2469" s="20" t="s">
        <v>135</v>
      </c>
      <c r="D2469" s="14" t="str">
        <f>VLOOKUP(C2469,'State Key'!$A$2:$B$210,2,False)</f>
        <v>Madhya Pradesh</v>
      </c>
      <c r="E2469" s="21">
        <v>210.0</v>
      </c>
      <c r="F2469" s="22">
        <v>93.735</v>
      </c>
      <c r="G2469" s="22">
        <v>0.0</v>
      </c>
      <c r="H2469" s="22">
        <v>0.0</v>
      </c>
      <c r="I2469" s="22">
        <v>0.0</v>
      </c>
      <c r="J2469" s="22">
        <v>0.0</v>
      </c>
      <c r="K2469" s="22">
        <v>0.0</v>
      </c>
      <c r="L2469" s="22">
        <v>93.735</v>
      </c>
      <c r="M2469" s="22">
        <v>95.606</v>
      </c>
      <c r="N2469" s="22">
        <v>36.64</v>
      </c>
      <c r="O2469" s="23">
        <v>11.5</v>
      </c>
      <c r="P2469" s="18">
        <f t="shared" si="1"/>
        <v>93.735</v>
      </c>
    </row>
    <row r="2470" ht="15.75" customHeight="1">
      <c r="A2470" s="13" t="s">
        <v>232</v>
      </c>
      <c r="B2470" s="13" t="s">
        <v>133</v>
      </c>
      <c r="C2470" s="14" t="s">
        <v>136</v>
      </c>
      <c r="D2470" s="14" t="str">
        <f>VLOOKUP(C2470,'State Key'!$A$2:$B$210,2,False)</f>
        <v>Maharashtra</v>
      </c>
      <c r="E2470" s="15">
        <v>1350.0</v>
      </c>
      <c r="F2470" s="16">
        <v>559.115</v>
      </c>
      <c r="G2470" s="16">
        <v>0.0</v>
      </c>
      <c r="H2470" s="16">
        <v>0.0</v>
      </c>
      <c r="I2470" s="16">
        <v>0.0</v>
      </c>
      <c r="J2470" s="16">
        <v>0.0</v>
      </c>
      <c r="K2470" s="16">
        <v>0.0</v>
      </c>
      <c r="L2470" s="16">
        <v>559.115</v>
      </c>
      <c r="M2470" s="16">
        <v>572.737</v>
      </c>
      <c r="N2470" s="16">
        <v>164.91</v>
      </c>
      <c r="O2470" s="23">
        <v>8.6</v>
      </c>
      <c r="P2470" s="18">
        <f t="shared" si="1"/>
        <v>559.115</v>
      </c>
    </row>
    <row r="2471" ht="15.75" customHeight="1">
      <c r="A2471" s="19" t="s">
        <v>232</v>
      </c>
      <c r="B2471" s="19" t="s">
        <v>133</v>
      </c>
      <c r="C2471" s="20" t="s">
        <v>137</v>
      </c>
      <c r="D2471" s="14" t="str">
        <f>VLOOKUP(C2471,'State Key'!$A$2:$B$210,2,False)</f>
        <v>Madhya Pradesh</v>
      </c>
      <c r="E2471" s="21">
        <v>1250.0</v>
      </c>
      <c r="F2471" s="22">
        <v>274.84</v>
      </c>
      <c r="G2471" s="22">
        <v>0.0</v>
      </c>
      <c r="H2471" s="22">
        <v>0.0</v>
      </c>
      <c r="I2471" s="22">
        <v>132.4</v>
      </c>
      <c r="J2471" s="22">
        <v>0.0</v>
      </c>
      <c r="K2471" s="22">
        <v>0.0</v>
      </c>
      <c r="L2471" s="22">
        <v>407.24</v>
      </c>
      <c r="M2471" s="22">
        <v>545.08</v>
      </c>
      <c r="N2471" s="22">
        <v>234.39</v>
      </c>
      <c r="O2471" s="23">
        <v>12.9</v>
      </c>
      <c r="P2471" s="18">
        <f t="shared" si="1"/>
        <v>407.24</v>
      </c>
    </row>
    <row r="2472" ht="15.75" customHeight="1">
      <c r="A2472" s="13" t="s">
        <v>232</v>
      </c>
      <c r="B2472" s="13" t="s">
        <v>133</v>
      </c>
      <c r="C2472" s="14" t="s">
        <v>139</v>
      </c>
      <c r="D2472" s="14" t="str">
        <f>VLOOKUP(C2472,'State Key'!$A$2:$B$210,2,False)</f>
        <v>Chhattisgarh</v>
      </c>
      <c r="E2472" s="15">
        <v>600.0</v>
      </c>
      <c r="F2472" s="16">
        <v>182.736</v>
      </c>
      <c r="G2472" s="16">
        <v>0.0</v>
      </c>
      <c r="H2472" s="16">
        <v>0.0</v>
      </c>
      <c r="I2472" s="16">
        <v>68.282</v>
      </c>
      <c r="J2472" s="16">
        <v>0.0</v>
      </c>
      <c r="K2472" s="16">
        <v>0.0</v>
      </c>
      <c r="L2472" s="16">
        <v>251.018</v>
      </c>
      <c r="M2472" s="16">
        <v>279.996</v>
      </c>
      <c r="N2472" s="16">
        <v>39.29</v>
      </c>
      <c r="O2472" s="17">
        <v>4.2</v>
      </c>
      <c r="P2472" s="18">
        <f t="shared" si="1"/>
        <v>251.018</v>
      </c>
    </row>
    <row r="2473" ht="15.75" customHeight="1">
      <c r="A2473" s="19" t="s">
        <v>232</v>
      </c>
      <c r="B2473" s="19" t="s">
        <v>133</v>
      </c>
      <c r="C2473" s="20" t="s">
        <v>140</v>
      </c>
      <c r="D2473" s="14" t="str">
        <f>VLOOKUP(C2473,'State Key'!$A$2:$B$210,2,False)</f>
        <v>Chhattisgarh</v>
      </c>
      <c r="E2473" s="21">
        <v>300.0</v>
      </c>
      <c r="F2473" s="22">
        <v>103.772</v>
      </c>
      <c r="G2473" s="22">
        <v>0.0</v>
      </c>
      <c r="H2473" s="22">
        <v>0.0</v>
      </c>
      <c r="I2473" s="22">
        <v>41.092</v>
      </c>
      <c r="J2473" s="22">
        <v>0.0</v>
      </c>
      <c r="K2473" s="22">
        <v>0.0</v>
      </c>
      <c r="L2473" s="22">
        <v>144.864</v>
      </c>
      <c r="M2473" s="22">
        <v>140.786</v>
      </c>
      <c r="N2473" s="22">
        <v>79.33</v>
      </c>
      <c r="O2473" s="24">
        <v>16.9</v>
      </c>
      <c r="P2473" s="18">
        <f t="shared" si="1"/>
        <v>144.864</v>
      </c>
    </row>
    <row r="2474" ht="15.75" customHeight="1">
      <c r="A2474" s="13" t="s">
        <v>232</v>
      </c>
      <c r="B2474" s="13" t="s">
        <v>133</v>
      </c>
      <c r="C2474" s="14" t="s">
        <v>141</v>
      </c>
      <c r="D2474" s="14" t="str">
        <f>VLOOKUP(C2474,'State Key'!$A$2:$B$210,2,False)</f>
        <v>Chhattisgarh</v>
      </c>
      <c r="E2474" s="15">
        <v>1200.0</v>
      </c>
      <c r="F2474" s="16">
        <v>352.711</v>
      </c>
      <c r="G2474" s="16">
        <v>0.0</v>
      </c>
      <c r="H2474" s="16">
        <v>0.0</v>
      </c>
      <c r="I2474" s="16">
        <v>308.0</v>
      </c>
      <c r="J2474" s="16">
        <v>0.0</v>
      </c>
      <c r="K2474" s="16">
        <v>0.0</v>
      </c>
      <c r="L2474" s="16">
        <v>660.711</v>
      </c>
      <c r="M2474" s="16">
        <v>539.406</v>
      </c>
      <c r="N2474" s="16">
        <v>344.25</v>
      </c>
      <c r="O2474" s="24">
        <v>19.1</v>
      </c>
      <c r="P2474" s="18">
        <f t="shared" si="1"/>
        <v>660.711</v>
      </c>
    </row>
    <row r="2475" ht="15.75" customHeight="1">
      <c r="A2475" s="19" t="s">
        <v>232</v>
      </c>
      <c r="B2475" s="19" t="s">
        <v>133</v>
      </c>
      <c r="C2475" s="20" t="s">
        <v>142</v>
      </c>
      <c r="D2475" s="14" t="str">
        <f>VLOOKUP(C2475,'State Key'!$A$2:$B$210,2,False)</f>
        <v>Maharashtra</v>
      </c>
      <c r="E2475" s="21">
        <v>270.0</v>
      </c>
      <c r="F2475" s="22">
        <v>54.554</v>
      </c>
      <c r="G2475" s="22">
        <v>0.0</v>
      </c>
      <c r="H2475" s="22">
        <v>0.0</v>
      </c>
      <c r="I2475" s="22">
        <v>43.988</v>
      </c>
      <c r="J2475" s="22">
        <v>0.0</v>
      </c>
      <c r="K2475" s="22">
        <v>8.056</v>
      </c>
      <c r="L2475" s="22">
        <v>106.598</v>
      </c>
      <c r="M2475" s="22">
        <v>104.018</v>
      </c>
      <c r="N2475" s="22">
        <v>116.07</v>
      </c>
      <c r="O2475" s="24">
        <v>33.5</v>
      </c>
      <c r="P2475" s="18">
        <f t="shared" si="1"/>
        <v>106.598</v>
      </c>
    </row>
    <row r="2476" ht="15.75" customHeight="1">
      <c r="A2476" s="13" t="s">
        <v>232</v>
      </c>
      <c r="B2476" s="13" t="s">
        <v>133</v>
      </c>
      <c r="C2476" s="14" t="s">
        <v>143</v>
      </c>
      <c r="D2476" s="14" t="str">
        <f>VLOOKUP(C2476,'State Key'!$A$2:$B$210,2,False)</f>
        <v>Chhattisgarh</v>
      </c>
      <c r="E2476" s="15">
        <v>500.0</v>
      </c>
      <c r="F2476" s="16">
        <v>164.84</v>
      </c>
      <c r="G2476" s="16">
        <v>0.0</v>
      </c>
      <c r="H2476" s="16">
        <v>0.0</v>
      </c>
      <c r="I2476" s="16">
        <v>0.0</v>
      </c>
      <c r="J2476" s="16">
        <v>0.0</v>
      </c>
      <c r="K2476" s="16">
        <v>0.0</v>
      </c>
      <c r="L2476" s="16">
        <v>164.84</v>
      </c>
      <c r="M2476" s="16">
        <v>239.519</v>
      </c>
      <c r="N2476" s="16">
        <v>284.65</v>
      </c>
      <c r="O2476" s="24">
        <v>35.7</v>
      </c>
      <c r="P2476" s="18">
        <f t="shared" si="1"/>
        <v>164.84</v>
      </c>
    </row>
    <row r="2477" ht="15.75" customHeight="1">
      <c r="A2477" s="19" t="s">
        <v>232</v>
      </c>
      <c r="B2477" s="19" t="s">
        <v>133</v>
      </c>
      <c r="C2477" s="20" t="s">
        <v>144</v>
      </c>
      <c r="D2477" s="14" t="str">
        <f>VLOOKUP(C2477,'State Key'!$A$2:$B$210,2,False)</f>
        <v>Maharashtra</v>
      </c>
      <c r="E2477" s="21">
        <v>1210.0</v>
      </c>
      <c r="F2477" s="22">
        <v>464.778</v>
      </c>
      <c r="G2477" s="22">
        <v>0.0</v>
      </c>
      <c r="H2477" s="22">
        <v>0.0</v>
      </c>
      <c r="I2477" s="22">
        <v>0.0</v>
      </c>
      <c r="J2477" s="22">
        <v>124.222</v>
      </c>
      <c r="K2477" s="22">
        <v>0.0</v>
      </c>
      <c r="L2477" s="22">
        <v>589.0</v>
      </c>
      <c r="M2477" s="22">
        <v>487.502</v>
      </c>
      <c r="N2477" s="22">
        <v>619.019</v>
      </c>
      <c r="O2477" s="24">
        <v>38.1</v>
      </c>
      <c r="P2477" s="18">
        <f t="shared" si="1"/>
        <v>589</v>
      </c>
    </row>
    <row r="2478" ht="15.75" customHeight="1">
      <c r="A2478" s="13" t="s">
        <v>232</v>
      </c>
      <c r="B2478" s="13" t="s">
        <v>133</v>
      </c>
      <c r="C2478" s="14" t="s">
        <v>145</v>
      </c>
      <c r="D2478" s="14" t="str">
        <f>VLOOKUP(C2478,'State Key'!$A$2:$B$210,2,False)</f>
        <v>Madhya Pradesh</v>
      </c>
      <c r="E2478" s="15">
        <v>500.0</v>
      </c>
      <c r="F2478" s="16">
        <v>180.45</v>
      </c>
      <c r="G2478" s="16">
        <v>0.0</v>
      </c>
      <c r="H2478" s="16">
        <v>0.0</v>
      </c>
      <c r="I2478" s="16">
        <v>60.37</v>
      </c>
      <c r="J2478" s="16">
        <v>0.0</v>
      </c>
      <c r="K2478" s="16">
        <v>0.0</v>
      </c>
      <c r="L2478" s="16">
        <v>240.82</v>
      </c>
      <c r="M2478" s="16">
        <v>201.37</v>
      </c>
      <c r="N2478" s="16">
        <v>241.26</v>
      </c>
      <c r="O2478" s="24">
        <v>35.9</v>
      </c>
      <c r="P2478" s="18">
        <f t="shared" si="1"/>
        <v>240.82</v>
      </c>
    </row>
    <row r="2479" ht="15.75" customHeight="1">
      <c r="A2479" s="19" t="s">
        <v>232</v>
      </c>
      <c r="B2479" s="19" t="s">
        <v>133</v>
      </c>
      <c r="C2479" s="20" t="s">
        <v>146</v>
      </c>
      <c r="D2479" s="14" t="str">
        <f>VLOOKUP(C2479,'State Key'!$A$2:$B$210,2,False)</f>
        <v>Chhattisgarh</v>
      </c>
      <c r="E2479" s="21">
        <v>600.0</v>
      </c>
      <c r="F2479" s="22">
        <v>68.831</v>
      </c>
      <c r="G2479" s="22">
        <v>0.0</v>
      </c>
      <c r="H2479" s="22">
        <v>0.0</v>
      </c>
      <c r="I2479" s="22">
        <v>280.19</v>
      </c>
      <c r="J2479" s="22">
        <v>0.0</v>
      </c>
      <c r="K2479" s="22">
        <v>0.0</v>
      </c>
      <c r="L2479" s="22">
        <v>349.021</v>
      </c>
      <c r="M2479" s="22">
        <v>212.736</v>
      </c>
      <c r="N2479" s="22">
        <v>399.92</v>
      </c>
      <c r="O2479" s="24">
        <v>56.4</v>
      </c>
      <c r="P2479" s="18">
        <f t="shared" si="1"/>
        <v>349.021</v>
      </c>
    </row>
    <row r="2480" ht="15.75" customHeight="1">
      <c r="A2480" s="13" t="s">
        <v>232</v>
      </c>
      <c r="B2480" s="13" t="s">
        <v>133</v>
      </c>
      <c r="C2480" s="14" t="s">
        <v>147</v>
      </c>
      <c r="D2480" s="14" t="str">
        <f>VLOOKUP(C2480,'State Key'!$A$2:$B$210,2,False)</f>
        <v>Maharashtra</v>
      </c>
      <c r="E2480" s="15">
        <v>600.0</v>
      </c>
      <c r="F2480" s="16">
        <v>0.0</v>
      </c>
      <c r="G2480" s="16">
        <v>0.0</v>
      </c>
      <c r="H2480" s="16">
        <v>0.0</v>
      </c>
      <c r="I2480" s="16">
        <v>0.0</v>
      </c>
      <c r="J2480" s="16">
        <v>0.0</v>
      </c>
      <c r="K2480" s="16">
        <v>0.0</v>
      </c>
      <c r="L2480" s="16">
        <v>0.0</v>
      </c>
      <c r="M2480" s="16">
        <v>0.0</v>
      </c>
      <c r="N2480" s="16">
        <v>0.0</v>
      </c>
      <c r="O2480" s="13" t="s">
        <v>58</v>
      </c>
      <c r="P2480" s="18">
        <f t="shared" si="1"/>
        <v>0</v>
      </c>
    </row>
    <row r="2481" ht="15.75" customHeight="1">
      <c r="A2481" s="19" t="s">
        <v>232</v>
      </c>
      <c r="B2481" s="19" t="s">
        <v>133</v>
      </c>
      <c r="C2481" s="20" t="s">
        <v>148</v>
      </c>
      <c r="D2481" s="14" t="str">
        <f>VLOOKUP(C2481,'State Key'!$A$2:$B$210,2,False)</f>
        <v>Chhattisgarh</v>
      </c>
      <c r="E2481" s="21">
        <v>30.0</v>
      </c>
      <c r="F2481" s="22">
        <v>4.067</v>
      </c>
      <c r="G2481" s="22">
        <v>0.0</v>
      </c>
      <c r="H2481" s="22">
        <v>0.0</v>
      </c>
      <c r="I2481" s="22">
        <v>0.0</v>
      </c>
      <c r="J2481" s="22">
        <v>0.0</v>
      </c>
      <c r="K2481" s="22">
        <v>51.186</v>
      </c>
      <c r="L2481" s="22">
        <v>55.253</v>
      </c>
      <c r="M2481" s="22">
        <v>59.218</v>
      </c>
      <c r="N2481" s="22">
        <v>65.7</v>
      </c>
      <c r="O2481" s="24">
        <v>33.3</v>
      </c>
      <c r="P2481" s="18">
        <f t="shared" si="1"/>
        <v>55.253</v>
      </c>
    </row>
    <row r="2482" ht="15.75" customHeight="1">
      <c r="A2482" s="13" t="s">
        <v>232</v>
      </c>
      <c r="B2482" s="13" t="s">
        <v>133</v>
      </c>
      <c r="C2482" s="14" t="s">
        <v>149</v>
      </c>
      <c r="D2482" s="14" t="str">
        <f>VLOOKUP(C2482,'State Key'!$A$2:$B$210,2,False)</f>
        <v>Maharashtra</v>
      </c>
      <c r="E2482" s="15">
        <v>2920.0</v>
      </c>
      <c r="F2482" s="16">
        <v>1002.432</v>
      </c>
      <c r="G2482" s="16">
        <v>32.504</v>
      </c>
      <c r="H2482" s="16">
        <v>0.0</v>
      </c>
      <c r="I2482" s="16">
        <v>0.0</v>
      </c>
      <c r="J2482" s="16">
        <v>268.373</v>
      </c>
      <c r="K2482" s="16">
        <v>0.0</v>
      </c>
      <c r="L2482" s="16">
        <v>1303.309</v>
      </c>
      <c r="M2482" s="16">
        <v>1227.0529</v>
      </c>
      <c r="N2482" s="16">
        <v>717.59</v>
      </c>
      <c r="O2482" s="24">
        <v>17.5</v>
      </c>
      <c r="P2482" s="18">
        <f t="shared" si="1"/>
        <v>1303.309</v>
      </c>
    </row>
    <row r="2483" ht="15.75" customHeight="1">
      <c r="A2483" s="19" t="s">
        <v>232</v>
      </c>
      <c r="B2483" s="19" t="s">
        <v>133</v>
      </c>
      <c r="C2483" s="20" t="s">
        <v>150</v>
      </c>
      <c r="D2483" s="14" t="str">
        <f>VLOOKUP(C2483,'State Key'!$A$2:$B$210,2,False)</f>
        <v>Maharashtra</v>
      </c>
      <c r="E2483" s="21">
        <v>500.0</v>
      </c>
      <c r="F2483" s="22">
        <v>182.342</v>
      </c>
      <c r="G2483" s="22">
        <v>0.0</v>
      </c>
      <c r="H2483" s="22">
        <v>0.0</v>
      </c>
      <c r="I2483" s="22">
        <v>0.0</v>
      </c>
      <c r="J2483" s="22">
        <v>0.0</v>
      </c>
      <c r="K2483" s="22">
        <v>0.0</v>
      </c>
      <c r="L2483" s="22">
        <v>182.342</v>
      </c>
      <c r="M2483" s="22">
        <v>204.549</v>
      </c>
      <c r="N2483" s="22">
        <v>128.93</v>
      </c>
      <c r="O2483" s="24">
        <v>18.9</v>
      </c>
      <c r="P2483" s="18">
        <f t="shared" si="1"/>
        <v>182.342</v>
      </c>
    </row>
    <row r="2484" ht="15.75" customHeight="1">
      <c r="A2484" s="13" t="s">
        <v>232</v>
      </c>
      <c r="B2484" s="13" t="s">
        <v>133</v>
      </c>
      <c r="C2484" s="14" t="s">
        <v>151</v>
      </c>
      <c r="D2484" s="14" t="str">
        <f>VLOOKUP(C2484,'State Key'!$A$2:$B$210,2,False)</f>
        <v>Maharashtra</v>
      </c>
      <c r="E2484" s="15">
        <v>600.0</v>
      </c>
      <c r="F2484" s="16">
        <v>244.377</v>
      </c>
      <c r="G2484" s="16">
        <v>0.0</v>
      </c>
      <c r="H2484" s="16">
        <v>0.0</v>
      </c>
      <c r="I2484" s="16">
        <v>29.005</v>
      </c>
      <c r="J2484" s="16">
        <v>0.0</v>
      </c>
      <c r="K2484" s="16">
        <v>0.0</v>
      </c>
      <c r="L2484" s="16">
        <v>273.382</v>
      </c>
      <c r="M2484" s="16">
        <v>269.527</v>
      </c>
      <c r="N2484" s="16">
        <v>253.04</v>
      </c>
      <c r="O2484" s="24">
        <v>28.2</v>
      </c>
      <c r="P2484" s="18">
        <f t="shared" si="1"/>
        <v>273.382</v>
      </c>
    </row>
    <row r="2485" ht="15.75" customHeight="1">
      <c r="A2485" s="19" t="s">
        <v>232</v>
      </c>
      <c r="B2485" s="19" t="s">
        <v>133</v>
      </c>
      <c r="C2485" s="20" t="s">
        <v>152</v>
      </c>
      <c r="D2485" s="14" t="str">
        <f>VLOOKUP(C2485,'State Key'!$A$2:$B$210,2,False)</f>
        <v>Chhattisgarh</v>
      </c>
      <c r="E2485" s="21">
        <v>500.0</v>
      </c>
      <c r="F2485" s="22">
        <v>211.847</v>
      </c>
      <c r="G2485" s="22">
        <v>0.0</v>
      </c>
      <c r="H2485" s="22">
        <v>0.0</v>
      </c>
      <c r="I2485" s="22">
        <v>0.0</v>
      </c>
      <c r="J2485" s="22">
        <v>0.0</v>
      </c>
      <c r="K2485" s="22">
        <v>0.0</v>
      </c>
      <c r="L2485" s="22">
        <v>211.847</v>
      </c>
      <c r="M2485" s="22">
        <v>255.031</v>
      </c>
      <c r="N2485" s="22">
        <v>260.469</v>
      </c>
      <c r="O2485" s="24">
        <v>30.6</v>
      </c>
      <c r="P2485" s="18">
        <f t="shared" si="1"/>
        <v>211.847</v>
      </c>
    </row>
    <row r="2486" ht="15.75" customHeight="1">
      <c r="A2486" s="13" t="s">
        <v>232</v>
      </c>
      <c r="B2486" s="13" t="s">
        <v>133</v>
      </c>
      <c r="C2486" s="14" t="s">
        <v>153</v>
      </c>
      <c r="D2486" s="14" t="str">
        <f>VLOOKUP(C2486,'State Key'!$A$2:$B$210,2,False)</f>
        <v>Madhya Pradesh</v>
      </c>
      <c r="E2486" s="15">
        <v>1600.0</v>
      </c>
      <c r="F2486" s="16">
        <v>213.63</v>
      </c>
      <c r="G2486" s="16">
        <v>16.04</v>
      </c>
      <c r="H2486" s="16">
        <v>263.07</v>
      </c>
      <c r="I2486" s="16">
        <v>0.0</v>
      </c>
      <c r="J2486" s="16">
        <v>12.11</v>
      </c>
      <c r="K2486" s="16">
        <v>0.0</v>
      </c>
      <c r="L2486" s="16">
        <v>504.85</v>
      </c>
      <c r="M2486" s="16">
        <v>524.969</v>
      </c>
      <c r="N2486" s="16">
        <v>493.833</v>
      </c>
      <c r="O2486" s="24">
        <v>28.2</v>
      </c>
      <c r="P2486" s="18">
        <f t="shared" si="1"/>
        <v>504.85</v>
      </c>
    </row>
    <row r="2487" ht="15.75" customHeight="1">
      <c r="A2487" s="19" t="s">
        <v>232</v>
      </c>
      <c r="B2487" s="19" t="s">
        <v>133</v>
      </c>
      <c r="C2487" s="20" t="s">
        <v>154</v>
      </c>
      <c r="D2487" s="14" t="str">
        <f>VLOOKUP(C2487,'State Key'!$A$2:$B$210,2,False)</f>
        <v>Gujarat</v>
      </c>
      <c r="E2487" s="21">
        <v>630.0</v>
      </c>
      <c r="F2487" s="22">
        <v>239.713</v>
      </c>
      <c r="G2487" s="22">
        <v>0.0</v>
      </c>
      <c r="H2487" s="22">
        <v>0.0</v>
      </c>
      <c r="I2487" s="22">
        <v>0.0</v>
      </c>
      <c r="J2487" s="22">
        <v>11.985</v>
      </c>
      <c r="K2487" s="22">
        <v>0.0</v>
      </c>
      <c r="L2487" s="22">
        <v>251.698</v>
      </c>
      <c r="M2487" s="22">
        <v>262.076</v>
      </c>
      <c r="N2487" s="22">
        <v>85.71</v>
      </c>
      <c r="O2487" s="23">
        <v>9.8</v>
      </c>
      <c r="P2487" s="18">
        <f t="shared" si="1"/>
        <v>251.698</v>
      </c>
    </row>
    <row r="2488" ht="15.75" customHeight="1">
      <c r="A2488" s="13" t="s">
        <v>232</v>
      </c>
      <c r="B2488" s="13" t="s">
        <v>133</v>
      </c>
      <c r="C2488" s="14" t="s">
        <v>155</v>
      </c>
      <c r="D2488" s="14" t="str">
        <f>VLOOKUP(C2488,'State Key'!$A$2:$B$210,2,False)</f>
        <v>Maharashtra</v>
      </c>
      <c r="E2488" s="15">
        <v>120.0</v>
      </c>
      <c r="F2488" s="16">
        <v>0.0</v>
      </c>
      <c r="G2488" s="16">
        <v>0.0</v>
      </c>
      <c r="H2488" s="16">
        <v>0.0</v>
      </c>
      <c r="I2488" s="16">
        <v>0.0</v>
      </c>
      <c r="J2488" s="16">
        <v>0.0</v>
      </c>
      <c r="K2488" s="16">
        <v>0.0</v>
      </c>
      <c r="L2488" s="16">
        <v>0.0</v>
      </c>
      <c r="M2488" s="16">
        <v>0.0</v>
      </c>
      <c r="N2488" s="16">
        <v>0.0</v>
      </c>
      <c r="O2488" s="13" t="s">
        <v>58</v>
      </c>
      <c r="P2488" s="18">
        <f t="shared" si="1"/>
        <v>0</v>
      </c>
    </row>
    <row r="2489" ht="15.75" customHeight="1">
      <c r="A2489" s="19" t="s">
        <v>232</v>
      </c>
      <c r="B2489" s="19" t="s">
        <v>133</v>
      </c>
      <c r="C2489" s="20" t="s">
        <v>156</v>
      </c>
      <c r="D2489" s="14" t="str">
        <f>VLOOKUP(C2489,'State Key'!$A$2:$B$210,2,False)</f>
        <v>Maharashtra</v>
      </c>
      <c r="E2489" s="21">
        <v>600.0</v>
      </c>
      <c r="F2489" s="22">
        <v>135.168</v>
      </c>
      <c r="G2489" s="22">
        <v>0.0</v>
      </c>
      <c r="H2489" s="22">
        <v>0.0</v>
      </c>
      <c r="I2489" s="22">
        <v>122.318</v>
      </c>
      <c r="J2489" s="22">
        <v>0.0</v>
      </c>
      <c r="K2489" s="22">
        <v>0.0</v>
      </c>
      <c r="L2489" s="22">
        <v>257.486</v>
      </c>
      <c r="M2489" s="22">
        <v>254.492</v>
      </c>
      <c r="N2489" s="22">
        <v>126.135</v>
      </c>
      <c r="O2489" s="24">
        <v>14.9</v>
      </c>
      <c r="P2489" s="18">
        <f t="shared" si="1"/>
        <v>257.486</v>
      </c>
    </row>
    <row r="2490" ht="15.75" customHeight="1">
      <c r="A2490" s="13" t="s">
        <v>232</v>
      </c>
      <c r="B2490" s="13" t="s">
        <v>133</v>
      </c>
      <c r="C2490" s="14" t="s">
        <v>157</v>
      </c>
      <c r="D2490" s="14" t="str">
        <f>VLOOKUP(C2490,'State Key'!$A$2:$B$210,2,False)</f>
        <v>Maharashtra</v>
      </c>
      <c r="E2490" s="15">
        <v>300.0</v>
      </c>
      <c r="F2490" s="16">
        <v>0.0</v>
      </c>
      <c r="G2490" s="16">
        <v>0.0</v>
      </c>
      <c r="H2490" s="16">
        <v>0.0</v>
      </c>
      <c r="I2490" s="16">
        <v>0.0</v>
      </c>
      <c r="J2490" s="16">
        <v>100.0</v>
      </c>
      <c r="K2490" s="16">
        <v>0.0</v>
      </c>
      <c r="L2490" s="16">
        <v>100.0</v>
      </c>
      <c r="M2490" s="16">
        <v>78.2</v>
      </c>
      <c r="N2490" s="16">
        <v>53.36</v>
      </c>
      <c r="O2490" s="24">
        <v>20.5</v>
      </c>
      <c r="P2490" s="18">
        <f t="shared" si="1"/>
        <v>100</v>
      </c>
    </row>
    <row r="2491" ht="15.75" customHeight="1">
      <c r="A2491" s="19" t="s">
        <v>232</v>
      </c>
      <c r="B2491" s="19" t="s">
        <v>133</v>
      </c>
      <c r="C2491" s="20" t="s">
        <v>158</v>
      </c>
      <c r="D2491" s="14" t="str">
        <f>VLOOKUP(C2491,'State Key'!$A$2:$B$210,2,False)</f>
        <v>Chhattisgarh</v>
      </c>
      <c r="E2491" s="21">
        <v>270.0</v>
      </c>
      <c r="F2491" s="22">
        <v>59.2945</v>
      </c>
      <c r="G2491" s="22">
        <v>0.0</v>
      </c>
      <c r="H2491" s="22">
        <v>0.0</v>
      </c>
      <c r="I2491" s="22">
        <v>0.0</v>
      </c>
      <c r="J2491" s="22">
        <v>0.0</v>
      </c>
      <c r="K2491" s="22">
        <v>60.2127</v>
      </c>
      <c r="L2491" s="22">
        <v>119.5072</v>
      </c>
      <c r="M2491" s="22">
        <v>100.52</v>
      </c>
      <c r="N2491" s="22">
        <v>245.64</v>
      </c>
      <c r="O2491" s="24">
        <v>73.3</v>
      </c>
      <c r="P2491" s="18">
        <f t="shared" si="1"/>
        <v>119.5072</v>
      </c>
    </row>
    <row r="2492" ht="15.75" customHeight="1">
      <c r="A2492" s="13" t="s">
        <v>232</v>
      </c>
      <c r="B2492" s="13" t="s">
        <v>133</v>
      </c>
      <c r="C2492" s="14" t="s">
        <v>159</v>
      </c>
      <c r="D2492" s="14" t="str">
        <f>VLOOKUP(C2492,'State Key'!$A$2:$B$210,2,False)</f>
        <v>Chhattisgarh</v>
      </c>
      <c r="E2492" s="15">
        <v>35.0</v>
      </c>
      <c r="F2492" s="16">
        <v>0.0</v>
      </c>
      <c r="G2492" s="16">
        <v>0.0</v>
      </c>
      <c r="H2492" s="16">
        <v>0.0</v>
      </c>
      <c r="I2492" s="16">
        <v>0.0</v>
      </c>
      <c r="J2492" s="16">
        <v>0.0</v>
      </c>
      <c r="K2492" s="16">
        <v>0.0</v>
      </c>
      <c r="L2492" s="16">
        <v>0.0</v>
      </c>
      <c r="M2492" s="16">
        <v>0.0</v>
      </c>
      <c r="N2492" s="16">
        <v>0.0</v>
      </c>
      <c r="O2492" s="13" t="s">
        <v>58</v>
      </c>
      <c r="P2492" s="18">
        <f t="shared" si="1"/>
        <v>0</v>
      </c>
    </row>
    <row r="2493" ht="15.75" customHeight="1">
      <c r="A2493" s="19" t="s">
        <v>232</v>
      </c>
      <c r="B2493" s="19" t="s">
        <v>133</v>
      </c>
      <c r="C2493" s="20" t="s">
        <v>160</v>
      </c>
      <c r="D2493" s="14" t="str">
        <f>VLOOKUP(C2493,'State Key'!$A$2:$B$210,2,False)</f>
        <v>Maharashtra</v>
      </c>
      <c r="E2493" s="21">
        <v>1340.0</v>
      </c>
      <c r="F2493" s="22">
        <v>625.537</v>
      </c>
      <c r="G2493" s="22">
        <v>0.0</v>
      </c>
      <c r="H2493" s="22">
        <v>0.0</v>
      </c>
      <c r="I2493" s="22">
        <v>0.0</v>
      </c>
      <c r="J2493" s="22">
        <v>123.536</v>
      </c>
      <c r="K2493" s="22">
        <v>0.119</v>
      </c>
      <c r="L2493" s="22">
        <v>749.192</v>
      </c>
      <c r="M2493" s="22">
        <v>646.424</v>
      </c>
      <c r="N2493" s="22">
        <v>324.72</v>
      </c>
      <c r="O2493" s="24">
        <v>15.1</v>
      </c>
      <c r="P2493" s="18">
        <f t="shared" si="1"/>
        <v>749.192</v>
      </c>
    </row>
    <row r="2494" ht="15.75" customHeight="1">
      <c r="A2494" s="13" t="s">
        <v>232</v>
      </c>
      <c r="B2494" s="13" t="s">
        <v>133</v>
      </c>
      <c r="C2494" s="14" t="s">
        <v>161</v>
      </c>
      <c r="D2494" s="14" t="str">
        <f>VLOOKUP(C2494,'State Key'!$A$2:$B$210,2,False)</f>
        <v>Madhya Pradesh</v>
      </c>
      <c r="E2494" s="15">
        <v>1320.0</v>
      </c>
      <c r="F2494" s="16">
        <v>293.03</v>
      </c>
      <c r="G2494" s="16">
        <v>0.0</v>
      </c>
      <c r="H2494" s="16">
        <v>167.1</v>
      </c>
      <c r="I2494" s="16">
        <v>0.0</v>
      </c>
      <c r="J2494" s="16">
        <v>16.32</v>
      </c>
      <c r="K2494" s="16">
        <v>0.0</v>
      </c>
      <c r="L2494" s="16">
        <v>476.45</v>
      </c>
      <c r="M2494" s="16">
        <v>463.647</v>
      </c>
      <c r="N2494" s="16">
        <v>658.815</v>
      </c>
      <c r="O2494" s="24">
        <v>42.6</v>
      </c>
      <c r="P2494" s="18">
        <f t="shared" si="1"/>
        <v>476.45</v>
      </c>
    </row>
    <row r="2495" ht="15.75" customHeight="1">
      <c r="A2495" s="19" t="s">
        <v>232</v>
      </c>
      <c r="B2495" s="19" t="s">
        <v>133</v>
      </c>
      <c r="C2495" s="20" t="s">
        <v>162</v>
      </c>
      <c r="D2495" s="14" t="str">
        <f>VLOOKUP(C2495,'State Key'!$A$2:$B$210,2,False)</f>
        <v>Maharashtra</v>
      </c>
      <c r="E2495" s="21">
        <v>2190.0</v>
      </c>
      <c r="F2495" s="22">
        <v>759.707</v>
      </c>
      <c r="G2495" s="22">
        <v>74.437</v>
      </c>
      <c r="H2495" s="22">
        <v>0.0</v>
      </c>
      <c r="I2495" s="22">
        <v>0.0</v>
      </c>
      <c r="J2495" s="22">
        <v>0.0</v>
      </c>
      <c r="K2495" s="22">
        <v>0.0</v>
      </c>
      <c r="L2495" s="22">
        <v>834.144</v>
      </c>
      <c r="M2495" s="22">
        <v>865.437</v>
      </c>
      <c r="N2495" s="22">
        <v>397.731</v>
      </c>
      <c r="O2495" s="23">
        <v>13.8</v>
      </c>
      <c r="P2495" s="18">
        <f t="shared" si="1"/>
        <v>834.144</v>
      </c>
    </row>
    <row r="2496" ht="15.75" customHeight="1">
      <c r="A2496" s="13" t="s">
        <v>232</v>
      </c>
      <c r="B2496" s="13" t="s">
        <v>133</v>
      </c>
      <c r="C2496" s="14" t="s">
        <v>163</v>
      </c>
      <c r="D2496" s="14" t="str">
        <f>VLOOKUP(C2496,'State Key'!$A$2:$B$210,2,False)</f>
        <v>Chhattisgarh</v>
      </c>
      <c r="E2496" s="15">
        <v>2600.0</v>
      </c>
      <c r="F2496" s="16">
        <v>1214.14</v>
      </c>
      <c r="G2496" s="16">
        <v>0.0</v>
      </c>
      <c r="H2496" s="16">
        <v>0.0</v>
      </c>
      <c r="I2496" s="16">
        <v>0.0</v>
      </c>
      <c r="J2496" s="16">
        <v>0.0</v>
      </c>
      <c r="K2496" s="16">
        <v>0.0</v>
      </c>
      <c r="L2496" s="16">
        <v>1214.14</v>
      </c>
      <c r="M2496" s="16">
        <v>1276.665</v>
      </c>
      <c r="N2496" s="16">
        <v>328.508</v>
      </c>
      <c r="O2496" s="23">
        <v>7.7</v>
      </c>
      <c r="P2496" s="18">
        <f t="shared" si="1"/>
        <v>1214.14</v>
      </c>
    </row>
    <row r="2497" ht="15.75" customHeight="1">
      <c r="A2497" s="19" t="s">
        <v>232</v>
      </c>
      <c r="B2497" s="19" t="s">
        <v>133</v>
      </c>
      <c r="C2497" s="20" t="s">
        <v>164</v>
      </c>
      <c r="D2497" s="14" t="str">
        <f>VLOOKUP(C2497,'State Key'!$A$2:$B$210,2,False)</f>
        <v>Chhattisgarh</v>
      </c>
      <c r="E2497" s="21">
        <v>1340.0</v>
      </c>
      <c r="F2497" s="22">
        <v>575.637</v>
      </c>
      <c r="G2497" s="22">
        <v>0.0</v>
      </c>
      <c r="H2497" s="22">
        <v>0.0</v>
      </c>
      <c r="I2497" s="22">
        <v>0.0</v>
      </c>
      <c r="J2497" s="22">
        <v>0.0</v>
      </c>
      <c r="K2497" s="22">
        <v>0.0</v>
      </c>
      <c r="L2497" s="22">
        <v>575.637</v>
      </c>
      <c r="M2497" s="22">
        <v>626.921</v>
      </c>
      <c r="N2497" s="22">
        <v>82.882</v>
      </c>
      <c r="O2497" s="17">
        <v>4.0</v>
      </c>
      <c r="P2497" s="18">
        <f t="shared" si="1"/>
        <v>575.637</v>
      </c>
    </row>
    <row r="2498" ht="15.75" customHeight="1">
      <c r="A2498" s="13" t="s">
        <v>232</v>
      </c>
      <c r="B2498" s="13" t="s">
        <v>133</v>
      </c>
      <c r="C2498" s="14" t="s">
        <v>165</v>
      </c>
      <c r="D2498" s="14" t="str">
        <f>VLOOKUP(C2498,'State Key'!$A$2:$B$210,2,False)</f>
        <v>Chhattisgarh</v>
      </c>
      <c r="E2498" s="15">
        <v>1600.0</v>
      </c>
      <c r="F2498" s="16">
        <v>3.46</v>
      </c>
      <c r="G2498" s="16">
        <v>0.0</v>
      </c>
      <c r="H2498" s="16">
        <v>851.07</v>
      </c>
      <c r="I2498" s="16">
        <v>0.0</v>
      </c>
      <c r="J2498" s="16">
        <v>0.0</v>
      </c>
      <c r="K2498" s="16">
        <v>0.0</v>
      </c>
      <c r="L2498" s="16">
        <v>854.53</v>
      </c>
      <c r="M2498" s="16">
        <v>768.439</v>
      </c>
      <c r="N2498" s="16">
        <v>603.442</v>
      </c>
      <c r="O2498" s="24">
        <v>23.6</v>
      </c>
      <c r="P2498" s="18">
        <f t="shared" si="1"/>
        <v>854.53</v>
      </c>
    </row>
    <row r="2499" ht="15.75" customHeight="1">
      <c r="A2499" s="19" t="s">
        <v>232</v>
      </c>
      <c r="B2499" s="19" t="s">
        <v>133</v>
      </c>
      <c r="C2499" s="20" t="s">
        <v>166</v>
      </c>
      <c r="D2499" s="14" t="str">
        <f>VLOOKUP(C2499,'State Key'!$A$2:$B$210,2,False)</f>
        <v>Madhya Pradesh</v>
      </c>
      <c r="E2499" s="21">
        <v>1200.0</v>
      </c>
      <c r="F2499" s="22">
        <v>339.086</v>
      </c>
      <c r="G2499" s="22">
        <v>0.0</v>
      </c>
      <c r="H2499" s="22">
        <v>0.0</v>
      </c>
      <c r="I2499" s="22">
        <v>0.0</v>
      </c>
      <c r="J2499" s="22">
        <v>0.0</v>
      </c>
      <c r="K2499" s="22">
        <v>113.77</v>
      </c>
      <c r="L2499" s="22">
        <v>452.856</v>
      </c>
      <c r="M2499" s="22">
        <v>459.712</v>
      </c>
      <c r="N2499" s="22">
        <v>338.56</v>
      </c>
      <c r="O2499" s="24">
        <v>22.1</v>
      </c>
      <c r="P2499" s="18">
        <f t="shared" si="1"/>
        <v>452.856</v>
      </c>
    </row>
    <row r="2500" ht="15.75" customHeight="1">
      <c r="A2500" s="13" t="s">
        <v>232</v>
      </c>
      <c r="B2500" s="13" t="s">
        <v>133</v>
      </c>
      <c r="C2500" s="14" t="s">
        <v>167</v>
      </c>
      <c r="D2500" s="14" t="str">
        <f>VLOOKUP(C2500,'State Key'!$A$2:$B$210,2,False)</f>
        <v>Chhattisgarh</v>
      </c>
      <c r="E2500" s="15">
        <v>1000.0</v>
      </c>
      <c r="F2500" s="16">
        <v>144.1</v>
      </c>
      <c r="G2500" s="16">
        <v>0.0</v>
      </c>
      <c r="H2500" s="16">
        <v>328.05</v>
      </c>
      <c r="I2500" s="16">
        <v>0.0</v>
      </c>
      <c r="J2500" s="16">
        <v>0.0</v>
      </c>
      <c r="K2500" s="16">
        <v>0.0</v>
      </c>
      <c r="L2500" s="16">
        <v>472.15</v>
      </c>
      <c r="M2500" s="16">
        <v>519.365</v>
      </c>
      <c r="N2500" s="16">
        <v>342.17</v>
      </c>
      <c r="O2500" s="24">
        <v>19.8</v>
      </c>
      <c r="P2500" s="18">
        <f t="shared" si="1"/>
        <v>472.15</v>
      </c>
    </row>
    <row r="2501" ht="15.75" customHeight="1">
      <c r="A2501" s="19" t="s">
        <v>232</v>
      </c>
      <c r="B2501" s="19" t="s">
        <v>133</v>
      </c>
      <c r="C2501" s="20" t="s">
        <v>168</v>
      </c>
      <c r="D2501" s="14" t="str">
        <f>VLOOKUP(C2501,'State Key'!$A$2:$B$210,2,False)</f>
        <v>Maharashtra</v>
      </c>
      <c r="E2501" s="21">
        <v>2320.0</v>
      </c>
      <c r="F2501" s="22">
        <v>737.9</v>
      </c>
      <c r="G2501" s="22">
        <v>0.0</v>
      </c>
      <c r="H2501" s="22">
        <v>110.03</v>
      </c>
      <c r="I2501" s="22">
        <v>0.0</v>
      </c>
      <c r="J2501" s="22">
        <v>8.37</v>
      </c>
      <c r="K2501" s="22">
        <v>0.0</v>
      </c>
      <c r="L2501" s="22">
        <v>856.3</v>
      </c>
      <c r="M2501" s="22">
        <v>911.752</v>
      </c>
      <c r="N2501" s="22">
        <v>431.456</v>
      </c>
      <c r="O2501" s="24">
        <v>14.2</v>
      </c>
      <c r="P2501" s="18">
        <f t="shared" si="1"/>
        <v>856.3</v>
      </c>
    </row>
    <row r="2502" ht="15.75" customHeight="1">
      <c r="A2502" s="13" t="s">
        <v>232</v>
      </c>
      <c r="B2502" s="13" t="s">
        <v>133</v>
      </c>
      <c r="C2502" s="14" t="s">
        <v>169</v>
      </c>
      <c r="D2502" s="14" t="str">
        <f>VLOOKUP(C2502,'State Key'!$A$2:$B$210,2,False)</f>
        <v>Madhya Pradesh</v>
      </c>
      <c r="E2502" s="15">
        <v>246.01</v>
      </c>
      <c r="F2502" s="16">
        <v>0.0</v>
      </c>
      <c r="G2502" s="16">
        <v>0.0</v>
      </c>
      <c r="H2502" s="16">
        <v>0.0</v>
      </c>
      <c r="I2502" s="16">
        <v>0.0</v>
      </c>
      <c r="J2502" s="16">
        <v>0.0</v>
      </c>
      <c r="K2502" s="16">
        <v>0.0</v>
      </c>
      <c r="L2502" s="16">
        <v>0.0</v>
      </c>
      <c r="M2502" s="16">
        <v>0.0</v>
      </c>
      <c r="N2502" s="16">
        <v>0.0</v>
      </c>
      <c r="O2502" s="13" t="s">
        <v>58</v>
      </c>
      <c r="P2502" s="18">
        <f t="shared" si="1"/>
        <v>0</v>
      </c>
    </row>
    <row r="2503" ht="15.75" customHeight="1">
      <c r="A2503" s="19" t="s">
        <v>232</v>
      </c>
      <c r="B2503" s="19" t="s">
        <v>133</v>
      </c>
      <c r="C2503" s="20" t="s">
        <v>172</v>
      </c>
      <c r="D2503" s="14" t="str">
        <f>VLOOKUP(C2503,'State Key'!$A$2:$B$210,2,False)</f>
        <v>Gujarat</v>
      </c>
      <c r="E2503" s="21">
        <v>4000.0</v>
      </c>
      <c r="F2503" s="22">
        <v>0.0</v>
      </c>
      <c r="G2503" s="22">
        <v>0.0</v>
      </c>
      <c r="H2503" s="22">
        <v>0.0</v>
      </c>
      <c r="I2503" s="22">
        <v>0.0</v>
      </c>
      <c r="J2503" s="22">
        <v>741.919</v>
      </c>
      <c r="K2503" s="22">
        <v>0.0</v>
      </c>
      <c r="L2503" s="22">
        <v>741.919</v>
      </c>
      <c r="M2503" s="22">
        <v>884.261</v>
      </c>
      <c r="N2503" s="22">
        <v>486.008</v>
      </c>
      <c r="O2503" s="24">
        <v>16.5</v>
      </c>
      <c r="P2503" s="18">
        <f t="shared" si="1"/>
        <v>741.919</v>
      </c>
    </row>
    <row r="2504" ht="15.75" customHeight="1">
      <c r="A2504" s="13" t="s">
        <v>232</v>
      </c>
      <c r="B2504" s="13" t="s">
        <v>133</v>
      </c>
      <c r="C2504" s="14" t="s">
        <v>173</v>
      </c>
      <c r="D2504" s="14" t="str">
        <f>VLOOKUP(C2504,'State Key'!$A$2:$B$210,2,False)</f>
        <v>Maharashtra</v>
      </c>
      <c r="E2504" s="15">
        <v>1350.0</v>
      </c>
      <c r="F2504" s="16">
        <v>0.0</v>
      </c>
      <c r="G2504" s="16">
        <v>0.0</v>
      </c>
      <c r="H2504" s="16">
        <v>0.0</v>
      </c>
      <c r="I2504" s="16">
        <v>0.0</v>
      </c>
      <c r="J2504" s="16">
        <v>0.0</v>
      </c>
      <c r="K2504" s="16">
        <v>0.0</v>
      </c>
      <c r="L2504" s="16">
        <v>0.0</v>
      </c>
      <c r="M2504" s="16">
        <v>0.0</v>
      </c>
      <c r="N2504" s="16">
        <v>0.0</v>
      </c>
      <c r="O2504" s="13" t="s">
        <v>58</v>
      </c>
      <c r="P2504" s="18">
        <f t="shared" si="1"/>
        <v>0</v>
      </c>
    </row>
    <row r="2505" ht="15.75" customHeight="1">
      <c r="A2505" s="19" t="s">
        <v>232</v>
      </c>
      <c r="B2505" s="19" t="s">
        <v>133</v>
      </c>
      <c r="C2505" s="20" t="s">
        <v>174</v>
      </c>
      <c r="D2505" s="14" t="str">
        <f>VLOOKUP(C2505,'State Key'!$A$2:$B$210,2,False)</f>
        <v>Maharashtra</v>
      </c>
      <c r="E2505" s="21">
        <v>630.0</v>
      </c>
      <c r="F2505" s="22">
        <v>241.863</v>
      </c>
      <c r="G2505" s="22">
        <v>0.0</v>
      </c>
      <c r="H2505" s="22">
        <v>0.0</v>
      </c>
      <c r="I2505" s="22">
        <v>0.0</v>
      </c>
      <c r="J2505" s="22">
        <v>82.308</v>
      </c>
      <c r="K2505" s="22">
        <v>0.0</v>
      </c>
      <c r="L2505" s="22">
        <v>324.171</v>
      </c>
      <c r="M2505" s="22">
        <v>267.498</v>
      </c>
      <c r="N2505" s="22">
        <v>167.85</v>
      </c>
      <c r="O2505" s="24">
        <v>18.8</v>
      </c>
      <c r="P2505" s="18">
        <f t="shared" si="1"/>
        <v>324.171</v>
      </c>
    </row>
    <row r="2506" ht="15.75" customHeight="1">
      <c r="A2506" s="13" t="s">
        <v>232</v>
      </c>
      <c r="B2506" s="13" t="s">
        <v>133</v>
      </c>
      <c r="C2506" s="14" t="s">
        <v>175</v>
      </c>
      <c r="D2506" s="14" t="str">
        <f>VLOOKUP(C2506,'State Key'!$A$2:$B$210,2,False)</f>
        <v>Chhattisgarh</v>
      </c>
      <c r="E2506" s="15">
        <v>600.0</v>
      </c>
      <c r="F2506" s="16">
        <v>279.302</v>
      </c>
      <c r="G2506" s="16">
        <v>0.0</v>
      </c>
      <c r="H2506" s="16">
        <v>0.0</v>
      </c>
      <c r="I2506" s="16">
        <v>0.0</v>
      </c>
      <c r="J2506" s="16">
        <v>0.0</v>
      </c>
      <c r="K2506" s="16">
        <v>0.0</v>
      </c>
      <c r="L2506" s="16">
        <v>279.302</v>
      </c>
      <c r="M2506" s="16">
        <v>213.37</v>
      </c>
      <c r="N2506" s="16">
        <v>186.82</v>
      </c>
      <c r="O2506" s="24">
        <v>26.3</v>
      </c>
      <c r="P2506" s="18">
        <f t="shared" si="1"/>
        <v>279.302</v>
      </c>
    </row>
    <row r="2507" ht="15.75" customHeight="1">
      <c r="A2507" s="19" t="s">
        <v>232</v>
      </c>
      <c r="B2507" s="19" t="s">
        <v>133</v>
      </c>
      <c r="C2507" s="20" t="s">
        <v>176</v>
      </c>
      <c r="D2507" s="14" t="str">
        <f>VLOOKUP(C2507,'State Key'!$A$2:$B$210,2,False)</f>
        <v>Madhya Pradesh</v>
      </c>
      <c r="E2507" s="21">
        <v>1320.0</v>
      </c>
      <c r="F2507" s="22">
        <v>0.0</v>
      </c>
      <c r="G2507" s="22">
        <v>0.0</v>
      </c>
      <c r="H2507" s="22">
        <v>388.1341</v>
      </c>
      <c r="I2507" s="22">
        <v>160.4629</v>
      </c>
      <c r="J2507" s="22">
        <v>0.0</v>
      </c>
      <c r="K2507" s="22">
        <v>0.0</v>
      </c>
      <c r="L2507" s="22">
        <v>548.597</v>
      </c>
      <c r="M2507" s="22">
        <v>528.9799</v>
      </c>
      <c r="N2507" s="22">
        <v>413.645</v>
      </c>
      <c r="O2507" s="24">
        <v>23.5</v>
      </c>
      <c r="P2507" s="18">
        <f t="shared" si="1"/>
        <v>548.597</v>
      </c>
    </row>
    <row r="2508" ht="15.75" customHeight="1">
      <c r="A2508" s="13" t="s">
        <v>232</v>
      </c>
      <c r="B2508" s="13" t="s">
        <v>133</v>
      </c>
      <c r="C2508" s="14" t="s">
        <v>177</v>
      </c>
      <c r="D2508" s="14" t="str">
        <f>VLOOKUP(C2508,'State Key'!$A$2:$B$210,2,False)</f>
        <v>Madhya Pradesh</v>
      </c>
      <c r="E2508" s="15">
        <v>90.0</v>
      </c>
      <c r="F2508" s="16">
        <v>27.99</v>
      </c>
      <c r="G2508" s="16">
        <v>0.0</v>
      </c>
      <c r="H2508" s="16">
        <v>0.0</v>
      </c>
      <c r="I2508" s="16">
        <v>0.0</v>
      </c>
      <c r="J2508" s="16">
        <v>0.0</v>
      </c>
      <c r="K2508" s="16">
        <v>9.98</v>
      </c>
      <c r="L2508" s="16">
        <v>37.97</v>
      </c>
      <c r="M2508" s="16">
        <v>37.65</v>
      </c>
      <c r="N2508" s="16">
        <v>91.76</v>
      </c>
      <c r="O2508" s="24">
        <v>73.1</v>
      </c>
      <c r="P2508" s="18">
        <f t="shared" si="1"/>
        <v>37.97</v>
      </c>
    </row>
    <row r="2509" ht="15.75" customHeight="1">
      <c r="A2509" s="19" t="s">
        <v>232</v>
      </c>
      <c r="B2509" s="19" t="s">
        <v>133</v>
      </c>
      <c r="C2509" s="20" t="s">
        <v>178</v>
      </c>
      <c r="D2509" s="14" t="str">
        <f>VLOOKUP(C2509,'State Key'!$A$2:$B$210,2,False)</f>
        <v>Chhattisgarh</v>
      </c>
      <c r="E2509" s="21">
        <v>1000.0</v>
      </c>
      <c r="F2509" s="22">
        <v>86.485</v>
      </c>
      <c r="G2509" s="22">
        <v>0.0</v>
      </c>
      <c r="H2509" s="22">
        <v>0.0</v>
      </c>
      <c r="I2509" s="22">
        <v>54.453</v>
      </c>
      <c r="J2509" s="22">
        <v>0.0</v>
      </c>
      <c r="K2509" s="22">
        <v>185.997</v>
      </c>
      <c r="L2509" s="22">
        <v>326.935</v>
      </c>
      <c r="M2509" s="22">
        <v>413.018</v>
      </c>
      <c r="N2509" s="22">
        <v>144.408</v>
      </c>
      <c r="O2509" s="23">
        <v>10.5</v>
      </c>
      <c r="P2509" s="18">
        <f t="shared" si="1"/>
        <v>326.935</v>
      </c>
    </row>
    <row r="2510" ht="15.75" customHeight="1">
      <c r="A2510" s="13" t="s">
        <v>232</v>
      </c>
      <c r="B2510" s="13" t="s">
        <v>133</v>
      </c>
      <c r="C2510" s="14" t="s">
        <v>179</v>
      </c>
      <c r="D2510" s="14" t="str">
        <f>VLOOKUP(C2510,'State Key'!$A$2:$B$210,2,False)</f>
        <v>Maharashtra</v>
      </c>
      <c r="E2510" s="15">
        <v>500.0</v>
      </c>
      <c r="F2510" s="16">
        <v>281.475</v>
      </c>
      <c r="G2510" s="16">
        <v>7.883</v>
      </c>
      <c r="H2510" s="16">
        <v>0.0</v>
      </c>
      <c r="I2510" s="16">
        <v>0.0</v>
      </c>
      <c r="J2510" s="16">
        <v>0.0</v>
      </c>
      <c r="K2510" s="16">
        <v>0.0</v>
      </c>
      <c r="L2510" s="16">
        <v>289.358</v>
      </c>
      <c r="M2510" s="16">
        <v>221.611</v>
      </c>
      <c r="N2510" s="16">
        <v>201.07</v>
      </c>
      <c r="O2510" s="24">
        <v>27.2</v>
      </c>
      <c r="P2510" s="18">
        <f t="shared" si="1"/>
        <v>289.358</v>
      </c>
    </row>
    <row r="2511" ht="15.75" customHeight="1">
      <c r="A2511" s="19" t="s">
        <v>232</v>
      </c>
      <c r="B2511" s="19" t="s">
        <v>133</v>
      </c>
      <c r="C2511" s="20" t="s">
        <v>180</v>
      </c>
      <c r="D2511" s="14" t="str">
        <f>VLOOKUP(C2511,'State Key'!$A$2:$B$210,2,False)</f>
        <v>Maharashtra</v>
      </c>
      <c r="E2511" s="21">
        <v>750.0</v>
      </c>
      <c r="F2511" s="22">
        <v>118.877</v>
      </c>
      <c r="G2511" s="22">
        <v>125.023</v>
      </c>
      <c r="H2511" s="22">
        <v>0.0</v>
      </c>
      <c r="I2511" s="22">
        <v>0.0</v>
      </c>
      <c r="J2511" s="22">
        <v>0.0</v>
      </c>
      <c r="K2511" s="22">
        <v>0.0</v>
      </c>
      <c r="L2511" s="22">
        <v>243.9</v>
      </c>
      <c r="M2511" s="22">
        <v>297.292</v>
      </c>
      <c r="N2511" s="22">
        <v>128.8</v>
      </c>
      <c r="O2511" s="23">
        <v>13.0</v>
      </c>
      <c r="P2511" s="18">
        <f t="shared" si="1"/>
        <v>243.9</v>
      </c>
    </row>
    <row r="2512" ht="15.75" customHeight="1">
      <c r="A2512" s="13" t="s">
        <v>232</v>
      </c>
      <c r="B2512" s="13" t="s">
        <v>133</v>
      </c>
      <c r="C2512" s="14" t="s">
        <v>181</v>
      </c>
      <c r="D2512" s="14" t="str">
        <f>VLOOKUP(C2512,'State Key'!$A$2:$B$210,2,False)</f>
        <v>Chhattisgarh</v>
      </c>
      <c r="E2512" s="15">
        <v>600.0</v>
      </c>
      <c r="F2512" s="16">
        <v>292.81</v>
      </c>
      <c r="G2512" s="16">
        <v>0.0</v>
      </c>
      <c r="H2512" s="16">
        <v>0.0</v>
      </c>
      <c r="I2512" s="16">
        <v>7.7</v>
      </c>
      <c r="J2512" s="16">
        <v>0.0</v>
      </c>
      <c r="K2512" s="16">
        <v>0.0</v>
      </c>
      <c r="L2512" s="16">
        <v>300.51</v>
      </c>
      <c r="M2512" s="16">
        <v>273.6</v>
      </c>
      <c r="N2512" s="16">
        <v>301.09</v>
      </c>
      <c r="O2512" s="24">
        <v>33.0</v>
      </c>
      <c r="P2512" s="18">
        <f t="shared" si="1"/>
        <v>300.51</v>
      </c>
    </row>
    <row r="2513" ht="15.75" customHeight="1">
      <c r="A2513" s="19" t="s">
        <v>232</v>
      </c>
      <c r="B2513" s="19" t="s">
        <v>133</v>
      </c>
      <c r="C2513" s="20" t="s">
        <v>183</v>
      </c>
      <c r="D2513" s="14" t="str">
        <f>VLOOKUP(C2513,'State Key'!$A$2:$B$210,2,False)</f>
        <v>Chhattisgarh</v>
      </c>
      <c r="E2513" s="21">
        <v>100.0</v>
      </c>
      <c r="F2513" s="22">
        <v>7.73</v>
      </c>
      <c r="G2513" s="22">
        <v>0.0</v>
      </c>
      <c r="H2513" s="22">
        <v>0.0</v>
      </c>
      <c r="I2513" s="22">
        <v>0.0</v>
      </c>
      <c r="J2513" s="22">
        <v>0.0</v>
      </c>
      <c r="K2513" s="22">
        <v>56.197</v>
      </c>
      <c r="L2513" s="22">
        <v>63.927</v>
      </c>
      <c r="M2513" s="22">
        <v>72.771</v>
      </c>
      <c r="N2513" s="22">
        <v>18.91</v>
      </c>
      <c r="O2513" s="23">
        <v>7.8</v>
      </c>
      <c r="P2513" s="18">
        <f t="shared" si="1"/>
        <v>63.927</v>
      </c>
    </row>
    <row r="2514" ht="15.75" customHeight="1">
      <c r="A2514" s="13" t="s">
        <v>232</v>
      </c>
      <c r="B2514" s="13" t="s">
        <v>133</v>
      </c>
      <c r="C2514" s="14" t="s">
        <v>184</v>
      </c>
      <c r="D2514" s="14" t="str">
        <f>VLOOKUP(C2514,'State Key'!$A$2:$B$210,2,False)</f>
        <v>Gujarat</v>
      </c>
      <c r="E2514" s="15">
        <v>362.0</v>
      </c>
      <c r="F2514" s="16">
        <v>114.153</v>
      </c>
      <c r="G2514" s="16">
        <v>0.0</v>
      </c>
      <c r="H2514" s="16">
        <v>0.0</v>
      </c>
      <c r="I2514" s="16">
        <v>0.0</v>
      </c>
      <c r="J2514" s="16">
        <v>50.825</v>
      </c>
      <c r="K2514" s="16">
        <v>0.0</v>
      </c>
      <c r="L2514" s="16">
        <v>164.978</v>
      </c>
      <c r="M2514" s="16">
        <v>149.61</v>
      </c>
      <c r="N2514" s="16">
        <v>81.27</v>
      </c>
      <c r="O2514" s="24">
        <v>16.3</v>
      </c>
      <c r="P2514" s="18">
        <f t="shared" si="1"/>
        <v>164.978</v>
      </c>
    </row>
    <row r="2515" ht="15.75" customHeight="1">
      <c r="A2515" s="19" t="s">
        <v>232</v>
      </c>
      <c r="B2515" s="19" t="s">
        <v>133</v>
      </c>
      <c r="C2515" s="20" t="s">
        <v>185</v>
      </c>
      <c r="D2515" s="14" t="str">
        <f>VLOOKUP(C2515,'State Key'!$A$2:$B$210,2,False)</f>
        <v>Gujarat</v>
      </c>
      <c r="E2515" s="21">
        <v>1200.0</v>
      </c>
      <c r="F2515" s="22">
        <v>0.0</v>
      </c>
      <c r="G2515" s="22">
        <v>0.0</v>
      </c>
      <c r="H2515" s="22">
        <v>0.0</v>
      </c>
      <c r="I2515" s="22">
        <v>0.0</v>
      </c>
      <c r="J2515" s="22">
        <v>323.684</v>
      </c>
      <c r="K2515" s="22">
        <v>0.0</v>
      </c>
      <c r="L2515" s="22">
        <v>323.684</v>
      </c>
      <c r="M2515" s="22">
        <v>235.121</v>
      </c>
      <c r="N2515" s="22">
        <v>132.77</v>
      </c>
      <c r="O2515" s="24">
        <v>16.9</v>
      </c>
      <c r="P2515" s="18">
        <f t="shared" si="1"/>
        <v>323.684</v>
      </c>
    </row>
    <row r="2516" ht="15.75" customHeight="1">
      <c r="A2516" s="13" t="s">
        <v>232</v>
      </c>
      <c r="B2516" s="13" t="s">
        <v>133</v>
      </c>
      <c r="C2516" s="14" t="s">
        <v>186</v>
      </c>
      <c r="D2516" s="14" t="str">
        <f>VLOOKUP(C2516,'State Key'!$A$2:$B$210,2,False)</f>
        <v>Chhattisgarh</v>
      </c>
      <c r="E2516" s="15">
        <v>135.0</v>
      </c>
      <c r="F2516" s="16">
        <v>0.0</v>
      </c>
      <c r="G2516" s="16">
        <v>0.0</v>
      </c>
      <c r="H2516" s="16">
        <v>0.0</v>
      </c>
      <c r="I2516" s="16">
        <v>0.0</v>
      </c>
      <c r="J2516" s="16">
        <v>0.0</v>
      </c>
      <c r="K2516" s="16">
        <v>0.0</v>
      </c>
      <c r="L2516" s="16">
        <v>0.0</v>
      </c>
      <c r="M2516" s="16">
        <v>0.0</v>
      </c>
      <c r="N2516" s="16">
        <v>0.0</v>
      </c>
      <c r="O2516" s="13" t="s">
        <v>58</v>
      </c>
      <c r="P2516" s="18">
        <f t="shared" si="1"/>
        <v>0</v>
      </c>
    </row>
    <row r="2517" ht="15.75" customHeight="1">
      <c r="A2517" s="19" t="s">
        <v>232</v>
      </c>
      <c r="B2517" s="19" t="s">
        <v>133</v>
      </c>
      <c r="C2517" s="20" t="s">
        <v>187</v>
      </c>
      <c r="D2517" s="14" t="str">
        <f>VLOOKUP(C2517,'State Key'!$A$2:$B$210,2,False)</f>
        <v>Madhya Pradesh</v>
      </c>
      <c r="E2517" s="21">
        <v>1340.0</v>
      </c>
      <c r="F2517" s="22">
        <v>487.125</v>
      </c>
      <c r="G2517" s="22">
        <v>0.0</v>
      </c>
      <c r="H2517" s="22">
        <v>0.0</v>
      </c>
      <c r="I2517" s="22">
        <v>0.0</v>
      </c>
      <c r="J2517" s="22">
        <v>0.0</v>
      </c>
      <c r="K2517" s="22">
        <v>0.0</v>
      </c>
      <c r="L2517" s="22">
        <v>487.125</v>
      </c>
      <c r="M2517" s="22">
        <v>570.406</v>
      </c>
      <c r="N2517" s="22">
        <v>206.3</v>
      </c>
      <c r="O2517" s="23">
        <v>10.9</v>
      </c>
      <c r="P2517" s="18">
        <f t="shared" si="1"/>
        <v>487.125</v>
      </c>
    </row>
    <row r="2518" ht="15.75" customHeight="1">
      <c r="A2518" s="13" t="s">
        <v>232</v>
      </c>
      <c r="B2518" s="13" t="s">
        <v>133</v>
      </c>
      <c r="C2518" s="14" t="s">
        <v>188</v>
      </c>
      <c r="D2518" s="14" t="str">
        <f>VLOOKUP(C2518,'State Key'!$A$2:$B$210,2,False)</f>
        <v>Madhya Pradesh</v>
      </c>
      <c r="E2518" s="15">
        <v>3960.0</v>
      </c>
      <c r="F2518" s="16">
        <v>0.0</v>
      </c>
      <c r="G2518" s="16">
        <v>0.0</v>
      </c>
      <c r="H2518" s="16">
        <v>1630.339</v>
      </c>
      <c r="I2518" s="16">
        <v>0.0</v>
      </c>
      <c r="J2518" s="16">
        <v>0.0</v>
      </c>
      <c r="K2518" s="16">
        <v>0.0</v>
      </c>
      <c r="L2518" s="16">
        <v>1630.339</v>
      </c>
      <c r="M2518" s="16">
        <v>1596.322</v>
      </c>
      <c r="N2518" s="16">
        <v>104.88</v>
      </c>
      <c r="O2518" s="17">
        <v>2.0</v>
      </c>
      <c r="P2518" s="18">
        <f t="shared" si="1"/>
        <v>1630.339</v>
      </c>
    </row>
    <row r="2519" ht="15.75" customHeight="1">
      <c r="A2519" s="19" t="s">
        <v>232</v>
      </c>
      <c r="B2519" s="19" t="s">
        <v>133</v>
      </c>
      <c r="C2519" s="20" t="s">
        <v>189</v>
      </c>
      <c r="D2519" s="14" t="str">
        <f>VLOOKUP(C2519,'State Key'!$A$2:$B$210,2,False)</f>
        <v>Madhya Pradesh</v>
      </c>
      <c r="E2519" s="21">
        <v>1330.0</v>
      </c>
      <c r="F2519" s="22">
        <v>278.629</v>
      </c>
      <c r="G2519" s="22">
        <v>0.0</v>
      </c>
      <c r="H2519" s="22">
        <v>0.0</v>
      </c>
      <c r="I2519" s="22">
        <v>0.0</v>
      </c>
      <c r="J2519" s="22">
        <v>0.0</v>
      </c>
      <c r="K2519" s="22">
        <v>0.0</v>
      </c>
      <c r="L2519" s="22">
        <v>278.629</v>
      </c>
      <c r="M2519" s="22">
        <v>226.577</v>
      </c>
      <c r="N2519" s="22">
        <v>155.0</v>
      </c>
      <c r="O2519" s="24">
        <v>20.5</v>
      </c>
      <c r="P2519" s="18">
        <f t="shared" si="1"/>
        <v>278.629</v>
      </c>
    </row>
    <row r="2520" ht="15.75" customHeight="1">
      <c r="A2520" s="13" t="s">
        <v>232</v>
      </c>
      <c r="B2520" s="13" t="s">
        <v>133</v>
      </c>
      <c r="C2520" s="14" t="s">
        <v>190</v>
      </c>
      <c r="D2520" s="14" t="str">
        <f>VLOOKUP(C2520,'State Key'!$A$2:$B$210,2,False)</f>
        <v>Madhya Pradesh</v>
      </c>
      <c r="E2520" s="15">
        <v>600.0</v>
      </c>
      <c r="F2520" s="16">
        <v>115.362</v>
      </c>
      <c r="G2520" s="16">
        <v>0.0</v>
      </c>
      <c r="H2520" s="16">
        <v>0.0</v>
      </c>
      <c r="I2520" s="16">
        <v>184.768</v>
      </c>
      <c r="J2520" s="16">
        <v>0.0</v>
      </c>
      <c r="K2520" s="16">
        <v>0.0</v>
      </c>
      <c r="L2520" s="16">
        <v>300.13</v>
      </c>
      <c r="M2520" s="16">
        <v>242.73</v>
      </c>
      <c r="N2520" s="16">
        <v>101.93</v>
      </c>
      <c r="O2520" s="23">
        <v>12.6</v>
      </c>
      <c r="P2520" s="18">
        <f t="shared" si="1"/>
        <v>300.13</v>
      </c>
    </row>
    <row r="2521" ht="15.75" customHeight="1">
      <c r="A2521" s="19" t="s">
        <v>232</v>
      </c>
      <c r="B2521" s="19" t="s">
        <v>133</v>
      </c>
      <c r="C2521" s="20" t="s">
        <v>191</v>
      </c>
      <c r="D2521" s="14" t="str">
        <f>VLOOKUP(C2521,'State Key'!$A$2:$B$210,2,False)</f>
        <v>Maharashtra</v>
      </c>
      <c r="E2521" s="21">
        <v>300.0</v>
      </c>
      <c r="F2521" s="22">
        <v>0.0</v>
      </c>
      <c r="G2521" s="22">
        <v>0.0</v>
      </c>
      <c r="H2521" s="22">
        <v>0.0</v>
      </c>
      <c r="I2521" s="22">
        <v>0.0</v>
      </c>
      <c r="J2521" s="22">
        <v>0.0</v>
      </c>
      <c r="K2521" s="22">
        <v>58.497</v>
      </c>
      <c r="L2521" s="22">
        <v>58.497</v>
      </c>
      <c r="M2521" s="22">
        <v>98.379</v>
      </c>
      <c r="N2521" s="22">
        <v>102.66</v>
      </c>
      <c r="O2521" s="24">
        <v>31.3</v>
      </c>
      <c r="P2521" s="18">
        <f t="shared" si="1"/>
        <v>58.497</v>
      </c>
    </row>
    <row r="2522" ht="15.75" customHeight="1">
      <c r="A2522" s="13" t="s">
        <v>232</v>
      </c>
      <c r="B2522" s="13" t="s">
        <v>133</v>
      </c>
      <c r="C2522" s="14" t="s">
        <v>192</v>
      </c>
      <c r="D2522" s="14" t="str">
        <f>VLOOKUP(C2522,'State Key'!$A$2:$B$210,2,False)</f>
        <v>Madhya Pradesh</v>
      </c>
      <c r="E2522" s="15">
        <v>2520.0</v>
      </c>
      <c r="F2522" s="16">
        <v>874.922</v>
      </c>
      <c r="G2522" s="16">
        <v>0.0</v>
      </c>
      <c r="H2522" s="16">
        <v>0.0</v>
      </c>
      <c r="I2522" s="16">
        <v>0.0</v>
      </c>
      <c r="J2522" s="16">
        <v>0.0</v>
      </c>
      <c r="K2522" s="16">
        <v>0.0</v>
      </c>
      <c r="L2522" s="16">
        <v>874.922</v>
      </c>
      <c r="M2522" s="16">
        <v>951.123</v>
      </c>
      <c r="N2522" s="16">
        <v>391.32</v>
      </c>
      <c r="O2522" s="23">
        <v>12.3</v>
      </c>
      <c r="P2522" s="18">
        <f t="shared" si="1"/>
        <v>874.922</v>
      </c>
    </row>
    <row r="2523" ht="15.75" customHeight="1">
      <c r="A2523" s="19" t="s">
        <v>232</v>
      </c>
      <c r="B2523" s="19" t="s">
        <v>133</v>
      </c>
      <c r="C2523" s="20" t="s">
        <v>193</v>
      </c>
      <c r="D2523" s="14" t="str">
        <f>VLOOKUP(C2523,'State Key'!$A$2:$B$210,2,False)</f>
        <v>Gujarat</v>
      </c>
      <c r="E2523" s="21">
        <v>500.0</v>
      </c>
      <c r="F2523" s="22">
        <v>0.0</v>
      </c>
      <c r="G2523" s="22">
        <v>0.0</v>
      </c>
      <c r="H2523" s="22">
        <v>0.0</v>
      </c>
      <c r="I2523" s="22">
        <v>0.0</v>
      </c>
      <c r="J2523" s="22">
        <v>113.707</v>
      </c>
      <c r="K2523" s="22">
        <v>0.0</v>
      </c>
      <c r="L2523" s="22">
        <v>113.707</v>
      </c>
      <c r="M2523" s="22">
        <v>104.016</v>
      </c>
      <c r="N2523" s="22">
        <v>66.12</v>
      </c>
      <c r="O2523" s="24">
        <v>19.1</v>
      </c>
      <c r="P2523" s="18">
        <f t="shared" si="1"/>
        <v>113.707</v>
      </c>
    </row>
    <row r="2524" ht="15.75" customHeight="1">
      <c r="A2524" s="13" t="s">
        <v>232</v>
      </c>
      <c r="B2524" s="13" t="s">
        <v>133</v>
      </c>
      <c r="C2524" s="14" t="s">
        <v>194</v>
      </c>
      <c r="D2524" s="14" t="str">
        <f>VLOOKUP(C2524,'State Key'!$A$2:$B$210,2,False)</f>
        <v>Chhattisgarh</v>
      </c>
      <c r="E2524" s="15">
        <v>2980.0</v>
      </c>
      <c r="F2524" s="16">
        <v>1288.74</v>
      </c>
      <c r="G2524" s="16">
        <v>0.0</v>
      </c>
      <c r="H2524" s="16">
        <v>10.93</v>
      </c>
      <c r="I2524" s="16">
        <v>0.0</v>
      </c>
      <c r="J2524" s="16">
        <v>0.0</v>
      </c>
      <c r="K2524" s="16">
        <v>0.0</v>
      </c>
      <c r="L2524" s="16">
        <v>1299.67</v>
      </c>
      <c r="M2524" s="16">
        <v>1445.522</v>
      </c>
      <c r="N2524" s="16">
        <v>525.156</v>
      </c>
      <c r="O2524" s="23">
        <v>10.9</v>
      </c>
      <c r="P2524" s="18">
        <f t="shared" si="1"/>
        <v>1299.67</v>
      </c>
    </row>
    <row r="2525" ht="15.75" customHeight="1">
      <c r="A2525" s="19" t="s">
        <v>232</v>
      </c>
      <c r="B2525" s="19" t="s">
        <v>133</v>
      </c>
      <c r="C2525" s="20" t="s">
        <v>195</v>
      </c>
      <c r="D2525" s="14" t="str">
        <f>VLOOKUP(C2525,'State Key'!$A$2:$B$210,2,False)</f>
        <v>Maharashtra</v>
      </c>
      <c r="E2525" s="21">
        <v>1320.0</v>
      </c>
      <c r="F2525" s="22">
        <v>285.2</v>
      </c>
      <c r="G2525" s="22">
        <v>35.98</v>
      </c>
      <c r="H2525" s="22">
        <v>39.61</v>
      </c>
      <c r="I2525" s="22">
        <v>0.0</v>
      </c>
      <c r="J2525" s="22">
        <v>0.0</v>
      </c>
      <c r="K2525" s="22">
        <v>0.0</v>
      </c>
      <c r="L2525" s="22">
        <v>360.79</v>
      </c>
      <c r="M2525" s="22">
        <v>400.014</v>
      </c>
      <c r="N2525" s="22">
        <v>438.053</v>
      </c>
      <c r="O2525" s="24">
        <v>32.9</v>
      </c>
      <c r="P2525" s="18">
        <f t="shared" si="1"/>
        <v>360.79</v>
      </c>
    </row>
    <row r="2526" ht="15.75" customHeight="1">
      <c r="A2526" s="13" t="s">
        <v>232</v>
      </c>
      <c r="B2526" s="13" t="s">
        <v>133</v>
      </c>
      <c r="C2526" s="14" t="s">
        <v>196</v>
      </c>
      <c r="D2526" s="14" t="str">
        <f>VLOOKUP(C2526,'State Key'!$A$2:$B$210,2,False)</f>
        <v>Chhattisgarh</v>
      </c>
      <c r="E2526" s="15">
        <v>63.0</v>
      </c>
      <c r="F2526" s="16">
        <v>0.0</v>
      </c>
      <c r="G2526" s="16">
        <v>0.0</v>
      </c>
      <c r="H2526" s="16">
        <v>0.0</v>
      </c>
      <c r="I2526" s="16">
        <v>0.0</v>
      </c>
      <c r="J2526" s="16">
        <v>0.0</v>
      </c>
      <c r="K2526" s="16">
        <v>53.59</v>
      </c>
      <c r="L2526" s="16">
        <v>53.59</v>
      </c>
      <c r="M2526" s="16">
        <v>61.46</v>
      </c>
      <c r="N2526" s="16">
        <v>49.04</v>
      </c>
      <c r="O2526" s="24">
        <v>23.9</v>
      </c>
      <c r="P2526" s="18">
        <f t="shared" si="1"/>
        <v>53.59</v>
      </c>
    </row>
    <row r="2527" ht="15.75" customHeight="1">
      <c r="A2527" s="19" t="s">
        <v>232</v>
      </c>
      <c r="B2527" s="19" t="s">
        <v>133</v>
      </c>
      <c r="C2527" s="20" t="s">
        <v>197</v>
      </c>
      <c r="D2527" s="14" t="str">
        <f>VLOOKUP(C2527,'State Key'!$A$2:$B$210,2,False)</f>
        <v>Chhattisgarh</v>
      </c>
      <c r="E2527" s="21">
        <v>25.0</v>
      </c>
      <c r="F2527" s="22">
        <v>0.0</v>
      </c>
      <c r="G2527" s="22">
        <v>0.0</v>
      </c>
      <c r="H2527" s="22">
        <v>0.0</v>
      </c>
      <c r="I2527" s="22">
        <v>0.0</v>
      </c>
      <c r="J2527" s="22">
        <v>0.0</v>
      </c>
      <c r="K2527" s="22">
        <v>0.0</v>
      </c>
      <c r="L2527" s="22">
        <v>0.0</v>
      </c>
      <c r="M2527" s="22">
        <v>0.0</v>
      </c>
      <c r="N2527" s="22">
        <v>0.0</v>
      </c>
      <c r="O2527" s="19" t="s">
        <v>58</v>
      </c>
      <c r="P2527" s="18">
        <f t="shared" si="1"/>
        <v>0</v>
      </c>
    </row>
    <row r="2528" ht="15.75" customHeight="1">
      <c r="A2528" s="13" t="s">
        <v>232</v>
      </c>
      <c r="B2528" s="13" t="s">
        <v>133</v>
      </c>
      <c r="C2528" s="14" t="s">
        <v>198</v>
      </c>
      <c r="D2528" s="14" t="str">
        <f>VLOOKUP(C2528,'State Key'!$A$2:$B$210,2,False)</f>
        <v>Chhattisgarh</v>
      </c>
      <c r="E2528" s="15">
        <v>2400.0</v>
      </c>
      <c r="F2528" s="16">
        <v>567.899</v>
      </c>
      <c r="G2528" s="16">
        <v>0.0</v>
      </c>
      <c r="H2528" s="16">
        <v>0.0</v>
      </c>
      <c r="I2528" s="16">
        <v>621.086</v>
      </c>
      <c r="J2528" s="16">
        <v>0.0</v>
      </c>
      <c r="K2528" s="16">
        <v>99.902</v>
      </c>
      <c r="L2528" s="16">
        <v>1288.887</v>
      </c>
      <c r="M2528" s="16">
        <v>1390.502</v>
      </c>
      <c r="N2528" s="16">
        <v>12.74</v>
      </c>
      <c r="O2528" s="17">
        <v>0.3</v>
      </c>
      <c r="P2528" s="18">
        <f t="shared" si="1"/>
        <v>1288.887</v>
      </c>
    </row>
    <row r="2529" ht="15.75" customHeight="1">
      <c r="A2529" s="19" t="s">
        <v>232</v>
      </c>
      <c r="B2529" s="19" t="s">
        <v>133</v>
      </c>
      <c r="C2529" s="20" t="s">
        <v>200</v>
      </c>
      <c r="D2529" s="14" t="str">
        <f>VLOOKUP(C2529,'State Key'!$A$2:$B$210,2,False)</f>
        <v>Maharashtra</v>
      </c>
      <c r="E2529" s="21">
        <v>750.0</v>
      </c>
      <c r="F2529" s="22">
        <v>0.0</v>
      </c>
      <c r="G2529" s="22">
        <v>0.0</v>
      </c>
      <c r="H2529" s="22">
        <v>0.0</v>
      </c>
      <c r="I2529" s="22">
        <v>0.0</v>
      </c>
      <c r="J2529" s="22">
        <v>192.336</v>
      </c>
      <c r="K2529" s="22">
        <v>0.0</v>
      </c>
      <c r="L2529" s="22">
        <v>192.336</v>
      </c>
      <c r="M2529" s="22">
        <v>243.632</v>
      </c>
      <c r="N2529" s="22">
        <v>197.42</v>
      </c>
      <c r="O2529" s="24">
        <v>24.3</v>
      </c>
      <c r="P2529" s="18">
        <f t="shared" si="1"/>
        <v>192.336</v>
      </c>
    </row>
    <row r="2530" ht="15.75" customHeight="1">
      <c r="A2530" s="13" t="s">
        <v>232</v>
      </c>
      <c r="B2530" s="13" t="s">
        <v>133</v>
      </c>
      <c r="C2530" s="14" t="s">
        <v>201</v>
      </c>
      <c r="D2530" s="14" t="str">
        <f>VLOOKUP(C2530,'State Key'!$A$2:$B$210,2,False)</f>
        <v>Chhattisgarh</v>
      </c>
      <c r="E2530" s="15">
        <v>1440.0</v>
      </c>
      <c r="F2530" s="16">
        <v>339.845</v>
      </c>
      <c r="G2530" s="16">
        <v>0.0</v>
      </c>
      <c r="H2530" s="16">
        <v>0.0</v>
      </c>
      <c r="I2530" s="16">
        <v>194.627</v>
      </c>
      <c r="J2530" s="16">
        <v>0.0</v>
      </c>
      <c r="K2530" s="16">
        <v>2.089</v>
      </c>
      <c r="L2530" s="16">
        <v>536.561</v>
      </c>
      <c r="M2530" s="16">
        <v>601.08</v>
      </c>
      <c r="N2530" s="16">
        <v>509.07</v>
      </c>
      <c r="O2530" s="24">
        <v>25.4</v>
      </c>
      <c r="P2530" s="18">
        <f t="shared" si="1"/>
        <v>536.561</v>
      </c>
    </row>
    <row r="2531" ht="15.75" customHeight="1">
      <c r="A2531" s="19" t="s">
        <v>232</v>
      </c>
      <c r="B2531" s="19" t="s">
        <v>133</v>
      </c>
      <c r="C2531" s="20" t="s">
        <v>202</v>
      </c>
      <c r="D2531" s="14" t="str">
        <f>VLOOKUP(C2531,'State Key'!$A$2:$B$210,2,False)</f>
        <v>Gujarat</v>
      </c>
      <c r="E2531" s="21">
        <v>1110.0</v>
      </c>
      <c r="F2531" s="22">
        <v>372.332</v>
      </c>
      <c r="G2531" s="22">
        <v>0.0</v>
      </c>
      <c r="H2531" s="22">
        <v>0.0</v>
      </c>
      <c r="I2531" s="22">
        <v>0.0</v>
      </c>
      <c r="J2531" s="22">
        <v>20.054</v>
      </c>
      <c r="K2531" s="22">
        <v>0.0</v>
      </c>
      <c r="L2531" s="22">
        <v>392.386</v>
      </c>
      <c r="M2531" s="22">
        <v>418.195</v>
      </c>
      <c r="N2531" s="22">
        <v>280.85</v>
      </c>
      <c r="O2531" s="24">
        <v>20.1</v>
      </c>
      <c r="P2531" s="18">
        <f t="shared" si="1"/>
        <v>392.386</v>
      </c>
    </row>
    <row r="2532" ht="15.75" customHeight="1">
      <c r="A2532" s="13" t="s">
        <v>232</v>
      </c>
      <c r="B2532" s="13" t="s">
        <v>133</v>
      </c>
      <c r="C2532" s="14" t="s">
        <v>203</v>
      </c>
      <c r="D2532" s="14" t="str">
        <f>VLOOKUP(C2532,'State Key'!$A$2:$B$210,2,False)</f>
        <v>Madhya Pradesh</v>
      </c>
      <c r="E2532" s="15">
        <v>4760.0</v>
      </c>
      <c r="F2532" s="16">
        <v>2017.32</v>
      </c>
      <c r="G2532" s="16">
        <v>0.0</v>
      </c>
      <c r="H2532" s="16">
        <v>64.46</v>
      </c>
      <c r="I2532" s="16">
        <v>0.0</v>
      </c>
      <c r="J2532" s="16">
        <v>0.0</v>
      </c>
      <c r="K2532" s="16">
        <v>0.0</v>
      </c>
      <c r="L2532" s="16">
        <v>2081.78</v>
      </c>
      <c r="M2532" s="16">
        <v>1876.459</v>
      </c>
      <c r="N2532" s="16">
        <v>1030.977</v>
      </c>
      <c r="O2532" s="24">
        <v>16.5</v>
      </c>
      <c r="P2532" s="18">
        <f t="shared" si="1"/>
        <v>2081.78</v>
      </c>
    </row>
    <row r="2533" ht="15.75" customHeight="1">
      <c r="A2533" s="19" t="s">
        <v>232</v>
      </c>
      <c r="B2533" s="19" t="s">
        <v>133</v>
      </c>
      <c r="C2533" s="20" t="s">
        <v>204</v>
      </c>
      <c r="D2533" s="14" t="str">
        <f>VLOOKUP(C2533,'State Key'!$A$2:$B$210,2,False)</f>
        <v>Gujarat</v>
      </c>
      <c r="E2533" s="21">
        <v>2270.0</v>
      </c>
      <c r="F2533" s="22">
        <v>780.649</v>
      </c>
      <c r="G2533" s="22">
        <v>0.0</v>
      </c>
      <c r="H2533" s="22">
        <v>0.0</v>
      </c>
      <c r="I2533" s="22">
        <v>0.0</v>
      </c>
      <c r="J2533" s="22">
        <v>12.181</v>
      </c>
      <c r="K2533" s="22">
        <v>0.0</v>
      </c>
      <c r="L2533" s="22">
        <v>792.83</v>
      </c>
      <c r="M2533" s="22">
        <v>724.667</v>
      </c>
      <c r="N2533" s="22">
        <v>629.17</v>
      </c>
      <c r="O2533" s="24">
        <v>26.0</v>
      </c>
      <c r="P2533" s="18">
        <f t="shared" si="1"/>
        <v>792.83</v>
      </c>
    </row>
    <row r="2534" ht="15.75" customHeight="1">
      <c r="A2534" s="13" t="s">
        <v>232</v>
      </c>
      <c r="B2534" s="13" t="s">
        <v>133</v>
      </c>
      <c r="C2534" s="14" t="s">
        <v>205</v>
      </c>
      <c r="D2534" s="14" t="str">
        <f>VLOOKUP(C2534,'State Key'!$A$2:$B$210,2,False)</f>
        <v>Maharashtra</v>
      </c>
      <c r="E2534" s="15">
        <v>540.0</v>
      </c>
      <c r="F2534" s="16">
        <v>177.16</v>
      </c>
      <c r="G2534" s="16">
        <v>0.0</v>
      </c>
      <c r="H2534" s="16">
        <v>0.0</v>
      </c>
      <c r="I2534" s="16">
        <v>0.0</v>
      </c>
      <c r="J2534" s="16">
        <v>0.0</v>
      </c>
      <c r="K2534" s="16">
        <v>19.62</v>
      </c>
      <c r="L2534" s="16">
        <v>196.78</v>
      </c>
      <c r="M2534" s="16">
        <v>247.246</v>
      </c>
      <c r="N2534" s="16">
        <v>199.1</v>
      </c>
      <c r="O2534" s="24">
        <v>24.2</v>
      </c>
      <c r="P2534" s="18">
        <f t="shared" si="1"/>
        <v>196.78</v>
      </c>
    </row>
    <row r="2535" ht="15.75" customHeight="1">
      <c r="A2535" s="19" t="s">
        <v>233</v>
      </c>
      <c r="B2535" s="19" t="s">
        <v>22</v>
      </c>
      <c r="C2535" s="20" t="s">
        <v>23</v>
      </c>
      <c r="D2535" s="14" t="str">
        <f>VLOOKUP(C2535,'State Key'!$A$2:$B$210,2,False)</f>
        <v>West Bengal</v>
      </c>
      <c r="E2535" s="21">
        <v>1050.0</v>
      </c>
      <c r="F2535" s="22">
        <v>0.0</v>
      </c>
      <c r="G2535" s="22">
        <v>0.0</v>
      </c>
      <c r="H2535" s="22">
        <v>496.519</v>
      </c>
      <c r="I2535" s="22">
        <v>0.0</v>
      </c>
      <c r="J2535" s="22">
        <v>0.0</v>
      </c>
      <c r="K2535" s="22">
        <v>0.0</v>
      </c>
      <c r="L2535" s="22">
        <v>496.519</v>
      </c>
      <c r="M2535" s="22">
        <v>466.597</v>
      </c>
      <c r="N2535" s="22">
        <v>190.53</v>
      </c>
      <c r="O2535" s="23">
        <v>12.3</v>
      </c>
      <c r="P2535" s="18">
        <f t="shared" si="1"/>
        <v>496.519</v>
      </c>
    </row>
    <row r="2536" ht="15.75" customHeight="1">
      <c r="A2536" s="13" t="s">
        <v>233</v>
      </c>
      <c r="B2536" s="13" t="s">
        <v>22</v>
      </c>
      <c r="C2536" s="14" t="s">
        <v>24</v>
      </c>
      <c r="D2536" s="14" t="str">
        <f>VLOOKUP(C2536,'State Key'!$A$2:$B$210,2,False)</f>
        <v>West Bengal</v>
      </c>
      <c r="E2536" s="15">
        <v>270.0</v>
      </c>
      <c r="F2536" s="16">
        <v>0.0</v>
      </c>
      <c r="G2536" s="16">
        <v>0.0</v>
      </c>
      <c r="H2536" s="16">
        <v>119.425</v>
      </c>
      <c r="I2536" s="16">
        <v>0.0</v>
      </c>
      <c r="J2536" s="16">
        <v>0.0</v>
      </c>
      <c r="K2536" s="16">
        <v>0.0</v>
      </c>
      <c r="L2536" s="16">
        <v>119.425</v>
      </c>
      <c r="M2536" s="16">
        <v>121.807</v>
      </c>
      <c r="N2536" s="16">
        <v>68.25</v>
      </c>
      <c r="O2536" s="24">
        <v>16.8</v>
      </c>
      <c r="P2536" s="18">
        <f t="shared" si="1"/>
        <v>119.425</v>
      </c>
    </row>
    <row r="2537" ht="15.75" customHeight="1">
      <c r="A2537" s="19" t="s">
        <v>233</v>
      </c>
      <c r="B2537" s="19" t="s">
        <v>22</v>
      </c>
      <c r="C2537" s="20" t="s">
        <v>25</v>
      </c>
      <c r="D2537" s="14" t="str">
        <f>VLOOKUP(C2537,'State Key'!$A$2:$B$210,2,False)</f>
        <v>Bihar</v>
      </c>
      <c r="E2537" s="21">
        <v>710.0</v>
      </c>
      <c r="F2537" s="22">
        <v>0.0</v>
      </c>
      <c r="G2537" s="22">
        <v>0.0</v>
      </c>
      <c r="H2537" s="22">
        <v>226.12</v>
      </c>
      <c r="I2537" s="22">
        <v>0.0</v>
      </c>
      <c r="J2537" s="22">
        <v>0.0</v>
      </c>
      <c r="K2537" s="22">
        <v>0.0</v>
      </c>
      <c r="L2537" s="22">
        <v>226.12</v>
      </c>
      <c r="M2537" s="22">
        <v>199.124</v>
      </c>
      <c r="N2537" s="22">
        <v>231.109</v>
      </c>
      <c r="O2537" s="24">
        <v>34.8</v>
      </c>
      <c r="P2537" s="18">
        <f t="shared" si="1"/>
        <v>226.12</v>
      </c>
    </row>
    <row r="2538" ht="15.75" customHeight="1">
      <c r="A2538" s="13" t="s">
        <v>233</v>
      </c>
      <c r="B2538" s="13" t="s">
        <v>22</v>
      </c>
      <c r="C2538" s="14" t="s">
        <v>26</v>
      </c>
      <c r="D2538" s="14" t="str">
        <f>VLOOKUP(C2538,'State Key'!$A$2:$B$210,2,False)</f>
        <v>Bihar</v>
      </c>
      <c r="E2538" s="15">
        <v>2640.0</v>
      </c>
      <c r="F2538" s="16">
        <v>547.4</v>
      </c>
      <c r="G2538" s="16">
        <v>0.0</v>
      </c>
      <c r="H2538" s="16">
        <v>464.72</v>
      </c>
      <c r="I2538" s="16">
        <v>0.0</v>
      </c>
      <c r="J2538" s="16">
        <v>3.964</v>
      </c>
      <c r="K2538" s="16">
        <v>0.0</v>
      </c>
      <c r="L2538" s="16">
        <v>1016.084</v>
      </c>
      <c r="M2538" s="16">
        <v>1085.42</v>
      </c>
      <c r="N2538" s="16">
        <v>662.918</v>
      </c>
      <c r="O2538" s="24">
        <v>18.3</v>
      </c>
      <c r="P2538" s="18">
        <f t="shared" si="1"/>
        <v>1016.084</v>
      </c>
    </row>
    <row r="2539" ht="15.75" customHeight="1">
      <c r="A2539" s="19" t="s">
        <v>233</v>
      </c>
      <c r="B2539" s="19" t="s">
        <v>22</v>
      </c>
      <c r="C2539" s="20" t="s">
        <v>27</v>
      </c>
      <c r="D2539" s="14" t="str">
        <f>VLOOKUP(C2539,'State Key'!$A$2:$B$210,2,False)</f>
        <v>Jharkhand</v>
      </c>
      <c r="E2539" s="21">
        <v>500.0</v>
      </c>
      <c r="F2539" s="22">
        <v>134.825</v>
      </c>
      <c r="G2539" s="22">
        <v>0.0</v>
      </c>
      <c r="H2539" s="22">
        <v>10.728</v>
      </c>
      <c r="I2539" s="22">
        <v>0.0</v>
      </c>
      <c r="J2539" s="22">
        <v>0.0</v>
      </c>
      <c r="K2539" s="22">
        <v>0.0</v>
      </c>
      <c r="L2539" s="22">
        <v>145.553</v>
      </c>
      <c r="M2539" s="22">
        <v>178.552</v>
      </c>
      <c r="N2539" s="22">
        <v>273.34</v>
      </c>
      <c r="O2539" s="24">
        <v>45.9</v>
      </c>
      <c r="P2539" s="18">
        <f t="shared" si="1"/>
        <v>145.553</v>
      </c>
    </row>
    <row r="2540" ht="15.75" customHeight="1">
      <c r="A2540" s="13" t="s">
        <v>233</v>
      </c>
      <c r="B2540" s="13" t="s">
        <v>22</v>
      </c>
      <c r="C2540" s="14" t="s">
        <v>28</v>
      </c>
      <c r="D2540" s="14" t="str">
        <f>VLOOKUP(C2540,'State Key'!$A$2:$B$210,2,False)</f>
        <v>West Bengal</v>
      </c>
      <c r="E2540" s="15">
        <v>750.0</v>
      </c>
      <c r="F2540" s="16">
        <v>97.407</v>
      </c>
      <c r="G2540" s="16">
        <v>0.0</v>
      </c>
      <c r="H2540" s="16">
        <v>36.256</v>
      </c>
      <c r="I2540" s="16">
        <v>124.49</v>
      </c>
      <c r="J2540" s="16">
        <v>0.0</v>
      </c>
      <c r="K2540" s="16">
        <v>0.0</v>
      </c>
      <c r="L2540" s="16">
        <v>258.153</v>
      </c>
      <c r="M2540" s="16">
        <v>302.679</v>
      </c>
      <c r="N2540" s="16">
        <v>215.84</v>
      </c>
      <c r="O2540" s="24">
        <v>21.4</v>
      </c>
      <c r="P2540" s="18">
        <f t="shared" si="1"/>
        <v>258.153</v>
      </c>
    </row>
    <row r="2541" ht="15.75" customHeight="1">
      <c r="A2541" s="19" t="s">
        <v>233</v>
      </c>
      <c r="B2541" s="19" t="s">
        <v>22</v>
      </c>
      <c r="C2541" s="20" t="s">
        <v>29</v>
      </c>
      <c r="D2541" s="14" t="str">
        <f>VLOOKUP(C2541,'State Key'!$A$2:$B$210,2,False)</f>
        <v>Jharkhand</v>
      </c>
      <c r="E2541" s="21">
        <v>500.0</v>
      </c>
      <c r="F2541" s="22">
        <v>163.325</v>
      </c>
      <c r="G2541" s="22">
        <v>0.0</v>
      </c>
      <c r="H2541" s="22">
        <v>66.44</v>
      </c>
      <c r="I2541" s="22">
        <v>0.0</v>
      </c>
      <c r="J2541" s="22">
        <v>0.0</v>
      </c>
      <c r="K2541" s="22">
        <v>0.0</v>
      </c>
      <c r="L2541" s="22">
        <v>229.765</v>
      </c>
      <c r="M2541" s="22">
        <v>215.67</v>
      </c>
      <c r="N2541" s="22">
        <v>199.53</v>
      </c>
      <c r="O2541" s="24">
        <v>27.8</v>
      </c>
      <c r="P2541" s="18">
        <f t="shared" si="1"/>
        <v>229.765</v>
      </c>
    </row>
    <row r="2542" ht="15.75" customHeight="1">
      <c r="A2542" s="13" t="s">
        <v>233</v>
      </c>
      <c r="B2542" s="13" t="s">
        <v>22</v>
      </c>
      <c r="C2542" s="14" t="s">
        <v>30</v>
      </c>
      <c r="D2542" s="14" t="str">
        <f>VLOOKUP(C2542,'State Key'!$A$2:$B$210,2,False)</f>
        <v>West Bengal</v>
      </c>
      <c r="E2542" s="15">
        <v>550.0</v>
      </c>
      <c r="F2542" s="16">
        <v>121.0</v>
      </c>
      <c r="G2542" s="16">
        <v>0.0</v>
      </c>
      <c r="H2542" s="16">
        <v>125.0</v>
      </c>
      <c r="I2542" s="16">
        <v>0.0</v>
      </c>
      <c r="J2542" s="16">
        <v>0.0</v>
      </c>
      <c r="K2542" s="16">
        <v>0.0</v>
      </c>
      <c r="L2542" s="16">
        <v>246.0</v>
      </c>
      <c r="M2542" s="16">
        <v>219.0</v>
      </c>
      <c r="N2542" s="16">
        <v>98.96</v>
      </c>
      <c r="O2542" s="23">
        <v>13.6</v>
      </c>
      <c r="P2542" s="18">
        <f t="shared" si="1"/>
        <v>246</v>
      </c>
    </row>
    <row r="2543" ht="15.75" customHeight="1">
      <c r="A2543" s="19" t="s">
        <v>233</v>
      </c>
      <c r="B2543" s="19" t="s">
        <v>22</v>
      </c>
      <c r="C2543" s="20" t="s">
        <v>31</v>
      </c>
      <c r="D2543" s="14" t="str">
        <f>VLOOKUP(C2543,'State Key'!$A$2:$B$210,2,False)</f>
        <v>Odisha</v>
      </c>
      <c r="E2543" s="21">
        <v>1600.0</v>
      </c>
      <c r="F2543" s="22">
        <v>0.0</v>
      </c>
      <c r="G2543" s="22">
        <v>0.0</v>
      </c>
      <c r="H2543" s="22">
        <v>528.63</v>
      </c>
      <c r="I2543" s="22">
        <v>0.0</v>
      </c>
      <c r="J2543" s="22">
        <v>0.0</v>
      </c>
      <c r="K2543" s="22">
        <v>0.0</v>
      </c>
      <c r="L2543" s="22">
        <v>528.63</v>
      </c>
      <c r="M2543" s="22">
        <v>417.651</v>
      </c>
      <c r="N2543" s="22">
        <v>625.71</v>
      </c>
      <c r="O2543" s="24">
        <v>44.9</v>
      </c>
      <c r="P2543" s="18">
        <f t="shared" si="1"/>
        <v>528.63</v>
      </c>
    </row>
    <row r="2544" ht="15.75" customHeight="1">
      <c r="A2544" s="13" t="s">
        <v>233</v>
      </c>
      <c r="B2544" s="13" t="s">
        <v>22</v>
      </c>
      <c r="C2544" s="14" t="s">
        <v>32</v>
      </c>
      <c r="D2544" s="14" t="str">
        <f>VLOOKUP(C2544,'State Key'!$A$2:$B$210,2,False)</f>
        <v>Odisha</v>
      </c>
      <c r="E2544" s="15">
        <v>1200.0</v>
      </c>
      <c r="F2544" s="16">
        <v>526.597</v>
      </c>
      <c r="G2544" s="16">
        <v>0.0</v>
      </c>
      <c r="H2544" s="16">
        <v>0.0</v>
      </c>
      <c r="I2544" s="16">
        <v>52.89</v>
      </c>
      <c r="J2544" s="16">
        <v>0.0</v>
      </c>
      <c r="K2544" s="16">
        <v>0.0</v>
      </c>
      <c r="L2544" s="16">
        <v>579.487</v>
      </c>
      <c r="M2544" s="16">
        <v>605.188</v>
      </c>
      <c r="N2544" s="16">
        <v>1281.57</v>
      </c>
      <c r="O2544" s="24">
        <v>63.5</v>
      </c>
      <c r="P2544" s="18">
        <f t="shared" si="1"/>
        <v>579.487</v>
      </c>
    </row>
    <row r="2545" ht="15.75" customHeight="1">
      <c r="A2545" s="19" t="s">
        <v>233</v>
      </c>
      <c r="B2545" s="19" t="s">
        <v>22</v>
      </c>
      <c r="C2545" s="20" t="s">
        <v>33</v>
      </c>
      <c r="D2545" s="14" t="str">
        <f>VLOOKUP(C2545,'State Key'!$A$2:$B$210,2,False)</f>
        <v>West Bengal</v>
      </c>
      <c r="E2545" s="21">
        <v>12.0</v>
      </c>
      <c r="F2545" s="22">
        <v>3.93</v>
      </c>
      <c r="G2545" s="22">
        <v>0.0</v>
      </c>
      <c r="H2545" s="22">
        <v>0.0</v>
      </c>
      <c r="I2545" s="22">
        <v>0.0</v>
      </c>
      <c r="J2545" s="22">
        <v>0.0</v>
      </c>
      <c r="K2545" s="22">
        <v>0.0</v>
      </c>
      <c r="L2545" s="22">
        <v>3.93</v>
      </c>
      <c r="M2545" s="22">
        <v>9.075</v>
      </c>
      <c r="N2545" s="22">
        <v>1.66</v>
      </c>
      <c r="O2545" s="17">
        <v>5.5</v>
      </c>
      <c r="P2545" s="18">
        <f t="shared" si="1"/>
        <v>3.93</v>
      </c>
    </row>
    <row r="2546" ht="15.75" customHeight="1">
      <c r="A2546" s="13" t="s">
        <v>233</v>
      </c>
      <c r="B2546" s="13" t="s">
        <v>22</v>
      </c>
      <c r="C2546" s="14" t="s">
        <v>34</v>
      </c>
      <c r="D2546" s="14" t="str">
        <f>VLOOKUP(C2546,'State Key'!$A$2:$B$210,2,False)</f>
        <v>West Bengal</v>
      </c>
      <c r="E2546" s="15">
        <v>1000.0</v>
      </c>
      <c r="F2546" s="16">
        <v>319.295</v>
      </c>
      <c r="G2546" s="16">
        <v>0.0</v>
      </c>
      <c r="H2546" s="16">
        <v>0.0</v>
      </c>
      <c r="I2546" s="16">
        <v>0.0</v>
      </c>
      <c r="J2546" s="16">
        <v>0.0</v>
      </c>
      <c r="K2546" s="16">
        <v>0.0</v>
      </c>
      <c r="L2546" s="16">
        <v>319.295</v>
      </c>
      <c r="M2546" s="16">
        <v>376.87</v>
      </c>
      <c r="N2546" s="16">
        <v>303.16</v>
      </c>
      <c r="O2546" s="24">
        <v>24.1</v>
      </c>
      <c r="P2546" s="18">
        <f t="shared" si="1"/>
        <v>319.295</v>
      </c>
    </row>
    <row r="2547" ht="15.75" customHeight="1">
      <c r="A2547" s="19" t="s">
        <v>233</v>
      </c>
      <c r="B2547" s="19" t="s">
        <v>22</v>
      </c>
      <c r="C2547" s="20" t="s">
        <v>35</v>
      </c>
      <c r="D2547" s="14" t="str">
        <f>VLOOKUP(C2547,'State Key'!$A$2:$B$210,2,False)</f>
        <v>West Bengal</v>
      </c>
      <c r="E2547" s="21">
        <v>2100.0</v>
      </c>
      <c r="F2547" s="22">
        <v>761.77</v>
      </c>
      <c r="G2547" s="22">
        <v>0.0</v>
      </c>
      <c r="H2547" s="22">
        <v>0.0</v>
      </c>
      <c r="I2547" s="22">
        <v>0.0</v>
      </c>
      <c r="J2547" s="22">
        <v>0.0</v>
      </c>
      <c r="K2547" s="22">
        <v>0.0</v>
      </c>
      <c r="L2547" s="22">
        <v>761.77</v>
      </c>
      <c r="M2547" s="22">
        <v>822.294</v>
      </c>
      <c r="N2547" s="22">
        <v>644.144</v>
      </c>
      <c r="O2547" s="24">
        <v>23.5</v>
      </c>
      <c r="P2547" s="18">
        <f t="shared" si="1"/>
        <v>761.77</v>
      </c>
    </row>
    <row r="2548" ht="15.75" customHeight="1">
      <c r="A2548" s="13" t="s">
        <v>233</v>
      </c>
      <c r="B2548" s="13" t="s">
        <v>22</v>
      </c>
      <c r="C2548" s="14" t="s">
        <v>36</v>
      </c>
      <c r="D2548" s="14" t="str">
        <f>VLOOKUP(C2548,'State Key'!$A$2:$B$210,2,False)</f>
        <v>West Bengal</v>
      </c>
      <c r="E2548" s="15">
        <v>600.0</v>
      </c>
      <c r="F2548" s="16">
        <v>155.841</v>
      </c>
      <c r="G2548" s="16">
        <v>0.0</v>
      </c>
      <c r="H2548" s="16">
        <v>0.0</v>
      </c>
      <c r="I2548" s="16">
        <v>0.0</v>
      </c>
      <c r="J2548" s="16">
        <v>0.0</v>
      </c>
      <c r="K2548" s="16">
        <v>0.0</v>
      </c>
      <c r="L2548" s="16">
        <v>155.841</v>
      </c>
      <c r="M2548" s="16">
        <v>175.438</v>
      </c>
      <c r="N2548" s="16">
        <v>235.63</v>
      </c>
      <c r="O2548" s="24">
        <v>40.3</v>
      </c>
      <c r="P2548" s="18">
        <f t="shared" si="1"/>
        <v>155.841</v>
      </c>
    </row>
    <row r="2549" ht="15.75" customHeight="1">
      <c r="A2549" s="19" t="s">
        <v>233</v>
      </c>
      <c r="B2549" s="19" t="s">
        <v>22</v>
      </c>
      <c r="C2549" s="20" t="s">
        <v>37</v>
      </c>
      <c r="D2549" s="14" t="str">
        <f>VLOOKUP(C2549,'State Key'!$A$2:$B$210,2,False)</f>
        <v>West Bengal</v>
      </c>
      <c r="E2549" s="21">
        <v>300.0</v>
      </c>
      <c r="F2549" s="22">
        <v>152.293</v>
      </c>
      <c r="G2549" s="22">
        <v>0.0</v>
      </c>
      <c r="H2549" s="22">
        <v>0.0</v>
      </c>
      <c r="I2549" s="22">
        <v>0.0</v>
      </c>
      <c r="J2549" s="22">
        <v>0.0</v>
      </c>
      <c r="K2549" s="22">
        <v>0.0</v>
      </c>
      <c r="L2549" s="22">
        <v>152.293</v>
      </c>
      <c r="M2549" s="22">
        <v>153.065</v>
      </c>
      <c r="N2549" s="22">
        <v>30.21</v>
      </c>
      <c r="O2549" s="17">
        <v>5.9</v>
      </c>
      <c r="P2549" s="18">
        <f t="shared" si="1"/>
        <v>152.293</v>
      </c>
    </row>
    <row r="2550" ht="15.75" customHeight="1">
      <c r="A2550" s="13" t="s">
        <v>233</v>
      </c>
      <c r="B2550" s="13" t="s">
        <v>22</v>
      </c>
      <c r="C2550" s="14" t="s">
        <v>38</v>
      </c>
      <c r="D2550" s="14" t="str">
        <f>VLOOKUP(C2550,'State Key'!$A$2:$B$210,2,False)</f>
        <v>Odisha</v>
      </c>
      <c r="E2550" s="15">
        <v>1740.0</v>
      </c>
      <c r="F2550" s="16">
        <v>240.76</v>
      </c>
      <c r="G2550" s="16">
        <v>0.0</v>
      </c>
      <c r="H2550" s="16">
        <v>529.74</v>
      </c>
      <c r="I2550" s="16">
        <v>0.0</v>
      </c>
      <c r="J2550" s="16">
        <v>0.0</v>
      </c>
      <c r="K2550" s="16">
        <v>0.0</v>
      </c>
      <c r="L2550" s="16">
        <v>770.5</v>
      </c>
      <c r="M2550" s="16">
        <v>800.37</v>
      </c>
      <c r="N2550" s="16">
        <v>259.34</v>
      </c>
      <c r="O2550" s="23">
        <v>9.7</v>
      </c>
      <c r="P2550" s="18">
        <f t="shared" si="1"/>
        <v>770.5</v>
      </c>
    </row>
    <row r="2551" ht="15.75" customHeight="1">
      <c r="A2551" s="19" t="s">
        <v>233</v>
      </c>
      <c r="B2551" s="19" t="s">
        <v>22</v>
      </c>
      <c r="C2551" s="20" t="s">
        <v>39</v>
      </c>
      <c r="D2551" s="14" t="str">
        <f>VLOOKUP(C2551,'State Key'!$A$2:$B$210,2,False)</f>
        <v>Jharkhand</v>
      </c>
      <c r="E2551" s="21">
        <v>240.0</v>
      </c>
      <c r="F2551" s="22">
        <v>74.21</v>
      </c>
      <c r="G2551" s="22">
        <v>0.0</v>
      </c>
      <c r="H2551" s="22">
        <v>0.0</v>
      </c>
      <c r="I2551" s="22">
        <v>0.0</v>
      </c>
      <c r="J2551" s="22">
        <v>0.0</v>
      </c>
      <c r="K2551" s="22">
        <v>77.63</v>
      </c>
      <c r="L2551" s="22">
        <v>151.84</v>
      </c>
      <c r="M2551" s="22">
        <v>94.28</v>
      </c>
      <c r="N2551" s="22">
        <v>199.6</v>
      </c>
      <c r="O2551" s="24">
        <v>63.5</v>
      </c>
      <c r="P2551" s="18">
        <f t="shared" si="1"/>
        <v>151.84</v>
      </c>
    </row>
    <row r="2552" ht="15.75" customHeight="1">
      <c r="A2552" s="13" t="s">
        <v>233</v>
      </c>
      <c r="B2552" s="13" t="s">
        <v>22</v>
      </c>
      <c r="C2552" s="14" t="s">
        <v>40</v>
      </c>
      <c r="D2552" s="14" t="str">
        <f>VLOOKUP(C2552,'State Key'!$A$2:$B$210,2,False)</f>
        <v>Bihar</v>
      </c>
      <c r="E2552" s="15">
        <v>2340.0</v>
      </c>
      <c r="F2552" s="16">
        <v>1168.13</v>
      </c>
      <c r="G2552" s="16">
        <v>0.0</v>
      </c>
      <c r="H2552" s="16">
        <v>3.89</v>
      </c>
      <c r="I2552" s="16">
        <v>0.0</v>
      </c>
      <c r="J2552" s="16">
        <v>0.0</v>
      </c>
      <c r="K2552" s="16">
        <v>0.0</v>
      </c>
      <c r="L2552" s="16">
        <v>1172.02</v>
      </c>
      <c r="M2552" s="16">
        <v>1272.934</v>
      </c>
      <c r="N2552" s="16">
        <v>578.666</v>
      </c>
      <c r="O2552" s="23">
        <v>13.6</v>
      </c>
      <c r="P2552" s="18">
        <f t="shared" si="1"/>
        <v>1172.02</v>
      </c>
    </row>
    <row r="2553" ht="15.75" customHeight="1">
      <c r="A2553" s="19" t="s">
        <v>233</v>
      </c>
      <c r="B2553" s="19" t="s">
        <v>22</v>
      </c>
      <c r="C2553" s="20" t="s">
        <v>41</v>
      </c>
      <c r="D2553" s="14" t="str">
        <f>VLOOKUP(C2553,'State Key'!$A$2:$B$210,2,False)</f>
        <v>Odisha</v>
      </c>
      <c r="E2553" s="21">
        <v>1050.0</v>
      </c>
      <c r="F2553" s="22">
        <v>367.25</v>
      </c>
      <c r="G2553" s="22">
        <v>0.0</v>
      </c>
      <c r="H2553" s="22">
        <v>0.0</v>
      </c>
      <c r="I2553" s="22">
        <v>192.38</v>
      </c>
      <c r="J2553" s="22">
        <v>0.0</v>
      </c>
      <c r="K2553" s="22">
        <v>0.0</v>
      </c>
      <c r="L2553" s="22">
        <v>559.63</v>
      </c>
      <c r="M2553" s="22">
        <v>544.034</v>
      </c>
      <c r="N2553" s="22">
        <v>105.22</v>
      </c>
      <c r="O2553" s="17">
        <v>5.8</v>
      </c>
      <c r="P2553" s="18">
        <f t="shared" si="1"/>
        <v>559.63</v>
      </c>
    </row>
    <row r="2554" ht="15.75" customHeight="1">
      <c r="A2554" s="13" t="s">
        <v>233</v>
      </c>
      <c r="B2554" s="13" t="s">
        <v>22</v>
      </c>
      <c r="C2554" s="14" t="s">
        <v>42</v>
      </c>
      <c r="D2554" s="14" t="str">
        <f>VLOOKUP(C2554,'State Key'!$A$2:$B$210,2,False)</f>
        <v>Jharkhand</v>
      </c>
      <c r="E2554" s="15">
        <v>1000.0</v>
      </c>
      <c r="F2554" s="16">
        <v>311.864</v>
      </c>
      <c r="G2554" s="16">
        <v>0.0</v>
      </c>
      <c r="H2554" s="16">
        <v>87.238</v>
      </c>
      <c r="I2554" s="16">
        <v>0.0</v>
      </c>
      <c r="J2554" s="16">
        <v>0.0</v>
      </c>
      <c r="K2554" s="16">
        <v>0.0</v>
      </c>
      <c r="L2554" s="16">
        <v>399.102</v>
      </c>
      <c r="M2554" s="16">
        <v>405.78</v>
      </c>
      <c r="N2554" s="16">
        <v>326.16</v>
      </c>
      <c r="O2554" s="24">
        <v>24.1</v>
      </c>
      <c r="P2554" s="18">
        <f t="shared" si="1"/>
        <v>399.102</v>
      </c>
    </row>
    <row r="2555" ht="15.75" customHeight="1">
      <c r="A2555" s="19" t="s">
        <v>233</v>
      </c>
      <c r="B2555" s="19" t="s">
        <v>22</v>
      </c>
      <c r="C2555" s="20" t="s">
        <v>43</v>
      </c>
      <c r="D2555" s="14" t="str">
        <f>VLOOKUP(C2555,'State Key'!$A$2:$B$210,2,False)</f>
        <v>West Bengal</v>
      </c>
      <c r="E2555" s="21">
        <v>840.0</v>
      </c>
      <c r="F2555" s="22">
        <v>0.0</v>
      </c>
      <c r="G2555" s="22">
        <v>0.0</v>
      </c>
      <c r="H2555" s="22">
        <v>338.974</v>
      </c>
      <c r="I2555" s="22">
        <v>0.0</v>
      </c>
      <c r="J2555" s="22">
        <v>0.0</v>
      </c>
      <c r="K2555" s="22">
        <v>0.0</v>
      </c>
      <c r="L2555" s="22">
        <v>338.974</v>
      </c>
      <c r="M2555" s="22">
        <v>370.872</v>
      </c>
      <c r="N2555" s="22">
        <v>89.69</v>
      </c>
      <c r="O2555" s="23">
        <v>7.3</v>
      </c>
      <c r="P2555" s="18">
        <f t="shared" si="1"/>
        <v>338.974</v>
      </c>
    </row>
    <row r="2556" ht="15.75" customHeight="1">
      <c r="A2556" s="13" t="s">
        <v>233</v>
      </c>
      <c r="B2556" s="13" t="s">
        <v>22</v>
      </c>
      <c r="C2556" s="14" t="s">
        <v>44</v>
      </c>
      <c r="D2556" s="14" t="str">
        <f>VLOOKUP(C2556,'State Key'!$A$2:$B$210,2,False)</f>
        <v>Jharkhand</v>
      </c>
      <c r="E2556" s="15">
        <v>540.0</v>
      </c>
      <c r="F2556" s="16">
        <v>178.267</v>
      </c>
      <c r="G2556" s="16">
        <v>0.0</v>
      </c>
      <c r="H2556" s="16">
        <v>0.0</v>
      </c>
      <c r="I2556" s="16">
        <v>0.0</v>
      </c>
      <c r="J2556" s="16">
        <v>0.0</v>
      </c>
      <c r="K2556" s="16">
        <v>64.608</v>
      </c>
      <c r="L2556" s="16">
        <v>242.875</v>
      </c>
      <c r="M2556" s="16">
        <v>234.846</v>
      </c>
      <c r="N2556" s="16">
        <v>55.2</v>
      </c>
      <c r="O2556" s="23">
        <v>7.1</v>
      </c>
      <c r="P2556" s="18">
        <f t="shared" si="1"/>
        <v>242.875</v>
      </c>
    </row>
    <row r="2557" ht="15.75" customHeight="1">
      <c r="A2557" s="19" t="s">
        <v>233</v>
      </c>
      <c r="B2557" s="19" t="s">
        <v>22</v>
      </c>
      <c r="C2557" s="20" t="s">
        <v>45</v>
      </c>
      <c r="D2557" s="14" t="str">
        <f>VLOOKUP(C2557,'State Key'!$A$2:$B$210,2,False)</f>
        <v>Jharkhand</v>
      </c>
      <c r="E2557" s="21">
        <v>1050.0</v>
      </c>
      <c r="F2557" s="22">
        <v>377.793</v>
      </c>
      <c r="G2557" s="22">
        <v>0.0</v>
      </c>
      <c r="H2557" s="22">
        <v>0.0</v>
      </c>
      <c r="I2557" s="22">
        <v>10.698</v>
      </c>
      <c r="J2557" s="22">
        <v>0.0</v>
      </c>
      <c r="K2557" s="22">
        <v>0.0</v>
      </c>
      <c r="L2557" s="22">
        <v>388.491</v>
      </c>
      <c r="M2557" s="22">
        <v>412.408</v>
      </c>
      <c r="N2557" s="22">
        <v>450.23</v>
      </c>
      <c r="O2557" s="24">
        <v>32.8</v>
      </c>
      <c r="P2557" s="18">
        <f t="shared" si="1"/>
        <v>388.491</v>
      </c>
    </row>
    <row r="2558" ht="15.75" customHeight="1">
      <c r="A2558" s="13" t="s">
        <v>233</v>
      </c>
      <c r="B2558" s="13" t="s">
        <v>22</v>
      </c>
      <c r="C2558" s="14" t="s">
        <v>46</v>
      </c>
      <c r="D2558" s="14" t="str">
        <f>VLOOKUP(C2558,'State Key'!$A$2:$B$210,2,False)</f>
        <v>West Bengal</v>
      </c>
      <c r="E2558" s="15">
        <v>2340.0</v>
      </c>
      <c r="F2558" s="16">
        <v>928.529</v>
      </c>
      <c r="G2558" s="16">
        <v>0.0</v>
      </c>
      <c r="H2558" s="16">
        <v>104.43</v>
      </c>
      <c r="I2558" s="16">
        <v>0.0</v>
      </c>
      <c r="J2558" s="16">
        <v>0.0</v>
      </c>
      <c r="K2558" s="16">
        <v>3.273</v>
      </c>
      <c r="L2558" s="16">
        <v>1036.232</v>
      </c>
      <c r="M2558" s="16">
        <v>1032.89</v>
      </c>
      <c r="N2558" s="16">
        <v>388.36</v>
      </c>
      <c r="O2558" s="23">
        <v>11.3</v>
      </c>
      <c r="P2558" s="18">
        <f t="shared" si="1"/>
        <v>1036.232</v>
      </c>
    </row>
    <row r="2559" ht="15.75" customHeight="1">
      <c r="A2559" s="19" t="s">
        <v>233</v>
      </c>
      <c r="B2559" s="19" t="s">
        <v>22</v>
      </c>
      <c r="C2559" s="20" t="s">
        <v>47</v>
      </c>
      <c r="D2559" s="14" t="str">
        <f>VLOOKUP(C2559,'State Key'!$A$2:$B$210,2,False)</f>
        <v>Bihar</v>
      </c>
      <c r="E2559" s="21">
        <v>390.0</v>
      </c>
      <c r="F2559" s="22">
        <v>8.116</v>
      </c>
      <c r="G2559" s="22">
        <v>0.0</v>
      </c>
      <c r="H2559" s="22">
        <v>144.614</v>
      </c>
      <c r="I2559" s="22">
        <v>0.0</v>
      </c>
      <c r="J2559" s="22">
        <v>0.0</v>
      </c>
      <c r="K2559" s="22">
        <v>0.0</v>
      </c>
      <c r="L2559" s="22">
        <v>152.73</v>
      </c>
      <c r="M2559" s="22">
        <v>144.988</v>
      </c>
      <c r="N2559" s="22">
        <v>151.11</v>
      </c>
      <c r="O2559" s="24">
        <v>31.3</v>
      </c>
      <c r="P2559" s="18">
        <f t="shared" si="1"/>
        <v>152.73</v>
      </c>
    </row>
    <row r="2560" ht="15.75" customHeight="1">
      <c r="A2560" s="13" t="s">
        <v>233</v>
      </c>
      <c r="B2560" s="13" t="s">
        <v>22</v>
      </c>
      <c r="C2560" s="14" t="s">
        <v>48</v>
      </c>
      <c r="D2560" s="14" t="str">
        <f>VLOOKUP(C2560,'State Key'!$A$2:$B$210,2,False)</f>
        <v>Bihar</v>
      </c>
      <c r="E2560" s="15">
        <v>1980.0</v>
      </c>
      <c r="F2560" s="16">
        <v>609.698</v>
      </c>
      <c r="G2560" s="16">
        <v>0.0</v>
      </c>
      <c r="H2560" s="16">
        <v>53.771</v>
      </c>
      <c r="I2560" s="16">
        <v>0.0</v>
      </c>
      <c r="J2560" s="16">
        <v>3.262</v>
      </c>
      <c r="K2560" s="16">
        <v>0.0</v>
      </c>
      <c r="L2560" s="16">
        <v>666.731</v>
      </c>
      <c r="M2560" s="16">
        <v>783.912</v>
      </c>
      <c r="N2560" s="16">
        <v>877.01</v>
      </c>
      <c r="O2560" s="24">
        <v>33.6</v>
      </c>
      <c r="P2560" s="18">
        <f t="shared" si="1"/>
        <v>666.731</v>
      </c>
    </row>
    <row r="2561" ht="15.75" customHeight="1">
      <c r="A2561" s="19" t="s">
        <v>233</v>
      </c>
      <c r="B2561" s="19" t="s">
        <v>22</v>
      </c>
      <c r="C2561" s="20" t="s">
        <v>49</v>
      </c>
      <c r="D2561" s="14" t="str">
        <f>VLOOKUP(C2561,'State Key'!$A$2:$B$210,2,False)</f>
        <v>Bihar</v>
      </c>
      <c r="E2561" s="21">
        <v>1000.0</v>
      </c>
      <c r="F2561" s="22">
        <v>440.1006</v>
      </c>
      <c r="G2561" s="22">
        <v>0.0</v>
      </c>
      <c r="H2561" s="22">
        <v>0.0</v>
      </c>
      <c r="I2561" s="22">
        <v>0.0</v>
      </c>
      <c r="J2561" s="22">
        <v>0.0</v>
      </c>
      <c r="K2561" s="22">
        <v>0.0</v>
      </c>
      <c r="L2561" s="22">
        <v>440.1006</v>
      </c>
      <c r="M2561" s="22">
        <v>461.066</v>
      </c>
      <c r="N2561" s="22">
        <v>218.73</v>
      </c>
      <c r="O2561" s="24">
        <v>14.2</v>
      </c>
      <c r="P2561" s="18">
        <f t="shared" si="1"/>
        <v>440.1006</v>
      </c>
    </row>
    <row r="2562" ht="15.75" customHeight="1">
      <c r="A2562" s="13" t="s">
        <v>233</v>
      </c>
      <c r="B2562" s="13" t="s">
        <v>22</v>
      </c>
      <c r="C2562" s="14" t="s">
        <v>50</v>
      </c>
      <c r="D2562" s="14" t="str">
        <f>VLOOKUP(C2562,'State Key'!$A$2:$B$210,2,False)</f>
        <v>Jharkhand</v>
      </c>
      <c r="E2562" s="15">
        <v>1320.0</v>
      </c>
      <c r="F2562" s="16">
        <v>537.63</v>
      </c>
      <c r="G2562" s="16">
        <v>0.0</v>
      </c>
      <c r="H2562" s="16">
        <v>139.84</v>
      </c>
      <c r="I2562" s="16">
        <v>0.0</v>
      </c>
      <c r="J2562" s="16">
        <v>0.0</v>
      </c>
      <c r="K2562" s="16">
        <v>59.16</v>
      </c>
      <c r="L2562" s="16">
        <v>736.63</v>
      </c>
      <c r="M2562" s="16">
        <v>625.769</v>
      </c>
      <c r="N2562" s="16">
        <v>376.893</v>
      </c>
      <c r="O2562" s="24">
        <v>18.1</v>
      </c>
      <c r="P2562" s="18">
        <f t="shared" si="1"/>
        <v>736.63</v>
      </c>
    </row>
    <row r="2563" ht="15.75" customHeight="1">
      <c r="A2563" s="19" t="s">
        <v>233</v>
      </c>
      <c r="B2563" s="19" t="s">
        <v>22</v>
      </c>
      <c r="C2563" s="20" t="s">
        <v>51</v>
      </c>
      <c r="D2563" s="14" t="str">
        <f>VLOOKUP(C2563,'State Key'!$A$2:$B$210,2,False)</f>
        <v>West Bengal</v>
      </c>
      <c r="E2563" s="21">
        <v>1200.0</v>
      </c>
      <c r="F2563" s="22">
        <v>195.125</v>
      </c>
      <c r="G2563" s="22">
        <v>0.0</v>
      </c>
      <c r="H2563" s="22">
        <v>0.0</v>
      </c>
      <c r="I2563" s="22">
        <v>0.0</v>
      </c>
      <c r="J2563" s="22">
        <v>0.0</v>
      </c>
      <c r="K2563" s="22">
        <v>0.0</v>
      </c>
      <c r="L2563" s="22">
        <v>195.125</v>
      </c>
      <c r="M2563" s="22">
        <v>244.88</v>
      </c>
      <c r="N2563" s="22">
        <v>340.7</v>
      </c>
      <c r="O2563" s="24">
        <v>41.7</v>
      </c>
      <c r="P2563" s="18">
        <f t="shared" si="1"/>
        <v>195.125</v>
      </c>
    </row>
    <row r="2564" ht="15.75" customHeight="1">
      <c r="A2564" s="13" t="s">
        <v>233</v>
      </c>
      <c r="B2564" s="13" t="s">
        <v>22</v>
      </c>
      <c r="C2564" s="14" t="s">
        <v>52</v>
      </c>
      <c r="D2564" s="14" t="str">
        <f>VLOOKUP(C2564,'State Key'!$A$2:$B$210,2,False)</f>
        <v>West Bengal</v>
      </c>
      <c r="E2564" s="15">
        <v>1600.0</v>
      </c>
      <c r="F2564" s="16">
        <v>0.0</v>
      </c>
      <c r="G2564" s="16">
        <v>0.0</v>
      </c>
      <c r="H2564" s="16">
        <v>694.951</v>
      </c>
      <c r="I2564" s="16">
        <v>0.0</v>
      </c>
      <c r="J2564" s="16">
        <v>0.0</v>
      </c>
      <c r="K2564" s="16">
        <v>0.0</v>
      </c>
      <c r="L2564" s="16">
        <v>694.951</v>
      </c>
      <c r="M2564" s="16">
        <v>674.414</v>
      </c>
      <c r="N2564" s="16">
        <v>393.62</v>
      </c>
      <c r="O2564" s="24">
        <v>17.5</v>
      </c>
      <c r="P2564" s="18">
        <f t="shared" si="1"/>
        <v>694.951</v>
      </c>
    </row>
    <row r="2565" ht="15.75" customHeight="1">
      <c r="A2565" s="19" t="s">
        <v>233</v>
      </c>
      <c r="B2565" s="19" t="s">
        <v>22</v>
      </c>
      <c r="C2565" s="20" t="s">
        <v>53</v>
      </c>
      <c r="D2565" s="14" t="str">
        <f>VLOOKUP(C2565,'State Key'!$A$2:$B$210,2,False)</f>
        <v>West Bengal</v>
      </c>
      <c r="E2565" s="21">
        <v>500.0</v>
      </c>
      <c r="F2565" s="22">
        <v>0.0</v>
      </c>
      <c r="G2565" s="22">
        <v>0.0</v>
      </c>
      <c r="H2565" s="22">
        <v>243.361</v>
      </c>
      <c r="I2565" s="22">
        <v>0.0</v>
      </c>
      <c r="J2565" s="22">
        <v>0.0</v>
      </c>
      <c r="K2565" s="22">
        <v>0.0</v>
      </c>
      <c r="L2565" s="22">
        <v>243.361</v>
      </c>
      <c r="M2565" s="22">
        <v>212.382</v>
      </c>
      <c r="N2565" s="22">
        <v>105.71</v>
      </c>
      <c r="O2565" s="24">
        <v>14.9</v>
      </c>
      <c r="P2565" s="18">
        <f t="shared" si="1"/>
        <v>243.361</v>
      </c>
    </row>
    <row r="2566" ht="15.75" customHeight="1">
      <c r="A2566" s="13" t="s">
        <v>233</v>
      </c>
      <c r="B2566" s="13" t="s">
        <v>22</v>
      </c>
      <c r="C2566" s="14" t="s">
        <v>54</v>
      </c>
      <c r="D2566" s="14" t="str">
        <f>VLOOKUP(C2566,'State Key'!$A$2:$B$210,2,False)</f>
        <v>West Bengal</v>
      </c>
      <c r="E2566" s="15">
        <v>135.0</v>
      </c>
      <c r="F2566" s="16">
        <v>27.249</v>
      </c>
      <c r="G2566" s="16">
        <v>0.0</v>
      </c>
      <c r="H2566" s="16">
        <v>0.0</v>
      </c>
      <c r="I2566" s="16">
        <v>15.324</v>
      </c>
      <c r="J2566" s="16">
        <v>0.0</v>
      </c>
      <c r="K2566" s="16">
        <v>0.0</v>
      </c>
      <c r="L2566" s="16">
        <v>42.573</v>
      </c>
      <c r="M2566" s="16">
        <v>57.516</v>
      </c>
      <c r="N2566" s="16">
        <v>40.57</v>
      </c>
      <c r="O2566" s="24">
        <v>21.2</v>
      </c>
      <c r="P2566" s="18">
        <f t="shared" si="1"/>
        <v>42.573</v>
      </c>
    </row>
    <row r="2567" ht="15.75" customHeight="1">
      <c r="A2567" s="19" t="s">
        <v>233</v>
      </c>
      <c r="B2567" s="19" t="s">
        <v>22</v>
      </c>
      <c r="C2567" s="20" t="s">
        <v>55</v>
      </c>
      <c r="D2567" s="14" t="str">
        <f>VLOOKUP(C2567,'State Key'!$A$2:$B$210,2,False)</f>
        <v>Odisha</v>
      </c>
      <c r="E2567" s="21">
        <v>3000.0</v>
      </c>
      <c r="F2567" s="22">
        <v>1259.25</v>
      </c>
      <c r="G2567" s="22">
        <v>0.0</v>
      </c>
      <c r="H2567" s="22">
        <v>42.54</v>
      </c>
      <c r="I2567" s="22">
        <v>0.0</v>
      </c>
      <c r="J2567" s="22">
        <v>0.0</v>
      </c>
      <c r="K2567" s="22">
        <v>0.0</v>
      </c>
      <c r="L2567" s="22">
        <v>1301.79</v>
      </c>
      <c r="M2567" s="22">
        <v>1239.024</v>
      </c>
      <c r="N2567" s="22">
        <v>422.676</v>
      </c>
      <c r="O2567" s="23">
        <v>10.2</v>
      </c>
      <c r="P2567" s="18">
        <f t="shared" si="1"/>
        <v>1301.79</v>
      </c>
    </row>
    <row r="2568" ht="15.75" customHeight="1">
      <c r="A2568" s="13" t="s">
        <v>233</v>
      </c>
      <c r="B2568" s="13" t="s">
        <v>22</v>
      </c>
      <c r="C2568" s="14" t="s">
        <v>56</v>
      </c>
      <c r="D2568" s="14" t="str">
        <f>VLOOKUP(C2568,'State Key'!$A$2:$B$210,2,False)</f>
        <v>Jharkhand</v>
      </c>
      <c r="E2568" s="15">
        <v>420.0</v>
      </c>
      <c r="F2568" s="16">
        <v>170.14</v>
      </c>
      <c r="G2568" s="16">
        <v>0.0</v>
      </c>
      <c r="H2568" s="16">
        <v>0.0</v>
      </c>
      <c r="I2568" s="16">
        <v>0.0</v>
      </c>
      <c r="J2568" s="16">
        <v>0.0</v>
      </c>
      <c r="K2568" s="16">
        <v>0.0</v>
      </c>
      <c r="L2568" s="16">
        <v>170.14</v>
      </c>
      <c r="M2568" s="16">
        <v>120.09</v>
      </c>
      <c r="N2568" s="16">
        <v>89.67</v>
      </c>
      <c r="O2568" s="24">
        <v>22.4</v>
      </c>
      <c r="P2568" s="18">
        <f t="shared" si="1"/>
        <v>170.14</v>
      </c>
    </row>
    <row r="2569" ht="15.75" customHeight="1">
      <c r="A2569" s="19" t="s">
        <v>233</v>
      </c>
      <c r="B2569" s="19" t="s">
        <v>22</v>
      </c>
      <c r="C2569" s="20" t="s">
        <v>57</v>
      </c>
      <c r="D2569" s="14" t="str">
        <f>VLOOKUP(C2569,'State Key'!$A$2:$B$210,2,False)</f>
        <v>West Bengal</v>
      </c>
      <c r="E2569" s="21">
        <v>240.0</v>
      </c>
      <c r="F2569" s="22">
        <v>0.0</v>
      </c>
      <c r="G2569" s="22">
        <v>0.0</v>
      </c>
      <c r="H2569" s="22">
        <v>0.0</v>
      </c>
      <c r="I2569" s="22">
        <v>0.0</v>
      </c>
      <c r="J2569" s="22">
        <v>0.0</v>
      </c>
      <c r="K2569" s="22">
        <v>0.0</v>
      </c>
      <c r="L2569" s="22">
        <v>0.0</v>
      </c>
      <c r="M2569" s="22">
        <v>0.0</v>
      </c>
      <c r="N2569" s="22">
        <v>0.0</v>
      </c>
      <c r="O2569" s="19" t="s">
        <v>58</v>
      </c>
      <c r="P2569" s="18">
        <f t="shared" si="1"/>
        <v>0</v>
      </c>
    </row>
    <row r="2570" ht="15.75" customHeight="1">
      <c r="A2570" s="13" t="s">
        <v>233</v>
      </c>
      <c r="B2570" s="13" t="s">
        <v>22</v>
      </c>
      <c r="C2570" s="14" t="s">
        <v>59</v>
      </c>
      <c r="D2570" s="14" t="str">
        <f>VLOOKUP(C2570,'State Key'!$A$2:$B$210,2,False)</f>
        <v>Odisha</v>
      </c>
      <c r="E2570" s="15">
        <v>350.0</v>
      </c>
      <c r="F2570" s="16">
        <v>28.0</v>
      </c>
      <c r="G2570" s="16">
        <v>0.0</v>
      </c>
      <c r="H2570" s="16">
        <v>0.0</v>
      </c>
      <c r="I2570" s="16">
        <v>0.0</v>
      </c>
      <c r="J2570" s="16">
        <v>0.0</v>
      </c>
      <c r="K2570" s="16">
        <v>0.0</v>
      </c>
      <c r="L2570" s="16">
        <v>28.0</v>
      </c>
      <c r="M2570" s="16">
        <v>2.0</v>
      </c>
      <c r="N2570" s="16">
        <v>35.85</v>
      </c>
      <c r="O2570" s="24">
        <v>537.8</v>
      </c>
      <c r="P2570" s="18">
        <f t="shared" si="1"/>
        <v>28</v>
      </c>
    </row>
    <row r="2571" ht="15.75" customHeight="1">
      <c r="A2571" s="19" t="s">
        <v>233</v>
      </c>
      <c r="B2571" s="19" t="s">
        <v>22</v>
      </c>
      <c r="C2571" s="20" t="s">
        <v>60</v>
      </c>
      <c r="D2571" s="14" t="str">
        <f>VLOOKUP(C2571,'State Key'!$A$2:$B$210,2,False)</f>
        <v>Odisha</v>
      </c>
      <c r="E2571" s="21">
        <v>600.0</v>
      </c>
      <c r="F2571" s="22">
        <v>129.14</v>
      </c>
      <c r="G2571" s="22">
        <v>0.0</v>
      </c>
      <c r="H2571" s="22">
        <v>0.0</v>
      </c>
      <c r="I2571" s="22">
        <v>0.0</v>
      </c>
      <c r="J2571" s="22">
        <v>0.0</v>
      </c>
      <c r="K2571" s="22">
        <v>0.0</v>
      </c>
      <c r="L2571" s="22">
        <v>129.14</v>
      </c>
      <c r="M2571" s="22">
        <v>202.16</v>
      </c>
      <c r="N2571" s="22">
        <v>44.55</v>
      </c>
      <c r="O2571" s="17">
        <v>6.6</v>
      </c>
      <c r="P2571" s="18">
        <f t="shared" si="1"/>
        <v>129.14</v>
      </c>
    </row>
    <row r="2572" ht="15.75" customHeight="1">
      <c r="A2572" s="13" t="s">
        <v>233</v>
      </c>
      <c r="B2572" s="13" t="s">
        <v>61</v>
      </c>
      <c r="C2572" s="14" t="s">
        <v>209</v>
      </c>
      <c r="D2572" s="14" t="str">
        <f>VLOOKUP(C2572,'State Key'!$A$2:$B$210,2,False)</f>
        <v>Rajasthan</v>
      </c>
      <c r="E2572" s="15">
        <v>1320.0</v>
      </c>
      <c r="F2572" s="16">
        <v>329.224</v>
      </c>
      <c r="G2572" s="16">
        <v>0.0</v>
      </c>
      <c r="H2572" s="16">
        <v>0.0</v>
      </c>
      <c r="I2572" s="16">
        <v>0.0</v>
      </c>
      <c r="J2572" s="16">
        <v>76.118</v>
      </c>
      <c r="K2572" s="16">
        <v>0.0</v>
      </c>
      <c r="L2572" s="16">
        <v>405.342</v>
      </c>
      <c r="M2572" s="16">
        <v>478.473</v>
      </c>
      <c r="N2572" s="16">
        <v>268.32</v>
      </c>
      <c r="O2572" s="24">
        <v>16.8</v>
      </c>
      <c r="P2572" s="18">
        <f t="shared" si="1"/>
        <v>405.342</v>
      </c>
    </row>
    <row r="2573" ht="15.75" customHeight="1">
      <c r="A2573" s="19" t="s">
        <v>233</v>
      </c>
      <c r="B2573" s="19" t="s">
        <v>61</v>
      </c>
      <c r="C2573" s="20" t="s">
        <v>62</v>
      </c>
      <c r="D2573" s="14" t="str">
        <f>VLOOKUP(C2573,'State Key'!$A$2:$B$210,2,False)</f>
        <v>Uttar Pradesh</v>
      </c>
      <c r="E2573" s="21">
        <v>1200.0</v>
      </c>
      <c r="F2573" s="22">
        <v>514.966</v>
      </c>
      <c r="G2573" s="22">
        <v>0.0</v>
      </c>
      <c r="H2573" s="22">
        <v>0.0</v>
      </c>
      <c r="I2573" s="22">
        <v>0.0</v>
      </c>
      <c r="J2573" s="22">
        <v>0.0</v>
      </c>
      <c r="K2573" s="22">
        <v>0.0</v>
      </c>
      <c r="L2573" s="22">
        <v>514.966</v>
      </c>
      <c r="M2573" s="22">
        <v>504.224</v>
      </c>
      <c r="N2573" s="22">
        <v>140.31</v>
      </c>
      <c r="O2573" s="23">
        <v>8.3</v>
      </c>
      <c r="P2573" s="18">
        <f t="shared" si="1"/>
        <v>514.966</v>
      </c>
    </row>
    <row r="2574" ht="15.75" customHeight="1">
      <c r="A2574" s="13" t="s">
        <v>233</v>
      </c>
      <c r="B2574" s="13" t="s">
        <v>61</v>
      </c>
      <c r="C2574" s="14" t="s">
        <v>63</v>
      </c>
      <c r="D2574" s="14" t="str">
        <f>VLOOKUP(C2574,'State Key'!$A$2:$B$210,2,False)</f>
        <v>Uttar Pradesh</v>
      </c>
      <c r="E2574" s="15">
        <v>2630.0</v>
      </c>
      <c r="F2574" s="16">
        <v>1056.424</v>
      </c>
      <c r="G2574" s="16">
        <v>0.0</v>
      </c>
      <c r="H2574" s="16">
        <v>0.0</v>
      </c>
      <c r="I2574" s="16">
        <v>0.0</v>
      </c>
      <c r="J2574" s="16">
        <v>0.0</v>
      </c>
      <c r="K2574" s="16">
        <v>0.0</v>
      </c>
      <c r="L2574" s="16">
        <v>1056.424</v>
      </c>
      <c r="M2574" s="16">
        <v>1128.153</v>
      </c>
      <c r="N2574" s="16">
        <v>436.95</v>
      </c>
      <c r="O2574" s="23">
        <v>11.6</v>
      </c>
      <c r="P2574" s="18">
        <f t="shared" si="1"/>
        <v>1056.424</v>
      </c>
    </row>
    <row r="2575" ht="15.75" customHeight="1">
      <c r="A2575" s="19" t="s">
        <v>233</v>
      </c>
      <c r="B2575" s="19" t="s">
        <v>61</v>
      </c>
      <c r="C2575" s="20" t="s">
        <v>64</v>
      </c>
      <c r="D2575" s="14" t="str">
        <f>VLOOKUP(C2575,'State Key'!$A$2:$B$210,2,False)</f>
        <v>Uttar Pradesh</v>
      </c>
      <c r="E2575" s="21">
        <v>90.0</v>
      </c>
      <c r="F2575" s="22">
        <v>12.113</v>
      </c>
      <c r="G2575" s="22">
        <v>0.0</v>
      </c>
      <c r="H2575" s="22">
        <v>0.0</v>
      </c>
      <c r="I2575" s="22">
        <v>0.0</v>
      </c>
      <c r="J2575" s="22">
        <v>0.0</v>
      </c>
      <c r="K2575" s="22">
        <v>0.0</v>
      </c>
      <c r="L2575" s="22">
        <v>12.113</v>
      </c>
      <c r="M2575" s="22">
        <v>38.29</v>
      </c>
      <c r="N2575" s="22">
        <v>52.51</v>
      </c>
      <c r="O2575" s="24">
        <v>41.1</v>
      </c>
      <c r="P2575" s="18">
        <f t="shared" si="1"/>
        <v>12.113</v>
      </c>
    </row>
    <row r="2576" ht="15.75" customHeight="1">
      <c r="A2576" s="13" t="s">
        <v>233</v>
      </c>
      <c r="B2576" s="13" t="s">
        <v>61</v>
      </c>
      <c r="C2576" s="14" t="s">
        <v>65</v>
      </c>
      <c r="D2576" s="14" t="str">
        <f>VLOOKUP(C2576,'State Key'!$A$2:$B$210,2,False)</f>
        <v>Rajasthan</v>
      </c>
      <c r="E2576" s="15">
        <v>500.0</v>
      </c>
      <c r="F2576" s="16">
        <v>144.46</v>
      </c>
      <c r="G2576" s="16">
        <v>0.0</v>
      </c>
      <c r="H2576" s="16">
        <v>0.0</v>
      </c>
      <c r="I2576" s="16">
        <v>0.0</v>
      </c>
      <c r="J2576" s="16">
        <v>0.0</v>
      </c>
      <c r="K2576" s="16">
        <v>0.0</v>
      </c>
      <c r="L2576" s="16">
        <v>144.46</v>
      </c>
      <c r="M2576" s="16">
        <v>189.61</v>
      </c>
      <c r="N2576" s="16">
        <v>54.34</v>
      </c>
      <c r="O2576" s="23">
        <v>8.6</v>
      </c>
      <c r="P2576" s="18">
        <f t="shared" si="1"/>
        <v>144.46</v>
      </c>
    </row>
    <row r="2577" ht="15.75" customHeight="1">
      <c r="A2577" s="19" t="s">
        <v>233</v>
      </c>
      <c r="B2577" s="19" t="s">
        <v>61</v>
      </c>
      <c r="C2577" s="20" t="s">
        <v>66</v>
      </c>
      <c r="D2577" s="14" t="str">
        <f>VLOOKUP(C2577,'State Key'!$A$2:$B$210,2,False)</f>
        <v>Rajasthan</v>
      </c>
      <c r="E2577" s="21">
        <v>500.0</v>
      </c>
      <c r="F2577" s="22">
        <v>170.2</v>
      </c>
      <c r="G2577" s="22">
        <v>0.0</v>
      </c>
      <c r="H2577" s="22">
        <v>106.05</v>
      </c>
      <c r="I2577" s="22">
        <v>0.0</v>
      </c>
      <c r="J2577" s="22">
        <v>0.0</v>
      </c>
      <c r="K2577" s="22">
        <v>0.0</v>
      </c>
      <c r="L2577" s="22">
        <v>276.25</v>
      </c>
      <c r="M2577" s="22">
        <v>208.75</v>
      </c>
      <c r="N2577" s="22">
        <v>37.22</v>
      </c>
      <c r="O2577" s="17">
        <v>5.3</v>
      </c>
      <c r="P2577" s="18">
        <f t="shared" si="1"/>
        <v>276.25</v>
      </c>
    </row>
    <row r="2578" ht="15.75" customHeight="1">
      <c r="A2578" s="13" t="s">
        <v>233</v>
      </c>
      <c r="B2578" s="13" t="s">
        <v>61</v>
      </c>
      <c r="C2578" s="14" t="s">
        <v>67</v>
      </c>
      <c r="D2578" s="14" t="str">
        <f>VLOOKUP(C2578,'State Key'!$A$2:$B$210,2,False)</f>
        <v>Rajasthan</v>
      </c>
      <c r="E2578" s="15">
        <v>1320.0</v>
      </c>
      <c r="F2578" s="16">
        <v>26.434</v>
      </c>
      <c r="G2578" s="16">
        <v>0.0</v>
      </c>
      <c r="H2578" s="16">
        <v>382.636</v>
      </c>
      <c r="I2578" s="16">
        <v>0.0</v>
      </c>
      <c r="J2578" s="16">
        <v>0.0</v>
      </c>
      <c r="K2578" s="16">
        <v>0.0</v>
      </c>
      <c r="L2578" s="16">
        <v>409.07</v>
      </c>
      <c r="M2578" s="16">
        <v>386.559</v>
      </c>
      <c r="N2578" s="16">
        <v>200.37</v>
      </c>
      <c r="O2578" s="24">
        <v>15.6</v>
      </c>
      <c r="P2578" s="18">
        <f t="shared" si="1"/>
        <v>409.07</v>
      </c>
    </row>
    <row r="2579" ht="15.75" customHeight="1">
      <c r="A2579" s="19" t="s">
        <v>233</v>
      </c>
      <c r="B2579" s="19" t="s">
        <v>61</v>
      </c>
      <c r="C2579" s="20" t="s">
        <v>68</v>
      </c>
      <c r="D2579" s="14" t="str">
        <f>VLOOKUP(C2579,'State Key'!$A$2:$B$210,2,False)</f>
        <v>Uttar Pradesh</v>
      </c>
      <c r="E2579" s="21">
        <v>1820.0</v>
      </c>
      <c r="F2579" s="22">
        <v>405.3</v>
      </c>
      <c r="G2579" s="22">
        <v>0.0</v>
      </c>
      <c r="H2579" s="22">
        <v>171.97</v>
      </c>
      <c r="I2579" s="22">
        <v>0.0</v>
      </c>
      <c r="J2579" s="22">
        <v>23.78</v>
      </c>
      <c r="K2579" s="22">
        <v>0.0</v>
      </c>
      <c r="L2579" s="22">
        <v>601.05</v>
      </c>
      <c r="M2579" s="22">
        <v>610.818</v>
      </c>
      <c r="N2579" s="22">
        <v>803.782</v>
      </c>
      <c r="O2579" s="24">
        <v>39.5</v>
      </c>
      <c r="P2579" s="18">
        <f t="shared" si="1"/>
        <v>601.05</v>
      </c>
    </row>
    <row r="2580" ht="15.75" customHeight="1">
      <c r="A2580" s="13" t="s">
        <v>233</v>
      </c>
      <c r="B2580" s="13" t="s">
        <v>61</v>
      </c>
      <c r="C2580" s="14" t="s">
        <v>69</v>
      </c>
      <c r="D2580" s="14" t="str">
        <f>VLOOKUP(C2580,'State Key'!$A$2:$B$210,2,False)</f>
        <v>Punjab</v>
      </c>
      <c r="E2580" s="15">
        <v>920.0</v>
      </c>
      <c r="F2580" s="16">
        <v>83.44</v>
      </c>
      <c r="G2580" s="16">
        <v>0.0</v>
      </c>
      <c r="H2580" s="16">
        <v>75.22</v>
      </c>
      <c r="I2580" s="16">
        <v>0.0</v>
      </c>
      <c r="J2580" s="16">
        <v>0.0</v>
      </c>
      <c r="K2580" s="16">
        <v>0.061</v>
      </c>
      <c r="L2580" s="16">
        <v>158.721</v>
      </c>
      <c r="M2580" s="16">
        <v>262.265</v>
      </c>
      <c r="N2580" s="16">
        <v>261.84</v>
      </c>
      <c r="O2580" s="24">
        <v>30.0</v>
      </c>
      <c r="P2580" s="18">
        <f t="shared" si="1"/>
        <v>158.721</v>
      </c>
    </row>
    <row r="2581" ht="15.75" customHeight="1">
      <c r="A2581" s="19" t="s">
        <v>233</v>
      </c>
      <c r="B2581" s="19" t="s">
        <v>61</v>
      </c>
      <c r="C2581" s="20" t="s">
        <v>70</v>
      </c>
      <c r="D2581" s="14" t="str">
        <f>VLOOKUP(C2581,'State Key'!$A$2:$B$210,2,False)</f>
        <v>Punjab</v>
      </c>
      <c r="E2581" s="21">
        <v>540.0</v>
      </c>
      <c r="F2581" s="22">
        <v>0.0678</v>
      </c>
      <c r="G2581" s="22">
        <v>0.0</v>
      </c>
      <c r="H2581" s="22">
        <v>138.0457</v>
      </c>
      <c r="I2581" s="22">
        <v>0.0</v>
      </c>
      <c r="J2581" s="22">
        <v>0.0</v>
      </c>
      <c r="K2581" s="22">
        <v>0.0</v>
      </c>
      <c r="L2581" s="22">
        <v>138.1135</v>
      </c>
      <c r="M2581" s="22">
        <v>179.7374</v>
      </c>
      <c r="N2581" s="22">
        <v>87.1</v>
      </c>
      <c r="O2581" s="24">
        <v>14.5</v>
      </c>
      <c r="P2581" s="18">
        <f t="shared" si="1"/>
        <v>138.1135</v>
      </c>
    </row>
    <row r="2582" ht="15.75" customHeight="1">
      <c r="A2582" s="13" t="s">
        <v>233</v>
      </c>
      <c r="B2582" s="13" t="s">
        <v>61</v>
      </c>
      <c r="C2582" s="14" t="s">
        <v>71</v>
      </c>
      <c r="D2582" s="14" t="str">
        <f>VLOOKUP(C2582,'State Key'!$A$2:$B$210,2,False)</f>
        <v>Uttar Pradesh</v>
      </c>
      <c r="E2582" s="15">
        <v>1265.0</v>
      </c>
      <c r="F2582" s="16">
        <v>394.68</v>
      </c>
      <c r="G2582" s="16">
        <v>0.0</v>
      </c>
      <c r="H2582" s="16">
        <v>0.0</v>
      </c>
      <c r="I2582" s="16">
        <v>0.0</v>
      </c>
      <c r="J2582" s="16">
        <v>0.0</v>
      </c>
      <c r="K2582" s="16">
        <v>0.0</v>
      </c>
      <c r="L2582" s="16">
        <v>394.68</v>
      </c>
      <c r="M2582" s="16">
        <v>448.521</v>
      </c>
      <c r="N2582" s="16">
        <v>598.85</v>
      </c>
      <c r="O2582" s="24">
        <v>40.1</v>
      </c>
      <c r="P2582" s="18">
        <f t="shared" si="1"/>
        <v>394.68</v>
      </c>
    </row>
    <row r="2583" ht="15.75" customHeight="1">
      <c r="A2583" s="19" t="s">
        <v>233</v>
      </c>
      <c r="B2583" s="19" t="s">
        <v>61</v>
      </c>
      <c r="C2583" s="20" t="s">
        <v>72</v>
      </c>
      <c r="D2583" s="14" t="str">
        <f>VLOOKUP(C2583,'State Key'!$A$2:$B$210,2,False)</f>
        <v>Haryana</v>
      </c>
      <c r="E2583" s="21">
        <v>1500.0</v>
      </c>
      <c r="F2583" s="22">
        <v>532.136</v>
      </c>
      <c r="G2583" s="22">
        <v>0.0</v>
      </c>
      <c r="H2583" s="22">
        <v>0.0</v>
      </c>
      <c r="I2583" s="22">
        <v>0.0</v>
      </c>
      <c r="J2583" s="22">
        <v>0.0</v>
      </c>
      <c r="K2583" s="22">
        <v>0.0</v>
      </c>
      <c r="L2583" s="22">
        <v>532.136</v>
      </c>
      <c r="M2583" s="22">
        <v>536.72</v>
      </c>
      <c r="N2583" s="22">
        <v>810.6</v>
      </c>
      <c r="O2583" s="24">
        <v>45.3</v>
      </c>
      <c r="P2583" s="18">
        <f t="shared" si="1"/>
        <v>532.136</v>
      </c>
    </row>
    <row r="2584" ht="15.75" customHeight="1">
      <c r="A2584" s="13" t="s">
        <v>233</v>
      </c>
      <c r="B2584" s="13" t="s">
        <v>61</v>
      </c>
      <c r="C2584" s="14" t="s">
        <v>226</v>
      </c>
      <c r="D2584" s="14" t="str">
        <f>VLOOKUP(C2584,'State Key'!$A$2:$B$210,2,False)</f>
        <v>Uttar Pradesh</v>
      </c>
      <c r="E2584" s="15">
        <v>660.0</v>
      </c>
      <c r="F2584" s="16">
        <v>174.5817</v>
      </c>
      <c r="G2584" s="16">
        <v>0.0</v>
      </c>
      <c r="H2584" s="16">
        <v>0.0</v>
      </c>
      <c r="I2584" s="16">
        <v>0.0</v>
      </c>
      <c r="J2584" s="16">
        <v>0.0</v>
      </c>
      <c r="K2584" s="16">
        <v>0.0</v>
      </c>
      <c r="L2584" s="16">
        <v>174.5817</v>
      </c>
      <c r="M2584" s="16">
        <v>97.9317</v>
      </c>
      <c r="N2584" s="16">
        <v>105.19</v>
      </c>
      <c r="O2584" s="24">
        <v>32.2</v>
      </c>
      <c r="P2584" s="18">
        <f t="shared" si="1"/>
        <v>174.5817</v>
      </c>
    </row>
    <row r="2585" ht="15.75" customHeight="1">
      <c r="A2585" s="19" t="s">
        <v>233</v>
      </c>
      <c r="B2585" s="19" t="s">
        <v>61</v>
      </c>
      <c r="C2585" s="20" t="s">
        <v>73</v>
      </c>
      <c r="D2585" s="14" t="str">
        <f>VLOOKUP(C2585,'State Key'!$A$2:$B$210,2,False)</f>
        <v>Rajasthan</v>
      </c>
      <c r="E2585" s="21">
        <v>1200.0</v>
      </c>
      <c r="F2585" s="22">
        <v>3.763</v>
      </c>
      <c r="G2585" s="22">
        <v>0.0</v>
      </c>
      <c r="H2585" s="22">
        <v>359.229</v>
      </c>
      <c r="I2585" s="22">
        <v>0.0</v>
      </c>
      <c r="J2585" s="22">
        <v>0.0</v>
      </c>
      <c r="K2585" s="22">
        <v>0.0</v>
      </c>
      <c r="L2585" s="22">
        <v>362.992</v>
      </c>
      <c r="M2585" s="22">
        <v>422.104</v>
      </c>
      <c r="N2585" s="22">
        <v>148.24</v>
      </c>
      <c r="O2585" s="23">
        <v>10.5</v>
      </c>
      <c r="P2585" s="18">
        <f t="shared" si="1"/>
        <v>362.992</v>
      </c>
    </row>
    <row r="2586" ht="15.75" customHeight="1">
      <c r="A2586" s="13" t="s">
        <v>233</v>
      </c>
      <c r="B2586" s="13" t="s">
        <v>61</v>
      </c>
      <c r="C2586" s="14" t="s">
        <v>75</v>
      </c>
      <c r="D2586" s="14" t="str">
        <f>VLOOKUP(C2586,'State Key'!$A$2:$B$210,2,False)</f>
        <v>Uttar Pradesh</v>
      </c>
      <c r="E2586" s="15">
        <v>90.0</v>
      </c>
      <c r="F2586" s="16">
        <v>30.745</v>
      </c>
      <c r="G2586" s="16">
        <v>0.0</v>
      </c>
      <c r="H2586" s="16">
        <v>0.0</v>
      </c>
      <c r="I2586" s="16">
        <v>0.0</v>
      </c>
      <c r="J2586" s="16">
        <v>0.0</v>
      </c>
      <c r="K2586" s="16">
        <v>0.0</v>
      </c>
      <c r="L2586" s="16">
        <v>30.745</v>
      </c>
      <c r="M2586" s="16">
        <v>36.316</v>
      </c>
      <c r="N2586" s="16">
        <v>67.83</v>
      </c>
      <c r="O2586" s="24">
        <v>56.0</v>
      </c>
      <c r="P2586" s="18">
        <f t="shared" si="1"/>
        <v>30.745</v>
      </c>
    </row>
    <row r="2587" ht="15.75" customHeight="1">
      <c r="A2587" s="19" t="s">
        <v>233</v>
      </c>
      <c r="B2587" s="19" t="s">
        <v>61</v>
      </c>
      <c r="C2587" s="20" t="s">
        <v>76</v>
      </c>
      <c r="D2587" s="14" t="str">
        <f>VLOOKUP(C2587,'State Key'!$A$2:$B$210,2,False)</f>
        <v>Rajasthan</v>
      </c>
      <c r="E2587" s="21">
        <v>1240.0</v>
      </c>
      <c r="F2587" s="22">
        <v>504.49867</v>
      </c>
      <c r="G2587" s="22">
        <v>0.0</v>
      </c>
      <c r="H2587" s="22">
        <v>0.0</v>
      </c>
      <c r="I2587" s="22">
        <v>0.0</v>
      </c>
      <c r="J2587" s="22">
        <v>0.0</v>
      </c>
      <c r="K2587" s="22">
        <v>30.91232</v>
      </c>
      <c r="L2587" s="22">
        <v>535.41099</v>
      </c>
      <c r="M2587" s="22">
        <v>593.9192</v>
      </c>
      <c r="N2587" s="22">
        <v>115.96</v>
      </c>
      <c r="O2587" s="17">
        <v>5.9</v>
      </c>
      <c r="P2587" s="18">
        <f t="shared" si="1"/>
        <v>535.41099</v>
      </c>
    </row>
    <row r="2588" ht="15.75" customHeight="1">
      <c r="A2588" s="13" t="s">
        <v>233</v>
      </c>
      <c r="B2588" s="13" t="s">
        <v>61</v>
      </c>
      <c r="C2588" s="14" t="s">
        <v>77</v>
      </c>
      <c r="D2588" s="14" t="str">
        <f>VLOOKUP(C2588,'State Key'!$A$2:$B$210,2,False)</f>
        <v>Uttar Pradesh</v>
      </c>
      <c r="E2588" s="15">
        <v>90.0</v>
      </c>
      <c r="F2588" s="16">
        <v>32.193</v>
      </c>
      <c r="G2588" s="16">
        <v>0.0</v>
      </c>
      <c r="H2588" s="16">
        <v>0.0</v>
      </c>
      <c r="I2588" s="16">
        <v>0.0</v>
      </c>
      <c r="J2588" s="16">
        <v>0.0</v>
      </c>
      <c r="K2588" s="16">
        <v>0.0</v>
      </c>
      <c r="L2588" s="16">
        <v>32.193</v>
      </c>
      <c r="M2588" s="16">
        <v>36.9</v>
      </c>
      <c r="N2588" s="16">
        <v>57.18</v>
      </c>
      <c r="O2588" s="24">
        <v>46.5</v>
      </c>
      <c r="P2588" s="18">
        <f t="shared" si="1"/>
        <v>32.193</v>
      </c>
    </row>
    <row r="2589" ht="15.75" customHeight="1">
      <c r="A2589" s="19" t="s">
        <v>233</v>
      </c>
      <c r="B2589" s="19" t="s">
        <v>61</v>
      </c>
      <c r="C2589" s="20" t="s">
        <v>78</v>
      </c>
      <c r="D2589" s="14" t="str">
        <f>VLOOKUP(C2589,'State Key'!$A$2:$B$210,2,False)</f>
        <v>Uttar Pradesh</v>
      </c>
      <c r="E2589" s="21">
        <v>1980.0</v>
      </c>
      <c r="F2589" s="22">
        <v>665.328</v>
      </c>
      <c r="G2589" s="22">
        <v>0.0</v>
      </c>
      <c r="H2589" s="22">
        <v>0.0</v>
      </c>
      <c r="I2589" s="22">
        <v>0.0</v>
      </c>
      <c r="J2589" s="22">
        <v>0.0</v>
      </c>
      <c r="K2589" s="22">
        <v>0.0</v>
      </c>
      <c r="L2589" s="22">
        <v>665.328</v>
      </c>
      <c r="M2589" s="22">
        <v>711.961</v>
      </c>
      <c r="N2589" s="22">
        <v>489.26</v>
      </c>
      <c r="O2589" s="24">
        <v>20.6</v>
      </c>
      <c r="P2589" s="18">
        <f t="shared" si="1"/>
        <v>665.328</v>
      </c>
    </row>
    <row r="2590" ht="15.75" customHeight="1">
      <c r="A2590" s="13" t="s">
        <v>233</v>
      </c>
      <c r="B2590" s="13" t="s">
        <v>61</v>
      </c>
      <c r="C2590" s="14" t="s">
        <v>79</v>
      </c>
      <c r="D2590" s="14" t="str">
        <f>VLOOKUP(C2590,'State Key'!$A$2:$B$210,2,False)</f>
        <v>Haryana</v>
      </c>
      <c r="E2590" s="15">
        <v>1320.0</v>
      </c>
      <c r="F2590" s="16">
        <v>496.179</v>
      </c>
      <c r="G2590" s="16">
        <v>0.0</v>
      </c>
      <c r="H2590" s="16">
        <v>0.0</v>
      </c>
      <c r="I2590" s="16">
        <v>0.0</v>
      </c>
      <c r="J2590" s="16">
        <v>0.0</v>
      </c>
      <c r="K2590" s="16">
        <v>0.0</v>
      </c>
      <c r="L2590" s="16">
        <v>496.179</v>
      </c>
      <c r="M2590" s="16">
        <v>533.404</v>
      </c>
      <c r="N2590" s="16">
        <v>539.54</v>
      </c>
      <c r="O2590" s="24">
        <v>30.3</v>
      </c>
      <c r="P2590" s="18">
        <f t="shared" si="1"/>
        <v>496.179</v>
      </c>
    </row>
    <row r="2591" ht="15.75" customHeight="1">
      <c r="A2591" s="19" t="s">
        <v>233</v>
      </c>
      <c r="B2591" s="19" t="s">
        <v>61</v>
      </c>
      <c r="C2591" s="20" t="s">
        <v>80</v>
      </c>
      <c r="D2591" s="14" t="str">
        <f>VLOOKUP(C2591,'State Key'!$A$2:$B$210,2,False)</f>
        <v>Uttar Pradesh</v>
      </c>
      <c r="E2591" s="21">
        <v>90.0</v>
      </c>
      <c r="F2591" s="22">
        <v>19.578</v>
      </c>
      <c r="G2591" s="22">
        <v>0.0</v>
      </c>
      <c r="H2591" s="22">
        <v>0.0</v>
      </c>
      <c r="I2591" s="22">
        <v>0.0</v>
      </c>
      <c r="J2591" s="22">
        <v>0.0</v>
      </c>
      <c r="K2591" s="22">
        <v>0.0</v>
      </c>
      <c r="L2591" s="22">
        <v>19.578</v>
      </c>
      <c r="M2591" s="22">
        <v>39.217</v>
      </c>
      <c r="N2591" s="22">
        <v>38.47</v>
      </c>
      <c r="O2591" s="24">
        <v>29.4</v>
      </c>
      <c r="P2591" s="18">
        <f t="shared" si="1"/>
        <v>19.578</v>
      </c>
    </row>
    <row r="2592" ht="15.75" customHeight="1">
      <c r="A2592" s="13" t="s">
        <v>233</v>
      </c>
      <c r="B2592" s="13" t="s">
        <v>61</v>
      </c>
      <c r="C2592" s="14" t="s">
        <v>81</v>
      </c>
      <c r="D2592" s="14" t="str">
        <f>VLOOKUP(C2592,'State Key'!$A$2:$B$210,2,False)</f>
        <v>Uttar Pradesh</v>
      </c>
      <c r="E2592" s="15">
        <v>1320.0</v>
      </c>
      <c r="F2592" s="16">
        <v>417.2223</v>
      </c>
      <c r="G2592" s="16">
        <v>0.0</v>
      </c>
      <c r="H2592" s="16">
        <v>0.0</v>
      </c>
      <c r="I2592" s="16">
        <v>0.0</v>
      </c>
      <c r="J2592" s="16">
        <v>23.7413</v>
      </c>
      <c r="K2592" s="16">
        <v>0.0</v>
      </c>
      <c r="L2592" s="16">
        <v>440.9636</v>
      </c>
      <c r="M2592" s="16">
        <v>442.039</v>
      </c>
      <c r="N2592" s="16">
        <v>320.27</v>
      </c>
      <c r="O2592" s="24">
        <v>21.7</v>
      </c>
      <c r="P2592" s="18">
        <f t="shared" si="1"/>
        <v>440.9636</v>
      </c>
    </row>
    <row r="2593" ht="15.75" customHeight="1">
      <c r="A2593" s="19" t="s">
        <v>233</v>
      </c>
      <c r="B2593" s="19" t="s">
        <v>61</v>
      </c>
      <c r="C2593" s="20" t="s">
        <v>82</v>
      </c>
      <c r="D2593" s="14" t="str">
        <f>VLOOKUP(C2593,'State Key'!$A$2:$B$210,2,False)</f>
        <v>Uttar Pradesh</v>
      </c>
      <c r="E2593" s="21">
        <v>1660.0</v>
      </c>
      <c r="F2593" s="22">
        <v>526.96</v>
      </c>
      <c r="G2593" s="22">
        <v>0.0</v>
      </c>
      <c r="H2593" s="22">
        <v>0.0</v>
      </c>
      <c r="I2593" s="22">
        <v>0.0</v>
      </c>
      <c r="J2593" s="22">
        <v>0.0</v>
      </c>
      <c r="K2593" s="22">
        <v>0.0</v>
      </c>
      <c r="L2593" s="22">
        <v>526.96</v>
      </c>
      <c r="M2593" s="22">
        <v>471.92</v>
      </c>
      <c r="N2593" s="22">
        <v>273.16</v>
      </c>
      <c r="O2593" s="24">
        <v>17.4</v>
      </c>
      <c r="P2593" s="18">
        <f t="shared" si="1"/>
        <v>526.96</v>
      </c>
    </row>
    <row r="2594" ht="15.75" customHeight="1">
      <c r="A2594" s="13" t="s">
        <v>233</v>
      </c>
      <c r="B2594" s="13" t="s">
        <v>61</v>
      </c>
      <c r="C2594" s="14" t="s">
        <v>83</v>
      </c>
      <c r="D2594" s="14" t="str">
        <f>VLOOKUP(C2594,'State Key'!$A$2:$B$210,2,False)</f>
        <v>Haryana</v>
      </c>
      <c r="E2594" s="15">
        <v>710.0</v>
      </c>
      <c r="F2594" s="16">
        <v>206.065</v>
      </c>
      <c r="G2594" s="16">
        <v>0.0</v>
      </c>
      <c r="H2594" s="16">
        <v>0.0</v>
      </c>
      <c r="I2594" s="16">
        <v>0.0</v>
      </c>
      <c r="J2594" s="16">
        <v>0.0</v>
      </c>
      <c r="K2594" s="16">
        <v>0.0</v>
      </c>
      <c r="L2594" s="16">
        <v>206.065</v>
      </c>
      <c r="M2594" s="16">
        <v>325.586</v>
      </c>
      <c r="N2594" s="16">
        <v>282.41</v>
      </c>
      <c r="O2594" s="24">
        <v>26.0</v>
      </c>
      <c r="P2594" s="18">
        <f t="shared" si="1"/>
        <v>206.065</v>
      </c>
    </row>
    <row r="2595" ht="15.75" customHeight="1">
      <c r="A2595" s="19" t="s">
        <v>233</v>
      </c>
      <c r="B2595" s="19" t="s">
        <v>61</v>
      </c>
      <c r="C2595" s="20" t="s">
        <v>84</v>
      </c>
      <c r="D2595" s="14" t="str">
        <f>VLOOKUP(C2595,'State Key'!$A$2:$B$210,2,False)</f>
        <v>Uttar Pradesh</v>
      </c>
      <c r="E2595" s="21">
        <v>920.0</v>
      </c>
      <c r="F2595" s="22">
        <v>318.79</v>
      </c>
      <c r="G2595" s="22">
        <v>0.0</v>
      </c>
      <c r="H2595" s="22">
        <v>0.0</v>
      </c>
      <c r="I2595" s="22">
        <v>0.0</v>
      </c>
      <c r="J2595" s="22">
        <v>0.0</v>
      </c>
      <c r="K2595" s="22">
        <v>0.0</v>
      </c>
      <c r="L2595" s="22">
        <v>318.79</v>
      </c>
      <c r="M2595" s="22">
        <v>342.785</v>
      </c>
      <c r="N2595" s="22">
        <v>275.57</v>
      </c>
      <c r="O2595" s="24">
        <v>24.1</v>
      </c>
      <c r="P2595" s="18">
        <f t="shared" si="1"/>
        <v>318.79</v>
      </c>
    </row>
    <row r="2596" ht="15.75" customHeight="1">
      <c r="A2596" s="13" t="s">
        <v>233</v>
      </c>
      <c r="B2596" s="13" t="s">
        <v>61</v>
      </c>
      <c r="C2596" s="14" t="s">
        <v>85</v>
      </c>
      <c r="D2596" s="14" t="str">
        <f>VLOOKUP(C2596,'State Key'!$A$2:$B$210,2,False)</f>
        <v>Uttar Pradesh</v>
      </c>
      <c r="E2596" s="15">
        <v>1980.0</v>
      </c>
      <c r="F2596" s="16">
        <v>647.2</v>
      </c>
      <c r="G2596" s="16">
        <v>0.0</v>
      </c>
      <c r="H2596" s="16">
        <v>0.0</v>
      </c>
      <c r="I2596" s="16">
        <v>0.0</v>
      </c>
      <c r="J2596" s="16">
        <v>0.0</v>
      </c>
      <c r="K2596" s="16">
        <v>0.0</v>
      </c>
      <c r="L2596" s="16">
        <v>647.2</v>
      </c>
      <c r="M2596" s="16">
        <v>663.9801</v>
      </c>
      <c r="N2596" s="16">
        <v>706.49</v>
      </c>
      <c r="O2596" s="24">
        <v>31.9</v>
      </c>
      <c r="P2596" s="18">
        <f t="shared" si="1"/>
        <v>647.2</v>
      </c>
    </row>
    <row r="2597" ht="15.75" customHeight="1">
      <c r="A2597" s="19" t="s">
        <v>233</v>
      </c>
      <c r="B2597" s="19" t="s">
        <v>61</v>
      </c>
      <c r="C2597" s="20" t="s">
        <v>86</v>
      </c>
      <c r="D2597" s="14" t="str">
        <f>VLOOKUP(C2597,'State Key'!$A$2:$B$210,2,False)</f>
        <v>Haryana</v>
      </c>
      <c r="E2597" s="21">
        <v>1200.0</v>
      </c>
      <c r="F2597" s="22">
        <v>280.103</v>
      </c>
      <c r="G2597" s="22">
        <v>0.0</v>
      </c>
      <c r="H2597" s="22">
        <v>0.0</v>
      </c>
      <c r="I2597" s="22">
        <v>0.0</v>
      </c>
      <c r="J2597" s="22">
        <v>0.0</v>
      </c>
      <c r="K2597" s="22">
        <v>0.0</v>
      </c>
      <c r="L2597" s="22">
        <v>280.103</v>
      </c>
      <c r="M2597" s="22">
        <v>296.876</v>
      </c>
      <c r="N2597" s="22">
        <v>444.03</v>
      </c>
      <c r="O2597" s="24">
        <v>44.9</v>
      </c>
      <c r="P2597" s="18">
        <f t="shared" si="1"/>
        <v>280.103</v>
      </c>
    </row>
    <row r="2598" ht="15.75" customHeight="1">
      <c r="A2598" s="13" t="s">
        <v>233</v>
      </c>
      <c r="B2598" s="13" t="s">
        <v>61</v>
      </c>
      <c r="C2598" s="14" t="s">
        <v>87</v>
      </c>
      <c r="D2598" s="14" t="str">
        <f>VLOOKUP(C2598,'State Key'!$A$2:$B$210,2,False)</f>
        <v>Punjab</v>
      </c>
      <c r="E2598" s="15">
        <v>1400.0</v>
      </c>
      <c r="F2598" s="16">
        <v>575.6951</v>
      </c>
      <c r="G2598" s="16">
        <v>0.0</v>
      </c>
      <c r="H2598" s="16">
        <v>0.0</v>
      </c>
      <c r="I2598" s="16">
        <v>0.0</v>
      </c>
      <c r="J2598" s="16">
        <v>0.0</v>
      </c>
      <c r="K2598" s="16">
        <v>0.0</v>
      </c>
      <c r="L2598" s="16">
        <v>575.6951</v>
      </c>
      <c r="M2598" s="16">
        <v>511.841</v>
      </c>
      <c r="N2598" s="16">
        <v>444.92</v>
      </c>
      <c r="O2598" s="24">
        <v>26.1</v>
      </c>
      <c r="P2598" s="18">
        <f t="shared" si="1"/>
        <v>575.6951</v>
      </c>
    </row>
    <row r="2599" ht="15.75" customHeight="1">
      <c r="A2599" s="19" t="s">
        <v>233</v>
      </c>
      <c r="B2599" s="19" t="s">
        <v>61</v>
      </c>
      <c r="C2599" s="20" t="s">
        <v>88</v>
      </c>
      <c r="D2599" s="14" t="str">
        <f>VLOOKUP(C2599,'State Key'!$A$2:$B$210,2,False)</f>
        <v>Uttar Pradesh</v>
      </c>
      <c r="E2599" s="21">
        <v>3000.0</v>
      </c>
      <c r="F2599" s="22">
        <v>1163.39</v>
      </c>
      <c r="G2599" s="22">
        <v>0.0</v>
      </c>
      <c r="H2599" s="22">
        <v>0.0</v>
      </c>
      <c r="I2599" s="22">
        <v>0.0</v>
      </c>
      <c r="J2599" s="22">
        <v>0.0</v>
      </c>
      <c r="K2599" s="22">
        <v>0.0</v>
      </c>
      <c r="L2599" s="22">
        <v>1163.39</v>
      </c>
      <c r="M2599" s="22">
        <v>1204.898</v>
      </c>
      <c r="N2599" s="22">
        <v>890.701</v>
      </c>
      <c r="O2599" s="24">
        <v>22.2</v>
      </c>
      <c r="P2599" s="18">
        <f t="shared" si="1"/>
        <v>1163.39</v>
      </c>
    </row>
    <row r="2600" ht="15.75" customHeight="1">
      <c r="A2600" s="13" t="s">
        <v>233</v>
      </c>
      <c r="B2600" s="13" t="s">
        <v>61</v>
      </c>
      <c r="C2600" s="14" t="s">
        <v>89</v>
      </c>
      <c r="D2600" s="14" t="str">
        <f>VLOOKUP(C2600,'State Key'!$A$2:$B$210,2,False)</f>
        <v>Punjab</v>
      </c>
      <c r="E2600" s="15">
        <v>840.0</v>
      </c>
      <c r="F2600" s="16">
        <v>44.346</v>
      </c>
      <c r="G2600" s="16">
        <v>0.0</v>
      </c>
      <c r="H2600" s="16">
        <v>320.974</v>
      </c>
      <c r="I2600" s="16">
        <v>0.0</v>
      </c>
      <c r="J2600" s="16">
        <v>0.0</v>
      </c>
      <c r="K2600" s="16">
        <v>0.0</v>
      </c>
      <c r="L2600" s="16">
        <v>365.32</v>
      </c>
      <c r="M2600" s="16">
        <v>309.921</v>
      </c>
      <c r="N2600" s="16">
        <v>219.24</v>
      </c>
      <c r="O2600" s="24">
        <v>21.2</v>
      </c>
      <c r="P2600" s="18">
        <f t="shared" si="1"/>
        <v>365.32</v>
      </c>
    </row>
    <row r="2601" ht="15.75" customHeight="1">
      <c r="A2601" s="19" t="s">
        <v>233</v>
      </c>
      <c r="B2601" s="19" t="s">
        <v>61</v>
      </c>
      <c r="C2601" s="20" t="s">
        <v>90</v>
      </c>
      <c r="D2601" s="14" t="str">
        <f>VLOOKUP(C2601,'State Key'!$A$2:$B$210,2,False)</f>
        <v>Uttar Pradesh</v>
      </c>
      <c r="E2601" s="21">
        <v>1200.0</v>
      </c>
      <c r="F2601" s="22">
        <v>451.347</v>
      </c>
      <c r="G2601" s="22">
        <v>0.0</v>
      </c>
      <c r="H2601" s="22">
        <v>0.0</v>
      </c>
      <c r="I2601" s="22">
        <v>0.0</v>
      </c>
      <c r="J2601" s="22">
        <v>0.0</v>
      </c>
      <c r="K2601" s="22">
        <v>0.0</v>
      </c>
      <c r="L2601" s="22">
        <v>451.347</v>
      </c>
      <c r="M2601" s="22">
        <v>453.297</v>
      </c>
      <c r="N2601" s="22">
        <v>351.85</v>
      </c>
      <c r="O2601" s="24">
        <v>23.3</v>
      </c>
      <c r="P2601" s="18">
        <f t="shared" si="1"/>
        <v>451.347</v>
      </c>
    </row>
    <row r="2602" ht="15.75" customHeight="1">
      <c r="A2602" s="13" t="s">
        <v>233</v>
      </c>
      <c r="B2602" s="13" t="s">
        <v>61</v>
      </c>
      <c r="C2602" s="14" t="s">
        <v>219</v>
      </c>
      <c r="D2602" s="14" t="str">
        <f>VLOOKUP(C2602,'State Key'!$A$2:$B$210,2,False)</f>
        <v>Rajasthan</v>
      </c>
      <c r="E2602" s="15">
        <v>300.0</v>
      </c>
      <c r="F2602" s="16">
        <v>0.0</v>
      </c>
      <c r="G2602" s="16">
        <v>0.0</v>
      </c>
      <c r="H2602" s="16">
        <v>0.0</v>
      </c>
      <c r="I2602" s="16">
        <v>0.0</v>
      </c>
      <c r="J2602" s="16">
        <v>63.56</v>
      </c>
      <c r="K2602" s="16">
        <v>0.0</v>
      </c>
      <c r="L2602" s="16">
        <v>63.56</v>
      </c>
      <c r="M2602" s="16">
        <v>63.56</v>
      </c>
      <c r="N2602" s="16">
        <v>0.0</v>
      </c>
      <c r="O2602" s="17">
        <v>0.0</v>
      </c>
      <c r="P2602" s="18">
        <f t="shared" si="1"/>
        <v>63.56</v>
      </c>
    </row>
    <row r="2603" ht="15.75" customHeight="1">
      <c r="A2603" s="19" t="s">
        <v>233</v>
      </c>
      <c r="B2603" s="19" t="s">
        <v>61</v>
      </c>
      <c r="C2603" s="20" t="s">
        <v>91</v>
      </c>
      <c r="D2603" s="14" t="str">
        <f>VLOOKUP(C2603,'State Key'!$A$2:$B$210,2,False)</f>
        <v>Uttar Pradesh</v>
      </c>
      <c r="E2603" s="21">
        <v>2000.0</v>
      </c>
      <c r="F2603" s="22">
        <v>907.93</v>
      </c>
      <c r="G2603" s="22">
        <v>0.0</v>
      </c>
      <c r="H2603" s="22">
        <v>0.0</v>
      </c>
      <c r="I2603" s="22">
        <v>0.0</v>
      </c>
      <c r="J2603" s="22">
        <v>0.0</v>
      </c>
      <c r="K2603" s="22">
        <v>0.0</v>
      </c>
      <c r="L2603" s="22">
        <v>907.93</v>
      </c>
      <c r="M2603" s="22">
        <v>872.437</v>
      </c>
      <c r="N2603" s="22">
        <v>352.54</v>
      </c>
      <c r="O2603" s="23">
        <v>12.1</v>
      </c>
      <c r="P2603" s="18">
        <f t="shared" si="1"/>
        <v>907.93</v>
      </c>
    </row>
    <row r="2604" ht="15.75" customHeight="1">
      <c r="A2604" s="13" t="s">
        <v>233</v>
      </c>
      <c r="B2604" s="13" t="s">
        <v>61</v>
      </c>
      <c r="C2604" s="14" t="s">
        <v>92</v>
      </c>
      <c r="D2604" s="14" t="str">
        <f>VLOOKUP(C2604,'State Key'!$A$2:$B$210,2,False)</f>
        <v>Rajasthan</v>
      </c>
      <c r="E2604" s="15">
        <v>1320.0</v>
      </c>
      <c r="F2604" s="16">
        <v>98.25724</v>
      </c>
      <c r="G2604" s="16">
        <v>0.0</v>
      </c>
      <c r="H2604" s="16">
        <v>224.13528</v>
      </c>
      <c r="I2604" s="16">
        <v>0.0</v>
      </c>
      <c r="J2604" s="16">
        <v>0.0</v>
      </c>
      <c r="K2604" s="16">
        <v>0.0</v>
      </c>
      <c r="L2604" s="16">
        <v>322.39252</v>
      </c>
      <c r="M2604" s="16">
        <v>366.984</v>
      </c>
      <c r="N2604" s="16">
        <v>133.02</v>
      </c>
      <c r="O2604" s="23">
        <v>10.9</v>
      </c>
      <c r="P2604" s="18">
        <f t="shared" si="1"/>
        <v>322.39252</v>
      </c>
    </row>
    <row r="2605" ht="15.75" customHeight="1">
      <c r="A2605" s="19" t="s">
        <v>233</v>
      </c>
      <c r="B2605" s="19" t="s">
        <v>61</v>
      </c>
      <c r="C2605" s="20" t="s">
        <v>93</v>
      </c>
      <c r="D2605" s="14" t="str">
        <f>VLOOKUP(C2605,'State Key'!$A$2:$B$210,2,False)</f>
        <v>Rajasthan</v>
      </c>
      <c r="E2605" s="21">
        <v>1500.0</v>
      </c>
      <c r="F2605" s="22">
        <v>577.64</v>
      </c>
      <c r="G2605" s="22">
        <v>0.0</v>
      </c>
      <c r="H2605" s="22">
        <v>3.906</v>
      </c>
      <c r="I2605" s="22">
        <v>0.0</v>
      </c>
      <c r="J2605" s="22">
        <v>0.0</v>
      </c>
      <c r="K2605" s="22">
        <v>0.0</v>
      </c>
      <c r="L2605" s="22">
        <v>581.546</v>
      </c>
      <c r="M2605" s="22">
        <v>571.79</v>
      </c>
      <c r="N2605" s="22">
        <v>87.07</v>
      </c>
      <c r="O2605" s="17">
        <v>4.6</v>
      </c>
      <c r="P2605" s="18">
        <f t="shared" si="1"/>
        <v>581.546</v>
      </c>
    </row>
    <row r="2606" ht="15.75" customHeight="1">
      <c r="A2606" s="13" t="s">
        <v>233</v>
      </c>
      <c r="B2606" s="13" t="s">
        <v>61</v>
      </c>
      <c r="C2606" s="14" t="s">
        <v>94</v>
      </c>
      <c r="D2606" s="14" t="str">
        <f>VLOOKUP(C2606,'State Key'!$A$2:$B$210,2,False)</f>
        <v>Punjab</v>
      </c>
      <c r="E2606" s="15">
        <v>1980.0</v>
      </c>
      <c r="F2606" s="16">
        <v>754.875</v>
      </c>
      <c r="G2606" s="16">
        <v>0.0</v>
      </c>
      <c r="H2606" s="16">
        <v>0.0</v>
      </c>
      <c r="I2606" s="16">
        <v>0.0</v>
      </c>
      <c r="J2606" s="16">
        <v>0.0</v>
      </c>
      <c r="K2606" s="16">
        <v>0.0</v>
      </c>
      <c r="L2606" s="16">
        <v>754.875</v>
      </c>
      <c r="M2606" s="16">
        <v>707.23</v>
      </c>
      <c r="N2606" s="16">
        <v>109.54</v>
      </c>
      <c r="O2606" s="17">
        <v>4.6</v>
      </c>
      <c r="P2606" s="18">
        <f t="shared" si="1"/>
        <v>754.875</v>
      </c>
    </row>
    <row r="2607" ht="15.75" customHeight="1">
      <c r="A2607" s="19" t="s">
        <v>233</v>
      </c>
      <c r="B2607" s="19" t="s">
        <v>61</v>
      </c>
      <c r="C2607" s="20" t="s">
        <v>95</v>
      </c>
      <c r="D2607" s="14" t="str">
        <f>VLOOKUP(C2607,'State Key'!$A$2:$B$210,2,False)</f>
        <v>Uttar Pradesh</v>
      </c>
      <c r="E2607" s="21">
        <v>1760.0</v>
      </c>
      <c r="F2607" s="22">
        <v>442.16</v>
      </c>
      <c r="G2607" s="22">
        <v>0.0</v>
      </c>
      <c r="H2607" s="22">
        <v>219.36</v>
      </c>
      <c r="I2607" s="22">
        <v>0.0</v>
      </c>
      <c r="J2607" s="22">
        <v>8.14</v>
      </c>
      <c r="K2607" s="22">
        <v>0.0</v>
      </c>
      <c r="L2607" s="22">
        <v>669.66</v>
      </c>
      <c r="M2607" s="22">
        <v>668.799</v>
      </c>
      <c r="N2607" s="22">
        <v>668.67</v>
      </c>
      <c r="O2607" s="24">
        <v>30.0</v>
      </c>
      <c r="P2607" s="18">
        <f t="shared" si="1"/>
        <v>669.66</v>
      </c>
    </row>
    <row r="2608" ht="15.75" customHeight="1">
      <c r="A2608" s="13" t="s">
        <v>233</v>
      </c>
      <c r="B2608" s="13" t="s">
        <v>61</v>
      </c>
      <c r="C2608" s="14" t="s">
        <v>96</v>
      </c>
      <c r="D2608" s="14" t="str">
        <f>VLOOKUP(C2608,'State Key'!$A$2:$B$210,2,False)</f>
        <v>Uttar Pradesh</v>
      </c>
      <c r="E2608" s="15">
        <v>1550.0</v>
      </c>
      <c r="F2608" s="16">
        <v>363.15</v>
      </c>
      <c r="G2608" s="16">
        <v>0.0</v>
      </c>
      <c r="H2608" s="16">
        <v>172.55</v>
      </c>
      <c r="I2608" s="16">
        <v>0.0</v>
      </c>
      <c r="J2608" s="16">
        <v>19.564</v>
      </c>
      <c r="K2608" s="16">
        <v>0.0</v>
      </c>
      <c r="L2608" s="16">
        <v>555.264</v>
      </c>
      <c r="M2608" s="16">
        <v>601.926</v>
      </c>
      <c r="N2608" s="16">
        <v>416.484</v>
      </c>
      <c r="O2608" s="24">
        <v>20.8</v>
      </c>
      <c r="P2608" s="18">
        <f t="shared" si="1"/>
        <v>555.264</v>
      </c>
    </row>
    <row r="2609" ht="15.75" customHeight="1">
      <c r="A2609" s="19" t="s">
        <v>233</v>
      </c>
      <c r="B2609" s="19" t="s">
        <v>61</v>
      </c>
      <c r="C2609" s="20" t="s">
        <v>97</v>
      </c>
      <c r="D2609" s="14" t="str">
        <f>VLOOKUP(C2609,'State Key'!$A$2:$B$210,2,False)</f>
        <v>Uttar Pradesh</v>
      </c>
      <c r="E2609" s="21">
        <v>90.0</v>
      </c>
      <c r="F2609" s="22">
        <v>32.268</v>
      </c>
      <c r="G2609" s="22">
        <v>0.0</v>
      </c>
      <c r="H2609" s="22">
        <v>0.0</v>
      </c>
      <c r="I2609" s="22">
        <v>0.0</v>
      </c>
      <c r="J2609" s="22">
        <v>0.0</v>
      </c>
      <c r="K2609" s="22">
        <v>0.0</v>
      </c>
      <c r="L2609" s="22">
        <v>32.268</v>
      </c>
      <c r="M2609" s="22">
        <v>38.944</v>
      </c>
      <c r="N2609" s="22">
        <v>46.6</v>
      </c>
      <c r="O2609" s="24">
        <v>35.9</v>
      </c>
      <c r="P2609" s="18">
        <f t="shared" si="1"/>
        <v>32.268</v>
      </c>
    </row>
    <row r="2610" ht="15.75" customHeight="1">
      <c r="A2610" s="13" t="s">
        <v>233</v>
      </c>
      <c r="B2610" s="13" t="s">
        <v>61</v>
      </c>
      <c r="C2610" s="14" t="s">
        <v>98</v>
      </c>
      <c r="D2610" s="14" t="str">
        <f>VLOOKUP(C2610,'State Key'!$A$2:$B$210,2,False)</f>
        <v>Haryana</v>
      </c>
      <c r="E2610" s="15">
        <v>600.0</v>
      </c>
      <c r="F2610" s="16">
        <v>203.793</v>
      </c>
      <c r="G2610" s="16">
        <v>0.0</v>
      </c>
      <c r="H2610" s="16">
        <v>0.0</v>
      </c>
      <c r="I2610" s="16">
        <v>0.0</v>
      </c>
      <c r="J2610" s="16">
        <v>0.0</v>
      </c>
      <c r="K2610" s="16">
        <v>0.0</v>
      </c>
      <c r="L2610" s="16">
        <v>203.793</v>
      </c>
      <c r="M2610" s="16">
        <v>246.249</v>
      </c>
      <c r="N2610" s="16">
        <v>242.0</v>
      </c>
      <c r="O2610" s="24">
        <v>29.5</v>
      </c>
      <c r="P2610" s="18">
        <f t="shared" si="1"/>
        <v>203.793</v>
      </c>
    </row>
    <row r="2611" ht="15.75" customHeight="1">
      <c r="A2611" s="19" t="s">
        <v>233</v>
      </c>
      <c r="B2611" s="19" t="s">
        <v>99</v>
      </c>
      <c r="C2611" s="20" t="s">
        <v>230</v>
      </c>
      <c r="D2611" s="14" t="str">
        <f>VLOOKUP(C2611,'State Key'!$A$2:$B$210,2,False)</f>
        <v>Karnataka</v>
      </c>
      <c r="E2611" s="21">
        <v>1200.0</v>
      </c>
      <c r="F2611" s="22">
        <v>0.0</v>
      </c>
      <c r="G2611" s="22">
        <v>0.0</v>
      </c>
      <c r="H2611" s="22">
        <v>0.0</v>
      </c>
      <c r="I2611" s="22">
        <v>0.0</v>
      </c>
      <c r="J2611" s="22">
        <v>233.389</v>
      </c>
      <c r="K2611" s="22">
        <v>0.0</v>
      </c>
      <c r="L2611" s="22">
        <v>233.389</v>
      </c>
      <c r="M2611" s="22">
        <v>189.945</v>
      </c>
      <c r="N2611" s="22">
        <v>224.405</v>
      </c>
      <c r="O2611" s="24">
        <v>35.4</v>
      </c>
      <c r="P2611" s="18">
        <f t="shared" si="1"/>
        <v>233.389</v>
      </c>
    </row>
    <row r="2612" ht="15.75" customHeight="1">
      <c r="A2612" s="13" t="s">
        <v>233</v>
      </c>
      <c r="B2612" s="13" t="s">
        <v>99</v>
      </c>
      <c r="C2612" s="14" t="s">
        <v>100</v>
      </c>
      <c r="D2612" s="14" t="str">
        <f>VLOOKUP(C2612,'State Key'!$A$2:$B$210,2,False)</f>
        <v>Karnataka</v>
      </c>
      <c r="E2612" s="15">
        <v>1700.0</v>
      </c>
      <c r="F2612" s="16">
        <v>179.61594</v>
      </c>
      <c r="G2612" s="16">
        <v>195.55171</v>
      </c>
      <c r="H2612" s="16">
        <v>264.1404</v>
      </c>
      <c r="I2612" s="16">
        <v>0.0</v>
      </c>
      <c r="J2612" s="16">
        <v>7.72056</v>
      </c>
      <c r="K2612" s="16">
        <v>0.0</v>
      </c>
      <c r="L2612" s="16">
        <v>647.02861</v>
      </c>
      <c r="M2612" s="16">
        <v>567.783</v>
      </c>
      <c r="N2612" s="16">
        <v>512.092</v>
      </c>
      <c r="O2612" s="24">
        <v>27.1</v>
      </c>
      <c r="P2612" s="18">
        <f t="shared" si="1"/>
        <v>647.02861</v>
      </c>
    </row>
    <row r="2613" ht="15.75" customHeight="1">
      <c r="A2613" s="19" t="s">
        <v>233</v>
      </c>
      <c r="B2613" s="19" t="s">
        <v>99</v>
      </c>
      <c r="C2613" s="20" t="s">
        <v>101</v>
      </c>
      <c r="D2613" s="14" t="str">
        <f>VLOOKUP(C2613,'State Key'!$A$2:$B$210,2,False)</f>
        <v>Telangana</v>
      </c>
      <c r="E2613" s="21">
        <v>1080.0</v>
      </c>
      <c r="F2613" s="22">
        <v>0.0</v>
      </c>
      <c r="G2613" s="22">
        <v>396.513</v>
      </c>
      <c r="H2613" s="22">
        <v>0.0</v>
      </c>
      <c r="I2613" s="22">
        <v>0.0</v>
      </c>
      <c r="J2613" s="22">
        <v>0.0</v>
      </c>
      <c r="K2613" s="22">
        <v>0.0</v>
      </c>
      <c r="L2613" s="22">
        <v>396.513</v>
      </c>
      <c r="M2613" s="22">
        <v>415.793</v>
      </c>
      <c r="N2613" s="22">
        <v>134.694</v>
      </c>
      <c r="O2613" s="23">
        <v>9.7</v>
      </c>
      <c r="P2613" s="18">
        <f t="shared" si="1"/>
        <v>396.513</v>
      </c>
    </row>
    <row r="2614" ht="15.75" customHeight="1">
      <c r="A2614" s="13" t="s">
        <v>233</v>
      </c>
      <c r="B2614" s="13" t="s">
        <v>99</v>
      </c>
      <c r="C2614" s="14" t="s">
        <v>102</v>
      </c>
      <c r="D2614" s="14" t="str">
        <f>VLOOKUP(C2614,'State Key'!$A$2:$B$210,2,False)</f>
        <v>Andhra Pradesh</v>
      </c>
      <c r="E2614" s="15">
        <v>2400.0</v>
      </c>
      <c r="F2614" s="16">
        <v>608.20458</v>
      </c>
      <c r="G2614" s="16">
        <v>0.0</v>
      </c>
      <c r="H2614" s="16">
        <v>0.0</v>
      </c>
      <c r="I2614" s="16">
        <v>0.0</v>
      </c>
      <c r="J2614" s="16">
        <v>72.467</v>
      </c>
      <c r="K2614" s="16">
        <v>0.0</v>
      </c>
      <c r="L2614" s="16">
        <v>680.67158</v>
      </c>
      <c r="M2614" s="16">
        <v>641.009</v>
      </c>
      <c r="N2614" s="16">
        <v>64.641</v>
      </c>
      <c r="O2614" s="17">
        <v>3.0</v>
      </c>
      <c r="P2614" s="18">
        <f t="shared" si="1"/>
        <v>680.67158</v>
      </c>
    </row>
    <row r="2615" ht="15.75" customHeight="1">
      <c r="A2615" s="19" t="s">
        <v>233</v>
      </c>
      <c r="B2615" s="19" t="s">
        <v>99</v>
      </c>
      <c r="C2615" s="20" t="s">
        <v>103</v>
      </c>
      <c r="D2615" s="14" t="str">
        <f>VLOOKUP(C2615,'State Key'!$A$2:$B$210,2,False)</f>
        <v>Andhra Pradesh</v>
      </c>
      <c r="E2615" s="21">
        <v>2560.0</v>
      </c>
      <c r="F2615" s="22">
        <v>761.11</v>
      </c>
      <c r="G2615" s="22">
        <v>222.639</v>
      </c>
      <c r="H2615" s="22">
        <v>0.0</v>
      </c>
      <c r="I2615" s="22">
        <v>0.0</v>
      </c>
      <c r="J2615" s="22">
        <v>0.0</v>
      </c>
      <c r="K2615" s="22">
        <v>0.0</v>
      </c>
      <c r="L2615" s="22">
        <v>983.749</v>
      </c>
      <c r="M2615" s="22">
        <v>1004.815</v>
      </c>
      <c r="N2615" s="22">
        <v>68.72</v>
      </c>
      <c r="O2615" s="17">
        <v>2.1</v>
      </c>
      <c r="P2615" s="18">
        <f t="shared" si="1"/>
        <v>983.749</v>
      </c>
    </row>
    <row r="2616" ht="15.75" customHeight="1">
      <c r="A2616" s="13" t="s">
        <v>233</v>
      </c>
      <c r="B2616" s="13" t="s">
        <v>99</v>
      </c>
      <c r="C2616" s="14" t="s">
        <v>104</v>
      </c>
      <c r="D2616" s="14" t="str">
        <f>VLOOKUP(C2616,'State Key'!$A$2:$B$210,2,False)</f>
        <v>Tamil Nadu</v>
      </c>
      <c r="E2616" s="15">
        <v>1200.0</v>
      </c>
      <c r="F2616" s="16">
        <v>0.0</v>
      </c>
      <c r="G2616" s="16">
        <v>0.0</v>
      </c>
      <c r="H2616" s="16">
        <v>0.0</v>
      </c>
      <c r="I2616" s="16">
        <v>0.0</v>
      </c>
      <c r="J2616" s="16">
        <v>424.3743</v>
      </c>
      <c r="K2616" s="16">
        <v>0.0</v>
      </c>
      <c r="L2616" s="16">
        <v>424.3743</v>
      </c>
      <c r="M2616" s="16">
        <v>201.4314</v>
      </c>
      <c r="N2616" s="16">
        <v>438.94</v>
      </c>
      <c r="O2616" s="24">
        <v>65.4</v>
      </c>
      <c r="P2616" s="18">
        <f t="shared" si="1"/>
        <v>424.3743</v>
      </c>
    </row>
    <row r="2617" ht="15.75" customHeight="1">
      <c r="A2617" s="19" t="s">
        <v>233</v>
      </c>
      <c r="B2617" s="19" t="s">
        <v>99</v>
      </c>
      <c r="C2617" s="20" t="s">
        <v>105</v>
      </c>
      <c r="D2617" s="14" t="str">
        <f>VLOOKUP(C2617,'State Key'!$A$2:$B$210,2,False)</f>
        <v>Telangana</v>
      </c>
      <c r="E2617" s="21">
        <v>1100.0</v>
      </c>
      <c r="F2617" s="22">
        <v>0.0</v>
      </c>
      <c r="G2617" s="22">
        <v>151.993</v>
      </c>
      <c r="H2617" s="22">
        <v>219.157</v>
      </c>
      <c r="I2617" s="22">
        <v>0.0</v>
      </c>
      <c r="J2617" s="22">
        <v>0.0</v>
      </c>
      <c r="K2617" s="22">
        <v>0.0</v>
      </c>
      <c r="L2617" s="22">
        <v>371.15</v>
      </c>
      <c r="M2617" s="22">
        <v>390.669</v>
      </c>
      <c r="N2617" s="22">
        <v>258.137</v>
      </c>
      <c r="O2617" s="24">
        <v>19.8</v>
      </c>
      <c r="P2617" s="18">
        <f t="shared" si="1"/>
        <v>371.15</v>
      </c>
    </row>
    <row r="2618" ht="15.75" customHeight="1">
      <c r="A2618" s="13" t="s">
        <v>233</v>
      </c>
      <c r="B2618" s="13" t="s">
        <v>99</v>
      </c>
      <c r="C2618" s="14" t="s">
        <v>106</v>
      </c>
      <c r="D2618" s="14" t="str">
        <f>VLOOKUP(C2618,'State Key'!$A$2:$B$210,2,False)</f>
        <v>Telangana</v>
      </c>
      <c r="E2618" s="15">
        <v>1000.0</v>
      </c>
      <c r="F2618" s="16">
        <v>0.0</v>
      </c>
      <c r="G2618" s="16">
        <v>455.401</v>
      </c>
      <c r="H2618" s="16">
        <v>0.0</v>
      </c>
      <c r="I2618" s="16">
        <v>0.0</v>
      </c>
      <c r="J2618" s="16">
        <v>0.0</v>
      </c>
      <c r="K2618" s="16">
        <v>0.0</v>
      </c>
      <c r="L2618" s="16">
        <v>455.401</v>
      </c>
      <c r="M2618" s="16">
        <v>303.48</v>
      </c>
      <c r="N2618" s="16">
        <v>315.849</v>
      </c>
      <c r="O2618" s="24">
        <v>31.2</v>
      </c>
      <c r="P2618" s="18">
        <f t="shared" si="1"/>
        <v>455.401</v>
      </c>
    </row>
    <row r="2619" ht="15.75" customHeight="1">
      <c r="A2619" s="19" t="s">
        <v>233</v>
      </c>
      <c r="B2619" s="19" t="s">
        <v>99</v>
      </c>
      <c r="C2619" s="20" t="s">
        <v>107</v>
      </c>
      <c r="D2619" s="14" t="str">
        <f>VLOOKUP(C2619,'State Key'!$A$2:$B$210,2,False)</f>
        <v>Telangana</v>
      </c>
      <c r="E2619" s="21">
        <v>800.0</v>
      </c>
      <c r="F2619" s="22">
        <v>0.0</v>
      </c>
      <c r="G2619" s="22">
        <v>254.43</v>
      </c>
      <c r="H2619" s="22">
        <v>0.0</v>
      </c>
      <c r="I2619" s="22">
        <v>0.0</v>
      </c>
      <c r="J2619" s="22">
        <v>0.0</v>
      </c>
      <c r="K2619" s="22">
        <v>0.0</v>
      </c>
      <c r="L2619" s="22">
        <v>254.43</v>
      </c>
      <c r="M2619" s="22">
        <v>245.886</v>
      </c>
      <c r="N2619" s="22">
        <v>86.294</v>
      </c>
      <c r="O2619" s="23">
        <v>10.5</v>
      </c>
      <c r="P2619" s="18">
        <f t="shared" si="1"/>
        <v>254.43</v>
      </c>
    </row>
    <row r="2620" ht="15.75" customHeight="1">
      <c r="A2620" s="13" t="s">
        <v>233</v>
      </c>
      <c r="B2620" s="13" t="s">
        <v>99</v>
      </c>
      <c r="C2620" s="14" t="s">
        <v>108</v>
      </c>
      <c r="D2620" s="14" t="str">
        <f>VLOOKUP(C2620,'State Key'!$A$2:$B$210,2,False)</f>
        <v>Karnataka</v>
      </c>
      <c r="E2620" s="15">
        <v>2400.0</v>
      </c>
      <c r="F2620" s="16">
        <v>272.23</v>
      </c>
      <c r="G2620" s="16">
        <v>208.56</v>
      </c>
      <c r="H2620" s="16">
        <v>179.94</v>
      </c>
      <c r="I2620" s="16">
        <v>0.0</v>
      </c>
      <c r="J2620" s="16">
        <v>0.049</v>
      </c>
      <c r="K2620" s="16">
        <v>0.0</v>
      </c>
      <c r="L2620" s="16">
        <v>660.779</v>
      </c>
      <c r="M2620" s="16">
        <v>758.466</v>
      </c>
      <c r="N2620" s="16">
        <v>369.611</v>
      </c>
      <c r="O2620" s="24">
        <v>14.6</v>
      </c>
      <c r="P2620" s="18">
        <f t="shared" si="1"/>
        <v>660.779</v>
      </c>
    </row>
    <row r="2621" ht="15.75" customHeight="1">
      <c r="A2621" s="19" t="s">
        <v>233</v>
      </c>
      <c r="B2621" s="19" t="s">
        <v>99</v>
      </c>
      <c r="C2621" s="20" t="s">
        <v>231</v>
      </c>
      <c r="D2621" s="14" t="str">
        <f>VLOOKUP(C2621,'State Key'!$A$2:$B$210,2,False)</f>
        <v>Karnataka</v>
      </c>
      <c r="E2621" s="21">
        <v>1200.0</v>
      </c>
      <c r="F2621" s="22">
        <v>0.0</v>
      </c>
      <c r="G2621" s="22">
        <v>0.0</v>
      </c>
      <c r="H2621" s="22">
        <v>0.0</v>
      </c>
      <c r="I2621" s="22">
        <v>0.0</v>
      </c>
      <c r="J2621" s="22">
        <v>233.389</v>
      </c>
      <c r="K2621" s="22">
        <v>0.0</v>
      </c>
      <c r="L2621" s="22">
        <v>233.389</v>
      </c>
      <c r="M2621" s="22">
        <v>189.945</v>
      </c>
      <c r="N2621" s="22">
        <v>224.405</v>
      </c>
      <c r="O2621" s="24">
        <v>35.4</v>
      </c>
      <c r="P2621" s="18">
        <f t="shared" si="1"/>
        <v>233.389</v>
      </c>
    </row>
    <row r="2622" ht="15.75" customHeight="1">
      <c r="A2622" s="13" t="s">
        <v>233</v>
      </c>
      <c r="B2622" s="13" t="s">
        <v>99</v>
      </c>
      <c r="C2622" s="14" t="s">
        <v>109</v>
      </c>
      <c r="D2622" s="14" t="str">
        <f>VLOOKUP(C2622,'State Key'!$A$2:$B$210,2,False)</f>
        <v>Tamil Nadu</v>
      </c>
      <c r="E2622" s="15">
        <v>840.0</v>
      </c>
      <c r="F2622" s="16">
        <v>83.6433</v>
      </c>
      <c r="G2622" s="16">
        <v>130.0024</v>
      </c>
      <c r="H2622" s="16">
        <v>0.0</v>
      </c>
      <c r="I2622" s="16">
        <v>0.0</v>
      </c>
      <c r="J2622" s="16">
        <v>0.0</v>
      </c>
      <c r="K2622" s="16">
        <v>0.0</v>
      </c>
      <c r="L2622" s="16">
        <v>213.6457</v>
      </c>
      <c r="M2622" s="16">
        <v>314.6865</v>
      </c>
      <c r="N2622" s="16">
        <v>138.1541</v>
      </c>
      <c r="O2622" s="23">
        <v>13.2</v>
      </c>
      <c r="P2622" s="18">
        <f t="shared" si="1"/>
        <v>213.6457</v>
      </c>
    </row>
    <row r="2623" ht="15.75" customHeight="1">
      <c r="A2623" s="19" t="s">
        <v>233</v>
      </c>
      <c r="B2623" s="19" t="s">
        <v>99</v>
      </c>
      <c r="C2623" s="20" t="s">
        <v>110</v>
      </c>
      <c r="D2623" s="14" t="str">
        <f>VLOOKUP(C2623,'State Key'!$A$2:$B$210,2,False)</f>
        <v>Tamil Nadu</v>
      </c>
      <c r="E2623" s="21">
        <v>600.0</v>
      </c>
      <c r="F2623" s="22">
        <v>58.93</v>
      </c>
      <c r="G2623" s="22">
        <v>85.49</v>
      </c>
      <c r="H2623" s="22">
        <v>0.0</v>
      </c>
      <c r="I2623" s="22">
        <v>0.0</v>
      </c>
      <c r="J2623" s="22">
        <v>0.0</v>
      </c>
      <c r="K2623" s="22">
        <v>0.0</v>
      </c>
      <c r="L2623" s="22">
        <v>144.42</v>
      </c>
      <c r="M2623" s="22">
        <v>176.78</v>
      </c>
      <c r="N2623" s="22">
        <v>228.34</v>
      </c>
      <c r="O2623" s="24">
        <v>38.7</v>
      </c>
      <c r="P2623" s="18">
        <f t="shared" si="1"/>
        <v>144.42</v>
      </c>
    </row>
    <row r="2624" ht="15.75" customHeight="1">
      <c r="A2624" s="13" t="s">
        <v>233</v>
      </c>
      <c r="B2624" s="13" t="s">
        <v>99</v>
      </c>
      <c r="C2624" s="14" t="s">
        <v>111</v>
      </c>
      <c r="D2624" s="14" t="str">
        <f>VLOOKUP(C2624,'State Key'!$A$2:$B$210,2,False)</f>
        <v>Tamil Nadu</v>
      </c>
      <c r="E2624" s="15">
        <v>1200.0</v>
      </c>
      <c r="F2624" s="16">
        <v>0.0</v>
      </c>
      <c r="G2624" s="16">
        <v>0.0</v>
      </c>
      <c r="H2624" s="16">
        <v>0.0</v>
      </c>
      <c r="I2624" s="16">
        <v>0.0</v>
      </c>
      <c r="J2624" s="16">
        <v>290.698</v>
      </c>
      <c r="K2624" s="16">
        <v>0.0</v>
      </c>
      <c r="L2624" s="16">
        <v>290.698</v>
      </c>
      <c r="M2624" s="16">
        <v>333.843</v>
      </c>
      <c r="N2624" s="16">
        <v>95.533</v>
      </c>
      <c r="O2624" s="23">
        <v>8.6</v>
      </c>
      <c r="P2624" s="18">
        <f t="shared" si="1"/>
        <v>290.698</v>
      </c>
    </row>
    <row r="2625" ht="15.75" customHeight="1">
      <c r="A2625" s="19" t="s">
        <v>233</v>
      </c>
      <c r="B2625" s="19" t="s">
        <v>99</v>
      </c>
      <c r="C2625" s="20" t="s">
        <v>112</v>
      </c>
      <c r="D2625" s="14" t="str">
        <f>VLOOKUP(C2625,'State Key'!$A$2:$B$210,2,False)</f>
        <v>Tamil Nadu</v>
      </c>
      <c r="E2625" s="21">
        <v>1830.0</v>
      </c>
      <c r="F2625" s="22">
        <v>853.992</v>
      </c>
      <c r="G2625" s="22">
        <v>0.0</v>
      </c>
      <c r="H2625" s="22">
        <v>0.0</v>
      </c>
      <c r="I2625" s="22">
        <v>0.0</v>
      </c>
      <c r="J2625" s="22">
        <v>75.0</v>
      </c>
      <c r="K2625" s="22">
        <v>0.0</v>
      </c>
      <c r="L2625" s="22">
        <v>928.992</v>
      </c>
      <c r="M2625" s="22">
        <v>863.788</v>
      </c>
      <c r="N2625" s="22">
        <v>554.672</v>
      </c>
      <c r="O2625" s="24">
        <v>19.3</v>
      </c>
      <c r="P2625" s="18">
        <f t="shared" si="1"/>
        <v>928.992</v>
      </c>
    </row>
    <row r="2626" ht="15.75" customHeight="1">
      <c r="A2626" s="13" t="s">
        <v>233</v>
      </c>
      <c r="B2626" s="13" t="s">
        <v>99</v>
      </c>
      <c r="C2626" s="14" t="s">
        <v>113</v>
      </c>
      <c r="D2626" s="14" t="str">
        <f>VLOOKUP(C2626,'State Key'!$A$2:$B$210,2,False)</f>
        <v>Tamil Nadu</v>
      </c>
      <c r="E2626" s="15">
        <v>1000.0</v>
      </c>
      <c r="F2626" s="16">
        <v>0.0</v>
      </c>
      <c r="G2626" s="16">
        <v>0.0</v>
      </c>
      <c r="H2626" s="16">
        <v>223.37</v>
      </c>
      <c r="I2626" s="16">
        <v>0.0</v>
      </c>
      <c r="J2626" s="16">
        <v>74.419</v>
      </c>
      <c r="K2626" s="16">
        <v>0.0</v>
      </c>
      <c r="L2626" s="16">
        <v>297.789</v>
      </c>
      <c r="M2626" s="16">
        <v>310.904</v>
      </c>
      <c r="N2626" s="16">
        <v>243.52</v>
      </c>
      <c r="O2626" s="24">
        <v>23.5</v>
      </c>
      <c r="P2626" s="18">
        <f t="shared" si="1"/>
        <v>297.789</v>
      </c>
    </row>
    <row r="2627" ht="15.75" customHeight="1">
      <c r="A2627" s="19" t="s">
        <v>233</v>
      </c>
      <c r="B2627" s="19" t="s">
        <v>99</v>
      </c>
      <c r="C2627" s="20" t="s">
        <v>228</v>
      </c>
      <c r="D2627" s="14" t="str">
        <f>VLOOKUP(C2627,'State Key'!$A$2:$B$210,2,False)</f>
        <v>Tamil Nadu</v>
      </c>
      <c r="E2627" s="21">
        <v>414.0</v>
      </c>
      <c r="F2627" s="22">
        <v>43.675</v>
      </c>
      <c r="G2627" s="22">
        <v>0.0</v>
      </c>
      <c r="H2627" s="22">
        <v>0.0</v>
      </c>
      <c r="I2627" s="22">
        <v>0.0</v>
      </c>
      <c r="J2627" s="22">
        <v>134.735</v>
      </c>
      <c r="K2627" s="22">
        <v>0.0</v>
      </c>
      <c r="L2627" s="22">
        <v>178.41</v>
      </c>
      <c r="M2627" s="22">
        <v>205.868</v>
      </c>
      <c r="N2627" s="22">
        <v>98.26</v>
      </c>
      <c r="O2627" s="24">
        <v>14.3</v>
      </c>
      <c r="P2627" s="18">
        <f t="shared" si="1"/>
        <v>178.41</v>
      </c>
    </row>
    <row r="2628" ht="15.75" customHeight="1">
      <c r="A2628" s="13" t="s">
        <v>233</v>
      </c>
      <c r="B2628" s="13" t="s">
        <v>99</v>
      </c>
      <c r="C2628" s="14" t="s">
        <v>114</v>
      </c>
      <c r="D2628" s="14" t="str">
        <f>VLOOKUP(C2628,'State Key'!$A$2:$B$210,2,False)</f>
        <v>Andhra Pradesh</v>
      </c>
      <c r="E2628" s="15">
        <v>1320.0</v>
      </c>
      <c r="F2628" s="16">
        <v>241.028</v>
      </c>
      <c r="G2628" s="16">
        <v>0.0</v>
      </c>
      <c r="H2628" s="16">
        <v>0.0</v>
      </c>
      <c r="I2628" s="16">
        <v>0.0</v>
      </c>
      <c r="J2628" s="16">
        <v>334.433</v>
      </c>
      <c r="K2628" s="16">
        <v>0.0</v>
      </c>
      <c r="L2628" s="16">
        <v>575.461</v>
      </c>
      <c r="M2628" s="16">
        <v>520.384</v>
      </c>
      <c r="N2628" s="16">
        <v>249.38</v>
      </c>
      <c r="O2628" s="24">
        <v>14.4</v>
      </c>
      <c r="P2628" s="18">
        <f t="shared" si="1"/>
        <v>575.461</v>
      </c>
    </row>
    <row r="2629" ht="15.75" customHeight="1">
      <c r="A2629" s="19" t="s">
        <v>233</v>
      </c>
      <c r="B2629" s="19" t="s">
        <v>99</v>
      </c>
      <c r="C2629" s="20" t="s">
        <v>115</v>
      </c>
      <c r="D2629" s="14" t="str">
        <f>VLOOKUP(C2629,'State Key'!$A$2:$B$210,2,False)</f>
        <v>Karnataka</v>
      </c>
      <c r="E2629" s="21">
        <v>1720.0</v>
      </c>
      <c r="F2629" s="22">
        <v>536.722</v>
      </c>
      <c r="G2629" s="22">
        <v>164.645</v>
      </c>
      <c r="H2629" s="22">
        <v>0.0</v>
      </c>
      <c r="I2629" s="22">
        <v>0.0</v>
      </c>
      <c r="J2629" s="22">
        <v>15.278</v>
      </c>
      <c r="K2629" s="22">
        <v>0.0</v>
      </c>
      <c r="L2629" s="22">
        <v>716.645</v>
      </c>
      <c r="M2629" s="22">
        <v>616.904</v>
      </c>
      <c r="N2629" s="22">
        <v>613.366</v>
      </c>
      <c r="O2629" s="24">
        <v>29.8</v>
      </c>
      <c r="P2629" s="18">
        <f t="shared" si="1"/>
        <v>716.645</v>
      </c>
    </row>
    <row r="2630" ht="15.75" customHeight="1">
      <c r="A2630" s="13" t="s">
        <v>233</v>
      </c>
      <c r="B2630" s="13" t="s">
        <v>99</v>
      </c>
      <c r="C2630" s="14" t="s">
        <v>116</v>
      </c>
      <c r="D2630" s="14" t="str">
        <f>VLOOKUP(C2630,'State Key'!$A$2:$B$210,2,False)</f>
        <v>Telangana</v>
      </c>
      <c r="E2630" s="15">
        <v>2600.0</v>
      </c>
      <c r="F2630" s="16">
        <v>8.01</v>
      </c>
      <c r="G2630" s="16">
        <v>909.2</v>
      </c>
      <c r="H2630" s="16">
        <v>19.86</v>
      </c>
      <c r="I2630" s="16">
        <v>0.0</v>
      </c>
      <c r="J2630" s="16">
        <v>0.0</v>
      </c>
      <c r="K2630" s="16">
        <v>0.0</v>
      </c>
      <c r="L2630" s="16">
        <v>937.07</v>
      </c>
      <c r="M2630" s="16">
        <v>920.637</v>
      </c>
      <c r="N2630" s="16">
        <v>553.333</v>
      </c>
      <c r="O2630" s="24">
        <v>18.0</v>
      </c>
      <c r="P2630" s="18">
        <f t="shared" si="1"/>
        <v>937.07</v>
      </c>
    </row>
    <row r="2631" ht="15.75" customHeight="1">
      <c r="A2631" s="19" t="s">
        <v>233</v>
      </c>
      <c r="B2631" s="19" t="s">
        <v>99</v>
      </c>
      <c r="C2631" s="20" t="s">
        <v>117</v>
      </c>
      <c r="D2631" s="14" t="str">
        <f>VLOOKUP(C2631,'State Key'!$A$2:$B$210,2,False)</f>
        <v>Telangana</v>
      </c>
      <c r="E2631" s="21">
        <v>62.5</v>
      </c>
      <c r="F2631" s="22">
        <v>0.0</v>
      </c>
      <c r="G2631" s="22">
        <v>0.0</v>
      </c>
      <c r="H2631" s="22">
        <v>0.0</v>
      </c>
      <c r="I2631" s="22">
        <v>0.0</v>
      </c>
      <c r="J2631" s="22">
        <v>0.0</v>
      </c>
      <c r="K2631" s="22">
        <v>0.0</v>
      </c>
      <c r="L2631" s="22">
        <v>0.0</v>
      </c>
      <c r="M2631" s="22">
        <v>0.832</v>
      </c>
      <c r="N2631" s="22">
        <v>3.728</v>
      </c>
      <c r="O2631" s="24">
        <v>134.4</v>
      </c>
      <c r="P2631" s="18">
        <f t="shared" si="1"/>
        <v>0</v>
      </c>
    </row>
    <row r="2632" ht="15.75" customHeight="1">
      <c r="A2632" s="13" t="s">
        <v>233</v>
      </c>
      <c r="B2632" s="13" t="s">
        <v>99</v>
      </c>
      <c r="C2632" s="14" t="s">
        <v>118</v>
      </c>
      <c r="D2632" s="14" t="str">
        <f>VLOOKUP(C2632,'State Key'!$A$2:$B$210,2,False)</f>
        <v>Andhra Pradesh</v>
      </c>
      <c r="E2632" s="15">
        <v>1650.0</v>
      </c>
      <c r="F2632" s="16">
        <v>483.976</v>
      </c>
      <c r="G2632" s="16">
        <v>196.6</v>
      </c>
      <c r="H2632" s="16">
        <v>0.0</v>
      </c>
      <c r="I2632" s="16">
        <v>0.0</v>
      </c>
      <c r="J2632" s="16">
        <v>0.0</v>
      </c>
      <c r="K2632" s="16">
        <v>0.0</v>
      </c>
      <c r="L2632" s="16">
        <v>680.576</v>
      </c>
      <c r="M2632" s="16">
        <v>614.553</v>
      </c>
      <c r="N2632" s="16">
        <v>76.18</v>
      </c>
      <c r="O2632" s="17">
        <v>3.7</v>
      </c>
      <c r="P2632" s="18">
        <f t="shared" si="1"/>
        <v>680.576</v>
      </c>
    </row>
    <row r="2633" ht="15.75" customHeight="1">
      <c r="A2633" s="19" t="s">
        <v>233</v>
      </c>
      <c r="B2633" s="19" t="s">
        <v>99</v>
      </c>
      <c r="C2633" s="20" t="s">
        <v>119</v>
      </c>
      <c r="D2633" s="14" t="str">
        <f>VLOOKUP(C2633,'State Key'!$A$2:$B$210,2,False)</f>
        <v>Andhra Pradesh</v>
      </c>
      <c r="E2633" s="21">
        <v>1320.0</v>
      </c>
      <c r="F2633" s="22">
        <v>217.093</v>
      </c>
      <c r="G2633" s="22">
        <v>0.0</v>
      </c>
      <c r="H2633" s="22">
        <v>0.0</v>
      </c>
      <c r="I2633" s="22">
        <v>0.0</v>
      </c>
      <c r="J2633" s="22">
        <v>224.385</v>
      </c>
      <c r="K2633" s="22">
        <v>0.0</v>
      </c>
      <c r="L2633" s="22">
        <v>441.478</v>
      </c>
      <c r="M2633" s="22">
        <v>529.44</v>
      </c>
      <c r="N2633" s="22">
        <v>204.169</v>
      </c>
      <c r="O2633" s="23">
        <v>11.6</v>
      </c>
      <c r="P2633" s="18">
        <f t="shared" si="1"/>
        <v>441.478</v>
      </c>
    </row>
    <row r="2634" ht="15.75" customHeight="1">
      <c r="A2634" s="13" t="s">
        <v>233</v>
      </c>
      <c r="B2634" s="13" t="s">
        <v>99</v>
      </c>
      <c r="C2634" s="14" t="s">
        <v>120</v>
      </c>
      <c r="D2634" s="14" t="str">
        <f>VLOOKUP(C2634,'State Key'!$A$2:$B$210,2,False)</f>
        <v>Andhra Pradesh</v>
      </c>
      <c r="E2634" s="15">
        <v>2000.0</v>
      </c>
      <c r="F2634" s="16">
        <v>507.91</v>
      </c>
      <c r="G2634" s="16">
        <v>11.89</v>
      </c>
      <c r="H2634" s="16">
        <v>122.41</v>
      </c>
      <c r="I2634" s="16">
        <v>0.0</v>
      </c>
      <c r="J2634" s="16">
        <v>54.053</v>
      </c>
      <c r="K2634" s="16">
        <v>0.0</v>
      </c>
      <c r="L2634" s="16">
        <v>696.263</v>
      </c>
      <c r="M2634" s="16">
        <v>677.442</v>
      </c>
      <c r="N2634" s="16">
        <v>544.273</v>
      </c>
      <c r="O2634" s="24">
        <v>24.1</v>
      </c>
      <c r="P2634" s="18">
        <f t="shared" si="1"/>
        <v>696.263</v>
      </c>
    </row>
    <row r="2635" ht="15.75" customHeight="1">
      <c r="A2635" s="19" t="s">
        <v>233</v>
      </c>
      <c r="B2635" s="19" t="s">
        <v>99</v>
      </c>
      <c r="C2635" s="20" t="s">
        <v>121</v>
      </c>
      <c r="D2635" s="14" t="str">
        <f>VLOOKUP(C2635,'State Key'!$A$2:$B$210,2,False)</f>
        <v>Andhra Pradesh</v>
      </c>
      <c r="E2635" s="21">
        <v>600.0</v>
      </c>
      <c r="F2635" s="22">
        <v>0.0</v>
      </c>
      <c r="G2635" s="22">
        <v>0.0</v>
      </c>
      <c r="H2635" s="22">
        <v>0.0</v>
      </c>
      <c r="I2635" s="22">
        <v>0.0</v>
      </c>
      <c r="J2635" s="22">
        <v>87.75</v>
      </c>
      <c r="K2635" s="22">
        <v>0.0</v>
      </c>
      <c r="L2635" s="22">
        <v>87.75</v>
      </c>
      <c r="M2635" s="22">
        <v>179.821</v>
      </c>
      <c r="N2635" s="22">
        <v>105.86</v>
      </c>
      <c r="O2635" s="24">
        <v>17.7</v>
      </c>
      <c r="P2635" s="18">
        <f t="shared" si="1"/>
        <v>87.75</v>
      </c>
    </row>
    <row r="2636" ht="15.75" customHeight="1">
      <c r="A2636" s="13" t="s">
        <v>233</v>
      </c>
      <c r="B2636" s="13" t="s">
        <v>99</v>
      </c>
      <c r="C2636" s="14" t="s">
        <v>122</v>
      </c>
      <c r="D2636" s="14" t="str">
        <f>VLOOKUP(C2636,'State Key'!$A$2:$B$210,2,False)</f>
        <v>Telangana</v>
      </c>
      <c r="E2636" s="15">
        <v>1200.0</v>
      </c>
      <c r="F2636" s="16">
        <v>0.0</v>
      </c>
      <c r="G2636" s="16">
        <v>380.727</v>
      </c>
      <c r="H2636" s="16">
        <v>0.0</v>
      </c>
      <c r="I2636" s="16">
        <v>0.0</v>
      </c>
      <c r="J2636" s="16">
        <v>0.0</v>
      </c>
      <c r="K2636" s="16">
        <v>0.0</v>
      </c>
      <c r="L2636" s="16">
        <v>380.727</v>
      </c>
      <c r="M2636" s="16">
        <v>331.352</v>
      </c>
      <c r="N2636" s="16">
        <v>181.5</v>
      </c>
      <c r="O2636" s="24">
        <v>16.4</v>
      </c>
      <c r="P2636" s="18">
        <f t="shared" si="1"/>
        <v>380.727</v>
      </c>
    </row>
    <row r="2637" ht="15.75" customHeight="1">
      <c r="A2637" s="19" t="s">
        <v>233</v>
      </c>
      <c r="B2637" s="19" t="s">
        <v>99</v>
      </c>
      <c r="C2637" s="20" t="s">
        <v>220</v>
      </c>
      <c r="D2637" s="14" t="str">
        <f>VLOOKUP(C2637,'State Key'!$A$2:$B$210,2,False)</f>
        <v>Telangana</v>
      </c>
      <c r="E2637" s="21">
        <v>1600.0</v>
      </c>
      <c r="F2637" s="22">
        <v>43.86</v>
      </c>
      <c r="G2637" s="22">
        <v>457.58</v>
      </c>
      <c r="H2637" s="22">
        <v>54.43</v>
      </c>
      <c r="I2637" s="22">
        <v>0.0</v>
      </c>
      <c r="J2637" s="22">
        <v>0.0</v>
      </c>
      <c r="K2637" s="22">
        <v>0.0</v>
      </c>
      <c r="L2637" s="22">
        <v>555.87</v>
      </c>
      <c r="M2637" s="22">
        <v>492.347</v>
      </c>
      <c r="N2637" s="22">
        <v>164.046</v>
      </c>
      <c r="O2637" s="23">
        <v>10.0</v>
      </c>
      <c r="P2637" s="18">
        <f t="shared" si="1"/>
        <v>555.87</v>
      </c>
    </row>
    <row r="2638" ht="15.75" customHeight="1">
      <c r="A2638" s="13" t="s">
        <v>233</v>
      </c>
      <c r="B2638" s="13" t="s">
        <v>99</v>
      </c>
      <c r="C2638" s="14" t="s">
        <v>123</v>
      </c>
      <c r="D2638" s="14" t="str">
        <f>VLOOKUP(C2638,'State Key'!$A$2:$B$210,2,False)</f>
        <v>Andhra Pradesh</v>
      </c>
      <c r="E2638" s="15">
        <v>300.0</v>
      </c>
      <c r="F2638" s="16">
        <v>0.0</v>
      </c>
      <c r="G2638" s="16">
        <v>0.0</v>
      </c>
      <c r="H2638" s="16">
        <v>0.0</v>
      </c>
      <c r="I2638" s="16">
        <v>0.0</v>
      </c>
      <c r="J2638" s="16">
        <v>0.0</v>
      </c>
      <c r="K2638" s="16">
        <v>0.0</v>
      </c>
      <c r="L2638" s="16">
        <v>0.0</v>
      </c>
      <c r="M2638" s="16">
        <v>0.0</v>
      </c>
      <c r="N2638" s="16">
        <v>0.0</v>
      </c>
      <c r="O2638" s="13" t="s">
        <v>58</v>
      </c>
      <c r="P2638" s="18">
        <f t="shared" si="1"/>
        <v>0</v>
      </c>
    </row>
    <row r="2639" ht="15.75" customHeight="1">
      <c r="A2639" s="19" t="s">
        <v>233</v>
      </c>
      <c r="B2639" s="19" t="s">
        <v>99</v>
      </c>
      <c r="C2639" s="20" t="s">
        <v>124</v>
      </c>
      <c r="D2639" s="14" t="str">
        <f>VLOOKUP(C2639,'State Key'!$A$2:$B$210,2,False)</f>
        <v>Karnataka</v>
      </c>
      <c r="E2639" s="21">
        <v>260.0</v>
      </c>
      <c r="F2639" s="22">
        <v>0.0</v>
      </c>
      <c r="G2639" s="22">
        <v>0.0</v>
      </c>
      <c r="H2639" s="22">
        <v>0.0</v>
      </c>
      <c r="I2639" s="22">
        <v>0.0</v>
      </c>
      <c r="J2639" s="22">
        <v>28.94</v>
      </c>
      <c r="K2639" s="22">
        <v>0.0</v>
      </c>
      <c r="L2639" s="22">
        <v>28.94</v>
      </c>
      <c r="M2639" s="22">
        <v>28.94</v>
      </c>
      <c r="N2639" s="22">
        <v>0.0</v>
      </c>
      <c r="O2639" s="17">
        <v>0.0</v>
      </c>
      <c r="P2639" s="18">
        <f t="shared" si="1"/>
        <v>28.94</v>
      </c>
    </row>
    <row r="2640" ht="15.75" customHeight="1">
      <c r="A2640" s="13" t="s">
        <v>233</v>
      </c>
      <c r="B2640" s="13" t="s">
        <v>99</v>
      </c>
      <c r="C2640" s="14" t="s">
        <v>125</v>
      </c>
      <c r="D2640" s="14" t="str">
        <f>VLOOKUP(C2640,'State Key'!$A$2:$B$210,2,False)</f>
        <v>Karnataka</v>
      </c>
      <c r="E2640" s="15">
        <v>600.0</v>
      </c>
      <c r="F2640" s="16">
        <v>0.0</v>
      </c>
      <c r="G2640" s="16">
        <v>0.0</v>
      </c>
      <c r="H2640" s="16">
        <v>0.0</v>
      </c>
      <c r="I2640" s="16">
        <v>0.0</v>
      </c>
      <c r="J2640" s="16">
        <v>52.43</v>
      </c>
      <c r="K2640" s="16">
        <v>0.0</v>
      </c>
      <c r="L2640" s="16">
        <v>52.43</v>
      </c>
      <c r="M2640" s="16">
        <v>67.9299</v>
      </c>
      <c r="N2640" s="16">
        <v>20.77</v>
      </c>
      <c r="O2640" s="23">
        <v>9.2</v>
      </c>
      <c r="P2640" s="18">
        <f t="shared" si="1"/>
        <v>52.43</v>
      </c>
    </row>
    <row r="2641" ht="15.75" customHeight="1">
      <c r="A2641" s="19" t="s">
        <v>233</v>
      </c>
      <c r="B2641" s="19" t="s">
        <v>99</v>
      </c>
      <c r="C2641" s="20" t="s">
        <v>126</v>
      </c>
      <c r="D2641" s="14" t="str">
        <f>VLOOKUP(C2641,'State Key'!$A$2:$B$210,2,False)</f>
        <v>Tamil Nadu</v>
      </c>
      <c r="E2641" s="21">
        <v>300.0</v>
      </c>
      <c r="F2641" s="22">
        <v>0.0</v>
      </c>
      <c r="G2641" s="22">
        <v>0.0</v>
      </c>
      <c r="H2641" s="22">
        <v>0.0</v>
      </c>
      <c r="I2641" s="22">
        <v>0.0</v>
      </c>
      <c r="J2641" s="22">
        <v>0.0</v>
      </c>
      <c r="K2641" s="22">
        <v>0.0</v>
      </c>
      <c r="L2641" s="22">
        <v>0.0</v>
      </c>
      <c r="M2641" s="22">
        <v>0.0</v>
      </c>
      <c r="N2641" s="22">
        <v>0.0</v>
      </c>
      <c r="O2641" s="19" t="s">
        <v>58</v>
      </c>
      <c r="P2641" s="18">
        <f t="shared" si="1"/>
        <v>0</v>
      </c>
    </row>
    <row r="2642" ht="15.75" customHeight="1">
      <c r="A2642" s="13" t="s">
        <v>233</v>
      </c>
      <c r="B2642" s="13" t="s">
        <v>99</v>
      </c>
      <c r="C2642" s="14" t="s">
        <v>127</v>
      </c>
      <c r="D2642" s="14" t="str">
        <f>VLOOKUP(C2642,'State Key'!$A$2:$B$210,2,False)</f>
        <v>Tamil Nadu</v>
      </c>
      <c r="E2642" s="15">
        <v>525.0</v>
      </c>
      <c r="F2642" s="16">
        <v>0.0</v>
      </c>
      <c r="G2642" s="16">
        <v>0.0</v>
      </c>
      <c r="H2642" s="16">
        <v>0.0</v>
      </c>
      <c r="I2642" s="16">
        <v>0.0</v>
      </c>
      <c r="J2642" s="16">
        <v>153.3</v>
      </c>
      <c r="K2642" s="16">
        <v>0.0</v>
      </c>
      <c r="L2642" s="16">
        <v>153.3</v>
      </c>
      <c r="M2642" s="16">
        <v>128.43</v>
      </c>
      <c r="N2642" s="16">
        <v>49.73</v>
      </c>
      <c r="O2642" s="23">
        <v>11.6</v>
      </c>
      <c r="P2642" s="18">
        <f t="shared" si="1"/>
        <v>153.3</v>
      </c>
    </row>
    <row r="2643" ht="15.75" customHeight="1">
      <c r="A2643" s="19" t="s">
        <v>233</v>
      </c>
      <c r="B2643" s="19" t="s">
        <v>99</v>
      </c>
      <c r="C2643" s="20" t="s">
        <v>128</v>
      </c>
      <c r="D2643" s="14" t="str">
        <f>VLOOKUP(C2643,'State Key'!$A$2:$B$210,2,False)</f>
        <v>Tamil Nadu</v>
      </c>
      <c r="E2643" s="21">
        <v>1050.0</v>
      </c>
      <c r="F2643" s="22">
        <v>437.2</v>
      </c>
      <c r="G2643" s="22">
        <v>0.0</v>
      </c>
      <c r="H2643" s="22">
        <v>0.0</v>
      </c>
      <c r="I2643" s="22">
        <v>0.0</v>
      </c>
      <c r="J2643" s="22">
        <v>0.0</v>
      </c>
      <c r="K2643" s="22">
        <v>0.0</v>
      </c>
      <c r="L2643" s="22">
        <v>437.2</v>
      </c>
      <c r="M2643" s="22">
        <v>430.838</v>
      </c>
      <c r="N2643" s="22">
        <v>191.08</v>
      </c>
      <c r="O2643" s="23">
        <v>13.3</v>
      </c>
      <c r="P2643" s="18">
        <f t="shared" si="1"/>
        <v>437.2</v>
      </c>
    </row>
    <row r="2644" ht="15.75" customHeight="1">
      <c r="A2644" s="13" t="s">
        <v>233</v>
      </c>
      <c r="B2644" s="13" t="s">
        <v>99</v>
      </c>
      <c r="C2644" s="14" t="s">
        <v>130</v>
      </c>
      <c r="D2644" s="14" t="str">
        <f>VLOOKUP(C2644,'State Key'!$A$2:$B$210,2,False)</f>
        <v>Tamil Nadu</v>
      </c>
      <c r="E2644" s="15">
        <v>1500.0</v>
      </c>
      <c r="F2644" s="16">
        <v>404.467</v>
      </c>
      <c r="G2644" s="16">
        <v>0.0</v>
      </c>
      <c r="H2644" s="16">
        <v>0.0</v>
      </c>
      <c r="I2644" s="16">
        <v>0.0</v>
      </c>
      <c r="J2644" s="16">
        <v>0.0</v>
      </c>
      <c r="K2644" s="16">
        <v>0.0</v>
      </c>
      <c r="L2644" s="16">
        <v>404.467</v>
      </c>
      <c r="M2644" s="16">
        <v>485.456</v>
      </c>
      <c r="N2644" s="16">
        <v>373.36</v>
      </c>
      <c r="O2644" s="24">
        <v>23.1</v>
      </c>
      <c r="P2644" s="18">
        <f t="shared" si="1"/>
        <v>404.467</v>
      </c>
    </row>
    <row r="2645" ht="15.75" customHeight="1">
      <c r="A2645" s="19" t="s">
        <v>233</v>
      </c>
      <c r="B2645" s="19" t="s">
        <v>99</v>
      </c>
      <c r="C2645" s="20" t="s">
        <v>131</v>
      </c>
      <c r="D2645" s="14" t="str">
        <f>VLOOKUP(C2645,'State Key'!$A$2:$B$210,2,False)</f>
        <v>Andhra Pradesh</v>
      </c>
      <c r="E2645" s="21">
        <v>1040.0</v>
      </c>
      <c r="F2645" s="22">
        <v>173.77431</v>
      </c>
      <c r="G2645" s="22">
        <v>0.0</v>
      </c>
      <c r="H2645" s="22">
        <v>0.0</v>
      </c>
      <c r="I2645" s="22">
        <v>0.0</v>
      </c>
      <c r="J2645" s="22">
        <v>0.20225</v>
      </c>
      <c r="K2645" s="22">
        <v>0.0</v>
      </c>
      <c r="L2645" s="22">
        <v>173.97656</v>
      </c>
      <c r="M2645" s="22">
        <v>145.877</v>
      </c>
      <c r="N2645" s="22">
        <v>110.3744</v>
      </c>
      <c r="O2645" s="24">
        <v>22.7</v>
      </c>
      <c r="P2645" s="18">
        <f t="shared" si="1"/>
        <v>173.97656</v>
      </c>
    </row>
    <row r="2646" ht="15.75" customHeight="1">
      <c r="A2646" s="13" t="s">
        <v>233</v>
      </c>
      <c r="B2646" s="13" t="s">
        <v>99</v>
      </c>
      <c r="C2646" s="14" t="s">
        <v>132</v>
      </c>
      <c r="D2646" s="14" t="str">
        <f>VLOOKUP(C2646,'State Key'!$A$2:$B$210,2,False)</f>
        <v>Karnataka</v>
      </c>
      <c r="E2646" s="15">
        <v>1600.0</v>
      </c>
      <c r="F2646" s="16">
        <v>0.0</v>
      </c>
      <c r="G2646" s="16">
        <v>334.018</v>
      </c>
      <c r="H2646" s="16">
        <v>0.0</v>
      </c>
      <c r="I2646" s="16">
        <v>0.0</v>
      </c>
      <c r="J2646" s="16">
        <v>15.634</v>
      </c>
      <c r="K2646" s="16">
        <v>0.0</v>
      </c>
      <c r="L2646" s="16">
        <v>349.652</v>
      </c>
      <c r="M2646" s="16">
        <v>325.612</v>
      </c>
      <c r="N2646" s="16">
        <v>208.785</v>
      </c>
      <c r="O2646" s="24">
        <v>19.2</v>
      </c>
      <c r="P2646" s="18">
        <f t="shared" si="1"/>
        <v>349.652</v>
      </c>
    </row>
    <row r="2647" ht="15.75" customHeight="1">
      <c r="A2647" s="19" t="s">
        <v>233</v>
      </c>
      <c r="B2647" s="19" t="s">
        <v>133</v>
      </c>
      <c r="C2647" s="20" t="s">
        <v>211</v>
      </c>
      <c r="D2647" s="14" t="str">
        <f>VLOOKUP(C2647,'State Key'!$A$2:$B$210,2,False)</f>
        <v>Gujarat</v>
      </c>
      <c r="E2647" s="21">
        <v>2640.0</v>
      </c>
      <c r="F2647" s="22">
        <v>0.0</v>
      </c>
      <c r="G2647" s="22">
        <v>0.0</v>
      </c>
      <c r="H2647" s="22">
        <v>0.0</v>
      </c>
      <c r="I2647" s="22">
        <v>0.0</v>
      </c>
      <c r="J2647" s="22">
        <v>788.716</v>
      </c>
      <c r="K2647" s="22">
        <v>0.0</v>
      </c>
      <c r="L2647" s="22">
        <v>788.716</v>
      </c>
      <c r="M2647" s="22">
        <v>847.067</v>
      </c>
      <c r="N2647" s="22">
        <v>113.553</v>
      </c>
      <c r="O2647" s="17">
        <v>4.0</v>
      </c>
      <c r="P2647" s="18">
        <f t="shared" si="1"/>
        <v>788.716</v>
      </c>
    </row>
    <row r="2648" ht="15.75" customHeight="1">
      <c r="A2648" s="13" t="s">
        <v>233</v>
      </c>
      <c r="B2648" s="13" t="s">
        <v>133</v>
      </c>
      <c r="C2648" s="14" t="s">
        <v>212</v>
      </c>
      <c r="D2648" s="14" t="str">
        <f>VLOOKUP(C2648,'State Key'!$A$2:$B$210,2,False)</f>
        <v>Gujarat</v>
      </c>
      <c r="E2648" s="15">
        <v>1980.0</v>
      </c>
      <c r="F2648" s="16">
        <v>0.0</v>
      </c>
      <c r="G2648" s="16">
        <v>0.0</v>
      </c>
      <c r="H2648" s="16">
        <v>0.0</v>
      </c>
      <c r="I2648" s="16">
        <v>0.0</v>
      </c>
      <c r="J2648" s="16">
        <v>621.038</v>
      </c>
      <c r="K2648" s="16">
        <v>0.0</v>
      </c>
      <c r="L2648" s="16">
        <v>621.038</v>
      </c>
      <c r="M2648" s="16">
        <v>661.356</v>
      </c>
      <c r="N2648" s="16">
        <v>49.187</v>
      </c>
      <c r="O2648" s="17">
        <v>2.2</v>
      </c>
      <c r="P2648" s="18">
        <f t="shared" si="1"/>
        <v>621.038</v>
      </c>
    </row>
    <row r="2649" ht="15.75" customHeight="1">
      <c r="A2649" s="19" t="s">
        <v>233</v>
      </c>
      <c r="B2649" s="19" t="s">
        <v>133</v>
      </c>
      <c r="C2649" s="20" t="s">
        <v>213</v>
      </c>
      <c r="D2649" s="14" t="str">
        <f>VLOOKUP(C2649,'State Key'!$A$2:$B$210,2,False)</f>
        <v>Chhattisgarh</v>
      </c>
      <c r="E2649" s="21">
        <v>600.0</v>
      </c>
      <c r="F2649" s="22">
        <v>261.088</v>
      </c>
      <c r="G2649" s="22">
        <v>0.0</v>
      </c>
      <c r="H2649" s="22">
        <v>0.0</v>
      </c>
      <c r="I2649" s="22">
        <v>9.674</v>
      </c>
      <c r="J2649" s="22">
        <v>0.0</v>
      </c>
      <c r="K2649" s="22">
        <v>3.95</v>
      </c>
      <c r="L2649" s="22">
        <v>274.712</v>
      </c>
      <c r="M2649" s="22">
        <v>308.628</v>
      </c>
      <c r="N2649" s="22">
        <v>200.993</v>
      </c>
      <c r="O2649" s="24">
        <v>19.5</v>
      </c>
      <c r="P2649" s="18">
        <f t="shared" si="1"/>
        <v>274.712</v>
      </c>
    </row>
    <row r="2650" ht="15.75" customHeight="1">
      <c r="A2650" s="13" t="s">
        <v>233</v>
      </c>
      <c r="B2650" s="13" t="s">
        <v>133</v>
      </c>
      <c r="C2650" s="14" t="s">
        <v>214</v>
      </c>
      <c r="D2650" s="14" t="str">
        <f>VLOOKUP(C2650,'State Key'!$A$2:$B$210,2,False)</f>
        <v>Chhattisgarh</v>
      </c>
      <c r="E2650" s="15">
        <v>1370.0</v>
      </c>
      <c r="F2650" s="16">
        <v>408.321</v>
      </c>
      <c r="G2650" s="16">
        <v>0.0</v>
      </c>
      <c r="H2650" s="16">
        <v>0.0</v>
      </c>
      <c r="I2650" s="16">
        <v>13.452</v>
      </c>
      <c r="J2650" s="16">
        <v>3.991</v>
      </c>
      <c r="K2650" s="16">
        <v>38.38</v>
      </c>
      <c r="L2650" s="16">
        <v>464.144</v>
      </c>
      <c r="M2650" s="16">
        <v>611.163</v>
      </c>
      <c r="N2650" s="16">
        <v>75.21</v>
      </c>
      <c r="O2650" s="17">
        <v>3.7</v>
      </c>
      <c r="P2650" s="18">
        <f t="shared" si="1"/>
        <v>464.144</v>
      </c>
    </row>
    <row r="2651" ht="15.75" customHeight="1">
      <c r="A2651" s="19" t="s">
        <v>233</v>
      </c>
      <c r="B2651" s="19" t="s">
        <v>133</v>
      </c>
      <c r="C2651" s="20" t="s">
        <v>215</v>
      </c>
      <c r="D2651" s="14" t="str">
        <f>VLOOKUP(C2651,'State Key'!$A$2:$B$210,2,False)</f>
        <v>Maharashtra</v>
      </c>
      <c r="E2651" s="21">
        <v>3300.0</v>
      </c>
      <c r="F2651" s="22">
        <v>1138.456</v>
      </c>
      <c r="G2651" s="22">
        <v>0.0</v>
      </c>
      <c r="H2651" s="22">
        <v>0.0</v>
      </c>
      <c r="I2651" s="22">
        <v>0.0</v>
      </c>
      <c r="J2651" s="22">
        <v>58.213</v>
      </c>
      <c r="K2651" s="22">
        <v>0.0</v>
      </c>
      <c r="L2651" s="22">
        <v>1196.669</v>
      </c>
      <c r="M2651" s="22">
        <v>1098.402</v>
      </c>
      <c r="N2651" s="22">
        <v>655.1</v>
      </c>
      <c r="O2651" s="24">
        <v>17.9</v>
      </c>
      <c r="P2651" s="18">
        <f t="shared" si="1"/>
        <v>1196.669</v>
      </c>
    </row>
    <row r="2652" ht="15.75" customHeight="1">
      <c r="A2652" s="13" t="s">
        <v>233</v>
      </c>
      <c r="B2652" s="13" t="s">
        <v>133</v>
      </c>
      <c r="C2652" s="14" t="s">
        <v>134</v>
      </c>
      <c r="D2652" s="14" t="str">
        <f>VLOOKUP(C2652,'State Key'!$A$2:$B$210,2,False)</f>
        <v>Chhattisgarh</v>
      </c>
      <c r="E2652" s="15">
        <v>1800.0</v>
      </c>
      <c r="F2652" s="16">
        <v>592.0409</v>
      </c>
      <c r="G2652" s="16">
        <v>0.0</v>
      </c>
      <c r="H2652" s="16">
        <v>0.0</v>
      </c>
      <c r="I2652" s="16">
        <v>0.0</v>
      </c>
      <c r="J2652" s="16">
        <v>0.0</v>
      </c>
      <c r="K2652" s="16">
        <v>36.2407</v>
      </c>
      <c r="L2652" s="16">
        <v>628.2816</v>
      </c>
      <c r="M2652" s="16">
        <v>696.233</v>
      </c>
      <c r="N2652" s="16">
        <v>311.2633</v>
      </c>
      <c r="O2652" s="23">
        <v>13.4</v>
      </c>
      <c r="P2652" s="18">
        <f t="shared" si="1"/>
        <v>628.2816</v>
      </c>
    </row>
    <row r="2653" ht="15.75" customHeight="1">
      <c r="A2653" s="19" t="s">
        <v>233</v>
      </c>
      <c r="B2653" s="19" t="s">
        <v>133</v>
      </c>
      <c r="C2653" s="20" t="s">
        <v>135</v>
      </c>
      <c r="D2653" s="14" t="str">
        <f>VLOOKUP(C2653,'State Key'!$A$2:$B$210,2,False)</f>
        <v>Madhya Pradesh</v>
      </c>
      <c r="E2653" s="21">
        <v>210.0</v>
      </c>
      <c r="F2653" s="22">
        <v>95.531</v>
      </c>
      <c r="G2653" s="22">
        <v>0.0</v>
      </c>
      <c r="H2653" s="22">
        <v>0.0</v>
      </c>
      <c r="I2653" s="22">
        <v>0.0</v>
      </c>
      <c r="J2653" s="22">
        <v>0.0</v>
      </c>
      <c r="K2653" s="22">
        <v>0.0</v>
      </c>
      <c r="L2653" s="22">
        <v>95.531</v>
      </c>
      <c r="M2653" s="22">
        <v>66.788</v>
      </c>
      <c r="N2653" s="22">
        <v>64.83</v>
      </c>
      <c r="O2653" s="24">
        <v>29.1</v>
      </c>
      <c r="P2653" s="18">
        <f t="shared" si="1"/>
        <v>95.531</v>
      </c>
    </row>
    <row r="2654" ht="15.75" customHeight="1">
      <c r="A2654" s="13" t="s">
        <v>233</v>
      </c>
      <c r="B2654" s="13" t="s">
        <v>133</v>
      </c>
      <c r="C2654" s="14" t="s">
        <v>136</v>
      </c>
      <c r="D2654" s="14" t="str">
        <f>VLOOKUP(C2654,'State Key'!$A$2:$B$210,2,False)</f>
        <v>Maharashtra</v>
      </c>
      <c r="E2654" s="15">
        <v>1350.0</v>
      </c>
      <c r="F2654" s="16">
        <v>571.546</v>
      </c>
      <c r="G2654" s="16">
        <v>0.0</v>
      </c>
      <c r="H2654" s="16">
        <v>0.0</v>
      </c>
      <c r="I2654" s="16">
        <v>0.0</v>
      </c>
      <c r="J2654" s="16">
        <v>0.0</v>
      </c>
      <c r="K2654" s="16">
        <v>0.0</v>
      </c>
      <c r="L2654" s="16">
        <v>571.546</v>
      </c>
      <c r="M2654" s="16">
        <v>598.847</v>
      </c>
      <c r="N2654" s="16">
        <v>137.61</v>
      </c>
      <c r="O2654" s="17">
        <v>6.9</v>
      </c>
      <c r="P2654" s="18">
        <f t="shared" si="1"/>
        <v>571.546</v>
      </c>
    </row>
    <row r="2655" ht="15.75" customHeight="1">
      <c r="A2655" s="19" t="s">
        <v>233</v>
      </c>
      <c r="B2655" s="19" t="s">
        <v>133</v>
      </c>
      <c r="C2655" s="20" t="s">
        <v>137</v>
      </c>
      <c r="D2655" s="14" t="str">
        <f>VLOOKUP(C2655,'State Key'!$A$2:$B$210,2,False)</f>
        <v>Madhya Pradesh</v>
      </c>
      <c r="E2655" s="21">
        <v>1250.0</v>
      </c>
      <c r="F2655" s="22">
        <v>272.34</v>
      </c>
      <c r="G2655" s="22">
        <v>0.0</v>
      </c>
      <c r="H2655" s="22">
        <v>0.0</v>
      </c>
      <c r="I2655" s="22">
        <v>186.38</v>
      </c>
      <c r="J2655" s="22">
        <v>0.0</v>
      </c>
      <c r="K2655" s="22">
        <v>0.0</v>
      </c>
      <c r="L2655" s="22">
        <v>458.72</v>
      </c>
      <c r="M2655" s="22">
        <v>546.27</v>
      </c>
      <c r="N2655" s="22">
        <v>146.84</v>
      </c>
      <c r="O2655" s="23">
        <v>8.1</v>
      </c>
      <c r="P2655" s="18">
        <f t="shared" si="1"/>
        <v>458.72</v>
      </c>
    </row>
    <row r="2656" ht="15.75" customHeight="1">
      <c r="A2656" s="13" t="s">
        <v>233</v>
      </c>
      <c r="B2656" s="13" t="s">
        <v>133</v>
      </c>
      <c r="C2656" s="14" t="s">
        <v>139</v>
      </c>
      <c r="D2656" s="14" t="str">
        <f>VLOOKUP(C2656,'State Key'!$A$2:$B$210,2,False)</f>
        <v>Chhattisgarh</v>
      </c>
      <c r="E2656" s="15">
        <v>600.0</v>
      </c>
      <c r="F2656" s="16">
        <v>176.876</v>
      </c>
      <c r="G2656" s="16">
        <v>0.0</v>
      </c>
      <c r="H2656" s="16">
        <v>0.0</v>
      </c>
      <c r="I2656" s="16">
        <v>69.981</v>
      </c>
      <c r="J2656" s="16">
        <v>0.0</v>
      </c>
      <c r="K2656" s="16">
        <v>0.0</v>
      </c>
      <c r="L2656" s="16">
        <v>246.857</v>
      </c>
      <c r="M2656" s="16">
        <v>275.07</v>
      </c>
      <c r="N2656" s="16">
        <v>11.08</v>
      </c>
      <c r="O2656" s="17">
        <v>1.2</v>
      </c>
      <c r="P2656" s="18">
        <f t="shared" si="1"/>
        <v>246.857</v>
      </c>
    </row>
    <row r="2657" ht="15.75" customHeight="1">
      <c r="A2657" s="19" t="s">
        <v>233</v>
      </c>
      <c r="B2657" s="19" t="s">
        <v>133</v>
      </c>
      <c r="C2657" s="20" t="s">
        <v>140</v>
      </c>
      <c r="D2657" s="14" t="str">
        <f>VLOOKUP(C2657,'State Key'!$A$2:$B$210,2,False)</f>
        <v>Chhattisgarh</v>
      </c>
      <c r="E2657" s="21">
        <v>300.0</v>
      </c>
      <c r="F2657" s="22">
        <v>106.319</v>
      </c>
      <c r="G2657" s="22">
        <v>0.0</v>
      </c>
      <c r="H2657" s="22">
        <v>0.0</v>
      </c>
      <c r="I2657" s="22">
        <v>62.518</v>
      </c>
      <c r="J2657" s="22">
        <v>0.0</v>
      </c>
      <c r="K2657" s="22">
        <v>0.0</v>
      </c>
      <c r="L2657" s="22">
        <v>168.837</v>
      </c>
      <c r="M2657" s="22">
        <v>124.713</v>
      </c>
      <c r="N2657" s="22">
        <v>123.6</v>
      </c>
      <c r="O2657" s="24">
        <v>29.7</v>
      </c>
      <c r="P2657" s="18">
        <f t="shared" si="1"/>
        <v>168.837</v>
      </c>
    </row>
    <row r="2658" ht="15.75" customHeight="1">
      <c r="A2658" s="13" t="s">
        <v>233</v>
      </c>
      <c r="B2658" s="13" t="s">
        <v>133</v>
      </c>
      <c r="C2658" s="14" t="s">
        <v>141</v>
      </c>
      <c r="D2658" s="14" t="str">
        <f>VLOOKUP(C2658,'State Key'!$A$2:$B$210,2,False)</f>
        <v>Chhattisgarh</v>
      </c>
      <c r="E2658" s="15">
        <v>1200.0</v>
      </c>
      <c r="F2658" s="16">
        <v>487.337</v>
      </c>
      <c r="G2658" s="16">
        <v>0.0</v>
      </c>
      <c r="H2658" s="16">
        <v>0.0</v>
      </c>
      <c r="I2658" s="16">
        <v>0.0</v>
      </c>
      <c r="J2658" s="16">
        <v>0.0</v>
      </c>
      <c r="K2658" s="16">
        <v>0.0</v>
      </c>
      <c r="L2658" s="16">
        <v>487.337</v>
      </c>
      <c r="M2658" s="16">
        <v>543.151</v>
      </c>
      <c r="N2658" s="16">
        <v>258.24</v>
      </c>
      <c r="O2658" s="24">
        <v>14.3</v>
      </c>
      <c r="P2658" s="18">
        <f t="shared" si="1"/>
        <v>487.337</v>
      </c>
    </row>
    <row r="2659" ht="15.75" customHeight="1">
      <c r="A2659" s="19" t="s">
        <v>233</v>
      </c>
      <c r="B2659" s="19" t="s">
        <v>133</v>
      </c>
      <c r="C2659" s="20" t="s">
        <v>142</v>
      </c>
      <c r="D2659" s="14" t="str">
        <f>VLOOKUP(C2659,'State Key'!$A$2:$B$210,2,False)</f>
        <v>Maharashtra</v>
      </c>
      <c r="E2659" s="21">
        <v>270.0</v>
      </c>
      <c r="F2659" s="22">
        <v>83.307</v>
      </c>
      <c r="G2659" s="22">
        <v>0.0</v>
      </c>
      <c r="H2659" s="22">
        <v>0.0</v>
      </c>
      <c r="I2659" s="22">
        <v>29.355</v>
      </c>
      <c r="J2659" s="22">
        <v>0.0</v>
      </c>
      <c r="K2659" s="22">
        <v>8.166</v>
      </c>
      <c r="L2659" s="22">
        <v>120.828</v>
      </c>
      <c r="M2659" s="22">
        <v>101.917</v>
      </c>
      <c r="N2659" s="22">
        <v>134.98</v>
      </c>
      <c r="O2659" s="24">
        <v>39.7</v>
      </c>
      <c r="P2659" s="18">
        <f t="shared" si="1"/>
        <v>120.828</v>
      </c>
    </row>
    <row r="2660" ht="15.75" customHeight="1">
      <c r="A2660" s="13" t="s">
        <v>233</v>
      </c>
      <c r="B2660" s="13" t="s">
        <v>133</v>
      </c>
      <c r="C2660" s="14" t="s">
        <v>143</v>
      </c>
      <c r="D2660" s="14" t="str">
        <f>VLOOKUP(C2660,'State Key'!$A$2:$B$210,2,False)</f>
        <v>Chhattisgarh</v>
      </c>
      <c r="E2660" s="15">
        <v>500.0</v>
      </c>
      <c r="F2660" s="16">
        <v>150.652</v>
      </c>
      <c r="G2660" s="16">
        <v>20.611</v>
      </c>
      <c r="H2660" s="16">
        <v>0.0</v>
      </c>
      <c r="I2660" s="16">
        <v>0.0</v>
      </c>
      <c r="J2660" s="16">
        <v>0.0</v>
      </c>
      <c r="K2660" s="16">
        <v>0.0</v>
      </c>
      <c r="L2660" s="16">
        <v>171.263</v>
      </c>
      <c r="M2660" s="16">
        <v>241.784</v>
      </c>
      <c r="N2660" s="16">
        <v>213.89</v>
      </c>
      <c r="O2660" s="24">
        <v>26.5</v>
      </c>
      <c r="P2660" s="18">
        <f t="shared" si="1"/>
        <v>171.263</v>
      </c>
    </row>
    <row r="2661" ht="15.75" customHeight="1">
      <c r="A2661" s="19" t="s">
        <v>233</v>
      </c>
      <c r="B2661" s="19" t="s">
        <v>133</v>
      </c>
      <c r="C2661" s="20" t="s">
        <v>144</v>
      </c>
      <c r="D2661" s="14" t="str">
        <f>VLOOKUP(C2661,'State Key'!$A$2:$B$210,2,False)</f>
        <v>Maharashtra</v>
      </c>
      <c r="E2661" s="21">
        <v>1210.0</v>
      </c>
      <c r="F2661" s="22">
        <v>437.359</v>
      </c>
      <c r="G2661" s="22">
        <v>4.075</v>
      </c>
      <c r="H2661" s="22">
        <v>0.0</v>
      </c>
      <c r="I2661" s="22">
        <v>0.0</v>
      </c>
      <c r="J2661" s="22">
        <v>26.666</v>
      </c>
      <c r="K2661" s="22">
        <v>0.0</v>
      </c>
      <c r="L2661" s="22">
        <v>468.1</v>
      </c>
      <c r="M2661" s="22">
        <v>378.223</v>
      </c>
      <c r="N2661" s="22">
        <v>708.899</v>
      </c>
      <c r="O2661" s="24">
        <v>56.2</v>
      </c>
      <c r="P2661" s="18">
        <f t="shared" si="1"/>
        <v>468.1</v>
      </c>
    </row>
    <row r="2662" ht="15.75" customHeight="1">
      <c r="A2662" s="13" t="s">
        <v>233</v>
      </c>
      <c r="B2662" s="13" t="s">
        <v>133</v>
      </c>
      <c r="C2662" s="14" t="s">
        <v>145</v>
      </c>
      <c r="D2662" s="14" t="str">
        <f>VLOOKUP(C2662,'State Key'!$A$2:$B$210,2,False)</f>
        <v>Madhya Pradesh</v>
      </c>
      <c r="E2662" s="15">
        <v>500.0</v>
      </c>
      <c r="F2662" s="16">
        <v>125.87</v>
      </c>
      <c r="G2662" s="16">
        <v>0.0</v>
      </c>
      <c r="H2662" s="16">
        <v>0.0</v>
      </c>
      <c r="I2662" s="16">
        <v>72.52</v>
      </c>
      <c r="J2662" s="16">
        <v>0.0</v>
      </c>
      <c r="K2662" s="16">
        <v>0.0</v>
      </c>
      <c r="L2662" s="16">
        <v>198.39</v>
      </c>
      <c r="M2662" s="16">
        <v>215.91</v>
      </c>
      <c r="N2662" s="16">
        <v>223.74</v>
      </c>
      <c r="O2662" s="24">
        <v>31.1</v>
      </c>
      <c r="P2662" s="18">
        <f t="shared" si="1"/>
        <v>198.39</v>
      </c>
    </row>
    <row r="2663" ht="15.75" customHeight="1">
      <c r="A2663" s="19" t="s">
        <v>233</v>
      </c>
      <c r="B2663" s="19" t="s">
        <v>133</v>
      </c>
      <c r="C2663" s="20" t="s">
        <v>146</v>
      </c>
      <c r="D2663" s="14" t="str">
        <f>VLOOKUP(C2663,'State Key'!$A$2:$B$210,2,False)</f>
        <v>Chhattisgarh</v>
      </c>
      <c r="E2663" s="21">
        <v>600.0</v>
      </c>
      <c r="F2663" s="22">
        <v>0.0</v>
      </c>
      <c r="G2663" s="22">
        <v>0.0</v>
      </c>
      <c r="H2663" s="22">
        <v>0.0</v>
      </c>
      <c r="I2663" s="22">
        <v>134.093</v>
      </c>
      <c r="J2663" s="22">
        <v>0.0</v>
      </c>
      <c r="K2663" s="22">
        <v>0.0</v>
      </c>
      <c r="L2663" s="22">
        <v>134.093</v>
      </c>
      <c r="M2663" s="22">
        <v>219.805</v>
      </c>
      <c r="N2663" s="22">
        <v>322.0</v>
      </c>
      <c r="O2663" s="24">
        <v>43.9</v>
      </c>
      <c r="P2663" s="18">
        <f t="shared" si="1"/>
        <v>134.093</v>
      </c>
    </row>
    <row r="2664" ht="15.75" customHeight="1">
      <c r="A2664" s="13" t="s">
        <v>233</v>
      </c>
      <c r="B2664" s="13" t="s">
        <v>133</v>
      </c>
      <c r="C2664" s="14" t="s">
        <v>147</v>
      </c>
      <c r="D2664" s="14" t="str">
        <f>VLOOKUP(C2664,'State Key'!$A$2:$B$210,2,False)</f>
        <v>Maharashtra</v>
      </c>
      <c r="E2664" s="15">
        <v>600.0</v>
      </c>
      <c r="F2664" s="16">
        <v>0.0</v>
      </c>
      <c r="G2664" s="16">
        <v>0.0</v>
      </c>
      <c r="H2664" s="16">
        <v>0.0</v>
      </c>
      <c r="I2664" s="16">
        <v>0.0</v>
      </c>
      <c r="J2664" s="16">
        <v>0.0</v>
      </c>
      <c r="K2664" s="16">
        <v>0.0</v>
      </c>
      <c r="L2664" s="16">
        <v>0.0</v>
      </c>
      <c r="M2664" s="16">
        <v>0.0</v>
      </c>
      <c r="N2664" s="16">
        <v>0.0</v>
      </c>
      <c r="O2664" s="13" t="s">
        <v>58</v>
      </c>
      <c r="P2664" s="18">
        <f t="shared" si="1"/>
        <v>0</v>
      </c>
    </row>
    <row r="2665" ht="15.75" customHeight="1">
      <c r="A2665" s="19" t="s">
        <v>233</v>
      </c>
      <c r="B2665" s="19" t="s">
        <v>133</v>
      </c>
      <c r="C2665" s="20" t="s">
        <v>148</v>
      </c>
      <c r="D2665" s="14" t="str">
        <f>VLOOKUP(C2665,'State Key'!$A$2:$B$210,2,False)</f>
        <v>Chhattisgarh</v>
      </c>
      <c r="E2665" s="21">
        <v>30.0</v>
      </c>
      <c r="F2665" s="22">
        <v>0.0</v>
      </c>
      <c r="G2665" s="22">
        <v>0.0</v>
      </c>
      <c r="H2665" s="22">
        <v>0.0</v>
      </c>
      <c r="I2665" s="22">
        <v>0.0</v>
      </c>
      <c r="J2665" s="22">
        <v>0.0</v>
      </c>
      <c r="K2665" s="22">
        <v>70.6189</v>
      </c>
      <c r="L2665" s="22">
        <v>70.6189</v>
      </c>
      <c r="M2665" s="22">
        <v>64.975</v>
      </c>
      <c r="N2665" s="22">
        <v>71.34</v>
      </c>
      <c r="O2665" s="24">
        <v>32.9</v>
      </c>
      <c r="P2665" s="18">
        <f t="shared" si="1"/>
        <v>70.6189</v>
      </c>
    </row>
    <row r="2666" ht="15.75" customHeight="1">
      <c r="A2666" s="13" t="s">
        <v>233</v>
      </c>
      <c r="B2666" s="13" t="s">
        <v>133</v>
      </c>
      <c r="C2666" s="14" t="s">
        <v>149</v>
      </c>
      <c r="D2666" s="14" t="str">
        <f>VLOOKUP(C2666,'State Key'!$A$2:$B$210,2,False)</f>
        <v>Maharashtra</v>
      </c>
      <c r="E2666" s="15">
        <v>2920.0</v>
      </c>
      <c r="F2666" s="16">
        <v>921.424</v>
      </c>
      <c r="G2666" s="16">
        <v>123.14</v>
      </c>
      <c r="H2666" s="16">
        <v>0.0</v>
      </c>
      <c r="I2666" s="16">
        <v>0.0</v>
      </c>
      <c r="J2666" s="16">
        <v>157.57</v>
      </c>
      <c r="K2666" s="16">
        <v>0.0</v>
      </c>
      <c r="L2666" s="16">
        <v>1202.134</v>
      </c>
      <c r="M2666" s="16">
        <v>1086.52</v>
      </c>
      <c r="N2666" s="16">
        <v>833.2</v>
      </c>
      <c r="O2666" s="24">
        <v>23.0</v>
      </c>
      <c r="P2666" s="18">
        <f t="shared" si="1"/>
        <v>1202.134</v>
      </c>
    </row>
    <row r="2667" ht="15.75" customHeight="1">
      <c r="A2667" s="19" t="s">
        <v>233</v>
      </c>
      <c r="B2667" s="19" t="s">
        <v>133</v>
      </c>
      <c r="C2667" s="20" t="s">
        <v>150</v>
      </c>
      <c r="D2667" s="14" t="str">
        <f>VLOOKUP(C2667,'State Key'!$A$2:$B$210,2,False)</f>
        <v>Maharashtra</v>
      </c>
      <c r="E2667" s="21">
        <v>500.0</v>
      </c>
      <c r="F2667" s="22">
        <v>162.426</v>
      </c>
      <c r="G2667" s="22">
        <v>0.0</v>
      </c>
      <c r="H2667" s="22">
        <v>0.0</v>
      </c>
      <c r="I2667" s="22">
        <v>0.0</v>
      </c>
      <c r="J2667" s="22">
        <v>0.0</v>
      </c>
      <c r="K2667" s="22">
        <v>0.0</v>
      </c>
      <c r="L2667" s="22">
        <v>162.426</v>
      </c>
      <c r="M2667" s="22">
        <v>190.009</v>
      </c>
      <c r="N2667" s="22">
        <v>101.35</v>
      </c>
      <c r="O2667" s="24">
        <v>16.0</v>
      </c>
      <c r="P2667" s="18">
        <f t="shared" si="1"/>
        <v>162.426</v>
      </c>
    </row>
    <row r="2668" ht="15.75" customHeight="1">
      <c r="A2668" s="13" t="s">
        <v>233</v>
      </c>
      <c r="B2668" s="13" t="s">
        <v>133</v>
      </c>
      <c r="C2668" s="14" t="s">
        <v>151</v>
      </c>
      <c r="D2668" s="14" t="str">
        <f>VLOOKUP(C2668,'State Key'!$A$2:$B$210,2,False)</f>
        <v>Maharashtra</v>
      </c>
      <c r="E2668" s="15">
        <v>600.0</v>
      </c>
      <c r="F2668" s="16">
        <v>218.833</v>
      </c>
      <c r="G2668" s="16">
        <v>0.0</v>
      </c>
      <c r="H2668" s="16">
        <v>0.0</v>
      </c>
      <c r="I2668" s="16">
        <v>31.54</v>
      </c>
      <c r="J2668" s="16">
        <v>0.0</v>
      </c>
      <c r="K2668" s="16">
        <v>0.0</v>
      </c>
      <c r="L2668" s="16">
        <v>250.373</v>
      </c>
      <c r="M2668" s="16">
        <v>260.364</v>
      </c>
      <c r="N2668" s="16">
        <v>243.05</v>
      </c>
      <c r="O2668" s="24">
        <v>28.0</v>
      </c>
      <c r="P2668" s="18">
        <f t="shared" si="1"/>
        <v>250.373</v>
      </c>
    </row>
    <row r="2669" ht="15.75" customHeight="1">
      <c r="A2669" s="19" t="s">
        <v>233</v>
      </c>
      <c r="B2669" s="19" t="s">
        <v>133</v>
      </c>
      <c r="C2669" s="20" t="s">
        <v>152</v>
      </c>
      <c r="D2669" s="14" t="str">
        <f>VLOOKUP(C2669,'State Key'!$A$2:$B$210,2,False)</f>
        <v>Chhattisgarh</v>
      </c>
      <c r="E2669" s="21">
        <v>500.0</v>
      </c>
      <c r="F2669" s="22">
        <v>219.798</v>
      </c>
      <c r="G2669" s="22">
        <v>0.0</v>
      </c>
      <c r="H2669" s="22">
        <v>0.0</v>
      </c>
      <c r="I2669" s="22">
        <v>0.0</v>
      </c>
      <c r="J2669" s="22">
        <v>0.0</v>
      </c>
      <c r="K2669" s="22">
        <v>0.0</v>
      </c>
      <c r="L2669" s="22">
        <v>219.798</v>
      </c>
      <c r="M2669" s="22">
        <v>253.928</v>
      </c>
      <c r="N2669" s="22">
        <v>226.031</v>
      </c>
      <c r="O2669" s="24">
        <v>26.7</v>
      </c>
      <c r="P2669" s="18">
        <f t="shared" si="1"/>
        <v>219.798</v>
      </c>
    </row>
    <row r="2670" ht="15.75" customHeight="1">
      <c r="A2670" s="13" t="s">
        <v>233</v>
      </c>
      <c r="B2670" s="13" t="s">
        <v>133</v>
      </c>
      <c r="C2670" s="14" t="s">
        <v>153</v>
      </c>
      <c r="D2670" s="14" t="str">
        <f>VLOOKUP(C2670,'State Key'!$A$2:$B$210,2,False)</f>
        <v>Madhya Pradesh</v>
      </c>
      <c r="E2670" s="15">
        <v>1600.0</v>
      </c>
      <c r="F2670" s="16">
        <v>294.43</v>
      </c>
      <c r="G2670" s="16">
        <v>8.17</v>
      </c>
      <c r="H2670" s="16">
        <v>314.51</v>
      </c>
      <c r="I2670" s="16">
        <v>0.0</v>
      </c>
      <c r="J2670" s="16">
        <v>20.18</v>
      </c>
      <c r="K2670" s="16">
        <v>0.0</v>
      </c>
      <c r="L2670" s="16">
        <v>637.29</v>
      </c>
      <c r="M2670" s="16">
        <v>620.54</v>
      </c>
      <c r="N2670" s="16">
        <v>498.633</v>
      </c>
      <c r="O2670" s="24">
        <v>24.1</v>
      </c>
      <c r="P2670" s="18">
        <f t="shared" si="1"/>
        <v>637.29</v>
      </c>
    </row>
    <row r="2671" ht="15.75" customHeight="1">
      <c r="A2671" s="19" t="s">
        <v>233</v>
      </c>
      <c r="B2671" s="19" t="s">
        <v>133</v>
      </c>
      <c r="C2671" s="20" t="s">
        <v>154</v>
      </c>
      <c r="D2671" s="14" t="str">
        <f>VLOOKUP(C2671,'State Key'!$A$2:$B$210,2,False)</f>
        <v>Gujarat</v>
      </c>
      <c r="E2671" s="21">
        <v>630.0</v>
      </c>
      <c r="F2671" s="22">
        <v>250.212</v>
      </c>
      <c r="G2671" s="22">
        <v>0.0</v>
      </c>
      <c r="H2671" s="22">
        <v>0.0</v>
      </c>
      <c r="I2671" s="22">
        <v>0.0</v>
      </c>
      <c r="J2671" s="22">
        <v>11.872</v>
      </c>
      <c r="K2671" s="22">
        <v>0.0</v>
      </c>
      <c r="L2671" s="22">
        <v>262.084</v>
      </c>
      <c r="M2671" s="22">
        <v>251.678</v>
      </c>
      <c r="N2671" s="22">
        <v>96.12</v>
      </c>
      <c r="O2671" s="23">
        <v>11.5</v>
      </c>
      <c r="P2671" s="18">
        <f t="shared" si="1"/>
        <v>262.084</v>
      </c>
    </row>
    <row r="2672" ht="15.75" customHeight="1">
      <c r="A2672" s="13" t="s">
        <v>233</v>
      </c>
      <c r="B2672" s="13" t="s">
        <v>133</v>
      </c>
      <c r="C2672" s="14" t="s">
        <v>155</v>
      </c>
      <c r="D2672" s="14" t="str">
        <f>VLOOKUP(C2672,'State Key'!$A$2:$B$210,2,False)</f>
        <v>Maharashtra</v>
      </c>
      <c r="E2672" s="15">
        <v>120.0</v>
      </c>
      <c r="F2672" s="16">
        <v>0.0</v>
      </c>
      <c r="G2672" s="16">
        <v>0.0</v>
      </c>
      <c r="H2672" s="16">
        <v>0.0</v>
      </c>
      <c r="I2672" s="16">
        <v>0.0</v>
      </c>
      <c r="J2672" s="16">
        <v>0.0</v>
      </c>
      <c r="K2672" s="16">
        <v>0.0</v>
      </c>
      <c r="L2672" s="16">
        <v>0.0</v>
      </c>
      <c r="M2672" s="16">
        <v>0.0</v>
      </c>
      <c r="N2672" s="16">
        <v>0.0</v>
      </c>
      <c r="O2672" s="13" t="s">
        <v>58</v>
      </c>
      <c r="P2672" s="18">
        <f t="shared" si="1"/>
        <v>0</v>
      </c>
    </row>
    <row r="2673" ht="15.75" customHeight="1">
      <c r="A2673" s="19" t="s">
        <v>233</v>
      </c>
      <c r="B2673" s="19" t="s">
        <v>133</v>
      </c>
      <c r="C2673" s="20" t="s">
        <v>156</v>
      </c>
      <c r="D2673" s="14" t="str">
        <f>VLOOKUP(C2673,'State Key'!$A$2:$B$210,2,False)</f>
        <v>Maharashtra</v>
      </c>
      <c r="E2673" s="21">
        <v>600.0</v>
      </c>
      <c r="F2673" s="22">
        <v>140.464</v>
      </c>
      <c r="G2673" s="22">
        <v>0.0</v>
      </c>
      <c r="H2673" s="22">
        <v>0.0</v>
      </c>
      <c r="I2673" s="22">
        <v>103.803</v>
      </c>
      <c r="J2673" s="22">
        <v>0.0</v>
      </c>
      <c r="K2673" s="22">
        <v>0.0</v>
      </c>
      <c r="L2673" s="22">
        <v>244.267</v>
      </c>
      <c r="M2673" s="22">
        <v>261.726</v>
      </c>
      <c r="N2673" s="22">
        <v>107.98</v>
      </c>
      <c r="O2673" s="23">
        <v>12.4</v>
      </c>
      <c r="P2673" s="18">
        <f t="shared" si="1"/>
        <v>244.267</v>
      </c>
    </row>
    <row r="2674" ht="15.75" customHeight="1">
      <c r="A2674" s="13" t="s">
        <v>233</v>
      </c>
      <c r="B2674" s="13" t="s">
        <v>133</v>
      </c>
      <c r="C2674" s="14" t="s">
        <v>157</v>
      </c>
      <c r="D2674" s="14" t="str">
        <f>VLOOKUP(C2674,'State Key'!$A$2:$B$210,2,False)</f>
        <v>Maharashtra</v>
      </c>
      <c r="E2674" s="15">
        <v>300.0</v>
      </c>
      <c r="F2674" s="16">
        <v>0.0</v>
      </c>
      <c r="G2674" s="16">
        <v>0.0</v>
      </c>
      <c r="H2674" s="16">
        <v>0.0</v>
      </c>
      <c r="I2674" s="16">
        <v>0.0</v>
      </c>
      <c r="J2674" s="16">
        <v>50.0</v>
      </c>
      <c r="K2674" s="16">
        <v>0.0</v>
      </c>
      <c r="L2674" s="16">
        <v>50.0</v>
      </c>
      <c r="M2674" s="16">
        <v>52.74</v>
      </c>
      <c r="N2674" s="16">
        <v>50.62</v>
      </c>
      <c r="O2674" s="24">
        <v>28.8</v>
      </c>
      <c r="P2674" s="18">
        <f t="shared" si="1"/>
        <v>50</v>
      </c>
    </row>
    <row r="2675" ht="15.75" customHeight="1">
      <c r="A2675" s="19" t="s">
        <v>233</v>
      </c>
      <c r="B2675" s="19" t="s">
        <v>133</v>
      </c>
      <c r="C2675" s="20" t="s">
        <v>158</v>
      </c>
      <c r="D2675" s="14" t="str">
        <f>VLOOKUP(C2675,'State Key'!$A$2:$B$210,2,False)</f>
        <v>Chhattisgarh</v>
      </c>
      <c r="E2675" s="21">
        <v>270.0</v>
      </c>
      <c r="F2675" s="22">
        <v>32.2644</v>
      </c>
      <c r="G2675" s="22">
        <v>0.0</v>
      </c>
      <c r="H2675" s="22">
        <v>0.0</v>
      </c>
      <c r="I2675" s="22">
        <v>0.0</v>
      </c>
      <c r="J2675" s="22">
        <v>0.0</v>
      </c>
      <c r="K2675" s="22">
        <v>17.32331</v>
      </c>
      <c r="L2675" s="22">
        <v>49.58771</v>
      </c>
      <c r="M2675" s="22">
        <v>152.94</v>
      </c>
      <c r="N2675" s="22">
        <v>142.2869</v>
      </c>
      <c r="O2675" s="24">
        <v>27.9</v>
      </c>
      <c r="P2675" s="18">
        <f t="shared" si="1"/>
        <v>49.58771</v>
      </c>
    </row>
    <row r="2676" ht="15.75" customHeight="1">
      <c r="A2676" s="13" t="s">
        <v>233</v>
      </c>
      <c r="B2676" s="13" t="s">
        <v>133</v>
      </c>
      <c r="C2676" s="14" t="s">
        <v>159</v>
      </c>
      <c r="D2676" s="14" t="str">
        <f>VLOOKUP(C2676,'State Key'!$A$2:$B$210,2,False)</f>
        <v>Chhattisgarh</v>
      </c>
      <c r="E2676" s="15">
        <v>35.0</v>
      </c>
      <c r="F2676" s="16">
        <v>0.0</v>
      </c>
      <c r="G2676" s="16">
        <v>0.0</v>
      </c>
      <c r="H2676" s="16">
        <v>0.0</v>
      </c>
      <c r="I2676" s="16">
        <v>0.0</v>
      </c>
      <c r="J2676" s="16">
        <v>0.0</v>
      </c>
      <c r="K2676" s="16">
        <v>0.0</v>
      </c>
      <c r="L2676" s="16">
        <v>0.0</v>
      </c>
      <c r="M2676" s="16">
        <v>0.0</v>
      </c>
      <c r="N2676" s="16">
        <v>0.0</v>
      </c>
      <c r="O2676" s="13" t="s">
        <v>58</v>
      </c>
      <c r="P2676" s="18">
        <f t="shared" si="1"/>
        <v>0</v>
      </c>
    </row>
    <row r="2677" ht="15.75" customHeight="1">
      <c r="A2677" s="19" t="s">
        <v>233</v>
      </c>
      <c r="B2677" s="19" t="s">
        <v>133</v>
      </c>
      <c r="C2677" s="20" t="s">
        <v>160</v>
      </c>
      <c r="D2677" s="14" t="str">
        <f>VLOOKUP(C2677,'State Key'!$A$2:$B$210,2,False)</f>
        <v>Maharashtra</v>
      </c>
      <c r="E2677" s="21">
        <v>1340.0</v>
      </c>
      <c r="F2677" s="22">
        <v>533.877</v>
      </c>
      <c r="G2677" s="22">
        <v>0.0</v>
      </c>
      <c r="H2677" s="22">
        <v>0.0</v>
      </c>
      <c r="I2677" s="22">
        <v>0.0</v>
      </c>
      <c r="J2677" s="22">
        <v>95.308</v>
      </c>
      <c r="K2677" s="22">
        <v>0.641</v>
      </c>
      <c r="L2677" s="22">
        <v>629.826</v>
      </c>
      <c r="M2677" s="22">
        <v>622.214</v>
      </c>
      <c r="N2677" s="22">
        <v>332.33</v>
      </c>
      <c r="O2677" s="24">
        <v>16.0</v>
      </c>
      <c r="P2677" s="18">
        <f t="shared" si="1"/>
        <v>629.826</v>
      </c>
    </row>
    <row r="2678" ht="15.75" customHeight="1">
      <c r="A2678" s="13" t="s">
        <v>233</v>
      </c>
      <c r="B2678" s="13" t="s">
        <v>133</v>
      </c>
      <c r="C2678" s="14" t="s">
        <v>161</v>
      </c>
      <c r="D2678" s="14" t="str">
        <f>VLOOKUP(C2678,'State Key'!$A$2:$B$210,2,False)</f>
        <v>Madhya Pradesh</v>
      </c>
      <c r="E2678" s="15">
        <v>1320.0</v>
      </c>
      <c r="F2678" s="16">
        <v>222.9</v>
      </c>
      <c r="G2678" s="16">
        <v>32.61</v>
      </c>
      <c r="H2678" s="16">
        <v>119.93</v>
      </c>
      <c r="I2678" s="16">
        <v>0.0</v>
      </c>
      <c r="J2678" s="16">
        <v>40.6</v>
      </c>
      <c r="K2678" s="16">
        <v>0.0</v>
      </c>
      <c r="L2678" s="16">
        <v>416.04</v>
      </c>
      <c r="M2678" s="16">
        <v>439.702</v>
      </c>
      <c r="N2678" s="16">
        <v>635.375</v>
      </c>
      <c r="O2678" s="24">
        <v>43.4</v>
      </c>
      <c r="P2678" s="18">
        <f t="shared" si="1"/>
        <v>416.04</v>
      </c>
    </row>
    <row r="2679" ht="15.75" customHeight="1">
      <c r="A2679" s="19" t="s">
        <v>233</v>
      </c>
      <c r="B2679" s="19" t="s">
        <v>133</v>
      </c>
      <c r="C2679" s="20" t="s">
        <v>162</v>
      </c>
      <c r="D2679" s="14" t="str">
        <f>VLOOKUP(C2679,'State Key'!$A$2:$B$210,2,False)</f>
        <v>Maharashtra</v>
      </c>
      <c r="E2679" s="21">
        <v>2190.0</v>
      </c>
      <c r="F2679" s="22">
        <v>823.453</v>
      </c>
      <c r="G2679" s="22">
        <v>23.316</v>
      </c>
      <c r="H2679" s="22">
        <v>0.0</v>
      </c>
      <c r="I2679" s="22">
        <v>0.0</v>
      </c>
      <c r="J2679" s="22">
        <v>0.0</v>
      </c>
      <c r="K2679" s="22">
        <v>0.0</v>
      </c>
      <c r="L2679" s="22">
        <v>846.769</v>
      </c>
      <c r="M2679" s="22">
        <v>903.083</v>
      </c>
      <c r="N2679" s="22">
        <v>341.417</v>
      </c>
      <c r="O2679" s="23">
        <v>11.3</v>
      </c>
      <c r="P2679" s="18">
        <f t="shared" si="1"/>
        <v>846.769</v>
      </c>
    </row>
    <row r="2680" ht="15.75" customHeight="1">
      <c r="A2680" s="13" t="s">
        <v>233</v>
      </c>
      <c r="B2680" s="13" t="s">
        <v>133</v>
      </c>
      <c r="C2680" s="14" t="s">
        <v>163</v>
      </c>
      <c r="D2680" s="14" t="str">
        <f>VLOOKUP(C2680,'State Key'!$A$2:$B$210,2,False)</f>
        <v>Chhattisgarh</v>
      </c>
      <c r="E2680" s="15">
        <v>2600.0</v>
      </c>
      <c r="F2680" s="16">
        <v>1186.5</v>
      </c>
      <c r="G2680" s="16">
        <v>0.0</v>
      </c>
      <c r="H2680" s="16">
        <v>0.0</v>
      </c>
      <c r="I2680" s="16">
        <v>0.0</v>
      </c>
      <c r="J2680" s="16">
        <v>0.0</v>
      </c>
      <c r="K2680" s="16">
        <v>0.0</v>
      </c>
      <c r="L2680" s="16">
        <v>1186.5</v>
      </c>
      <c r="M2680" s="16">
        <v>1161.772</v>
      </c>
      <c r="N2680" s="16">
        <v>362.12</v>
      </c>
      <c r="O2680" s="23">
        <v>9.4</v>
      </c>
      <c r="P2680" s="18">
        <f t="shared" si="1"/>
        <v>1186.5</v>
      </c>
    </row>
    <row r="2681" ht="15.75" customHeight="1">
      <c r="A2681" s="19" t="s">
        <v>233</v>
      </c>
      <c r="B2681" s="19" t="s">
        <v>133</v>
      </c>
      <c r="C2681" s="20" t="s">
        <v>164</v>
      </c>
      <c r="D2681" s="14" t="str">
        <f>VLOOKUP(C2681,'State Key'!$A$2:$B$210,2,False)</f>
        <v>Chhattisgarh</v>
      </c>
      <c r="E2681" s="21">
        <v>1340.0</v>
      </c>
      <c r="F2681" s="22">
        <v>575.222</v>
      </c>
      <c r="G2681" s="22">
        <v>0.0</v>
      </c>
      <c r="H2681" s="22">
        <v>0.0</v>
      </c>
      <c r="I2681" s="22">
        <v>0.0</v>
      </c>
      <c r="J2681" s="22">
        <v>0.0</v>
      </c>
      <c r="K2681" s="22">
        <v>0.0</v>
      </c>
      <c r="L2681" s="22">
        <v>575.222</v>
      </c>
      <c r="M2681" s="22">
        <v>552.706</v>
      </c>
      <c r="N2681" s="22">
        <v>105.4</v>
      </c>
      <c r="O2681" s="17">
        <v>5.7</v>
      </c>
      <c r="P2681" s="18">
        <f t="shared" si="1"/>
        <v>575.222</v>
      </c>
    </row>
    <row r="2682" ht="15.75" customHeight="1">
      <c r="A2682" s="13" t="s">
        <v>233</v>
      </c>
      <c r="B2682" s="13" t="s">
        <v>133</v>
      </c>
      <c r="C2682" s="14" t="s">
        <v>165</v>
      </c>
      <c r="D2682" s="14" t="str">
        <f>VLOOKUP(C2682,'State Key'!$A$2:$B$210,2,False)</f>
        <v>Chhattisgarh</v>
      </c>
      <c r="E2682" s="15">
        <v>1600.0</v>
      </c>
      <c r="F2682" s="16">
        <v>0.0</v>
      </c>
      <c r="G2682" s="16">
        <v>0.0</v>
      </c>
      <c r="H2682" s="16">
        <v>719.69</v>
      </c>
      <c r="I2682" s="16">
        <v>0.0</v>
      </c>
      <c r="J2682" s="16">
        <v>0.0</v>
      </c>
      <c r="K2682" s="16">
        <v>0.0</v>
      </c>
      <c r="L2682" s="16">
        <v>719.69</v>
      </c>
      <c r="M2682" s="16">
        <v>743.243</v>
      </c>
      <c r="N2682" s="16">
        <v>579.93</v>
      </c>
      <c r="O2682" s="24">
        <v>23.4</v>
      </c>
      <c r="P2682" s="18">
        <f t="shared" si="1"/>
        <v>719.69</v>
      </c>
    </row>
    <row r="2683" ht="15.75" customHeight="1">
      <c r="A2683" s="19" t="s">
        <v>233</v>
      </c>
      <c r="B2683" s="19" t="s">
        <v>133</v>
      </c>
      <c r="C2683" s="20" t="s">
        <v>166</v>
      </c>
      <c r="D2683" s="14" t="str">
        <f>VLOOKUP(C2683,'State Key'!$A$2:$B$210,2,False)</f>
        <v>Madhya Pradesh</v>
      </c>
      <c r="E2683" s="21">
        <v>1200.0</v>
      </c>
      <c r="F2683" s="22">
        <v>176.937</v>
      </c>
      <c r="G2683" s="22">
        <v>0.0</v>
      </c>
      <c r="H2683" s="22">
        <v>0.0</v>
      </c>
      <c r="I2683" s="22">
        <v>0.0</v>
      </c>
      <c r="J2683" s="22">
        <v>0.0</v>
      </c>
      <c r="K2683" s="22">
        <v>205.465</v>
      </c>
      <c r="L2683" s="22">
        <v>382.402</v>
      </c>
      <c r="M2683" s="22">
        <v>454.479</v>
      </c>
      <c r="N2683" s="22">
        <v>266.504</v>
      </c>
      <c r="O2683" s="24">
        <v>17.6</v>
      </c>
      <c r="P2683" s="18">
        <f t="shared" si="1"/>
        <v>382.402</v>
      </c>
    </row>
    <row r="2684" ht="15.75" customHeight="1">
      <c r="A2684" s="13" t="s">
        <v>233</v>
      </c>
      <c r="B2684" s="13" t="s">
        <v>133</v>
      </c>
      <c r="C2684" s="14" t="s">
        <v>167</v>
      </c>
      <c r="D2684" s="14" t="str">
        <f>VLOOKUP(C2684,'State Key'!$A$2:$B$210,2,False)</f>
        <v>Chhattisgarh</v>
      </c>
      <c r="E2684" s="15">
        <v>1000.0</v>
      </c>
      <c r="F2684" s="16">
        <v>184.603</v>
      </c>
      <c r="G2684" s="16">
        <v>0.0</v>
      </c>
      <c r="H2684" s="16">
        <v>281.902</v>
      </c>
      <c r="I2684" s="16">
        <v>0.0</v>
      </c>
      <c r="J2684" s="16">
        <v>0.0</v>
      </c>
      <c r="K2684" s="16">
        <v>0.0</v>
      </c>
      <c r="L2684" s="16">
        <v>466.505</v>
      </c>
      <c r="M2684" s="16">
        <v>477.817</v>
      </c>
      <c r="N2684" s="16">
        <v>330.86</v>
      </c>
      <c r="O2684" s="24">
        <v>20.8</v>
      </c>
      <c r="P2684" s="18">
        <f t="shared" si="1"/>
        <v>466.505</v>
      </c>
    </row>
    <row r="2685" ht="15.75" customHeight="1">
      <c r="A2685" s="19" t="s">
        <v>233</v>
      </c>
      <c r="B2685" s="19" t="s">
        <v>133</v>
      </c>
      <c r="C2685" s="20" t="s">
        <v>168</v>
      </c>
      <c r="D2685" s="14" t="str">
        <f>VLOOKUP(C2685,'State Key'!$A$2:$B$210,2,False)</f>
        <v>Maharashtra</v>
      </c>
      <c r="E2685" s="21">
        <v>2320.0</v>
      </c>
      <c r="F2685" s="22">
        <v>660.25</v>
      </c>
      <c r="G2685" s="22">
        <v>24.51</v>
      </c>
      <c r="H2685" s="22">
        <v>150.26</v>
      </c>
      <c r="I2685" s="22">
        <v>0.0</v>
      </c>
      <c r="J2685" s="22">
        <v>43.27</v>
      </c>
      <c r="K2685" s="22">
        <v>0.0</v>
      </c>
      <c r="L2685" s="22">
        <v>878.29</v>
      </c>
      <c r="M2685" s="22">
        <v>773.091</v>
      </c>
      <c r="N2685" s="22">
        <v>513.712</v>
      </c>
      <c r="O2685" s="24">
        <v>19.9</v>
      </c>
      <c r="P2685" s="18">
        <f t="shared" si="1"/>
        <v>878.29</v>
      </c>
    </row>
    <row r="2686" ht="15.75" customHeight="1">
      <c r="A2686" s="13" t="s">
        <v>233</v>
      </c>
      <c r="B2686" s="13" t="s">
        <v>133</v>
      </c>
      <c r="C2686" s="14" t="s">
        <v>169</v>
      </c>
      <c r="D2686" s="14" t="str">
        <f>VLOOKUP(C2686,'State Key'!$A$2:$B$210,2,False)</f>
        <v>Madhya Pradesh</v>
      </c>
      <c r="E2686" s="15">
        <v>246.01</v>
      </c>
      <c r="F2686" s="16">
        <v>0.0</v>
      </c>
      <c r="G2686" s="16">
        <v>0.0</v>
      </c>
      <c r="H2686" s="16">
        <v>0.0</v>
      </c>
      <c r="I2686" s="16">
        <v>0.0</v>
      </c>
      <c r="J2686" s="16">
        <v>0.0</v>
      </c>
      <c r="K2686" s="16">
        <v>0.0</v>
      </c>
      <c r="L2686" s="16">
        <v>0.0</v>
      </c>
      <c r="M2686" s="16">
        <v>0.0</v>
      </c>
      <c r="N2686" s="16">
        <v>0.0</v>
      </c>
      <c r="O2686" s="13" t="s">
        <v>58</v>
      </c>
      <c r="P2686" s="18">
        <f t="shared" si="1"/>
        <v>0</v>
      </c>
    </row>
    <row r="2687" ht="15.75" customHeight="1">
      <c r="A2687" s="19" t="s">
        <v>233</v>
      </c>
      <c r="B2687" s="19" t="s">
        <v>133</v>
      </c>
      <c r="C2687" s="20" t="s">
        <v>172</v>
      </c>
      <c r="D2687" s="14" t="str">
        <f>VLOOKUP(C2687,'State Key'!$A$2:$B$210,2,False)</f>
        <v>Gujarat</v>
      </c>
      <c r="E2687" s="21">
        <v>4000.0</v>
      </c>
      <c r="F2687" s="22">
        <v>0.0</v>
      </c>
      <c r="G2687" s="22">
        <v>0.0</v>
      </c>
      <c r="H2687" s="22">
        <v>0.0</v>
      </c>
      <c r="I2687" s="22">
        <v>0.0</v>
      </c>
      <c r="J2687" s="22">
        <v>1070.27</v>
      </c>
      <c r="K2687" s="22">
        <v>0.0</v>
      </c>
      <c r="L2687" s="22">
        <v>1070.27</v>
      </c>
      <c r="M2687" s="22">
        <v>857.026</v>
      </c>
      <c r="N2687" s="22">
        <v>699.251</v>
      </c>
      <c r="O2687" s="24">
        <v>24.5</v>
      </c>
      <c r="P2687" s="18">
        <f t="shared" si="1"/>
        <v>1070.27</v>
      </c>
    </row>
    <row r="2688" ht="15.75" customHeight="1">
      <c r="A2688" s="13" t="s">
        <v>233</v>
      </c>
      <c r="B2688" s="13" t="s">
        <v>133</v>
      </c>
      <c r="C2688" s="14" t="s">
        <v>173</v>
      </c>
      <c r="D2688" s="14" t="str">
        <f>VLOOKUP(C2688,'State Key'!$A$2:$B$210,2,False)</f>
        <v>Maharashtra</v>
      </c>
      <c r="E2688" s="15">
        <v>1350.0</v>
      </c>
      <c r="F2688" s="16">
        <v>0.0</v>
      </c>
      <c r="G2688" s="16">
        <v>0.0</v>
      </c>
      <c r="H2688" s="16">
        <v>0.0</v>
      </c>
      <c r="I2688" s="16">
        <v>0.0</v>
      </c>
      <c r="J2688" s="16">
        <v>0.0</v>
      </c>
      <c r="K2688" s="16">
        <v>0.0</v>
      </c>
      <c r="L2688" s="16">
        <v>0.0</v>
      </c>
      <c r="M2688" s="16">
        <v>0.0</v>
      </c>
      <c r="N2688" s="16">
        <v>0.0</v>
      </c>
      <c r="O2688" s="13" t="s">
        <v>58</v>
      </c>
      <c r="P2688" s="18">
        <f t="shared" si="1"/>
        <v>0</v>
      </c>
    </row>
    <row r="2689" ht="15.75" customHeight="1">
      <c r="A2689" s="19" t="s">
        <v>233</v>
      </c>
      <c r="B2689" s="19" t="s">
        <v>133</v>
      </c>
      <c r="C2689" s="20" t="s">
        <v>174</v>
      </c>
      <c r="D2689" s="14" t="str">
        <f>VLOOKUP(C2689,'State Key'!$A$2:$B$210,2,False)</f>
        <v>Maharashtra</v>
      </c>
      <c r="E2689" s="21">
        <v>630.0</v>
      </c>
      <c r="F2689" s="22">
        <v>235.705</v>
      </c>
      <c r="G2689" s="22">
        <v>0.0</v>
      </c>
      <c r="H2689" s="22">
        <v>0.0</v>
      </c>
      <c r="I2689" s="22">
        <v>0.0</v>
      </c>
      <c r="J2689" s="22">
        <v>59.44</v>
      </c>
      <c r="K2689" s="22">
        <v>0.0</v>
      </c>
      <c r="L2689" s="22">
        <v>295.145</v>
      </c>
      <c r="M2689" s="22">
        <v>209.514</v>
      </c>
      <c r="N2689" s="22">
        <v>253.48</v>
      </c>
      <c r="O2689" s="24">
        <v>36.3</v>
      </c>
      <c r="P2689" s="18">
        <f t="shared" si="1"/>
        <v>295.145</v>
      </c>
    </row>
    <row r="2690" ht="15.75" customHeight="1">
      <c r="A2690" s="13" t="s">
        <v>233</v>
      </c>
      <c r="B2690" s="13" t="s">
        <v>133</v>
      </c>
      <c r="C2690" s="14" t="s">
        <v>175</v>
      </c>
      <c r="D2690" s="14" t="str">
        <f>VLOOKUP(C2690,'State Key'!$A$2:$B$210,2,False)</f>
        <v>Chhattisgarh</v>
      </c>
      <c r="E2690" s="15">
        <v>600.0</v>
      </c>
      <c r="F2690" s="16">
        <v>281.241</v>
      </c>
      <c r="G2690" s="16">
        <v>0.0</v>
      </c>
      <c r="H2690" s="16">
        <v>0.0</v>
      </c>
      <c r="I2690" s="16">
        <v>0.0</v>
      </c>
      <c r="J2690" s="16">
        <v>0.0</v>
      </c>
      <c r="K2690" s="16">
        <v>0.0</v>
      </c>
      <c r="L2690" s="16">
        <v>281.241</v>
      </c>
      <c r="M2690" s="16">
        <v>182.303</v>
      </c>
      <c r="N2690" s="16">
        <v>285.76</v>
      </c>
      <c r="O2690" s="24">
        <v>47.0</v>
      </c>
      <c r="P2690" s="18">
        <f t="shared" si="1"/>
        <v>281.241</v>
      </c>
    </row>
    <row r="2691" ht="15.75" customHeight="1">
      <c r="A2691" s="19" t="s">
        <v>233</v>
      </c>
      <c r="B2691" s="19" t="s">
        <v>133</v>
      </c>
      <c r="C2691" s="20" t="s">
        <v>176</v>
      </c>
      <c r="D2691" s="14" t="str">
        <f>VLOOKUP(C2691,'State Key'!$A$2:$B$210,2,False)</f>
        <v>Madhya Pradesh</v>
      </c>
      <c r="E2691" s="21">
        <v>1320.0</v>
      </c>
      <c r="F2691" s="22">
        <v>0.0</v>
      </c>
      <c r="G2691" s="22">
        <v>0.0</v>
      </c>
      <c r="H2691" s="22">
        <v>306.0211</v>
      </c>
      <c r="I2691" s="22">
        <v>167.355</v>
      </c>
      <c r="J2691" s="22">
        <v>0.0</v>
      </c>
      <c r="K2691" s="22">
        <v>0.0</v>
      </c>
      <c r="L2691" s="22">
        <v>473.3761</v>
      </c>
      <c r="M2691" s="22">
        <v>508.49</v>
      </c>
      <c r="N2691" s="22">
        <v>374.7445</v>
      </c>
      <c r="O2691" s="24">
        <v>22.1</v>
      </c>
      <c r="P2691" s="18">
        <f t="shared" si="1"/>
        <v>473.3761</v>
      </c>
    </row>
    <row r="2692" ht="15.75" customHeight="1">
      <c r="A2692" s="13" t="s">
        <v>233</v>
      </c>
      <c r="B2692" s="13" t="s">
        <v>133</v>
      </c>
      <c r="C2692" s="14" t="s">
        <v>177</v>
      </c>
      <c r="D2692" s="14" t="str">
        <f>VLOOKUP(C2692,'State Key'!$A$2:$B$210,2,False)</f>
        <v>Madhya Pradesh</v>
      </c>
      <c r="E2692" s="15">
        <v>90.0</v>
      </c>
      <c r="F2692" s="16">
        <v>21.157</v>
      </c>
      <c r="G2692" s="16">
        <v>0.0</v>
      </c>
      <c r="H2692" s="16">
        <v>0.0</v>
      </c>
      <c r="I2692" s="16">
        <v>0.0</v>
      </c>
      <c r="J2692" s="16">
        <v>0.0</v>
      </c>
      <c r="K2692" s="16">
        <v>12.014</v>
      </c>
      <c r="L2692" s="16">
        <v>33.171</v>
      </c>
      <c r="M2692" s="16">
        <v>34.14</v>
      </c>
      <c r="N2692" s="16">
        <v>90.79</v>
      </c>
      <c r="O2692" s="24">
        <v>79.8</v>
      </c>
      <c r="P2692" s="18">
        <f t="shared" si="1"/>
        <v>33.171</v>
      </c>
    </row>
    <row r="2693" ht="15.75" customHeight="1">
      <c r="A2693" s="19" t="s">
        <v>233</v>
      </c>
      <c r="B2693" s="19" t="s">
        <v>133</v>
      </c>
      <c r="C2693" s="20" t="s">
        <v>178</v>
      </c>
      <c r="D2693" s="14" t="str">
        <f>VLOOKUP(C2693,'State Key'!$A$2:$B$210,2,False)</f>
        <v>Chhattisgarh</v>
      </c>
      <c r="E2693" s="21">
        <v>1000.0</v>
      </c>
      <c r="F2693" s="22">
        <v>21.422</v>
      </c>
      <c r="G2693" s="22">
        <v>0.0</v>
      </c>
      <c r="H2693" s="22">
        <v>0.0</v>
      </c>
      <c r="I2693" s="22">
        <v>493.689</v>
      </c>
      <c r="J2693" s="22">
        <v>0.0</v>
      </c>
      <c r="K2693" s="22">
        <v>37.435</v>
      </c>
      <c r="L2693" s="22">
        <v>552.546</v>
      </c>
      <c r="M2693" s="22">
        <v>464.615</v>
      </c>
      <c r="N2693" s="22">
        <v>401.761</v>
      </c>
      <c r="O2693" s="24">
        <v>25.9</v>
      </c>
      <c r="P2693" s="18">
        <f t="shared" si="1"/>
        <v>552.546</v>
      </c>
    </row>
    <row r="2694" ht="15.75" customHeight="1">
      <c r="A2694" s="13" t="s">
        <v>233</v>
      </c>
      <c r="B2694" s="13" t="s">
        <v>133</v>
      </c>
      <c r="C2694" s="14" t="s">
        <v>179</v>
      </c>
      <c r="D2694" s="14" t="str">
        <f>VLOOKUP(C2694,'State Key'!$A$2:$B$210,2,False)</f>
        <v>Maharashtra</v>
      </c>
      <c r="E2694" s="15">
        <v>500.0</v>
      </c>
      <c r="F2694" s="16">
        <v>152.711</v>
      </c>
      <c r="G2694" s="16">
        <v>7.768</v>
      </c>
      <c r="H2694" s="16">
        <v>0.0</v>
      </c>
      <c r="I2694" s="16">
        <v>0.0</v>
      </c>
      <c r="J2694" s="16">
        <v>0.0</v>
      </c>
      <c r="K2694" s="16">
        <v>0.0</v>
      </c>
      <c r="L2694" s="16">
        <v>160.479</v>
      </c>
      <c r="M2694" s="16">
        <v>139.201</v>
      </c>
      <c r="N2694" s="16">
        <v>222.28</v>
      </c>
      <c r="O2694" s="24">
        <v>47.9</v>
      </c>
      <c r="P2694" s="18">
        <f t="shared" si="1"/>
        <v>160.479</v>
      </c>
    </row>
    <row r="2695" ht="15.75" customHeight="1">
      <c r="A2695" s="19" t="s">
        <v>233</v>
      </c>
      <c r="B2695" s="19" t="s">
        <v>133</v>
      </c>
      <c r="C2695" s="20" t="s">
        <v>180</v>
      </c>
      <c r="D2695" s="14" t="str">
        <f>VLOOKUP(C2695,'State Key'!$A$2:$B$210,2,False)</f>
        <v>Maharashtra</v>
      </c>
      <c r="E2695" s="21">
        <v>750.0</v>
      </c>
      <c r="F2695" s="22">
        <v>102.098</v>
      </c>
      <c r="G2695" s="22">
        <v>68.874</v>
      </c>
      <c r="H2695" s="22">
        <v>0.0</v>
      </c>
      <c r="I2695" s="22">
        <v>0.0</v>
      </c>
      <c r="J2695" s="22">
        <v>0.0</v>
      </c>
      <c r="K2695" s="22">
        <v>0.0</v>
      </c>
      <c r="L2695" s="22">
        <v>170.972</v>
      </c>
      <c r="M2695" s="22">
        <v>153.59</v>
      </c>
      <c r="N2695" s="22">
        <v>146.18</v>
      </c>
      <c r="O2695" s="24">
        <v>28.6</v>
      </c>
      <c r="P2695" s="18">
        <f t="shared" si="1"/>
        <v>170.972</v>
      </c>
    </row>
    <row r="2696" ht="15.75" customHeight="1">
      <c r="A2696" s="13" t="s">
        <v>233</v>
      </c>
      <c r="B2696" s="13" t="s">
        <v>133</v>
      </c>
      <c r="C2696" s="14" t="s">
        <v>181</v>
      </c>
      <c r="D2696" s="14" t="str">
        <f>VLOOKUP(C2696,'State Key'!$A$2:$B$210,2,False)</f>
        <v>Chhattisgarh</v>
      </c>
      <c r="E2696" s="15">
        <v>600.0</v>
      </c>
      <c r="F2696" s="16">
        <v>183.5</v>
      </c>
      <c r="G2696" s="16">
        <v>0.0</v>
      </c>
      <c r="H2696" s="16">
        <v>0.0</v>
      </c>
      <c r="I2696" s="16">
        <v>0.0</v>
      </c>
      <c r="J2696" s="16">
        <v>0.0</v>
      </c>
      <c r="K2696" s="16">
        <v>0.0</v>
      </c>
      <c r="L2696" s="16">
        <v>183.5</v>
      </c>
      <c r="M2696" s="16">
        <v>260.65</v>
      </c>
      <c r="N2696" s="16">
        <v>223.94</v>
      </c>
      <c r="O2696" s="24">
        <v>25.8</v>
      </c>
      <c r="P2696" s="18">
        <f t="shared" si="1"/>
        <v>183.5</v>
      </c>
    </row>
    <row r="2697" ht="15.75" customHeight="1">
      <c r="A2697" s="19" t="s">
        <v>233</v>
      </c>
      <c r="B2697" s="19" t="s">
        <v>133</v>
      </c>
      <c r="C2697" s="20" t="s">
        <v>183</v>
      </c>
      <c r="D2697" s="14" t="str">
        <f>VLOOKUP(C2697,'State Key'!$A$2:$B$210,2,False)</f>
        <v>Chhattisgarh</v>
      </c>
      <c r="E2697" s="21">
        <v>100.0</v>
      </c>
      <c r="F2697" s="22">
        <v>2.269</v>
      </c>
      <c r="G2697" s="22">
        <v>0.0</v>
      </c>
      <c r="H2697" s="22">
        <v>0.0</v>
      </c>
      <c r="I2697" s="22">
        <v>0.0</v>
      </c>
      <c r="J2697" s="22">
        <v>0.0</v>
      </c>
      <c r="K2697" s="22">
        <v>0.0</v>
      </c>
      <c r="L2697" s="22">
        <v>2.269</v>
      </c>
      <c r="M2697" s="22">
        <v>64.682</v>
      </c>
      <c r="N2697" s="22">
        <v>15.69</v>
      </c>
      <c r="O2697" s="23">
        <v>7.3</v>
      </c>
      <c r="P2697" s="18">
        <f t="shared" si="1"/>
        <v>2.269</v>
      </c>
    </row>
    <row r="2698" ht="15.75" customHeight="1">
      <c r="A2698" s="13" t="s">
        <v>233</v>
      </c>
      <c r="B2698" s="13" t="s">
        <v>133</v>
      </c>
      <c r="C2698" s="14" t="s">
        <v>184</v>
      </c>
      <c r="D2698" s="14" t="str">
        <f>VLOOKUP(C2698,'State Key'!$A$2:$B$210,2,False)</f>
        <v>Gujarat</v>
      </c>
      <c r="E2698" s="15">
        <v>362.0</v>
      </c>
      <c r="F2698" s="16">
        <v>109.874</v>
      </c>
      <c r="G2698" s="16">
        <v>0.0</v>
      </c>
      <c r="H2698" s="16">
        <v>0.0</v>
      </c>
      <c r="I2698" s="16">
        <v>0.0</v>
      </c>
      <c r="J2698" s="16">
        <v>27.7</v>
      </c>
      <c r="K2698" s="16">
        <v>0.0</v>
      </c>
      <c r="L2698" s="16">
        <v>137.574</v>
      </c>
      <c r="M2698" s="16">
        <v>141.188</v>
      </c>
      <c r="N2698" s="16">
        <v>77.66</v>
      </c>
      <c r="O2698" s="24">
        <v>16.5</v>
      </c>
      <c r="P2698" s="18">
        <f t="shared" si="1"/>
        <v>137.574</v>
      </c>
    </row>
    <row r="2699" ht="15.75" customHeight="1">
      <c r="A2699" s="19" t="s">
        <v>233</v>
      </c>
      <c r="B2699" s="19" t="s">
        <v>133</v>
      </c>
      <c r="C2699" s="20" t="s">
        <v>185</v>
      </c>
      <c r="D2699" s="14" t="str">
        <f>VLOOKUP(C2699,'State Key'!$A$2:$B$210,2,False)</f>
        <v>Gujarat</v>
      </c>
      <c r="E2699" s="21">
        <v>1200.0</v>
      </c>
      <c r="F2699" s="22">
        <v>0.0</v>
      </c>
      <c r="G2699" s="22">
        <v>0.0</v>
      </c>
      <c r="H2699" s="22">
        <v>0.0</v>
      </c>
      <c r="I2699" s="22">
        <v>0.0</v>
      </c>
      <c r="J2699" s="22">
        <v>163.823</v>
      </c>
      <c r="K2699" s="22">
        <v>0.0</v>
      </c>
      <c r="L2699" s="22">
        <v>163.823</v>
      </c>
      <c r="M2699" s="22">
        <v>285.624</v>
      </c>
      <c r="N2699" s="22">
        <v>10.97</v>
      </c>
      <c r="O2699" s="17">
        <v>1.2</v>
      </c>
      <c r="P2699" s="18">
        <f t="shared" si="1"/>
        <v>163.823</v>
      </c>
    </row>
    <row r="2700" ht="15.75" customHeight="1">
      <c r="A2700" s="13" t="s">
        <v>233</v>
      </c>
      <c r="B2700" s="13" t="s">
        <v>133</v>
      </c>
      <c r="C2700" s="14" t="s">
        <v>186</v>
      </c>
      <c r="D2700" s="14" t="str">
        <f>VLOOKUP(C2700,'State Key'!$A$2:$B$210,2,False)</f>
        <v>Chhattisgarh</v>
      </c>
      <c r="E2700" s="15">
        <v>135.0</v>
      </c>
      <c r="F2700" s="16">
        <v>0.0</v>
      </c>
      <c r="G2700" s="16">
        <v>0.0</v>
      </c>
      <c r="H2700" s="16">
        <v>0.0</v>
      </c>
      <c r="I2700" s="16">
        <v>0.0</v>
      </c>
      <c r="J2700" s="16">
        <v>0.0</v>
      </c>
      <c r="K2700" s="16">
        <v>0.0</v>
      </c>
      <c r="L2700" s="16">
        <v>0.0</v>
      </c>
      <c r="M2700" s="16">
        <v>0.0</v>
      </c>
      <c r="N2700" s="16">
        <v>0.0</v>
      </c>
      <c r="O2700" s="13" t="s">
        <v>58</v>
      </c>
      <c r="P2700" s="18">
        <f t="shared" si="1"/>
        <v>0</v>
      </c>
    </row>
    <row r="2701" ht="15.75" customHeight="1">
      <c r="A2701" s="19" t="s">
        <v>233</v>
      </c>
      <c r="B2701" s="19" t="s">
        <v>133</v>
      </c>
      <c r="C2701" s="20" t="s">
        <v>187</v>
      </c>
      <c r="D2701" s="14" t="str">
        <f>VLOOKUP(C2701,'State Key'!$A$2:$B$210,2,False)</f>
        <v>Madhya Pradesh</v>
      </c>
      <c r="E2701" s="21">
        <v>1340.0</v>
      </c>
      <c r="F2701" s="22">
        <v>420.507</v>
      </c>
      <c r="G2701" s="22">
        <v>0.0</v>
      </c>
      <c r="H2701" s="22">
        <v>0.0</v>
      </c>
      <c r="I2701" s="22">
        <v>0.0</v>
      </c>
      <c r="J2701" s="22">
        <v>0.0</v>
      </c>
      <c r="K2701" s="22">
        <v>0.0</v>
      </c>
      <c r="L2701" s="22">
        <v>420.507</v>
      </c>
      <c r="M2701" s="22">
        <v>445.552</v>
      </c>
      <c r="N2701" s="22">
        <v>176.27</v>
      </c>
      <c r="O2701" s="23">
        <v>11.9</v>
      </c>
      <c r="P2701" s="18">
        <f t="shared" si="1"/>
        <v>420.507</v>
      </c>
    </row>
    <row r="2702" ht="15.75" customHeight="1">
      <c r="A2702" s="13" t="s">
        <v>233</v>
      </c>
      <c r="B2702" s="13" t="s">
        <v>133</v>
      </c>
      <c r="C2702" s="14" t="s">
        <v>188</v>
      </c>
      <c r="D2702" s="14" t="str">
        <f>VLOOKUP(C2702,'State Key'!$A$2:$B$210,2,False)</f>
        <v>Madhya Pradesh</v>
      </c>
      <c r="E2702" s="15">
        <v>3960.0</v>
      </c>
      <c r="F2702" s="16">
        <v>0.0</v>
      </c>
      <c r="G2702" s="16">
        <v>0.0</v>
      </c>
      <c r="H2702" s="16">
        <v>1708.409</v>
      </c>
      <c r="I2702" s="16">
        <v>0.0</v>
      </c>
      <c r="J2702" s="16">
        <v>0.0</v>
      </c>
      <c r="K2702" s="16">
        <v>0.0</v>
      </c>
      <c r="L2702" s="16">
        <v>1708.409</v>
      </c>
      <c r="M2702" s="16">
        <v>1630.133</v>
      </c>
      <c r="N2702" s="16">
        <v>183.16</v>
      </c>
      <c r="O2702" s="17">
        <v>3.4</v>
      </c>
      <c r="P2702" s="18">
        <f t="shared" si="1"/>
        <v>1708.409</v>
      </c>
    </row>
    <row r="2703" ht="15.75" customHeight="1">
      <c r="A2703" s="19" t="s">
        <v>233</v>
      </c>
      <c r="B2703" s="19" t="s">
        <v>133</v>
      </c>
      <c r="C2703" s="20" t="s">
        <v>189</v>
      </c>
      <c r="D2703" s="14" t="str">
        <f>VLOOKUP(C2703,'State Key'!$A$2:$B$210,2,False)</f>
        <v>Madhya Pradesh</v>
      </c>
      <c r="E2703" s="21">
        <v>1330.0</v>
      </c>
      <c r="F2703" s="22">
        <v>210.183</v>
      </c>
      <c r="G2703" s="22">
        <v>0.0</v>
      </c>
      <c r="H2703" s="22">
        <v>0.0</v>
      </c>
      <c r="I2703" s="22">
        <v>0.0</v>
      </c>
      <c r="J2703" s="22">
        <v>0.0</v>
      </c>
      <c r="K2703" s="22">
        <v>0.0</v>
      </c>
      <c r="L2703" s="22">
        <v>210.183</v>
      </c>
      <c r="M2703" s="22">
        <v>211.66</v>
      </c>
      <c r="N2703" s="22">
        <v>156.0</v>
      </c>
      <c r="O2703" s="24">
        <v>22.1</v>
      </c>
      <c r="P2703" s="18">
        <f t="shared" si="1"/>
        <v>210.183</v>
      </c>
    </row>
    <row r="2704" ht="15.75" customHeight="1">
      <c r="A2704" s="13" t="s">
        <v>233</v>
      </c>
      <c r="B2704" s="13" t="s">
        <v>133</v>
      </c>
      <c r="C2704" s="14" t="s">
        <v>190</v>
      </c>
      <c r="D2704" s="14" t="str">
        <f>VLOOKUP(C2704,'State Key'!$A$2:$B$210,2,False)</f>
        <v>Madhya Pradesh</v>
      </c>
      <c r="E2704" s="15">
        <v>600.0</v>
      </c>
      <c r="F2704" s="16">
        <v>81.148</v>
      </c>
      <c r="G2704" s="16">
        <v>0.0</v>
      </c>
      <c r="H2704" s="16">
        <v>0.0</v>
      </c>
      <c r="I2704" s="16">
        <v>123.58</v>
      </c>
      <c r="J2704" s="16">
        <v>0.0</v>
      </c>
      <c r="K2704" s="16">
        <v>0.0</v>
      </c>
      <c r="L2704" s="16">
        <v>204.728</v>
      </c>
      <c r="M2704" s="16">
        <v>207.672</v>
      </c>
      <c r="N2704" s="16">
        <v>98.99</v>
      </c>
      <c r="O2704" s="24">
        <v>14.3</v>
      </c>
      <c r="P2704" s="18">
        <f t="shared" si="1"/>
        <v>204.728</v>
      </c>
    </row>
    <row r="2705" ht="15.75" customHeight="1">
      <c r="A2705" s="19" t="s">
        <v>233</v>
      </c>
      <c r="B2705" s="19" t="s">
        <v>133</v>
      </c>
      <c r="C2705" s="20" t="s">
        <v>191</v>
      </c>
      <c r="D2705" s="14" t="str">
        <f>VLOOKUP(C2705,'State Key'!$A$2:$B$210,2,False)</f>
        <v>Maharashtra</v>
      </c>
      <c r="E2705" s="21">
        <v>300.0</v>
      </c>
      <c r="F2705" s="22">
        <v>0.0</v>
      </c>
      <c r="G2705" s="22">
        <v>0.0</v>
      </c>
      <c r="H2705" s="22">
        <v>0.0</v>
      </c>
      <c r="I2705" s="22">
        <v>0.0</v>
      </c>
      <c r="J2705" s="22">
        <v>0.0</v>
      </c>
      <c r="K2705" s="22">
        <v>60.74</v>
      </c>
      <c r="L2705" s="22">
        <v>60.74</v>
      </c>
      <c r="M2705" s="22">
        <v>111.304</v>
      </c>
      <c r="N2705" s="22">
        <v>52.1</v>
      </c>
      <c r="O2705" s="24">
        <v>14.0</v>
      </c>
      <c r="P2705" s="18">
        <f t="shared" si="1"/>
        <v>60.74</v>
      </c>
    </row>
    <row r="2706" ht="15.75" customHeight="1">
      <c r="A2706" s="13" t="s">
        <v>233</v>
      </c>
      <c r="B2706" s="13" t="s">
        <v>133</v>
      </c>
      <c r="C2706" s="14" t="s">
        <v>192</v>
      </c>
      <c r="D2706" s="14" t="str">
        <f>VLOOKUP(C2706,'State Key'!$A$2:$B$210,2,False)</f>
        <v>Madhya Pradesh</v>
      </c>
      <c r="E2706" s="15">
        <v>2520.0</v>
      </c>
      <c r="F2706" s="16">
        <v>858.207</v>
      </c>
      <c r="G2706" s="16">
        <v>0.0</v>
      </c>
      <c r="H2706" s="16">
        <v>0.0</v>
      </c>
      <c r="I2706" s="16">
        <v>0.0</v>
      </c>
      <c r="J2706" s="16">
        <v>0.0</v>
      </c>
      <c r="K2706" s="16">
        <v>0.0</v>
      </c>
      <c r="L2706" s="16">
        <v>858.207</v>
      </c>
      <c r="M2706" s="16">
        <v>929.2</v>
      </c>
      <c r="N2706" s="16">
        <v>319.96</v>
      </c>
      <c r="O2706" s="23">
        <v>10.3</v>
      </c>
      <c r="P2706" s="18">
        <f t="shared" si="1"/>
        <v>858.207</v>
      </c>
    </row>
    <row r="2707" ht="15.75" customHeight="1">
      <c r="A2707" s="19" t="s">
        <v>233</v>
      </c>
      <c r="B2707" s="19" t="s">
        <v>133</v>
      </c>
      <c r="C2707" s="20" t="s">
        <v>193</v>
      </c>
      <c r="D2707" s="14" t="str">
        <f>VLOOKUP(C2707,'State Key'!$A$2:$B$210,2,False)</f>
        <v>Gujarat</v>
      </c>
      <c r="E2707" s="21">
        <v>500.0</v>
      </c>
      <c r="F2707" s="22">
        <v>0.0</v>
      </c>
      <c r="G2707" s="22">
        <v>0.0</v>
      </c>
      <c r="H2707" s="22">
        <v>0.0</v>
      </c>
      <c r="I2707" s="22">
        <v>0.0</v>
      </c>
      <c r="J2707" s="22">
        <v>24.396</v>
      </c>
      <c r="K2707" s="22">
        <v>0.0</v>
      </c>
      <c r="L2707" s="22">
        <v>24.396</v>
      </c>
      <c r="M2707" s="22">
        <v>54.413</v>
      </c>
      <c r="N2707" s="22">
        <v>36.1</v>
      </c>
      <c r="O2707" s="24">
        <v>19.9</v>
      </c>
      <c r="P2707" s="18">
        <f t="shared" si="1"/>
        <v>24.396</v>
      </c>
    </row>
    <row r="2708" ht="15.75" customHeight="1">
      <c r="A2708" s="13" t="s">
        <v>233</v>
      </c>
      <c r="B2708" s="13" t="s">
        <v>133</v>
      </c>
      <c r="C2708" s="14" t="s">
        <v>194</v>
      </c>
      <c r="D2708" s="14" t="str">
        <f>VLOOKUP(C2708,'State Key'!$A$2:$B$210,2,False)</f>
        <v>Chhattisgarh</v>
      </c>
      <c r="E2708" s="15">
        <v>2980.0</v>
      </c>
      <c r="F2708" s="16">
        <v>1356.1</v>
      </c>
      <c r="G2708" s="16">
        <v>3.67</v>
      </c>
      <c r="H2708" s="16">
        <v>3.78</v>
      </c>
      <c r="I2708" s="16">
        <v>0.0</v>
      </c>
      <c r="J2708" s="16">
        <v>0.0</v>
      </c>
      <c r="K2708" s="16">
        <v>0.0</v>
      </c>
      <c r="L2708" s="16">
        <v>1363.55</v>
      </c>
      <c r="M2708" s="16">
        <v>1282.463</v>
      </c>
      <c r="N2708" s="16">
        <v>612.232</v>
      </c>
      <c r="O2708" s="24">
        <v>14.3</v>
      </c>
      <c r="P2708" s="18">
        <f t="shared" si="1"/>
        <v>1363.55</v>
      </c>
    </row>
    <row r="2709" ht="15.75" customHeight="1">
      <c r="A2709" s="19" t="s">
        <v>233</v>
      </c>
      <c r="B2709" s="19" t="s">
        <v>133</v>
      </c>
      <c r="C2709" s="20" t="s">
        <v>195</v>
      </c>
      <c r="D2709" s="14" t="str">
        <f>VLOOKUP(C2709,'State Key'!$A$2:$B$210,2,False)</f>
        <v>Maharashtra</v>
      </c>
      <c r="E2709" s="21">
        <v>1320.0</v>
      </c>
      <c r="F2709" s="22">
        <v>182.26</v>
      </c>
      <c r="G2709" s="22">
        <v>65.05</v>
      </c>
      <c r="H2709" s="22">
        <v>45.87</v>
      </c>
      <c r="I2709" s="22">
        <v>0.0</v>
      </c>
      <c r="J2709" s="22">
        <v>0.0</v>
      </c>
      <c r="K2709" s="22">
        <v>0.0</v>
      </c>
      <c r="L2709" s="22">
        <v>293.18</v>
      </c>
      <c r="M2709" s="22">
        <v>277.246</v>
      </c>
      <c r="N2709" s="22">
        <v>453.857</v>
      </c>
      <c r="O2709" s="24">
        <v>49.1</v>
      </c>
      <c r="P2709" s="18">
        <f t="shared" si="1"/>
        <v>293.18</v>
      </c>
    </row>
    <row r="2710" ht="15.75" customHeight="1">
      <c r="A2710" s="13" t="s">
        <v>233</v>
      </c>
      <c r="B2710" s="13" t="s">
        <v>133</v>
      </c>
      <c r="C2710" s="14" t="s">
        <v>196</v>
      </c>
      <c r="D2710" s="14" t="str">
        <f>VLOOKUP(C2710,'State Key'!$A$2:$B$210,2,False)</f>
        <v>Chhattisgarh</v>
      </c>
      <c r="E2710" s="15">
        <v>63.0</v>
      </c>
      <c r="F2710" s="16">
        <v>0.0</v>
      </c>
      <c r="G2710" s="16">
        <v>0.0</v>
      </c>
      <c r="H2710" s="16">
        <v>0.0</v>
      </c>
      <c r="I2710" s="16">
        <v>0.0</v>
      </c>
      <c r="J2710" s="16">
        <v>0.0</v>
      </c>
      <c r="K2710" s="16">
        <v>74.0</v>
      </c>
      <c r="L2710" s="16">
        <v>74.0</v>
      </c>
      <c r="M2710" s="16">
        <v>58.0</v>
      </c>
      <c r="N2710" s="16">
        <v>65.04</v>
      </c>
      <c r="O2710" s="24">
        <v>33.6</v>
      </c>
      <c r="P2710" s="18">
        <f t="shared" si="1"/>
        <v>74</v>
      </c>
    </row>
    <row r="2711" ht="15.75" customHeight="1">
      <c r="A2711" s="19" t="s">
        <v>233</v>
      </c>
      <c r="B2711" s="19" t="s">
        <v>133</v>
      </c>
      <c r="C2711" s="20" t="s">
        <v>197</v>
      </c>
      <c r="D2711" s="14" t="str">
        <f>VLOOKUP(C2711,'State Key'!$A$2:$B$210,2,False)</f>
        <v>Chhattisgarh</v>
      </c>
      <c r="E2711" s="21">
        <v>25.0</v>
      </c>
      <c r="F2711" s="22">
        <v>0.0</v>
      </c>
      <c r="G2711" s="22">
        <v>0.0</v>
      </c>
      <c r="H2711" s="22">
        <v>0.0</v>
      </c>
      <c r="I2711" s="22">
        <v>0.0</v>
      </c>
      <c r="J2711" s="22">
        <v>0.0</v>
      </c>
      <c r="K2711" s="22">
        <v>0.0</v>
      </c>
      <c r="L2711" s="22">
        <v>0.0</v>
      </c>
      <c r="M2711" s="22">
        <v>0.0</v>
      </c>
      <c r="N2711" s="22">
        <v>0.0</v>
      </c>
      <c r="O2711" s="19" t="s">
        <v>58</v>
      </c>
      <c r="P2711" s="18">
        <f t="shared" si="1"/>
        <v>0</v>
      </c>
    </row>
    <row r="2712" ht="15.75" customHeight="1">
      <c r="A2712" s="13" t="s">
        <v>233</v>
      </c>
      <c r="B2712" s="13" t="s">
        <v>133</v>
      </c>
      <c r="C2712" s="14" t="s">
        <v>198</v>
      </c>
      <c r="D2712" s="14" t="str">
        <f>VLOOKUP(C2712,'State Key'!$A$2:$B$210,2,False)</f>
        <v>Chhattisgarh</v>
      </c>
      <c r="E2712" s="15">
        <v>2400.0</v>
      </c>
      <c r="F2712" s="16">
        <v>310.47</v>
      </c>
      <c r="G2712" s="16">
        <v>0.0</v>
      </c>
      <c r="H2712" s="16">
        <v>0.0</v>
      </c>
      <c r="I2712" s="16">
        <v>1080.234</v>
      </c>
      <c r="J2712" s="16">
        <v>0.0</v>
      </c>
      <c r="K2712" s="16">
        <v>0.0</v>
      </c>
      <c r="L2712" s="16">
        <v>1390.704</v>
      </c>
      <c r="M2712" s="16">
        <v>1297.655</v>
      </c>
      <c r="N2712" s="16">
        <v>105.79</v>
      </c>
      <c r="O2712" s="17">
        <v>2.4</v>
      </c>
      <c r="P2712" s="18">
        <f t="shared" si="1"/>
        <v>1390.704</v>
      </c>
    </row>
    <row r="2713" ht="15.75" customHeight="1">
      <c r="A2713" s="19" t="s">
        <v>233</v>
      </c>
      <c r="B2713" s="19" t="s">
        <v>133</v>
      </c>
      <c r="C2713" s="20" t="s">
        <v>200</v>
      </c>
      <c r="D2713" s="14" t="str">
        <f>VLOOKUP(C2713,'State Key'!$A$2:$B$210,2,False)</f>
        <v>Maharashtra</v>
      </c>
      <c r="E2713" s="21">
        <v>750.0</v>
      </c>
      <c r="F2713" s="22">
        <v>0.0</v>
      </c>
      <c r="G2713" s="22">
        <v>0.0</v>
      </c>
      <c r="H2713" s="22">
        <v>0.0</v>
      </c>
      <c r="I2713" s="22">
        <v>0.0</v>
      </c>
      <c r="J2713" s="22">
        <v>173.356</v>
      </c>
      <c r="K2713" s="22">
        <v>0.0</v>
      </c>
      <c r="L2713" s="22">
        <v>173.356</v>
      </c>
      <c r="M2713" s="22">
        <v>238.413</v>
      </c>
      <c r="N2713" s="22">
        <v>132.365</v>
      </c>
      <c r="O2713" s="24">
        <v>16.7</v>
      </c>
      <c r="P2713" s="18">
        <f t="shared" si="1"/>
        <v>173.356</v>
      </c>
    </row>
    <row r="2714" ht="15.75" customHeight="1">
      <c r="A2714" s="13" t="s">
        <v>233</v>
      </c>
      <c r="B2714" s="13" t="s">
        <v>133</v>
      </c>
      <c r="C2714" s="14" t="s">
        <v>201</v>
      </c>
      <c r="D2714" s="14" t="str">
        <f>VLOOKUP(C2714,'State Key'!$A$2:$B$210,2,False)</f>
        <v>Chhattisgarh</v>
      </c>
      <c r="E2714" s="15">
        <v>1440.0</v>
      </c>
      <c r="F2714" s="16">
        <v>314.606</v>
      </c>
      <c r="G2714" s="16">
        <v>0.0</v>
      </c>
      <c r="H2714" s="16">
        <v>0.0</v>
      </c>
      <c r="I2714" s="16">
        <v>64.0</v>
      </c>
      <c r="J2714" s="16">
        <v>0.0</v>
      </c>
      <c r="K2714" s="16">
        <v>0.0</v>
      </c>
      <c r="L2714" s="16">
        <v>378.606</v>
      </c>
      <c r="M2714" s="16">
        <v>566.099</v>
      </c>
      <c r="N2714" s="16">
        <v>321.577</v>
      </c>
      <c r="O2714" s="24">
        <v>17.0</v>
      </c>
      <c r="P2714" s="18">
        <f t="shared" si="1"/>
        <v>378.606</v>
      </c>
    </row>
    <row r="2715" ht="15.75" customHeight="1">
      <c r="A2715" s="19" t="s">
        <v>233</v>
      </c>
      <c r="B2715" s="19" t="s">
        <v>133</v>
      </c>
      <c r="C2715" s="20" t="s">
        <v>202</v>
      </c>
      <c r="D2715" s="14" t="str">
        <f>VLOOKUP(C2715,'State Key'!$A$2:$B$210,2,False)</f>
        <v>Gujarat</v>
      </c>
      <c r="E2715" s="21">
        <v>1110.0</v>
      </c>
      <c r="F2715" s="22">
        <v>386.851</v>
      </c>
      <c r="G2715" s="22">
        <v>0.0</v>
      </c>
      <c r="H2715" s="22">
        <v>0.0</v>
      </c>
      <c r="I2715" s="22">
        <v>0.0</v>
      </c>
      <c r="J2715" s="22">
        <v>12.093</v>
      </c>
      <c r="K2715" s="22">
        <v>0.0</v>
      </c>
      <c r="L2715" s="22">
        <v>398.944</v>
      </c>
      <c r="M2715" s="22">
        <v>413.179</v>
      </c>
      <c r="N2715" s="22">
        <v>255.991</v>
      </c>
      <c r="O2715" s="24">
        <v>18.6</v>
      </c>
      <c r="P2715" s="18">
        <f t="shared" si="1"/>
        <v>398.944</v>
      </c>
    </row>
    <row r="2716" ht="15.75" customHeight="1">
      <c r="A2716" s="13" t="s">
        <v>233</v>
      </c>
      <c r="B2716" s="13" t="s">
        <v>133</v>
      </c>
      <c r="C2716" s="14" t="s">
        <v>203</v>
      </c>
      <c r="D2716" s="14" t="str">
        <f>VLOOKUP(C2716,'State Key'!$A$2:$B$210,2,False)</f>
        <v>Madhya Pradesh</v>
      </c>
      <c r="E2716" s="15">
        <v>4760.0</v>
      </c>
      <c r="F2716" s="16">
        <v>1897.26</v>
      </c>
      <c r="G2716" s="16">
        <v>0.0</v>
      </c>
      <c r="H2716" s="16">
        <v>0.0</v>
      </c>
      <c r="I2716" s="16">
        <v>0.0</v>
      </c>
      <c r="J2716" s="16">
        <v>0.0</v>
      </c>
      <c r="K2716" s="16">
        <v>0.0</v>
      </c>
      <c r="L2716" s="16">
        <v>1897.26</v>
      </c>
      <c r="M2716" s="16">
        <v>1831.466</v>
      </c>
      <c r="N2716" s="16">
        <v>1101.89</v>
      </c>
      <c r="O2716" s="24">
        <v>18.0</v>
      </c>
      <c r="P2716" s="18">
        <f t="shared" si="1"/>
        <v>1897.26</v>
      </c>
    </row>
    <row r="2717" ht="15.75" customHeight="1">
      <c r="A2717" s="19" t="s">
        <v>233</v>
      </c>
      <c r="B2717" s="19" t="s">
        <v>133</v>
      </c>
      <c r="C2717" s="20" t="s">
        <v>204</v>
      </c>
      <c r="D2717" s="14" t="str">
        <f>VLOOKUP(C2717,'State Key'!$A$2:$B$210,2,False)</f>
        <v>Gujarat</v>
      </c>
      <c r="E2717" s="21">
        <v>2270.0</v>
      </c>
      <c r="F2717" s="22">
        <v>762.621</v>
      </c>
      <c r="G2717" s="22">
        <v>0.0</v>
      </c>
      <c r="H2717" s="22">
        <v>0.0</v>
      </c>
      <c r="I2717" s="22">
        <v>0.0</v>
      </c>
      <c r="J2717" s="22">
        <v>3.952</v>
      </c>
      <c r="K2717" s="22">
        <v>0.0</v>
      </c>
      <c r="L2717" s="22">
        <v>766.573</v>
      </c>
      <c r="M2717" s="22">
        <v>753.22</v>
      </c>
      <c r="N2717" s="22">
        <v>642.52</v>
      </c>
      <c r="O2717" s="24">
        <v>25.6</v>
      </c>
      <c r="P2717" s="18">
        <f t="shared" si="1"/>
        <v>766.573</v>
      </c>
    </row>
    <row r="2718" ht="15.75" customHeight="1">
      <c r="A2718" s="13" t="s">
        <v>233</v>
      </c>
      <c r="B2718" s="13" t="s">
        <v>133</v>
      </c>
      <c r="C2718" s="14" t="s">
        <v>205</v>
      </c>
      <c r="D2718" s="14" t="str">
        <f>VLOOKUP(C2718,'State Key'!$A$2:$B$210,2,False)</f>
        <v>Maharashtra</v>
      </c>
      <c r="E2718" s="15">
        <v>540.0</v>
      </c>
      <c r="F2718" s="16">
        <v>173.62</v>
      </c>
      <c r="G2718" s="16">
        <v>0.0</v>
      </c>
      <c r="H2718" s="16">
        <v>0.0</v>
      </c>
      <c r="I2718" s="16">
        <v>0.0</v>
      </c>
      <c r="J2718" s="16">
        <v>0.0</v>
      </c>
      <c r="K2718" s="16">
        <v>43.03</v>
      </c>
      <c r="L2718" s="16">
        <v>216.65</v>
      </c>
      <c r="M2718" s="16">
        <v>236.46</v>
      </c>
      <c r="N2718" s="16">
        <v>179.29</v>
      </c>
      <c r="O2718" s="24">
        <v>22.7</v>
      </c>
      <c r="P2718" s="18">
        <f t="shared" si="1"/>
        <v>216.65</v>
      </c>
    </row>
    <row r="2719" ht="15.75" customHeight="1">
      <c r="A2719" s="19" t="s">
        <v>234</v>
      </c>
      <c r="B2719" s="19" t="s">
        <v>22</v>
      </c>
      <c r="C2719" s="20" t="s">
        <v>23</v>
      </c>
      <c r="D2719" s="14" t="str">
        <f>VLOOKUP(C2719,'State Key'!$A$2:$B$210,2,False)</f>
        <v>West Bengal</v>
      </c>
      <c r="E2719" s="21">
        <v>1050.0</v>
      </c>
      <c r="F2719" s="22">
        <v>0.0</v>
      </c>
      <c r="G2719" s="22">
        <v>0.0</v>
      </c>
      <c r="H2719" s="22">
        <v>432.192</v>
      </c>
      <c r="I2719" s="22">
        <v>0.0</v>
      </c>
      <c r="J2719" s="22">
        <v>0.0</v>
      </c>
      <c r="K2719" s="22">
        <v>0.0</v>
      </c>
      <c r="L2719" s="22">
        <v>432.192</v>
      </c>
      <c r="M2719" s="22">
        <v>404.95</v>
      </c>
      <c r="N2719" s="22">
        <v>217.77</v>
      </c>
      <c r="O2719" s="24">
        <v>16.1</v>
      </c>
      <c r="P2719" s="18">
        <f t="shared" si="1"/>
        <v>432.192</v>
      </c>
    </row>
    <row r="2720" ht="15.75" customHeight="1">
      <c r="A2720" s="13" t="s">
        <v>234</v>
      </c>
      <c r="B2720" s="13" t="s">
        <v>22</v>
      </c>
      <c r="C2720" s="14" t="s">
        <v>24</v>
      </c>
      <c r="D2720" s="14" t="str">
        <f>VLOOKUP(C2720,'State Key'!$A$2:$B$210,2,False)</f>
        <v>West Bengal</v>
      </c>
      <c r="E2720" s="15">
        <v>270.0</v>
      </c>
      <c r="F2720" s="16">
        <v>0.0</v>
      </c>
      <c r="G2720" s="16">
        <v>0.0</v>
      </c>
      <c r="H2720" s="16">
        <v>130.786</v>
      </c>
      <c r="I2720" s="16">
        <v>0.0</v>
      </c>
      <c r="J2720" s="16">
        <v>0.0</v>
      </c>
      <c r="K2720" s="16">
        <v>0.0</v>
      </c>
      <c r="L2720" s="16">
        <v>130.786</v>
      </c>
      <c r="M2720" s="16">
        <v>130.154</v>
      </c>
      <c r="N2720" s="16">
        <v>68.88</v>
      </c>
      <c r="O2720" s="24">
        <v>15.9</v>
      </c>
      <c r="P2720" s="18">
        <f t="shared" si="1"/>
        <v>130.786</v>
      </c>
    </row>
    <row r="2721" ht="15.75" customHeight="1">
      <c r="A2721" s="19" t="s">
        <v>234</v>
      </c>
      <c r="B2721" s="19" t="s">
        <v>22</v>
      </c>
      <c r="C2721" s="20" t="s">
        <v>25</v>
      </c>
      <c r="D2721" s="14" t="str">
        <f>VLOOKUP(C2721,'State Key'!$A$2:$B$210,2,False)</f>
        <v>Bihar</v>
      </c>
      <c r="E2721" s="21">
        <v>710.0</v>
      </c>
      <c r="F2721" s="22">
        <v>3.95</v>
      </c>
      <c r="G2721" s="22">
        <v>0.0</v>
      </c>
      <c r="H2721" s="22">
        <v>189.59</v>
      </c>
      <c r="I2721" s="22">
        <v>0.0</v>
      </c>
      <c r="J2721" s="22">
        <v>0.0</v>
      </c>
      <c r="K2721" s="22">
        <v>0.0</v>
      </c>
      <c r="L2721" s="22">
        <v>193.54</v>
      </c>
      <c r="M2721" s="22">
        <v>181.662</v>
      </c>
      <c r="N2721" s="22">
        <v>235.542</v>
      </c>
      <c r="O2721" s="24">
        <v>38.9</v>
      </c>
      <c r="P2721" s="18">
        <f t="shared" si="1"/>
        <v>193.54</v>
      </c>
    </row>
    <row r="2722" ht="15.75" customHeight="1">
      <c r="A2722" s="13" t="s">
        <v>234</v>
      </c>
      <c r="B2722" s="13" t="s">
        <v>22</v>
      </c>
      <c r="C2722" s="14" t="s">
        <v>26</v>
      </c>
      <c r="D2722" s="14" t="str">
        <f>VLOOKUP(C2722,'State Key'!$A$2:$B$210,2,False)</f>
        <v>Bihar</v>
      </c>
      <c r="E2722" s="15">
        <v>2640.0</v>
      </c>
      <c r="F2722" s="16">
        <v>523.02</v>
      </c>
      <c r="G2722" s="16">
        <v>0.0</v>
      </c>
      <c r="H2722" s="16">
        <v>476.91</v>
      </c>
      <c r="I2722" s="16">
        <v>0.0</v>
      </c>
      <c r="J2722" s="16">
        <v>0.0</v>
      </c>
      <c r="K2722" s="16">
        <v>0.0</v>
      </c>
      <c r="L2722" s="16">
        <v>999.93</v>
      </c>
      <c r="M2722" s="16">
        <v>953.007</v>
      </c>
      <c r="N2722" s="16">
        <v>700.132</v>
      </c>
      <c r="O2722" s="24">
        <v>22.0</v>
      </c>
      <c r="P2722" s="18">
        <f t="shared" si="1"/>
        <v>999.93</v>
      </c>
    </row>
    <row r="2723" ht="15.75" customHeight="1">
      <c r="A2723" s="19" t="s">
        <v>234</v>
      </c>
      <c r="B2723" s="19" t="s">
        <v>22</v>
      </c>
      <c r="C2723" s="20" t="s">
        <v>27</v>
      </c>
      <c r="D2723" s="14" t="str">
        <f>VLOOKUP(C2723,'State Key'!$A$2:$B$210,2,False)</f>
        <v>Jharkhand</v>
      </c>
      <c r="E2723" s="21">
        <v>500.0</v>
      </c>
      <c r="F2723" s="22">
        <v>89.636</v>
      </c>
      <c r="G2723" s="22">
        <v>0.0</v>
      </c>
      <c r="H2723" s="22">
        <v>3.762</v>
      </c>
      <c r="I2723" s="22">
        <v>0.0</v>
      </c>
      <c r="J2723" s="22">
        <v>0.0</v>
      </c>
      <c r="K2723" s="22">
        <v>0.0</v>
      </c>
      <c r="L2723" s="22">
        <v>93.398</v>
      </c>
      <c r="M2723" s="22">
        <v>173.27</v>
      </c>
      <c r="N2723" s="22">
        <v>193.47</v>
      </c>
      <c r="O2723" s="24">
        <v>33.5</v>
      </c>
      <c r="P2723" s="18">
        <f t="shared" si="1"/>
        <v>93.398</v>
      </c>
    </row>
    <row r="2724" ht="15.75" customHeight="1">
      <c r="A2724" s="13" t="s">
        <v>234</v>
      </c>
      <c r="B2724" s="13" t="s">
        <v>22</v>
      </c>
      <c r="C2724" s="14" t="s">
        <v>28</v>
      </c>
      <c r="D2724" s="14" t="str">
        <f>VLOOKUP(C2724,'State Key'!$A$2:$B$210,2,False)</f>
        <v>West Bengal</v>
      </c>
      <c r="E2724" s="15">
        <v>750.0</v>
      </c>
      <c r="F2724" s="16">
        <v>91.396</v>
      </c>
      <c r="G2724" s="16">
        <v>0.0</v>
      </c>
      <c r="H2724" s="16">
        <v>60.95</v>
      </c>
      <c r="I2724" s="16">
        <v>145.199</v>
      </c>
      <c r="J2724" s="16">
        <v>0.0</v>
      </c>
      <c r="K2724" s="16">
        <v>0.0</v>
      </c>
      <c r="L2724" s="16">
        <v>297.545</v>
      </c>
      <c r="M2724" s="16">
        <v>318.427</v>
      </c>
      <c r="N2724" s="16">
        <v>194.96</v>
      </c>
      <c r="O2724" s="24">
        <v>18.4</v>
      </c>
      <c r="P2724" s="18">
        <f t="shared" si="1"/>
        <v>297.545</v>
      </c>
    </row>
    <row r="2725" ht="15.75" customHeight="1">
      <c r="A2725" s="19" t="s">
        <v>234</v>
      </c>
      <c r="B2725" s="19" t="s">
        <v>22</v>
      </c>
      <c r="C2725" s="20" t="s">
        <v>29</v>
      </c>
      <c r="D2725" s="14" t="str">
        <f>VLOOKUP(C2725,'State Key'!$A$2:$B$210,2,False)</f>
        <v>Jharkhand</v>
      </c>
      <c r="E2725" s="21">
        <v>500.0</v>
      </c>
      <c r="F2725" s="22">
        <v>189.934</v>
      </c>
      <c r="G2725" s="22">
        <v>0.0</v>
      </c>
      <c r="H2725" s="22">
        <v>66.545</v>
      </c>
      <c r="I2725" s="22">
        <v>0.0</v>
      </c>
      <c r="J2725" s="22">
        <v>0.0</v>
      </c>
      <c r="K2725" s="22">
        <v>0.0</v>
      </c>
      <c r="L2725" s="22">
        <v>256.479</v>
      </c>
      <c r="M2725" s="22">
        <v>240.646</v>
      </c>
      <c r="N2725" s="22">
        <v>215.36</v>
      </c>
      <c r="O2725" s="24">
        <v>26.8</v>
      </c>
      <c r="P2725" s="18">
        <f t="shared" si="1"/>
        <v>256.479</v>
      </c>
    </row>
    <row r="2726" ht="15.75" customHeight="1">
      <c r="A2726" s="13" t="s">
        <v>234</v>
      </c>
      <c r="B2726" s="13" t="s">
        <v>22</v>
      </c>
      <c r="C2726" s="14" t="s">
        <v>30</v>
      </c>
      <c r="D2726" s="14" t="str">
        <f>VLOOKUP(C2726,'State Key'!$A$2:$B$210,2,False)</f>
        <v>West Bengal</v>
      </c>
      <c r="E2726" s="15">
        <v>550.0</v>
      </c>
      <c r="F2726" s="16">
        <v>84.0</v>
      </c>
      <c r="G2726" s="16">
        <v>0.0</v>
      </c>
      <c r="H2726" s="16">
        <v>93.0</v>
      </c>
      <c r="I2726" s="16">
        <v>0.0</v>
      </c>
      <c r="J2726" s="16">
        <v>0.0</v>
      </c>
      <c r="K2726" s="16">
        <v>0.0</v>
      </c>
      <c r="L2726" s="16">
        <v>177.0</v>
      </c>
      <c r="M2726" s="16">
        <v>211.0</v>
      </c>
      <c r="N2726" s="16">
        <v>31.0</v>
      </c>
      <c r="O2726" s="17">
        <v>4.4</v>
      </c>
      <c r="P2726" s="18">
        <f t="shared" si="1"/>
        <v>177</v>
      </c>
    </row>
    <row r="2727" ht="15.75" customHeight="1">
      <c r="A2727" s="19" t="s">
        <v>234</v>
      </c>
      <c r="B2727" s="19" t="s">
        <v>22</v>
      </c>
      <c r="C2727" s="20" t="s">
        <v>31</v>
      </c>
      <c r="D2727" s="14" t="str">
        <f>VLOOKUP(C2727,'State Key'!$A$2:$B$210,2,False)</f>
        <v>Odisha</v>
      </c>
      <c r="E2727" s="21">
        <v>1600.0</v>
      </c>
      <c r="F2727" s="22">
        <v>0.0</v>
      </c>
      <c r="G2727" s="22">
        <v>0.0</v>
      </c>
      <c r="H2727" s="22">
        <v>638.22</v>
      </c>
      <c r="I2727" s="22">
        <v>0.0</v>
      </c>
      <c r="J2727" s="22">
        <v>0.0</v>
      </c>
      <c r="K2727" s="22">
        <v>0.0</v>
      </c>
      <c r="L2727" s="22">
        <v>638.22</v>
      </c>
      <c r="M2727" s="22">
        <v>684.713</v>
      </c>
      <c r="N2727" s="22">
        <v>569.75</v>
      </c>
      <c r="O2727" s="24">
        <v>25.0</v>
      </c>
      <c r="P2727" s="18">
        <f t="shared" si="1"/>
        <v>638.22</v>
      </c>
    </row>
    <row r="2728" ht="15.75" customHeight="1">
      <c r="A2728" s="13" t="s">
        <v>234</v>
      </c>
      <c r="B2728" s="13" t="s">
        <v>22</v>
      </c>
      <c r="C2728" s="14" t="s">
        <v>32</v>
      </c>
      <c r="D2728" s="14" t="str">
        <f>VLOOKUP(C2728,'State Key'!$A$2:$B$210,2,False)</f>
        <v>Odisha</v>
      </c>
      <c r="E2728" s="15">
        <v>1200.0</v>
      </c>
      <c r="F2728" s="16">
        <v>375.621</v>
      </c>
      <c r="G2728" s="16">
        <v>0.0</v>
      </c>
      <c r="H2728" s="16">
        <v>0.0</v>
      </c>
      <c r="I2728" s="16">
        <v>36.594</v>
      </c>
      <c r="J2728" s="16">
        <v>0.0</v>
      </c>
      <c r="K2728" s="16">
        <v>0.0</v>
      </c>
      <c r="L2728" s="16">
        <v>412.215</v>
      </c>
      <c r="M2728" s="16">
        <v>356.52</v>
      </c>
      <c r="N2728" s="16">
        <v>1337.26</v>
      </c>
      <c r="O2728" s="24">
        <v>112.5</v>
      </c>
      <c r="P2728" s="18">
        <f t="shared" si="1"/>
        <v>412.215</v>
      </c>
    </row>
    <row r="2729" ht="15.75" customHeight="1">
      <c r="A2729" s="19" t="s">
        <v>234</v>
      </c>
      <c r="B2729" s="19" t="s">
        <v>22</v>
      </c>
      <c r="C2729" s="20" t="s">
        <v>33</v>
      </c>
      <c r="D2729" s="14" t="str">
        <f>VLOOKUP(C2729,'State Key'!$A$2:$B$210,2,False)</f>
        <v>West Bengal</v>
      </c>
      <c r="E2729" s="21">
        <v>12.0</v>
      </c>
      <c r="F2729" s="22">
        <v>4.028</v>
      </c>
      <c r="G2729" s="22">
        <v>0.0</v>
      </c>
      <c r="H2729" s="22">
        <v>0.0</v>
      </c>
      <c r="I2729" s="22">
        <v>0.0</v>
      </c>
      <c r="J2729" s="22">
        <v>0.0</v>
      </c>
      <c r="K2729" s="22">
        <v>0.0</v>
      </c>
      <c r="L2729" s="22">
        <v>4.028</v>
      </c>
      <c r="M2729" s="22">
        <v>5.677</v>
      </c>
      <c r="N2729" s="22">
        <v>0.01</v>
      </c>
      <c r="O2729" s="17">
        <v>0.1</v>
      </c>
      <c r="P2729" s="18">
        <f t="shared" si="1"/>
        <v>4.028</v>
      </c>
    </row>
    <row r="2730" ht="15.75" customHeight="1">
      <c r="A2730" s="13" t="s">
        <v>234</v>
      </c>
      <c r="B2730" s="13" t="s">
        <v>22</v>
      </c>
      <c r="C2730" s="14" t="s">
        <v>34</v>
      </c>
      <c r="D2730" s="14" t="str">
        <f>VLOOKUP(C2730,'State Key'!$A$2:$B$210,2,False)</f>
        <v>West Bengal</v>
      </c>
      <c r="E2730" s="15">
        <v>1000.0</v>
      </c>
      <c r="F2730" s="16">
        <v>340.276</v>
      </c>
      <c r="G2730" s="16">
        <v>0.0</v>
      </c>
      <c r="H2730" s="16">
        <v>0.948</v>
      </c>
      <c r="I2730" s="16">
        <v>0.0</v>
      </c>
      <c r="J2730" s="16">
        <v>0.0</v>
      </c>
      <c r="K2730" s="16">
        <v>0.0</v>
      </c>
      <c r="L2730" s="16">
        <v>341.224</v>
      </c>
      <c r="M2730" s="16">
        <v>363.435</v>
      </c>
      <c r="N2730" s="16">
        <v>280.95</v>
      </c>
      <c r="O2730" s="24">
        <v>23.2</v>
      </c>
      <c r="P2730" s="18">
        <f t="shared" si="1"/>
        <v>341.224</v>
      </c>
    </row>
    <row r="2731" ht="15.75" customHeight="1">
      <c r="A2731" s="19" t="s">
        <v>234</v>
      </c>
      <c r="B2731" s="19" t="s">
        <v>22</v>
      </c>
      <c r="C2731" s="20" t="s">
        <v>35</v>
      </c>
      <c r="D2731" s="14" t="str">
        <f>VLOOKUP(C2731,'State Key'!$A$2:$B$210,2,False)</f>
        <v>West Bengal</v>
      </c>
      <c r="E2731" s="21">
        <v>2100.0</v>
      </c>
      <c r="F2731" s="22">
        <v>569.06</v>
      </c>
      <c r="G2731" s="22">
        <v>0.0</v>
      </c>
      <c r="H2731" s="22">
        <v>152.15</v>
      </c>
      <c r="I2731" s="22">
        <v>0.0</v>
      </c>
      <c r="J2731" s="22">
        <v>0.0</v>
      </c>
      <c r="K2731" s="22">
        <v>0.0</v>
      </c>
      <c r="L2731" s="22">
        <v>721.21</v>
      </c>
      <c r="M2731" s="22">
        <v>696.938</v>
      </c>
      <c r="N2731" s="22">
        <v>670.35</v>
      </c>
      <c r="O2731" s="24">
        <v>28.9</v>
      </c>
      <c r="P2731" s="18">
        <f t="shared" si="1"/>
        <v>721.21</v>
      </c>
    </row>
    <row r="2732" ht="15.75" customHeight="1">
      <c r="A2732" s="13" t="s">
        <v>234</v>
      </c>
      <c r="B2732" s="13" t="s">
        <v>22</v>
      </c>
      <c r="C2732" s="14" t="s">
        <v>36</v>
      </c>
      <c r="D2732" s="14" t="str">
        <f>VLOOKUP(C2732,'State Key'!$A$2:$B$210,2,False)</f>
        <v>West Bengal</v>
      </c>
      <c r="E2732" s="15">
        <v>600.0</v>
      </c>
      <c r="F2732" s="16">
        <v>227.96</v>
      </c>
      <c r="G2732" s="16">
        <v>0.0</v>
      </c>
      <c r="H2732" s="16">
        <v>0.0</v>
      </c>
      <c r="I2732" s="16">
        <v>0.0</v>
      </c>
      <c r="J2732" s="16">
        <v>0.0</v>
      </c>
      <c r="K2732" s="16">
        <v>0.0</v>
      </c>
      <c r="L2732" s="16">
        <v>227.96</v>
      </c>
      <c r="M2732" s="16">
        <v>293.17</v>
      </c>
      <c r="N2732" s="16">
        <v>170.42</v>
      </c>
      <c r="O2732" s="24">
        <v>17.4</v>
      </c>
      <c r="P2732" s="18">
        <f t="shared" si="1"/>
        <v>227.96</v>
      </c>
    </row>
    <row r="2733" ht="15.75" customHeight="1">
      <c r="A2733" s="19" t="s">
        <v>234</v>
      </c>
      <c r="B2733" s="19" t="s">
        <v>22</v>
      </c>
      <c r="C2733" s="20" t="s">
        <v>37</v>
      </c>
      <c r="D2733" s="14" t="str">
        <f>VLOOKUP(C2733,'State Key'!$A$2:$B$210,2,False)</f>
        <v>West Bengal</v>
      </c>
      <c r="E2733" s="21">
        <v>300.0</v>
      </c>
      <c r="F2733" s="22">
        <v>133.099</v>
      </c>
      <c r="G2733" s="22">
        <v>0.0</v>
      </c>
      <c r="H2733" s="22">
        <v>0.0</v>
      </c>
      <c r="I2733" s="22">
        <v>0.0</v>
      </c>
      <c r="J2733" s="22">
        <v>0.0</v>
      </c>
      <c r="K2733" s="22">
        <v>0.0</v>
      </c>
      <c r="L2733" s="22">
        <v>133.099</v>
      </c>
      <c r="M2733" s="22">
        <v>133.999</v>
      </c>
      <c r="N2733" s="22">
        <v>29.31</v>
      </c>
      <c r="O2733" s="17">
        <v>6.6</v>
      </c>
      <c r="P2733" s="18">
        <f t="shared" si="1"/>
        <v>133.099</v>
      </c>
    </row>
    <row r="2734" ht="15.75" customHeight="1">
      <c r="A2734" s="13" t="s">
        <v>234</v>
      </c>
      <c r="B2734" s="13" t="s">
        <v>22</v>
      </c>
      <c r="C2734" s="14" t="s">
        <v>38</v>
      </c>
      <c r="D2734" s="14" t="str">
        <f>VLOOKUP(C2734,'State Key'!$A$2:$B$210,2,False)</f>
        <v>Odisha</v>
      </c>
      <c r="E2734" s="15">
        <v>1740.0</v>
      </c>
      <c r="F2734" s="16">
        <v>251.383</v>
      </c>
      <c r="G2734" s="16">
        <v>0.0</v>
      </c>
      <c r="H2734" s="16">
        <v>551.835</v>
      </c>
      <c r="I2734" s="16">
        <v>0.0</v>
      </c>
      <c r="J2734" s="16">
        <v>0.0</v>
      </c>
      <c r="K2734" s="16">
        <v>0.0</v>
      </c>
      <c r="L2734" s="16">
        <v>803.218</v>
      </c>
      <c r="M2734" s="16">
        <v>819.071</v>
      </c>
      <c r="N2734" s="16">
        <v>243.49</v>
      </c>
      <c r="O2734" s="23">
        <v>8.9</v>
      </c>
      <c r="P2734" s="18">
        <f t="shared" si="1"/>
        <v>803.218</v>
      </c>
    </row>
    <row r="2735" ht="15.75" customHeight="1">
      <c r="A2735" s="19" t="s">
        <v>234</v>
      </c>
      <c r="B2735" s="19" t="s">
        <v>22</v>
      </c>
      <c r="C2735" s="20" t="s">
        <v>39</v>
      </c>
      <c r="D2735" s="14" t="str">
        <f>VLOOKUP(C2735,'State Key'!$A$2:$B$210,2,False)</f>
        <v>Jharkhand</v>
      </c>
      <c r="E2735" s="21">
        <v>240.0</v>
      </c>
      <c r="F2735" s="22">
        <v>48.1229</v>
      </c>
      <c r="G2735" s="22">
        <v>0.0</v>
      </c>
      <c r="H2735" s="22">
        <v>0.0</v>
      </c>
      <c r="I2735" s="22">
        <v>0.055</v>
      </c>
      <c r="J2735" s="22">
        <v>0.0</v>
      </c>
      <c r="K2735" s="22">
        <v>26.4966</v>
      </c>
      <c r="L2735" s="22">
        <v>74.6745</v>
      </c>
      <c r="M2735" s="22">
        <v>92.546</v>
      </c>
      <c r="N2735" s="22">
        <v>181.73</v>
      </c>
      <c r="O2735" s="24">
        <v>58.9</v>
      </c>
      <c r="P2735" s="18">
        <f t="shared" si="1"/>
        <v>74.6745</v>
      </c>
    </row>
    <row r="2736" ht="15.75" customHeight="1">
      <c r="A2736" s="13" t="s">
        <v>234</v>
      </c>
      <c r="B2736" s="13" t="s">
        <v>22</v>
      </c>
      <c r="C2736" s="14" t="s">
        <v>40</v>
      </c>
      <c r="D2736" s="14" t="str">
        <f>VLOOKUP(C2736,'State Key'!$A$2:$B$210,2,False)</f>
        <v>Bihar</v>
      </c>
      <c r="E2736" s="15">
        <v>2340.0</v>
      </c>
      <c r="F2736" s="16">
        <v>1124.43</v>
      </c>
      <c r="G2736" s="16">
        <v>0.0</v>
      </c>
      <c r="H2736" s="16">
        <v>58.19</v>
      </c>
      <c r="I2736" s="16">
        <v>0.0</v>
      </c>
      <c r="J2736" s="16">
        <v>0.0</v>
      </c>
      <c r="K2736" s="16">
        <v>0.0</v>
      </c>
      <c r="L2736" s="16">
        <v>1182.62</v>
      </c>
      <c r="M2736" s="16">
        <v>1191.671</v>
      </c>
      <c r="N2736" s="16">
        <v>564.987</v>
      </c>
      <c r="O2736" s="24">
        <v>14.2</v>
      </c>
      <c r="P2736" s="18">
        <f t="shared" si="1"/>
        <v>1182.62</v>
      </c>
    </row>
    <row r="2737" ht="15.75" customHeight="1">
      <c r="A2737" s="19" t="s">
        <v>234</v>
      </c>
      <c r="B2737" s="19" t="s">
        <v>22</v>
      </c>
      <c r="C2737" s="20" t="s">
        <v>41</v>
      </c>
      <c r="D2737" s="14" t="str">
        <f>VLOOKUP(C2737,'State Key'!$A$2:$B$210,2,False)</f>
        <v>Odisha</v>
      </c>
      <c r="E2737" s="21">
        <v>1050.0</v>
      </c>
      <c r="F2737" s="22">
        <v>299.499</v>
      </c>
      <c r="G2737" s="22">
        <v>0.0</v>
      </c>
      <c r="H2737" s="22">
        <v>0.0</v>
      </c>
      <c r="I2737" s="22">
        <v>147.716</v>
      </c>
      <c r="J2737" s="22">
        <v>0.0</v>
      </c>
      <c r="K2737" s="22">
        <v>0.0</v>
      </c>
      <c r="L2737" s="22">
        <v>447.215</v>
      </c>
      <c r="M2737" s="22">
        <v>416.137</v>
      </c>
      <c r="N2737" s="22">
        <v>136.29</v>
      </c>
      <c r="O2737" s="23">
        <v>9.8</v>
      </c>
      <c r="P2737" s="18">
        <f t="shared" si="1"/>
        <v>447.215</v>
      </c>
    </row>
    <row r="2738" ht="15.75" customHeight="1">
      <c r="A2738" s="13" t="s">
        <v>234</v>
      </c>
      <c r="B2738" s="13" t="s">
        <v>22</v>
      </c>
      <c r="C2738" s="14" t="s">
        <v>42</v>
      </c>
      <c r="D2738" s="14" t="str">
        <f>VLOOKUP(C2738,'State Key'!$A$2:$B$210,2,False)</f>
        <v>Jharkhand</v>
      </c>
      <c r="E2738" s="15">
        <v>1000.0</v>
      </c>
      <c r="F2738" s="16">
        <v>327.756</v>
      </c>
      <c r="G2738" s="16">
        <v>0.0</v>
      </c>
      <c r="H2738" s="16">
        <v>85.936</v>
      </c>
      <c r="I2738" s="16">
        <v>0.0</v>
      </c>
      <c r="J2738" s="16">
        <v>0.0</v>
      </c>
      <c r="K2738" s="16">
        <v>0.0</v>
      </c>
      <c r="L2738" s="16">
        <v>413.692</v>
      </c>
      <c r="M2738" s="16">
        <v>425.013</v>
      </c>
      <c r="N2738" s="16">
        <v>314.84</v>
      </c>
      <c r="O2738" s="24">
        <v>22.2</v>
      </c>
      <c r="P2738" s="18">
        <f t="shared" si="1"/>
        <v>413.692</v>
      </c>
    </row>
    <row r="2739" ht="15.75" customHeight="1">
      <c r="A2739" s="19" t="s">
        <v>234</v>
      </c>
      <c r="B2739" s="19" t="s">
        <v>22</v>
      </c>
      <c r="C2739" s="20" t="s">
        <v>43</v>
      </c>
      <c r="D2739" s="14" t="str">
        <f>VLOOKUP(C2739,'State Key'!$A$2:$B$210,2,False)</f>
        <v>West Bengal</v>
      </c>
      <c r="E2739" s="21">
        <v>840.0</v>
      </c>
      <c r="F2739" s="22">
        <v>0.0</v>
      </c>
      <c r="G2739" s="22">
        <v>0.0</v>
      </c>
      <c r="H2739" s="22">
        <v>370.943</v>
      </c>
      <c r="I2739" s="22">
        <v>0.0</v>
      </c>
      <c r="J2739" s="22">
        <v>0.0</v>
      </c>
      <c r="K2739" s="22">
        <v>0.0</v>
      </c>
      <c r="L2739" s="22">
        <v>370.943</v>
      </c>
      <c r="M2739" s="22">
        <v>328.838</v>
      </c>
      <c r="N2739" s="22">
        <v>134.803</v>
      </c>
      <c r="O2739" s="23">
        <v>12.3</v>
      </c>
      <c r="P2739" s="18">
        <f t="shared" si="1"/>
        <v>370.943</v>
      </c>
    </row>
    <row r="2740" ht="15.75" customHeight="1">
      <c r="A2740" s="13" t="s">
        <v>234</v>
      </c>
      <c r="B2740" s="13" t="s">
        <v>22</v>
      </c>
      <c r="C2740" s="14" t="s">
        <v>44</v>
      </c>
      <c r="D2740" s="14" t="str">
        <f>VLOOKUP(C2740,'State Key'!$A$2:$B$210,2,False)</f>
        <v>Jharkhand</v>
      </c>
      <c r="E2740" s="15">
        <v>540.0</v>
      </c>
      <c r="F2740" s="16">
        <v>146.021</v>
      </c>
      <c r="G2740" s="16">
        <v>0.0</v>
      </c>
      <c r="H2740" s="16">
        <v>0.0</v>
      </c>
      <c r="I2740" s="16">
        <v>0.0</v>
      </c>
      <c r="J2740" s="16">
        <v>0.0</v>
      </c>
      <c r="K2740" s="16">
        <v>96.261</v>
      </c>
      <c r="L2740" s="16">
        <v>242.282</v>
      </c>
      <c r="M2740" s="16">
        <v>265.69</v>
      </c>
      <c r="N2740" s="16">
        <v>31.79</v>
      </c>
      <c r="O2740" s="17">
        <v>3.6</v>
      </c>
      <c r="P2740" s="18">
        <f t="shared" si="1"/>
        <v>242.282</v>
      </c>
    </row>
    <row r="2741" ht="15.75" customHeight="1">
      <c r="A2741" s="19" t="s">
        <v>234</v>
      </c>
      <c r="B2741" s="19" t="s">
        <v>22</v>
      </c>
      <c r="C2741" s="20" t="s">
        <v>45</v>
      </c>
      <c r="D2741" s="14" t="str">
        <f>VLOOKUP(C2741,'State Key'!$A$2:$B$210,2,False)</f>
        <v>Jharkhand</v>
      </c>
      <c r="E2741" s="21">
        <v>1050.0</v>
      </c>
      <c r="F2741" s="22">
        <v>312.472</v>
      </c>
      <c r="G2741" s="22">
        <v>0.0</v>
      </c>
      <c r="H2741" s="22">
        <v>0.0</v>
      </c>
      <c r="I2741" s="22">
        <v>0.0</v>
      </c>
      <c r="J2741" s="22">
        <v>0.0</v>
      </c>
      <c r="K2741" s="22">
        <v>31.715</v>
      </c>
      <c r="L2741" s="22">
        <v>344.187</v>
      </c>
      <c r="M2741" s="22">
        <v>372.131</v>
      </c>
      <c r="N2741" s="22">
        <v>420.304</v>
      </c>
      <c r="O2741" s="24">
        <v>33.9</v>
      </c>
      <c r="P2741" s="18">
        <f t="shared" si="1"/>
        <v>344.187</v>
      </c>
    </row>
    <row r="2742" ht="15.75" customHeight="1">
      <c r="A2742" s="13" t="s">
        <v>234</v>
      </c>
      <c r="B2742" s="13" t="s">
        <v>22</v>
      </c>
      <c r="C2742" s="14" t="s">
        <v>46</v>
      </c>
      <c r="D2742" s="14" t="str">
        <f>VLOOKUP(C2742,'State Key'!$A$2:$B$210,2,False)</f>
        <v>West Bengal</v>
      </c>
      <c r="E2742" s="15">
        <v>2340.0</v>
      </c>
      <c r="F2742" s="16">
        <v>900.695</v>
      </c>
      <c r="G2742" s="16">
        <v>0.0</v>
      </c>
      <c r="H2742" s="16">
        <v>117.925</v>
      </c>
      <c r="I2742" s="16">
        <v>0.0</v>
      </c>
      <c r="J2742" s="16">
        <v>0.0</v>
      </c>
      <c r="K2742" s="16">
        <v>42.159</v>
      </c>
      <c r="L2742" s="16">
        <v>1060.779</v>
      </c>
      <c r="M2742" s="16">
        <v>959.299</v>
      </c>
      <c r="N2742" s="16">
        <v>480.68</v>
      </c>
      <c r="O2742" s="24">
        <v>15.0</v>
      </c>
      <c r="P2742" s="18">
        <f t="shared" si="1"/>
        <v>1060.779</v>
      </c>
    </row>
    <row r="2743" ht="15.75" customHeight="1">
      <c r="A2743" s="19" t="s">
        <v>234</v>
      </c>
      <c r="B2743" s="19" t="s">
        <v>22</v>
      </c>
      <c r="C2743" s="20" t="s">
        <v>47</v>
      </c>
      <c r="D2743" s="14" t="str">
        <f>VLOOKUP(C2743,'State Key'!$A$2:$B$210,2,False)</f>
        <v>Bihar</v>
      </c>
      <c r="E2743" s="21">
        <v>390.0</v>
      </c>
      <c r="F2743" s="22">
        <v>0.0</v>
      </c>
      <c r="G2743" s="22">
        <v>0.0</v>
      </c>
      <c r="H2743" s="22">
        <v>156.341</v>
      </c>
      <c r="I2743" s="22">
        <v>0.0</v>
      </c>
      <c r="J2743" s="22">
        <v>0.0</v>
      </c>
      <c r="K2743" s="22">
        <v>0.0</v>
      </c>
      <c r="L2743" s="22">
        <v>156.341</v>
      </c>
      <c r="M2743" s="22">
        <v>167.33</v>
      </c>
      <c r="N2743" s="22">
        <v>140.12</v>
      </c>
      <c r="O2743" s="24">
        <v>25.1</v>
      </c>
      <c r="P2743" s="18">
        <f t="shared" si="1"/>
        <v>156.341</v>
      </c>
    </row>
    <row r="2744" ht="15.75" customHeight="1">
      <c r="A2744" s="13" t="s">
        <v>234</v>
      </c>
      <c r="B2744" s="13" t="s">
        <v>22</v>
      </c>
      <c r="C2744" s="14" t="s">
        <v>48</v>
      </c>
      <c r="D2744" s="14" t="str">
        <f>VLOOKUP(C2744,'State Key'!$A$2:$B$210,2,False)</f>
        <v>Bihar</v>
      </c>
      <c r="E2744" s="15">
        <v>1980.0</v>
      </c>
      <c r="F2744" s="16">
        <v>696.137</v>
      </c>
      <c r="G2744" s="16">
        <v>0.0</v>
      </c>
      <c r="H2744" s="16">
        <v>60.964</v>
      </c>
      <c r="I2744" s="16">
        <v>0.0</v>
      </c>
      <c r="J2744" s="16">
        <v>0.0</v>
      </c>
      <c r="K2744" s="16">
        <v>0.0</v>
      </c>
      <c r="L2744" s="16">
        <v>757.101</v>
      </c>
      <c r="M2744" s="16">
        <v>804.68</v>
      </c>
      <c r="N2744" s="16">
        <v>811.2</v>
      </c>
      <c r="O2744" s="24">
        <v>30.2</v>
      </c>
      <c r="P2744" s="18">
        <f t="shared" si="1"/>
        <v>757.101</v>
      </c>
    </row>
    <row r="2745" ht="15.75" customHeight="1">
      <c r="A2745" s="19" t="s">
        <v>234</v>
      </c>
      <c r="B2745" s="19" t="s">
        <v>22</v>
      </c>
      <c r="C2745" s="20" t="s">
        <v>49</v>
      </c>
      <c r="D2745" s="14" t="str">
        <f>VLOOKUP(C2745,'State Key'!$A$2:$B$210,2,False)</f>
        <v>Bihar</v>
      </c>
      <c r="E2745" s="21">
        <v>1000.0</v>
      </c>
      <c r="F2745" s="22">
        <v>410.2202</v>
      </c>
      <c r="G2745" s="22">
        <v>0.0</v>
      </c>
      <c r="H2745" s="22">
        <v>0.0</v>
      </c>
      <c r="I2745" s="22">
        <v>0.0</v>
      </c>
      <c r="J2745" s="22">
        <v>0.0</v>
      </c>
      <c r="K2745" s="22">
        <v>0.0</v>
      </c>
      <c r="L2745" s="22">
        <v>410.2202</v>
      </c>
      <c r="M2745" s="22">
        <v>356.891</v>
      </c>
      <c r="N2745" s="22">
        <v>257.06</v>
      </c>
      <c r="O2745" s="24">
        <v>21.6</v>
      </c>
      <c r="P2745" s="18">
        <f t="shared" si="1"/>
        <v>410.2202</v>
      </c>
    </row>
    <row r="2746" ht="15.75" customHeight="1">
      <c r="A2746" s="13" t="s">
        <v>234</v>
      </c>
      <c r="B2746" s="13" t="s">
        <v>22</v>
      </c>
      <c r="C2746" s="14" t="s">
        <v>50</v>
      </c>
      <c r="D2746" s="14" t="str">
        <f>VLOOKUP(C2746,'State Key'!$A$2:$B$210,2,False)</f>
        <v>Jharkhand</v>
      </c>
      <c r="E2746" s="15">
        <v>1320.0</v>
      </c>
      <c r="F2746" s="16">
        <v>480.48</v>
      </c>
      <c r="G2746" s="16">
        <v>0.0</v>
      </c>
      <c r="H2746" s="16">
        <v>117.2</v>
      </c>
      <c r="I2746" s="16">
        <v>0.0</v>
      </c>
      <c r="J2746" s="16">
        <v>0.0</v>
      </c>
      <c r="K2746" s="16">
        <v>70.68</v>
      </c>
      <c r="L2746" s="16">
        <v>668.36</v>
      </c>
      <c r="M2746" s="16">
        <v>675.524</v>
      </c>
      <c r="N2746" s="16">
        <v>369.459</v>
      </c>
      <c r="O2746" s="24">
        <v>16.4</v>
      </c>
      <c r="P2746" s="18">
        <f t="shared" si="1"/>
        <v>668.36</v>
      </c>
    </row>
    <row r="2747" ht="15.75" customHeight="1">
      <c r="A2747" s="19" t="s">
        <v>234</v>
      </c>
      <c r="B2747" s="19" t="s">
        <v>22</v>
      </c>
      <c r="C2747" s="20" t="s">
        <v>51</v>
      </c>
      <c r="D2747" s="14" t="str">
        <f>VLOOKUP(C2747,'State Key'!$A$2:$B$210,2,False)</f>
        <v>West Bengal</v>
      </c>
      <c r="E2747" s="21">
        <v>1200.0</v>
      </c>
      <c r="F2747" s="22">
        <v>261.189</v>
      </c>
      <c r="G2747" s="22">
        <v>0.0</v>
      </c>
      <c r="H2747" s="22">
        <v>0.0</v>
      </c>
      <c r="I2747" s="22">
        <v>0.0</v>
      </c>
      <c r="J2747" s="22">
        <v>0.0</v>
      </c>
      <c r="K2747" s="22">
        <v>0.0</v>
      </c>
      <c r="L2747" s="22">
        <v>261.189</v>
      </c>
      <c r="M2747" s="22">
        <v>275.86</v>
      </c>
      <c r="N2747" s="22">
        <v>326.03</v>
      </c>
      <c r="O2747" s="24">
        <v>35.5</v>
      </c>
      <c r="P2747" s="18">
        <f t="shared" si="1"/>
        <v>261.189</v>
      </c>
    </row>
    <row r="2748" ht="15.75" customHeight="1">
      <c r="A2748" s="13" t="s">
        <v>234</v>
      </c>
      <c r="B2748" s="13" t="s">
        <v>22</v>
      </c>
      <c r="C2748" s="14" t="s">
        <v>52</v>
      </c>
      <c r="D2748" s="14" t="str">
        <f>VLOOKUP(C2748,'State Key'!$A$2:$B$210,2,False)</f>
        <v>West Bengal</v>
      </c>
      <c r="E2748" s="15">
        <v>1600.0</v>
      </c>
      <c r="F2748" s="16">
        <v>0.0</v>
      </c>
      <c r="G2748" s="16">
        <v>0.0</v>
      </c>
      <c r="H2748" s="16">
        <v>667.128</v>
      </c>
      <c r="I2748" s="16">
        <v>0.0</v>
      </c>
      <c r="J2748" s="16">
        <v>0.0</v>
      </c>
      <c r="K2748" s="16">
        <v>0.0</v>
      </c>
      <c r="L2748" s="16">
        <v>667.128</v>
      </c>
      <c r="M2748" s="16">
        <v>745.461</v>
      </c>
      <c r="N2748" s="16">
        <v>320.16</v>
      </c>
      <c r="O2748" s="23">
        <v>12.9</v>
      </c>
      <c r="P2748" s="18">
        <f t="shared" si="1"/>
        <v>667.128</v>
      </c>
    </row>
    <row r="2749" ht="15.75" customHeight="1">
      <c r="A2749" s="19" t="s">
        <v>234</v>
      </c>
      <c r="B2749" s="19" t="s">
        <v>22</v>
      </c>
      <c r="C2749" s="20" t="s">
        <v>53</v>
      </c>
      <c r="D2749" s="14" t="str">
        <f>VLOOKUP(C2749,'State Key'!$A$2:$B$210,2,False)</f>
        <v>West Bengal</v>
      </c>
      <c r="E2749" s="21">
        <v>500.0</v>
      </c>
      <c r="F2749" s="22">
        <v>0.0</v>
      </c>
      <c r="G2749" s="22">
        <v>0.0</v>
      </c>
      <c r="H2749" s="22">
        <v>207.53</v>
      </c>
      <c r="I2749" s="22">
        <v>0.0</v>
      </c>
      <c r="J2749" s="22">
        <v>0.0</v>
      </c>
      <c r="K2749" s="22">
        <v>0.0</v>
      </c>
      <c r="L2749" s="22">
        <v>207.53</v>
      </c>
      <c r="M2749" s="22">
        <v>253.96</v>
      </c>
      <c r="N2749" s="22">
        <v>60.57</v>
      </c>
      <c r="O2749" s="23">
        <v>7.2</v>
      </c>
      <c r="P2749" s="18">
        <f t="shared" si="1"/>
        <v>207.53</v>
      </c>
    </row>
    <row r="2750" ht="15.75" customHeight="1">
      <c r="A2750" s="13" t="s">
        <v>234</v>
      </c>
      <c r="B2750" s="13" t="s">
        <v>22</v>
      </c>
      <c r="C2750" s="14" t="s">
        <v>54</v>
      </c>
      <c r="D2750" s="14" t="str">
        <f>VLOOKUP(C2750,'State Key'!$A$2:$B$210,2,False)</f>
        <v>West Bengal</v>
      </c>
      <c r="E2750" s="15">
        <v>135.0</v>
      </c>
      <c r="F2750" s="16">
        <v>19.497</v>
      </c>
      <c r="G2750" s="16">
        <v>0.0</v>
      </c>
      <c r="H2750" s="16">
        <v>0.0</v>
      </c>
      <c r="I2750" s="16">
        <v>11.894</v>
      </c>
      <c r="J2750" s="16">
        <v>0.0</v>
      </c>
      <c r="K2750" s="16">
        <v>0.0</v>
      </c>
      <c r="L2750" s="16">
        <v>31.391</v>
      </c>
      <c r="M2750" s="16">
        <v>36.824</v>
      </c>
      <c r="N2750" s="16">
        <v>35.14</v>
      </c>
      <c r="O2750" s="24">
        <v>28.6</v>
      </c>
      <c r="P2750" s="18">
        <f t="shared" si="1"/>
        <v>31.391</v>
      </c>
    </row>
    <row r="2751" ht="15.75" customHeight="1">
      <c r="A2751" s="19" t="s">
        <v>234</v>
      </c>
      <c r="B2751" s="19" t="s">
        <v>22</v>
      </c>
      <c r="C2751" s="20" t="s">
        <v>55</v>
      </c>
      <c r="D2751" s="14" t="str">
        <f>VLOOKUP(C2751,'State Key'!$A$2:$B$210,2,False)</f>
        <v>Odisha</v>
      </c>
      <c r="E2751" s="21">
        <v>3000.0</v>
      </c>
      <c r="F2751" s="22">
        <v>1256.94</v>
      </c>
      <c r="G2751" s="22">
        <v>0.0</v>
      </c>
      <c r="H2751" s="22">
        <v>33.59</v>
      </c>
      <c r="I2751" s="22">
        <v>0.0</v>
      </c>
      <c r="J2751" s="22">
        <v>0.0</v>
      </c>
      <c r="K2751" s="22">
        <v>0.0</v>
      </c>
      <c r="L2751" s="22">
        <v>1290.53</v>
      </c>
      <c r="M2751" s="22">
        <v>1383.207</v>
      </c>
      <c r="N2751" s="22">
        <v>307.662</v>
      </c>
      <c r="O2751" s="17">
        <v>6.7</v>
      </c>
      <c r="P2751" s="18">
        <f t="shared" si="1"/>
        <v>1290.53</v>
      </c>
    </row>
    <row r="2752" ht="15.75" customHeight="1">
      <c r="A2752" s="13" t="s">
        <v>234</v>
      </c>
      <c r="B2752" s="13" t="s">
        <v>22</v>
      </c>
      <c r="C2752" s="14" t="s">
        <v>56</v>
      </c>
      <c r="D2752" s="14" t="str">
        <f>VLOOKUP(C2752,'State Key'!$A$2:$B$210,2,False)</f>
        <v>Jharkhand</v>
      </c>
      <c r="E2752" s="15">
        <v>420.0</v>
      </c>
      <c r="F2752" s="16">
        <v>151.77</v>
      </c>
      <c r="G2752" s="16">
        <v>0.0</v>
      </c>
      <c r="H2752" s="16">
        <v>0.0</v>
      </c>
      <c r="I2752" s="16">
        <v>0.0</v>
      </c>
      <c r="J2752" s="16">
        <v>0.0</v>
      </c>
      <c r="K2752" s="16">
        <v>0.0</v>
      </c>
      <c r="L2752" s="16">
        <v>151.77</v>
      </c>
      <c r="M2752" s="16">
        <v>162.76</v>
      </c>
      <c r="N2752" s="16">
        <v>78.68</v>
      </c>
      <c r="O2752" s="24">
        <v>14.5</v>
      </c>
      <c r="P2752" s="18">
        <f t="shared" si="1"/>
        <v>151.77</v>
      </c>
    </row>
    <row r="2753" ht="15.75" customHeight="1">
      <c r="A2753" s="19" t="s">
        <v>234</v>
      </c>
      <c r="B2753" s="19" t="s">
        <v>22</v>
      </c>
      <c r="C2753" s="20" t="s">
        <v>57</v>
      </c>
      <c r="D2753" s="14" t="str">
        <f>VLOOKUP(C2753,'State Key'!$A$2:$B$210,2,False)</f>
        <v>West Bengal</v>
      </c>
      <c r="E2753" s="21">
        <v>240.0</v>
      </c>
      <c r="F2753" s="22">
        <v>0.0</v>
      </c>
      <c r="G2753" s="22">
        <v>0.0</v>
      </c>
      <c r="H2753" s="22">
        <v>0.0</v>
      </c>
      <c r="I2753" s="22">
        <v>0.0</v>
      </c>
      <c r="J2753" s="22">
        <v>0.0</v>
      </c>
      <c r="K2753" s="22">
        <v>0.0</v>
      </c>
      <c r="L2753" s="22">
        <v>0.0</v>
      </c>
      <c r="M2753" s="22">
        <v>0.0</v>
      </c>
      <c r="N2753" s="22">
        <v>0.0</v>
      </c>
      <c r="O2753" s="19" t="s">
        <v>58</v>
      </c>
      <c r="P2753" s="18">
        <f t="shared" si="1"/>
        <v>0</v>
      </c>
    </row>
    <row r="2754" ht="15.75" customHeight="1">
      <c r="A2754" s="13" t="s">
        <v>234</v>
      </c>
      <c r="B2754" s="13" t="s">
        <v>22</v>
      </c>
      <c r="C2754" s="14" t="s">
        <v>59</v>
      </c>
      <c r="D2754" s="14" t="str">
        <f>VLOOKUP(C2754,'State Key'!$A$2:$B$210,2,False)</f>
        <v>Odisha</v>
      </c>
      <c r="E2754" s="15">
        <v>350.0</v>
      </c>
      <c r="F2754" s="16">
        <v>3.98</v>
      </c>
      <c r="G2754" s="16">
        <v>0.0</v>
      </c>
      <c r="H2754" s="16">
        <v>0.0</v>
      </c>
      <c r="I2754" s="16">
        <v>0.0</v>
      </c>
      <c r="J2754" s="16">
        <v>0.0</v>
      </c>
      <c r="K2754" s="16">
        <v>0.0</v>
      </c>
      <c r="L2754" s="16">
        <v>3.98</v>
      </c>
      <c r="M2754" s="16">
        <v>14.57</v>
      </c>
      <c r="N2754" s="16">
        <v>25.26</v>
      </c>
      <c r="O2754" s="24">
        <v>52.0</v>
      </c>
      <c r="P2754" s="18">
        <f t="shared" si="1"/>
        <v>3.98</v>
      </c>
    </row>
    <row r="2755" ht="15.75" customHeight="1">
      <c r="A2755" s="19" t="s">
        <v>234</v>
      </c>
      <c r="B2755" s="19" t="s">
        <v>22</v>
      </c>
      <c r="C2755" s="20" t="s">
        <v>60</v>
      </c>
      <c r="D2755" s="14" t="str">
        <f>VLOOKUP(C2755,'State Key'!$A$2:$B$210,2,False)</f>
        <v>Odisha</v>
      </c>
      <c r="E2755" s="21">
        <v>600.0</v>
      </c>
      <c r="F2755" s="22">
        <v>276.87</v>
      </c>
      <c r="G2755" s="22">
        <v>0.0</v>
      </c>
      <c r="H2755" s="22">
        <v>0.0</v>
      </c>
      <c r="I2755" s="22">
        <v>0.0</v>
      </c>
      <c r="J2755" s="22">
        <v>0.0</v>
      </c>
      <c r="K2755" s="22">
        <v>0.0</v>
      </c>
      <c r="L2755" s="22">
        <v>276.87</v>
      </c>
      <c r="M2755" s="22">
        <v>283.1</v>
      </c>
      <c r="N2755" s="22">
        <v>37.42</v>
      </c>
      <c r="O2755" s="17">
        <v>4.0</v>
      </c>
      <c r="P2755" s="18">
        <f t="shared" si="1"/>
        <v>276.87</v>
      </c>
    </row>
    <row r="2756" ht="15.75" customHeight="1">
      <c r="A2756" s="13" t="s">
        <v>234</v>
      </c>
      <c r="B2756" s="13" t="s">
        <v>61</v>
      </c>
      <c r="C2756" s="14" t="s">
        <v>209</v>
      </c>
      <c r="D2756" s="14" t="str">
        <f>VLOOKUP(C2756,'State Key'!$A$2:$B$210,2,False)</f>
        <v>Rajasthan</v>
      </c>
      <c r="E2756" s="15">
        <v>1320.0</v>
      </c>
      <c r="F2756" s="16">
        <v>333.335</v>
      </c>
      <c r="G2756" s="16">
        <v>0.0</v>
      </c>
      <c r="H2756" s="16">
        <v>0.0</v>
      </c>
      <c r="I2756" s="16">
        <v>0.0</v>
      </c>
      <c r="J2756" s="16">
        <v>103.623</v>
      </c>
      <c r="K2756" s="16">
        <v>0.0</v>
      </c>
      <c r="L2756" s="16">
        <v>436.958</v>
      </c>
      <c r="M2756" s="16">
        <v>472.917</v>
      </c>
      <c r="N2756" s="16">
        <v>232.36</v>
      </c>
      <c r="O2756" s="24">
        <v>14.7</v>
      </c>
      <c r="P2756" s="18">
        <f t="shared" si="1"/>
        <v>436.958</v>
      </c>
    </row>
    <row r="2757" ht="15.75" customHeight="1">
      <c r="A2757" s="19" t="s">
        <v>234</v>
      </c>
      <c r="B2757" s="19" t="s">
        <v>61</v>
      </c>
      <c r="C2757" s="20" t="s">
        <v>62</v>
      </c>
      <c r="D2757" s="14" t="str">
        <f>VLOOKUP(C2757,'State Key'!$A$2:$B$210,2,False)</f>
        <v>Uttar Pradesh</v>
      </c>
      <c r="E2757" s="21">
        <v>1200.0</v>
      </c>
      <c r="F2757" s="22">
        <v>546.459</v>
      </c>
      <c r="G2757" s="22">
        <v>0.0</v>
      </c>
      <c r="H2757" s="22">
        <v>0.0</v>
      </c>
      <c r="I2757" s="22">
        <v>0.0</v>
      </c>
      <c r="J2757" s="22">
        <v>0.0</v>
      </c>
      <c r="K2757" s="22">
        <v>0.0</v>
      </c>
      <c r="L2757" s="22">
        <v>546.459</v>
      </c>
      <c r="M2757" s="22">
        <v>506.184</v>
      </c>
      <c r="N2757" s="22">
        <v>180.58</v>
      </c>
      <c r="O2757" s="23">
        <v>10.7</v>
      </c>
      <c r="P2757" s="18">
        <f t="shared" si="1"/>
        <v>546.459</v>
      </c>
    </row>
    <row r="2758" ht="15.75" customHeight="1">
      <c r="A2758" s="13" t="s">
        <v>234</v>
      </c>
      <c r="B2758" s="13" t="s">
        <v>61</v>
      </c>
      <c r="C2758" s="14" t="s">
        <v>63</v>
      </c>
      <c r="D2758" s="14" t="str">
        <f>VLOOKUP(C2758,'State Key'!$A$2:$B$210,2,False)</f>
        <v>Uttar Pradesh</v>
      </c>
      <c r="E2758" s="15">
        <v>2630.0</v>
      </c>
      <c r="F2758" s="16">
        <v>1126.192</v>
      </c>
      <c r="G2758" s="16">
        <v>0.0</v>
      </c>
      <c r="H2758" s="16">
        <v>0.0</v>
      </c>
      <c r="I2758" s="16">
        <v>0.0</v>
      </c>
      <c r="J2758" s="16">
        <v>0.0</v>
      </c>
      <c r="K2758" s="16">
        <v>0.0</v>
      </c>
      <c r="L2758" s="16">
        <v>1126.192</v>
      </c>
      <c r="M2758" s="16">
        <v>1135.351</v>
      </c>
      <c r="N2758" s="16">
        <v>427.79</v>
      </c>
      <c r="O2758" s="23">
        <v>11.3</v>
      </c>
      <c r="P2758" s="18">
        <f t="shared" si="1"/>
        <v>1126.192</v>
      </c>
    </row>
    <row r="2759" ht="15.75" customHeight="1">
      <c r="A2759" s="19" t="s">
        <v>234</v>
      </c>
      <c r="B2759" s="19" t="s">
        <v>61</v>
      </c>
      <c r="C2759" s="20" t="s">
        <v>64</v>
      </c>
      <c r="D2759" s="14" t="str">
        <f>VLOOKUP(C2759,'State Key'!$A$2:$B$210,2,False)</f>
        <v>Uttar Pradesh</v>
      </c>
      <c r="E2759" s="21">
        <v>90.0</v>
      </c>
      <c r="F2759" s="22">
        <v>19.942</v>
      </c>
      <c r="G2759" s="22">
        <v>0.0</v>
      </c>
      <c r="H2759" s="22">
        <v>0.0</v>
      </c>
      <c r="I2759" s="22">
        <v>0.0</v>
      </c>
      <c r="J2759" s="22">
        <v>0.0</v>
      </c>
      <c r="K2759" s="22">
        <v>0.0</v>
      </c>
      <c r="L2759" s="22">
        <v>19.942</v>
      </c>
      <c r="M2759" s="22">
        <v>38.793</v>
      </c>
      <c r="N2759" s="22">
        <v>33.51</v>
      </c>
      <c r="O2759" s="24">
        <v>25.9</v>
      </c>
      <c r="P2759" s="18">
        <f t="shared" si="1"/>
        <v>19.942</v>
      </c>
    </row>
    <row r="2760" ht="15.75" customHeight="1">
      <c r="A2760" s="13" t="s">
        <v>234</v>
      </c>
      <c r="B2760" s="13" t="s">
        <v>61</v>
      </c>
      <c r="C2760" s="14" t="s">
        <v>65</v>
      </c>
      <c r="D2760" s="14" t="str">
        <f>VLOOKUP(C2760,'State Key'!$A$2:$B$210,2,False)</f>
        <v>Rajasthan</v>
      </c>
      <c r="E2760" s="15">
        <v>500.0</v>
      </c>
      <c r="F2760" s="16">
        <v>236.5</v>
      </c>
      <c r="G2760" s="16">
        <v>0.0</v>
      </c>
      <c r="H2760" s="16">
        <v>0.0</v>
      </c>
      <c r="I2760" s="16">
        <v>0.0</v>
      </c>
      <c r="J2760" s="16">
        <v>0.0</v>
      </c>
      <c r="K2760" s="16">
        <v>0.0</v>
      </c>
      <c r="L2760" s="16">
        <v>236.5</v>
      </c>
      <c r="M2760" s="16">
        <v>133.13</v>
      </c>
      <c r="N2760" s="16">
        <v>97.434</v>
      </c>
      <c r="O2760" s="24">
        <v>22.0</v>
      </c>
      <c r="P2760" s="18">
        <f t="shared" si="1"/>
        <v>236.5</v>
      </c>
    </row>
    <row r="2761" ht="15.75" customHeight="1">
      <c r="A2761" s="19" t="s">
        <v>234</v>
      </c>
      <c r="B2761" s="19" t="s">
        <v>61</v>
      </c>
      <c r="C2761" s="20" t="s">
        <v>66</v>
      </c>
      <c r="D2761" s="14" t="str">
        <f>VLOOKUP(C2761,'State Key'!$A$2:$B$210,2,False)</f>
        <v>Rajasthan</v>
      </c>
      <c r="E2761" s="21">
        <v>500.0</v>
      </c>
      <c r="F2761" s="22">
        <v>183.44</v>
      </c>
      <c r="G2761" s="22">
        <v>0.0</v>
      </c>
      <c r="H2761" s="22">
        <v>51.41</v>
      </c>
      <c r="I2761" s="22">
        <v>0.0</v>
      </c>
      <c r="J2761" s="22">
        <v>0.0</v>
      </c>
      <c r="K2761" s="22">
        <v>0.0</v>
      </c>
      <c r="L2761" s="22">
        <v>234.85</v>
      </c>
      <c r="M2761" s="22">
        <v>228.99</v>
      </c>
      <c r="N2761" s="22">
        <v>103.349</v>
      </c>
      <c r="O2761" s="23">
        <v>13.5</v>
      </c>
      <c r="P2761" s="18">
        <f t="shared" si="1"/>
        <v>234.85</v>
      </c>
    </row>
    <row r="2762" ht="15.75" customHeight="1">
      <c r="A2762" s="13" t="s">
        <v>234</v>
      </c>
      <c r="B2762" s="13" t="s">
        <v>61</v>
      </c>
      <c r="C2762" s="14" t="s">
        <v>67</v>
      </c>
      <c r="D2762" s="14" t="str">
        <f>VLOOKUP(C2762,'State Key'!$A$2:$B$210,2,False)</f>
        <v>Rajasthan</v>
      </c>
      <c r="E2762" s="15">
        <v>1320.0</v>
      </c>
      <c r="F2762" s="16">
        <v>78.69159</v>
      </c>
      <c r="G2762" s="16">
        <v>0.0</v>
      </c>
      <c r="H2762" s="16">
        <v>298.58896</v>
      </c>
      <c r="I2762" s="16">
        <v>0.0</v>
      </c>
      <c r="J2762" s="16">
        <v>0.0</v>
      </c>
      <c r="K2762" s="16">
        <v>0.0</v>
      </c>
      <c r="L2762" s="16">
        <v>377.28055</v>
      </c>
      <c r="M2762" s="16">
        <v>270.418</v>
      </c>
      <c r="N2762" s="16">
        <v>307.23</v>
      </c>
      <c r="O2762" s="24">
        <v>34.1</v>
      </c>
      <c r="P2762" s="18">
        <f t="shared" si="1"/>
        <v>377.28055</v>
      </c>
    </row>
    <row r="2763" ht="15.75" customHeight="1">
      <c r="A2763" s="19" t="s">
        <v>234</v>
      </c>
      <c r="B2763" s="19" t="s">
        <v>61</v>
      </c>
      <c r="C2763" s="20" t="s">
        <v>68</v>
      </c>
      <c r="D2763" s="14" t="str">
        <f>VLOOKUP(C2763,'State Key'!$A$2:$B$210,2,False)</f>
        <v>Uttar Pradesh</v>
      </c>
      <c r="E2763" s="21">
        <v>1820.0</v>
      </c>
      <c r="F2763" s="22">
        <v>437.24</v>
      </c>
      <c r="G2763" s="22">
        <v>0.0</v>
      </c>
      <c r="H2763" s="22">
        <v>96.49</v>
      </c>
      <c r="I2763" s="22">
        <v>0.0</v>
      </c>
      <c r="J2763" s="22">
        <v>39.39</v>
      </c>
      <c r="K2763" s="22">
        <v>0.0</v>
      </c>
      <c r="L2763" s="22">
        <v>573.12</v>
      </c>
      <c r="M2763" s="22">
        <v>647.848</v>
      </c>
      <c r="N2763" s="22">
        <v>713.47</v>
      </c>
      <c r="O2763" s="24">
        <v>33.0</v>
      </c>
      <c r="P2763" s="18">
        <f t="shared" si="1"/>
        <v>573.12</v>
      </c>
    </row>
    <row r="2764" ht="15.75" customHeight="1">
      <c r="A2764" s="13" t="s">
        <v>234</v>
      </c>
      <c r="B2764" s="13" t="s">
        <v>61</v>
      </c>
      <c r="C2764" s="14" t="s">
        <v>69</v>
      </c>
      <c r="D2764" s="14" t="str">
        <f>VLOOKUP(C2764,'State Key'!$A$2:$B$210,2,False)</f>
        <v>Punjab</v>
      </c>
      <c r="E2764" s="15">
        <v>920.0</v>
      </c>
      <c r="F2764" s="16">
        <v>140.456</v>
      </c>
      <c r="G2764" s="16">
        <v>0.0</v>
      </c>
      <c r="H2764" s="16">
        <v>50.59</v>
      </c>
      <c r="I2764" s="16">
        <v>0.0</v>
      </c>
      <c r="J2764" s="16">
        <v>0.0</v>
      </c>
      <c r="K2764" s="16">
        <v>0.296</v>
      </c>
      <c r="L2764" s="16">
        <v>191.342</v>
      </c>
      <c r="M2764" s="16">
        <v>276.099</v>
      </c>
      <c r="N2764" s="16">
        <v>177.084</v>
      </c>
      <c r="O2764" s="24">
        <v>19.2</v>
      </c>
      <c r="P2764" s="18">
        <f t="shared" si="1"/>
        <v>191.342</v>
      </c>
    </row>
    <row r="2765" ht="15.75" customHeight="1">
      <c r="A2765" s="19" t="s">
        <v>234</v>
      </c>
      <c r="B2765" s="19" t="s">
        <v>61</v>
      </c>
      <c r="C2765" s="20" t="s">
        <v>70</v>
      </c>
      <c r="D2765" s="14" t="str">
        <f>VLOOKUP(C2765,'State Key'!$A$2:$B$210,2,False)</f>
        <v>Punjab</v>
      </c>
      <c r="E2765" s="21">
        <v>540.0</v>
      </c>
      <c r="F2765" s="22">
        <v>68.7079</v>
      </c>
      <c r="G2765" s="22">
        <v>0.0</v>
      </c>
      <c r="H2765" s="22">
        <v>173.982</v>
      </c>
      <c r="I2765" s="22">
        <v>0.0</v>
      </c>
      <c r="J2765" s="22">
        <v>0.0</v>
      </c>
      <c r="K2765" s="22">
        <v>0.0</v>
      </c>
      <c r="L2765" s="22">
        <v>242.6899</v>
      </c>
      <c r="M2765" s="22">
        <v>215.784</v>
      </c>
      <c r="N2765" s="22">
        <v>114.01</v>
      </c>
      <c r="O2765" s="24">
        <v>15.9</v>
      </c>
      <c r="P2765" s="18">
        <f t="shared" si="1"/>
        <v>242.6899</v>
      </c>
    </row>
    <row r="2766" ht="15.75" customHeight="1">
      <c r="A2766" s="13" t="s">
        <v>234</v>
      </c>
      <c r="B2766" s="13" t="s">
        <v>61</v>
      </c>
      <c r="C2766" s="14" t="s">
        <v>71</v>
      </c>
      <c r="D2766" s="14" t="str">
        <f>VLOOKUP(C2766,'State Key'!$A$2:$B$210,2,False)</f>
        <v>Uttar Pradesh</v>
      </c>
      <c r="E2766" s="15">
        <v>1265.0</v>
      </c>
      <c r="F2766" s="16">
        <v>520.014</v>
      </c>
      <c r="G2766" s="16">
        <v>0.0</v>
      </c>
      <c r="H2766" s="16">
        <v>0.0</v>
      </c>
      <c r="I2766" s="16">
        <v>0.0</v>
      </c>
      <c r="J2766" s="16">
        <v>0.0</v>
      </c>
      <c r="K2766" s="16">
        <v>0.0</v>
      </c>
      <c r="L2766" s="16">
        <v>520.014</v>
      </c>
      <c r="M2766" s="16">
        <v>363.725</v>
      </c>
      <c r="N2766" s="16">
        <v>755.14</v>
      </c>
      <c r="O2766" s="24">
        <v>62.3</v>
      </c>
      <c r="P2766" s="18">
        <f t="shared" si="1"/>
        <v>520.014</v>
      </c>
    </row>
    <row r="2767" ht="15.75" customHeight="1">
      <c r="A2767" s="19" t="s">
        <v>234</v>
      </c>
      <c r="B2767" s="19" t="s">
        <v>61</v>
      </c>
      <c r="C2767" s="20" t="s">
        <v>72</v>
      </c>
      <c r="D2767" s="14" t="str">
        <f>VLOOKUP(C2767,'State Key'!$A$2:$B$210,2,False)</f>
        <v>Haryana</v>
      </c>
      <c r="E2767" s="21">
        <v>1500.0</v>
      </c>
      <c r="F2767" s="22">
        <v>490.96743</v>
      </c>
      <c r="G2767" s="22">
        <v>0.0</v>
      </c>
      <c r="H2767" s="22">
        <v>0.0</v>
      </c>
      <c r="I2767" s="22">
        <v>0.0</v>
      </c>
      <c r="J2767" s="22">
        <v>0.0</v>
      </c>
      <c r="K2767" s="22">
        <v>0.0</v>
      </c>
      <c r="L2767" s="22">
        <v>490.96743</v>
      </c>
      <c r="M2767" s="22">
        <v>547.2169</v>
      </c>
      <c r="N2767" s="22">
        <v>750.87</v>
      </c>
      <c r="O2767" s="24">
        <v>41.2</v>
      </c>
      <c r="P2767" s="18">
        <f t="shared" si="1"/>
        <v>490.96743</v>
      </c>
    </row>
    <row r="2768" ht="15.75" customHeight="1">
      <c r="A2768" s="13" t="s">
        <v>234</v>
      </c>
      <c r="B2768" s="13" t="s">
        <v>61</v>
      </c>
      <c r="C2768" s="14" t="s">
        <v>226</v>
      </c>
      <c r="D2768" s="14" t="str">
        <f>VLOOKUP(C2768,'State Key'!$A$2:$B$210,2,False)</f>
        <v>Uttar Pradesh</v>
      </c>
      <c r="E2768" s="15">
        <v>660.0</v>
      </c>
      <c r="F2768" s="16">
        <v>118.308</v>
      </c>
      <c r="G2768" s="16">
        <v>0.0</v>
      </c>
      <c r="H2768" s="16">
        <v>0.0</v>
      </c>
      <c r="I2768" s="16">
        <v>0.0</v>
      </c>
      <c r="J2768" s="16">
        <v>0.0</v>
      </c>
      <c r="K2768" s="16">
        <v>0.0</v>
      </c>
      <c r="L2768" s="16">
        <v>118.308</v>
      </c>
      <c r="M2768" s="16">
        <v>108.73</v>
      </c>
      <c r="N2768" s="16">
        <v>114.77</v>
      </c>
      <c r="O2768" s="24">
        <v>31.7</v>
      </c>
      <c r="P2768" s="18">
        <f t="shared" si="1"/>
        <v>118.308</v>
      </c>
    </row>
    <row r="2769" ht="15.75" customHeight="1">
      <c r="A2769" s="19" t="s">
        <v>234</v>
      </c>
      <c r="B2769" s="19" t="s">
        <v>61</v>
      </c>
      <c r="C2769" s="20" t="s">
        <v>73</v>
      </c>
      <c r="D2769" s="14" t="str">
        <f>VLOOKUP(C2769,'State Key'!$A$2:$B$210,2,False)</f>
        <v>Rajasthan</v>
      </c>
      <c r="E2769" s="21">
        <v>1200.0</v>
      </c>
      <c r="F2769" s="22">
        <v>3.771</v>
      </c>
      <c r="G2769" s="22">
        <v>0.0</v>
      </c>
      <c r="H2769" s="22">
        <v>451.414</v>
      </c>
      <c r="I2769" s="22">
        <v>0.0</v>
      </c>
      <c r="J2769" s="22">
        <v>0.0</v>
      </c>
      <c r="K2769" s="22">
        <v>0.0</v>
      </c>
      <c r="L2769" s="22">
        <v>455.185</v>
      </c>
      <c r="M2769" s="22">
        <v>442.961</v>
      </c>
      <c r="N2769" s="22">
        <v>160.44</v>
      </c>
      <c r="O2769" s="23">
        <v>10.9</v>
      </c>
      <c r="P2769" s="18">
        <f t="shared" si="1"/>
        <v>455.185</v>
      </c>
    </row>
    <row r="2770" ht="15.75" customHeight="1">
      <c r="A2770" s="13" t="s">
        <v>234</v>
      </c>
      <c r="B2770" s="13" t="s">
        <v>61</v>
      </c>
      <c r="C2770" s="14" t="s">
        <v>75</v>
      </c>
      <c r="D2770" s="14" t="str">
        <f>VLOOKUP(C2770,'State Key'!$A$2:$B$210,2,False)</f>
        <v>Uttar Pradesh</v>
      </c>
      <c r="E2770" s="15">
        <v>90.0</v>
      </c>
      <c r="F2770" s="16">
        <v>11.67</v>
      </c>
      <c r="G2770" s="16">
        <v>0.0</v>
      </c>
      <c r="H2770" s="16">
        <v>0.0</v>
      </c>
      <c r="I2770" s="16">
        <v>0.0</v>
      </c>
      <c r="J2770" s="16">
        <v>0.0</v>
      </c>
      <c r="K2770" s="16">
        <v>0.0</v>
      </c>
      <c r="L2770" s="16">
        <v>11.67</v>
      </c>
      <c r="M2770" s="16">
        <v>35.14</v>
      </c>
      <c r="N2770" s="16">
        <v>44.26</v>
      </c>
      <c r="O2770" s="24">
        <v>37.8</v>
      </c>
      <c r="P2770" s="18">
        <f t="shared" si="1"/>
        <v>11.67</v>
      </c>
    </row>
    <row r="2771" ht="15.75" customHeight="1">
      <c r="A2771" s="19" t="s">
        <v>234</v>
      </c>
      <c r="B2771" s="19" t="s">
        <v>61</v>
      </c>
      <c r="C2771" s="20" t="s">
        <v>76</v>
      </c>
      <c r="D2771" s="14" t="str">
        <f>VLOOKUP(C2771,'State Key'!$A$2:$B$210,2,False)</f>
        <v>Rajasthan</v>
      </c>
      <c r="E2771" s="21">
        <v>1240.0</v>
      </c>
      <c r="F2771" s="22">
        <v>572.38451</v>
      </c>
      <c r="G2771" s="22">
        <v>0.0</v>
      </c>
      <c r="H2771" s="22">
        <v>0.0</v>
      </c>
      <c r="I2771" s="22">
        <v>0.0</v>
      </c>
      <c r="J2771" s="22">
        <v>0.0</v>
      </c>
      <c r="K2771" s="22">
        <v>31.77068</v>
      </c>
      <c r="L2771" s="22">
        <v>604.15519</v>
      </c>
      <c r="M2771" s="22">
        <v>608.9782</v>
      </c>
      <c r="N2771" s="22">
        <v>111.14</v>
      </c>
      <c r="O2771" s="17">
        <v>5.5</v>
      </c>
      <c r="P2771" s="18">
        <f t="shared" si="1"/>
        <v>604.15519</v>
      </c>
    </row>
    <row r="2772" ht="15.75" customHeight="1">
      <c r="A2772" s="13" t="s">
        <v>234</v>
      </c>
      <c r="B2772" s="13" t="s">
        <v>61</v>
      </c>
      <c r="C2772" s="14" t="s">
        <v>77</v>
      </c>
      <c r="D2772" s="14" t="str">
        <f>VLOOKUP(C2772,'State Key'!$A$2:$B$210,2,False)</f>
        <v>Uttar Pradesh</v>
      </c>
      <c r="E2772" s="15">
        <v>90.0</v>
      </c>
      <c r="F2772" s="16">
        <v>19.74</v>
      </c>
      <c r="G2772" s="16">
        <v>0.0</v>
      </c>
      <c r="H2772" s="16">
        <v>0.0</v>
      </c>
      <c r="I2772" s="16">
        <v>0.0</v>
      </c>
      <c r="J2772" s="16">
        <v>0.0</v>
      </c>
      <c r="K2772" s="16">
        <v>0.0</v>
      </c>
      <c r="L2772" s="16">
        <v>19.74</v>
      </c>
      <c r="M2772" s="16">
        <v>34.38</v>
      </c>
      <c r="N2772" s="16">
        <v>42.32</v>
      </c>
      <c r="O2772" s="24">
        <v>36.9</v>
      </c>
      <c r="P2772" s="18">
        <f t="shared" si="1"/>
        <v>19.74</v>
      </c>
    </row>
    <row r="2773" ht="15.75" customHeight="1">
      <c r="A2773" s="19" t="s">
        <v>234</v>
      </c>
      <c r="B2773" s="19" t="s">
        <v>61</v>
      </c>
      <c r="C2773" s="20" t="s">
        <v>78</v>
      </c>
      <c r="D2773" s="14" t="str">
        <f>VLOOKUP(C2773,'State Key'!$A$2:$B$210,2,False)</f>
        <v>Uttar Pradesh</v>
      </c>
      <c r="E2773" s="21">
        <v>1980.0</v>
      </c>
      <c r="F2773" s="22">
        <v>720.411</v>
      </c>
      <c r="G2773" s="22">
        <v>0.0</v>
      </c>
      <c r="H2773" s="22">
        <v>0.0</v>
      </c>
      <c r="I2773" s="22">
        <v>0.0</v>
      </c>
      <c r="J2773" s="22">
        <v>0.0</v>
      </c>
      <c r="K2773" s="22">
        <v>0.0</v>
      </c>
      <c r="L2773" s="22">
        <v>720.411</v>
      </c>
      <c r="M2773" s="22">
        <v>739.918</v>
      </c>
      <c r="N2773" s="22">
        <v>463.99</v>
      </c>
      <c r="O2773" s="24">
        <v>18.8</v>
      </c>
      <c r="P2773" s="18">
        <f t="shared" si="1"/>
        <v>720.411</v>
      </c>
    </row>
    <row r="2774" ht="15.75" customHeight="1">
      <c r="A2774" s="13" t="s">
        <v>234</v>
      </c>
      <c r="B2774" s="13" t="s">
        <v>61</v>
      </c>
      <c r="C2774" s="14" t="s">
        <v>79</v>
      </c>
      <c r="D2774" s="14" t="str">
        <f>VLOOKUP(C2774,'State Key'!$A$2:$B$210,2,False)</f>
        <v>Haryana</v>
      </c>
      <c r="E2774" s="15">
        <v>1320.0</v>
      </c>
      <c r="F2774" s="16">
        <v>428.524</v>
      </c>
      <c r="G2774" s="16">
        <v>0.0</v>
      </c>
      <c r="H2774" s="16">
        <v>0.0</v>
      </c>
      <c r="I2774" s="16">
        <v>0.0</v>
      </c>
      <c r="J2774" s="16">
        <v>0.0</v>
      </c>
      <c r="K2774" s="16">
        <v>0.0</v>
      </c>
      <c r="L2774" s="16">
        <v>428.524</v>
      </c>
      <c r="M2774" s="16">
        <v>499.503</v>
      </c>
      <c r="N2774" s="16">
        <v>468.62</v>
      </c>
      <c r="O2774" s="24">
        <v>28.1</v>
      </c>
      <c r="P2774" s="18">
        <f t="shared" si="1"/>
        <v>428.524</v>
      </c>
    </row>
    <row r="2775" ht="15.75" customHeight="1">
      <c r="A2775" s="19" t="s">
        <v>234</v>
      </c>
      <c r="B2775" s="19" t="s">
        <v>61</v>
      </c>
      <c r="C2775" s="20" t="s">
        <v>80</v>
      </c>
      <c r="D2775" s="14" t="str">
        <f>VLOOKUP(C2775,'State Key'!$A$2:$B$210,2,False)</f>
        <v>Uttar Pradesh</v>
      </c>
      <c r="E2775" s="21">
        <v>90.0</v>
      </c>
      <c r="F2775" s="22">
        <v>31.288</v>
      </c>
      <c r="G2775" s="22">
        <v>0.0</v>
      </c>
      <c r="H2775" s="22">
        <v>0.0</v>
      </c>
      <c r="I2775" s="22">
        <v>0.0</v>
      </c>
      <c r="J2775" s="22">
        <v>0.0</v>
      </c>
      <c r="K2775" s="22">
        <v>0.0</v>
      </c>
      <c r="L2775" s="22">
        <v>31.288</v>
      </c>
      <c r="M2775" s="22">
        <v>37.229</v>
      </c>
      <c r="N2775" s="22">
        <v>32.28</v>
      </c>
      <c r="O2775" s="24">
        <v>26.0</v>
      </c>
      <c r="P2775" s="18">
        <f t="shared" si="1"/>
        <v>31.288</v>
      </c>
    </row>
    <row r="2776" ht="15.75" customHeight="1">
      <c r="A2776" s="13" t="s">
        <v>234</v>
      </c>
      <c r="B2776" s="13" t="s">
        <v>61</v>
      </c>
      <c r="C2776" s="14" t="s">
        <v>81</v>
      </c>
      <c r="D2776" s="14" t="str">
        <f>VLOOKUP(C2776,'State Key'!$A$2:$B$210,2,False)</f>
        <v>Uttar Pradesh</v>
      </c>
      <c r="E2776" s="15">
        <v>1320.0</v>
      </c>
      <c r="F2776" s="16">
        <v>499.492</v>
      </c>
      <c r="G2776" s="16">
        <v>0.0</v>
      </c>
      <c r="H2776" s="16">
        <v>0.0</v>
      </c>
      <c r="I2776" s="16">
        <v>0.0</v>
      </c>
      <c r="J2776" s="16">
        <v>62.0639</v>
      </c>
      <c r="K2776" s="16">
        <v>0.0</v>
      </c>
      <c r="L2776" s="16">
        <v>561.5559</v>
      </c>
      <c r="M2776" s="16">
        <v>518.164</v>
      </c>
      <c r="N2776" s="16">
        <v>365.94</v>
      </c>
      <c r="O2776" s="24">
        <v>21.2</v>
      </c>
      <c r="P2776" s="18">
        <f t="shared" si="1"/>
        <v>561.5559</v>
      </c>
    </row>
    <row r="2777" ht="15.75" customHeight="1">
      <c r="A2777" s="19" t="s">
        <v>234</v>
      </c>
      <c r="B2777" s="19" t="s">
        <v>61</v>
      </c>
      <c r="C2777" s="20" t="s">
        <v>82</v>
      </c>
      <c r="D2777" s="14" t="str">
        <f>VLOOKUP(C2777,'State Key'!$A$2:$B$210,2,False)</f>
        <v>Uttar Pradesh</v>
      </c>
      <c r="E2777" s="21">
        <v>1660.0</v>
      </c>
      <c r="F2777" s="22">
        <v>523.11</v>
      </c>
      <c r="G2777" s="22">
        <v>0.0</v>
      </c>
      <c r="H2777" s="22">
        <v>0.0</v>
      </c>
      <c r="I2777" s="22">
        <v>0.0</v>
      </c>
      <c r="J2777" s="22">
        <v>0.0</v>
      </c>
      <c r="K2777" s="22">
        <v>0.0</v>
      </c>
      <c r="L2777" s="22">
        <v>523.11</v>
      </c>
      <c r="M2777" s="22">
        <v>545.585</v>
      </c>
      <c r="N2777" s="22">
        <v>250.68</v>
      </c>
      <c r="O2777" s="23">
        <v>13.8</v>
      </c>
      <c r="P2777" s="18">
        <f t="shared" si="1"/>
        <v>523.11</v>
      </c>
    </row>
    <row r="2778" ht="15.75" customHeight="1">
      <c r="A2778" s="13" t="s">
        <v>234</v>
      </c>
      <c r="B2778" s="13" t="s">
        <v>61</v>
      </c>
      <c r="C2778" s="14" t="s">
        <v>83</v>
      </c>
      <c r="D2778" s="14" t="str">
        <f>VLOOKUP(C2778,'State Key'!$A$2:$B$210,2,False)</f>
        <v>Haryana</v>
      </c>
      <c r="E2778" s="15">
        <v>710.0</v>
      </c>
      <c r="F2778" s="16">
        <v>284.546</v>
      </c>
      <c r="G2778" s="16">
        <v>0.0</v>
      </c>
      <c r="H2778" s="16">
        <v>0.0</v>
      </c>
      <c r="I2778" s="16">
        <v>0.0</v>
      </c>
      <c r="J2778" s="16">
        <v>0.0</v>
      </c>
      <c r="K2778" s="16">
        <v>0.0</v>
      </c>
      <c r="L2778" s="16">
        <v>284.546</v>
      </c>
      <c r="M2778" s="16">
        <v>334.507</v>
      </c>
      <c r="N2778" s="16">
        <v>232.45</v>
      </c>
      <c r="O2778" s="24">
        <v>20.8</v>
      </c>
      <c r="P2778" s="18">
        <f t="shared" si="1"/>
        <v>284.546</v>
      </c>
    </row>
    <row r="2779" ht="15.75" customHeight="1">
      <c r="A2779" s="19" t="s">
        <v>234</v>
      </c>
      <c r="B2779" s="19" t="s">
        <v>61</v>
      </c>
      <c r="C2779" s="20" t="s">
        <v>84</v>
      </c>
      <c r="D2779" s="14" t="str">
        <f>VLOOKUP(C2779,'State Key'!$A$2:$B$210,2,False)</f>
        <v>Uttar Pradesh</v>
      </c>
      <c r="E2779" s="21">
        <v>920.0</v>
      </c>
      <c r="F2779" s="22">
        <v>376.513</v>
      </c>
      <c r="G2779" s="22">
        <v>0.0</v>
      </c>
      <c r="H2779" s="22">
        <v>0.0</v>
      </c>
      <c r="I2779" s="22">
        <v>0.0</v>
      </c>
      <c r="J2779" s="22">
        <v>0.0</v>
      </c>
      <c r="K2779" s="22">
        <v>0.0</v>
      </c>
      <c r="L2779" s="22">
        <v>376.513</v>
      </c>
      <c r="M2779" s="22">
        <v>373.994</v>
      </c>
      <c r="N2779" s="22">
        <v>278.089</v>
      </c>
      <c r="O2779" s="24">
        <v>22.3</v>
      </c>
      <c r="P2779" s="18">
        <f t="shared" si="1"/>
        <v>376.513</v>
      </c>
    </row>
    <row r="2780" ht="15.75" customHeight="1">
      <c r="A2780" s="13" t="s">
        <v>234</v>
      </c>
      <c r="B2780" s="13" t="s">
        <v>61</v>
      </c>
      <c r="C2780" s="14" t="s">
        <v>85</v>
      </c>
      <c r="D2780" s="14" t="str">
        <f>VLOOKUP(C2780,'State Key'!$A$2:$B$210,2,False)</f>
        <v>Uttar Pradesh</v>
      </c>
      <c r="E2780" s="15">
        <v>1980.0</v>
      </c>
      <c r="F2780" s="16">
        <v>582.75</v>
      </c>
      <c r="G2780" s="16">
        <v>0.0</v>
      </c>
      <c r="H2780" s="16">
        <v>0.0</v>
      </c>
      <c r="I2780" s="16">
        <v>0.0</v>
      </c>
      <c r="J2780" s="16">
        <v>0.0</v>
      </c>
      <c r="K2780" s="16">
        <v>0.0</v>
      </c>
      <c r="L2780" s="16">
        <v>582.75</v>
      </c>
      <c r="M2780" s="16">
        <v>656.72</v>
      </c>
      <c r="N2780" s="16">
        <v>632.52</v>
      </c>
      <c r="O2780" s="24">
        <v>28.9</v>
      </c>
      <c r="P2780" s="18">
        <f t="shared" si="1"/>
        <v>582.75</v>
      </c>
    </row>
    <row r="2781" ht="15.75" customHeight="1">
      <c r="A2781" s="19" t="s">
        <v>234</v>
      </c>
      <c r="B2781" s="19" t="s">
        <v>61</v>
      </c>
      <c r="C2781" s="20" t="s">
        <v>86</v>
      </c>
      <c r="D2781" s="14" t="str">
        <f>VLOOKUP(C2781,'State Key'!$A$2:$B$210,2,False)</f>
        <v>Haryana</v>
      </c>
      <c r="E2781" s="21">
        <v>1200.0</v>
      </c>
      <c r="F2781" s="22">
        <v>382.416</v>
      </c>
      <c r="G2781" s="22">
        <v>0.0</v>
      </c>
      <c r="H2781" s="22">
        <v>0.0</v>
      </c>
      <c r="I2781" s="22">
        <v>0.0</v>
      </c>
      <c r="J2781" s="22">
        <v>0.0</v>
      </c>
      <c r="K2781" s="22">
        <v>0.0</v>
      </c>
      <c r="L2781" s="22">
        <v>382.416</v>
      </c>
      <c r="M2781" s="22">
        <v>494.735</v>
      </c>
      <c r="N2781" s="22">
        <v>331.71</v>
      </c>
      <c r="O2781" s="24">
        <v>20.1</v>
      </c>
      <c r="P2781" s="18">
        <f t="shared" si="1"/>
        <v>382.416</v>
      </c>
    </row>
    <row r="2782" ht="15.75" customHeight="1">
      <c r="A2782" s="13" t="s">
        <v>234</v>
      </c>
      <c r="B2782" s="13" t="s">
        <v>61</v>
      </c>
      <c r="C2782" s="14" t="s">
        <v>87</v>
      </c>
      <c r="D2782" s="14" t="str">
        <f>VLOOKUP(C2782,'State Key'!$A$2:$B$210,2,False)</f>
        <v>Punjab</v>
      </c>
      <c r="E2782" s="15">
        <v>1400.0</v>
      </c>
      <c r="F2782" s="16">
        <v>530.0055</v>
      </c>
      <c r="G2782" s="16">
        <v>0.0</v>
      </c>
      <c r="H2782" s="16">
        <v>0.0</v>
      </c>
      <c r="I2782" s="16">
        <v>0.0</v>
      </c>
      <c r="J2782" s="16">
        <v>0.0</v>
      </c>
      <c r="K2782" s="16">
        <v>0.0</v>
      </c>
      <c r="L2782" s="16">
        <v>530.0055</v>
      </c>
      <c r="M2782" s="16">
        <v>571.995</v>
      </c>
      <c r="N2782" s="16">
        <v>402.93</v>
      </c>
      <c r="O2782" s="24">
        <v>21.1</v>
      </c>
      <c r="P2782" s="18">
        <f t="shared" si="1"/>
        <v>530.0055</v>
      </c>
    </row>
    <row r="2783" ht="15.75" customHeight="1">
      <c r="A2783" s="19" t="s">
        <v>234</v>
      </c>
      <c r="B2783" s="19" t="s">
        <v>61</v>
      </c>
      <c r="C2783" s="20" t="s">
        <v>88</v>
      </c>
      <c r="D2783" s="14" t="str">
        <f>VLOOKUP(C2783,'State Key'!$A$2:$B$210,2,False)</f>
        <v>Uttar Pradesh</v>
      </c>
      <c r="E2783" s="21">
        <v>3000.0</v>
      </c>
      <c r="F2783" s="22">
        <v>1233.36</v>
      </c>
      <c r="G2783" s="22">
        <v>0.0</v>
      </c>
      <c r="H2783" s="22">
        <v>0.0</v>
      </c>
      <c r="I2783" s="22">
        <v>0.0</v>
      </c>
      <c r="J2783" s="22">
        <v>0.0</v>
      </c>
      <c r="K2783" s="22">
        <v>0.0</v>
      </c>
      <c r="L2783" s="22">
        <v>1233.36</v>
      </c>
      <c r="M2783" s="22">
        <v>1279.287</v>
      </c>
      <c r="N2783" s="22">
        <v>845.68</v>
      </c>
      <c r="O2783" s="24">
        <v>19.8</v>
      </c>
      <c r="P2783" s="18">
        <f t="shared" si="1"/>
        <v>1233.36</v>
      </c>
    </row>
    <row r="2784" ht="15.75" customHeight="1">
      <c r="A2784" s="13" t="s">
        <v>234</v>
      </c>
      <c r="B2784" s="13" t="s">
        <v>61</v>
      </c>
      <c r="C2784" s="14" t="s">
        <v>89</v>
      </c>
      <c r="D2784" s="14" t="str">
        <f>VLOOKUP(C2784,'State Key'!$A$2:$B$210,2,False)</f>
        <v>Punjab</v>
      </c>
      <c r="E2784" s="15">
        <v>840.0</v>
      </c>
      <c r="F2784" s="16">
        <v>45.08324</v>
      </c>
      <c r="G2784" s="16">
        <v>0.0</v>
      </c>
      <c r="H2784" s="16">
        <v>240.50001</v>
      </c>
      <c r="I2784" s="16">
        <v>0.0</v>
      </c>
      <c r="J2784" s="16">
        <v>0.0</v>
      </c>
      <c r="K2784" s="16">
        <v>0.0</v>
      </c>
      <c r="L2784" s="16">
        <v>285.58325</v>
      </c>
      <c r="M2784" s="16">
        <v>321.554</v>
      </c>
      <c r="N2784" s="16">
        <v>183.27</v>
      </c>
      <c r="O2784" s="24">
        <v>17.1</v>
      </c>
      <c r="P2784" s="18">
        <f t="shared" si="1"/>
        <v>285.58325</v>
      </c>
    </row>
    <row r="2785" ht="15.75" customHeight="1">
      <c r="A2785" s="19" t="s">
        <v>234</v>
      </c>
      <c r="B2785" s="19" t="s">
        <v>61</v>
      </c>
      <c r="C2785" s="20" t="s">
        <v>90</v>
      </c>
      <c r="D2785" s="14" t="str">
        <f>VLOOKUP(C2785,'State Key'!$A$2:$B$210,2,False)</f>
        <v>Uttar Pradesh</v>
      </c>
      <c r="E2785" s="21">
        <v>1200.0</v>
      </c>
      <c r="F2785" s="22">
        <v>428.30575</v>
      </c>
      <c r="G2785" s="22">
        <v>0.0</v>
      </c>
      <c r="H2785" s="22">
        <v>0.0</v>
      </c>
      <c r="I2785" s="22">
        <v>0.0</v>
      </c>
      <c r="J2785" s="22">
        <v>0.0</v>
      </c>
      <c r="K2785" s="22">
        <v>0.0</v>
      </c>
      <c r="L2785" s="22">
        <v>428.30575</v>
      </c>
      <c r="M2785" s="22">
        <v>444.151</v>
      </c>
      <c r="N2785" s="22">
        <v>336.0</v>
      </c>
      <c r="O2785" s="24">
        <v>22.7</v>
      </c>
      <c r="P2785" s="18">
        <f t="shared" si="1"/>
        <v>428.30575</v>
      </c>
    </row>
    <row r="2786" ht="15.75" customHeight="1">
      <c r="A2786" s="13" t="s">
        <v>234</v>
      </c>
      <c r="B2786" s="13" t="s">
        <v>61</v>
      </c>
      <c r="C2786" s="14" t="s">
        <v>219</v>
      </c>
      <c r="D2786" s="14" t="str">
        <f>VLOOKUP(C2786,'State Key'!$A$2:$B$210,2,False)</f>
        <v>Rajasthan</v>
      </c>
      <c r="E2786" s="15">
        <v>300.0</v>
      </c>
      <c r="F2786" s="16">
        <v>0.0</v>
      </c>
      <c r="G2786" s="16">
        <v>0.0</v>
      </c>
      <c r="H2786" s="16">
        <v>0.0</v>
      </c>
      <c r="I2786" s="16">
        <v>0.0</v>
      </c>
      <c r="J2786" s="16">
        <v>58.98</v>
      </c>
      <c r="K2786" s="16">
        <v>0.0</v>
      </c>
      <c r="L2786" s="16">
        <v>58.98</v>
      </c>
      <c r="M2786" s="16">
        <v>58.98</v>
      </c>
      <c r="N2786" s="16">
        <v>0.0</v>
      </c>
      <c r="O2786" s="17">
        <v>0.0</v>
      </c>
      <c r="P2786" s="18">
        <f t="shared" si="1"/>
        <v>58.98</v>
      </c>
    </row>
    <row r="2787" ht="15.75" customHeight="1">
      <c r="A2787" s="19" t="s">
        <v>234</v>
      </c>
      <c r="B2787" s="19" t="s">
        <v>61</v>
      </c>
      <c r="C2787" s="20" t="s">
        <v>91</v>
      </c>
      <c r="D2787" s="14" t="str">
        <f>VLOOKUP(C2787,'State Key'!$A$2:$B$210,2,False)</f>
        <v>Uttar Pradesh</v>
      </c>
      <c r="E2787" s="21">
        <v>2000.0</v>
      </c>
      <c r="F2787" s="22">
        <v>900.39</v>
      </c>
      <c r="G2787" s="22">
        <v>0.0</v>
      </c>
      <c r="H2787" s="22">
        <v>0.0</v>
      </c>
      <c r="I2787" s="22">
        <v>0.0</v>
      </c>
      <c r="J2787" s="22">
        <v>0.0</v>
      </c>
      <c r="K2787" s="22">
        <v>0.0</v>
      </c>
      <c r="L2787" s="22">
        <v>900.39</v>
      </c>
      <c r="M2787" s="22">
        <v>953.266</v>
      </c>
      <c r="N2787" s="22">
        <v>300.11</v>
      </c>
      <c r="O2787" s="23">
        <v>9.4</v>
      </c>
      <c r="P2787" s="18">
        <f t="shared" si="1"/>
        <v>900.39</v>
      </c>
    </row>
    <row r="2788" ht="15.75" customHeight="1">
      <c r="A2788" s="13" t="s">
        <v>234</v>
      </c>
      <c r="B2788" s="13" t="s">
        <v>61</v>
      </c>
      <c r="C2788" s="14" t="s">
        <v>92</v>
      </c>
      <c r="D2788" s="14" t="str">
        <f>VLOOKUP(C2788,'State Key'!$A$2:$B$210,2,False)</f>
        <v>Rajasthan</v>
      </c>
      <c r="E2788" s="15">
        <v>1320.0</v>
      </c>
      <c r="F2788" s="16">
        <v>289.58045</v>
      </c>
      <c r="G2788" s="16">
        <v>0.0</v>
      </c>
      <c r="H2788" s="16">
        <v>90.92698</v>
      </c>
      <c r="I2788" s="16">
        <v>0.0</v>
      </c>
      <c r="J2788" s="16">
        <v>0.0</v>
      </c>
      <c r="K2788" s="16">
        <v>0.0</v>
      </c>
      <c r="L2788" s="16">
        <v>380.50743</v>
      </c>
      <c r="M2788" s="16">
        <v>365.214</v>
      </c>
      <c r="N2788" s="16">
        <v>148.31</v>
      </c>
      <c r="O2788" s="23">
        <v>12.2</v>
      </c>
      <c r="P2788" s="18">
        <f t="shared" si="1"/>
        <v>380.50743</v>
      </c>
    </row>
    <row r="2789" ht="15.75" customHeight="1">
      <c r="A2789" s="19" t="s">
        <v>234</v>
      </c>
      <c r="B2789" s="19" t="s">
        <v>61</v>
      </c>
      <c r="C2789" s="20" t="s">
        <v>93</v>
      </c>
      <c r="D2789" s="14" t="str">
        <f>VLOOKUP(C2789,'State Key'!$A$2:$B$210,2,False)</f>
        <v>Rajasthan</v>
      </c>
      <c r="E2789" s="21">
        <v>1500.0</v>
      </c>
      <c r="F2789" s="22">
        <v>600.919</v>
      </c>
      <c r="G2789" s="22">
        <v>0.0</v>
      </c>
      <c r="H2789" s="22">
        <v>0.0</v>
      </c>
      <c r="I2789" s="22">
        <v>0.0</v>
      </c>
      <c r="J2789" s="22">
        <v>0.0</v>
      </c>
      <c r="K2789" s="22">
        <v>0.0</v>
      </c>
      <c r="L2789" s="22">
        <v>600.919</v>
      </c>
      <c r="M2789" s="22">
        <v>574.24</v>
      </c>
      <c r="N2789" s="22">
        <v>113.75</v>
      </c>
      <c r="O2789" s="17">
        <v>5.9</v>
      </c>
      <c r="P2789" s="18">
        <f t="shared" si="1"/>
        <v>600.919</v>
      </c>
    </row>
    <row r="2790" ht="15.75" customHeight="1">
      <c r="A2790" s="13" t="s">
        <v>234</v>
      </c>
      <c r="B2790" s="13" t="s">
        <v>61</v>
      </c>
      <c r="C2790" s="14" t="s">
        <v>94</v>
      </c>
      <c r="D2790" s="14" t="str">
        <f>VLOOKUP(C2790,'State Key'!$A$2:$B$210,2,False)</f>
        <v>Punjab</v>
      </c>
      <c r="E2790" s="15">
        <v>1980.0</v>
      </c>
      <c r="F2790" s="16">
        <v>763.976</v>
      </c>
      <c r="G2790" s="16">
        <v>0.0</v>
      </c>
      <c r="H2790" s="16">
        <v>0.0</v>
      </c>
      <c r="I2790" s="16">
        <v>0.0</v>
      </c>
      <c r="J2790" s="16">
        <v>0.0</v>
      </c>
      <c r="K2790" s="16">
        <v>0.0</v>
      </c>
      <c r="L2790" s="16">
        <v>763.976</v>
      </c>
      <c r="M2790" s="16">
        <v>767.766</v>
      </c>
      <c r="N2790" s="16">
        <v>105.75</v>
      </c>
      <c r="O2790" s="17">
        <v>4.1</v>
      </c>
      <c r="P2790" s="18">
        <f t="shared" si="1"/>
        <v>763.976</v>
      </c>
    </row>
    <row r="2791" ht="15.75" customHeight="1">
      <c r="A2791" s="19" t="s">
        <v>234</v>
      </c>
      <c r="B2791" s="19" t="s">
        <v>61</v>
      </c>
      <c r="C2791" s="20" t="s">
        <v>95</v>
      </c>
      <c r="D2791" s="14" t="str">
        <f>VLOOKUP(C2791,'State Key'!$A$2:$B$210,2,False)</f>
        <v>Uttar Pradesh</v>
      </c>
      <c r="E2791" s="21">
        <v>1760.0</v>
      </c>
      <c r="F2791" s="22">
        <v>358.92</v>
      </c>
      <c r="G2791" s="22">
        <v>0.0</v>
      </c>
      <c r="H2791" s="22">
        <v>171.4</v>
      </c>
      <c r="I2791" s="22">
        <v>0.0</v>
      </c>
      <c r="J2791" s="22">
        <v>36.87</v>
      </c>
      <c r="K2791" s="22">
        <v>0.0</v>
      </c>
      <c r="L2791" s="22">
        <v>567.19</v>
      </c>
      <c r="M2791" s="22">
        <v>660.753</v>
      </c>
      <c r="N2791" s="22">
        <v>569.391</v>
      </c>
      <c r="O2791" s="24">
        <v>25.9</v>
      </c>
      <c r="P2791" s="18">
        <f t="shared" si="1"/>
        <v>567.19</v>
      </c>
    </row>
    <row r="2792" ht="15.75" customHeight="1">
      <c r="A2792" s="13" t="s">
        <v>234</v>
      </c>
      <c r="B2792" s="13" t="s">
        <v>61</v>
      </c>
      <c r="C2792" s="14" t="s">
        <v>96</v>
      </c>
      <c r="D2792" s="14" t="str">
        <f>VLOOKUP(C2792,'State Key'!$A$2:$B$210,2,False)</f>
        <v>Uttar Pradesh</v>
      </c>
      <c r="E2792" s="15">
        <v>1550.0</v>
      </c>
      <c r="F2792" s="16">
        <v>453.9</v>
      </c>
      <c r="G2792" s="16">
        <v>0.0</v>
      </c>
      <c r="H2792" s="16">
        <v>95.9</v>
      </c>
      <c r="I2792" s="16">
        <v>0.0</v>
      </c>
      <c r="J2792" s="16">
        <v>16.041</v>
      </c>
      <c r="K2792" s="16">
        <v>0.0</v>
      </c>
      <c r="L2792" s="16">
        <v>565.841</v>
      </c>
      <c r="M2792" s="16">
        <v>609.18</v>
      </c>
      <c r="N2792" s="16">
        <v>353.978</v>
      </c>
      <c r="O2792" s="24">
        <v>17.4</v>
      </c>
      <c r="P2792" s="18">
        <f t="shared" si="1"/>
        <v>565.841</v>
      </c>
    </row>
    <row r="2793" ht="15.75" customHeight="1">
      <c r="A2793" s="19" t="s">
        <v>234</v>
      </c>
      <c r="B2793" s="19" t="s">
        <v>61</v>
      </c>
      <c r="C2793" s="20" t="s">
        <v>97</v>
      </c>
      <c r="D2793" s="14" t="str">
        <f>VLOOKUP(C2793,'State Key'!$A$2:$B$210,2,False)</f>
        <v>Uttar Pradesh</v>
      </c>
      <c r="E2793" s="21">
        <v>90.0</v>
      </c>
      <c r="F2793" s="22">
        <v>31.66</v>
      </c>
      <c r="G2793" s="22">
        <v>0.0</v>
      </c>
      <c r="H2793" s="22">
        <v>0.0</v>
      </c>
      <c r="I2793" s="22">
        <v>0.0</v>
      </c>
      <c r="J2793" s="22">
        <v>0.0</v>
      </c>
      <c r="K2793" s="22">
        <v>0.0</v>
      </c>
      <c r="L2793" s="22">
        <v>31.66</v>
      </c>
      <c r="M2793" s="22">
        <v>34.689</v>
      </c>
      <c r="N2793" s="22">
        <v>43.32</v>
      </c>
      <c r="O2793" s="24">
        <v>37.5</v>
      </c>
      <c r="P2793" s="18">
        <f t="shared" si="1"/>
        <v>31.66</v>
      </c>
    </row>
    <row r="2794" ht="15.75" customHeight="1">
      <c r="A2794" s="13" t="s">
        <v>234</v>
      </c>
      <c r="B2794" s="13" t="s">
        <v>61</v>
      </c>
      <c r="C2794" s="14" t="s">
        <v>98</v>
      </c>
      <c r="D2794" s="14" t="str">
        <f>VLOOKUP(C2794,'State Key'!$A$2:$B$210,2,False)</f>
        <v>Haryana</v>
      </c>
      <c r="E2794" s="15">
        <v>600.0</v>
      </c>
      <c r="F2794" s="16">
        <v>259.193</v>
      </c>
      <c r="G2794" s="16">
        <v>0.0</v>
      </c>
      <c r="H2794" s="16">
        <v>0.0</v>
      </c>
      <c r="I2794" s="16">
        <v>0.0</v>
      </c>
      <c r="J2794" s="16">
        <v>0.0</v>
      </c>
      <c r="K2794" s="16">
        <v>0.0</v>
      </c>
      <c r="L2794" s="16">
        <v>259.193</v>
      </c>
      <c r="M2794" s="16">
        <v>244.191</v>
      </c>
      <c r="N2794" s="16">
        <v>232.0</v>
      </c>
      <c r="O2794" s="24">
        <v>28.5</v>
      </c>
      <c r="P2794" s="18">
        <f t="shared" si="1"/>
        <v>259.193</v>
      </c>
    </row>
    <row r="2795" ht="15.75" customHeight="1">
      <c r="A2795" s="19" t="s">
        <v>234</v>
      </c>
      <c r="B2795" s="19" t="s">
        <v>99</v>
      </c>
      <c r="C2795" s="20" t="s">
        <v>230</v>
      </c>
      <c r="D2795" s="14" t="str">
        <f>VLOOKUP(C2795,'State Key'!$A$2:$B$210,2,False)</f>
        <v>Karnataka</v>
      </c>
      <c r="E2795" s="21">
        <v>1200.0</v>
      </c>
      <c r="F2795" s="22">
        <v>0.0</v>
      </c>
      <c r="G2795" s="22">
        <v>0.0</v>
      </c>
      <c r="H2795" s="22">
        <v>0.0</v>
      </c>
      <c r="I2795" s="22">
        <v>0.0</v>
      </c>
      <c r="J2795" s="22">
        <v>55.688</v>
      </c>
      <c r="K2795" s="22">
        <v>0.0</v>
      </c>
      <c r="L2795" s="22">
        <v>55.688</v>
      </c>
      <c r="M2795" s="22">
        <v>145.61</v>
      </c>
      <c r="N2795" s="22">
        <v>134.48</v>
      </c>
      <c r="O2795" s="24">
        <v>27.7</v>
      </c>
      <c r="P2795" s="18">
        <f t="shared" si="1"/>
        <v>55.688</v>
      </c>
    </row>
    <row r="2796" ht="15.75" customHeight="1">
      <c r="A2796" s="13" t="s">
        <v>234</v>
      </c>
      <c r="B2796" s="13" t="s">
        <v>99</v>
      </c>
      <c r="C2796" s="14" t="s">
        <v>100</v>
      </c>
      <c r="D2796" s="14" t="str">
        <f>VLOOKUP(C2796,'State Key'!$A$2:$B$210,2,False)</f>
        <v>Karnataka</v>
      </c>
      <c r="E2796" s="15">
        <v>1700.0</v>
      </c>
      <c r="F2796" s="16">
        <v>143.27639</v>
      </c>
      <c r="G2796" s="16">
        <v>137.53228</v>
      </c>
      <c r="H2796" s="16">
        <v>290.94404</v>
      </c>
      <c r="I2796" s="16">
        <v>0.0</v>
      </c>
      <c r="J2796" s="16">
        <v>39.2946</v>
      </c>
      <c r="K2796" s="16">
        <v>0.0</v>
      </c>
      <c r="L2796" s="16">
        <v>611.04731</v>
      </c>
      <c r="M2796" s="16">
        <v>632.7899</v>
      </c>
      <c r="N2796" s="16">
        <v>485.461</v>
      </c>
      <c r="O2796" s="24">
        <v>23.0</v>
      </c>
      <c r="P2796" s="18">
        <f t="shared" si="1"/>
        <v>611.04731</v>
      </c>
    </row>
    <row r="2797" ht="15.75" customHeight="1">
      <c r="A2797" s="19" t="s">
        <v>234</v>
      </c>
      <c r="B2797" s="19" t="s">
        <v>99</v>
      </c>
      <c r="C2797" s="20" t="s">
        <v>101</v>
      </c>
      <c r="D2797" s="14" t="str">
        <f>VLOOKUP(C2797,'State Key'!$A$2:$B$210,2,False)</f>
        <v>Telangana</v>
      </c>
      <c r="E2797" s="21">
        <v>1080.0</v>
      </c>
      <c r="F2797" s="22">
        <v>0.0</v>
      </c>
      <c r="G2797" s="22">
        <v>337.16</v>
      </c>
      <c r="H2797" s="22">
        <v>0.0</v>
      </c>
      <c r="I2797" s="22">
        <v>0.0</v>
      </c>
      <c r="J2797" s="22">
        <v>0.0</v>
      </c>
      <c r="K2797" s="22">
        <v>0.0</v>
      </c>
      <c r="L2797" s="22">
        <v>337.16</v>
      </c>
      <c r="M2797" s="22">
        <v>327.81</v>
      </c>
      <c r="N2797" s="22">
        <v>144.044</v>
      </c>
      <c r="O2797" s="23">
        <v>13.2</v>
      </c>
      <c r="P2797" s="18">
        <f t="shared" si="1"/>
        <v>337.16</v>
      </c>
    </row>
    <row r="2798" ht="15.75" customHeight="1">
      <c r="A2798" s="13" t="s">
        <v>234</v>
      </c>
      <c r="B2798" s="13" t="s">
        <v>99</v>
      </c>
      <c r="C2798" s="14" t="s">
        <v>102</v>
      </c>
      <c r="D2798" s="14" t="str">
        <f>VLOOKUP(C2798,'State Key'!$A$2:$B$210,2,False)</f>
        <v>Andhra Pradesh</v>
      </c>
      <c r="E2798" s="15">
        <v>2400.0</v>
      </c>
      <c r="F2798" s="16">
        <v>520.53794</v>
      </c>
      <c r="G2798" s="16">
        <v>0.0</v>
      </c>
      <c r="H2798" s="16">
        <v>0.0</v>
      </c>
      <c r="I2798" s="16">
        <v>0.0</v>
      </c>
      <c r="J2798" s="16">
        <v>0.0</v>
      </c>
      <c r="K2798" s="16">
        <v>0.0</v>
      </c>
      <c r="L2798" s="16">
        <v>520.53794</v>
      </c>
      <c r="M2798" s="16">
        <v>439.597</v>
      </c>
      <c r="N2798" s="16">
        <v>142.5086</v>
      </c>
      <c r="O2798" s="23">
        <v>9.7</v>
      </c>
      <c r="P2798" s="18">
        <f t="shared" si="1"/>
        <v>520.53794</v>
      </c>
    </row>
    <row r="2799" ht="15.75" customHeight="1">
      <c r="A2799" s="19" t="s">
        <v>234</v>
      </c>
      <c r="B2799" s="19" t="s">
        <v>99</v>
      </c>
      <c r="C2799" s="20" t="s">
        <v>103</v>
      </c>
      <c r="D2799" s="14" t="str">
        <f>VLOOKUP(C2799,'State Key'!$A$2:$B$210,2,False)</f>
        <v>Andhra Pradesh</v>
      </c>
      <c r="E2799" s="21">
        <v>2560.0</v>
      </c>
      <c r="F2799" s="22">
        <v>734.305</v>
      </c>
      <c r="G2799" s="22">
        <v>130.187</v>
      </c>
      <c r="H2799" s="22">
        <v>0.0</v>
      </c>
      <c r="I2799" s="22">
        <v>0.0</v>
      </c>
      <c r="J2799" s="22">
        <v>0.0</v>
      </c>
      <c r="K2799" s="22">
        <v>0.0</v>
      </c>
      <c r="L2799" s="22">
        <v>864.492</v>
      </c>
      <c r="M2799" s="22">
        <v>876.313</v>
      </c>
      <c r="N2799" s="22">
        <v>56.97</v>
      </c>
      <c r="O2799" s="17">
        <v>2.0</v>
      </c>
      <c r="P2799" s="18">
        <f t="shared" si="1"/>
        <v>864.492</v>
      </c>
    </row>
    <row r="2800" ht="15.75" customHeight="1">
      <c r="A2800" s="13" t="s">
        <v>234</v>
      </c>
      <c r="B2800" s="13" t="s">
        <v>99</v>
      </c>
      <c r="C2800" s="14" t="s">
        <v>104</v>
      </c>
      <c r="D2800" s="14" t="str">
        <f>VLOOKUP(C2800,'State Key'!$A$2:$B$210,2,False)</f>
        <v>Tamil Nadu</v>
      </c>
      <c r="E2800" s="15">
        <v>1200.0</v>
      </c>
      <c r="F2800" s="16">
        <v>0.0</v>
      </c>
      <c r="G2800" s="16">
        <v>0.0</v>
      </c>
      <c r="H2800" s="16">
        <v>0.0</v>
      </c>
      <c r="I2800" s="16">
        <v>0.0</v>
      </c>
      <c r="J2800" s="16">
        <v>445.8117</v>
      </c>
      <c r="K2800" s="16">
        <v>0.0</v>
      </c>
      <c r="L2800" s="16">
        <v>445.8117</v>
      </c>
      <c r="M2800" s="16">
        <v>467.2665</v>
      </c>
      <c r="N2800" s="16">
        <v>417.49</v>
      </c>
      <c r="O2800" s="24">
        <v>26.8</v>
      </c>
      <c r="P2800" s="18">
        <f t="shared" si="1"/>
        <v>445.8117</v>
      </c>
    </row>
    <row r="2801" ht="15.75" customHeight="1">
      <c r="A2801" s="19" t="s">
        <v>234</v>
      </c>
      <c r="B2801" s="19" t="s">
        <v>99</v>
      </c>
      <c r="C2801" s="20" t="s">
        <v>105</v>
      </c>
      <c r="D2801" s="14" t="str">
        <f>VLOOKUP(C2801,'State Key'!$A$2:$B$210,2,False)</f>
        <v>Telangana</v>
      </c>
      <c r="E2801" s="21">
        <v>1100.0</v>
      </c>
      <c r="F2801" s="22">
        <v>0.0</v>
      </c>
      <c r="G2801" s="22">
        <v>123.413</v>
      </c>
      <c r="H2801" s="22">
        <v>155.013</v>
      </c>
      <c r="I2801" s="22">
        <v>0.0</v>
      </c>
      <c r="J2801" s="22">
        <v>0.0</v>
      </c>
      <c r="K2801" s="22">
        <v>0.0</v>
      </c>
      <c r="L2801" s="22">
        <v>278.426</v>
      </c>
      <c r="M2801" s="22">
        <v>248.933</v>
      </c>
      <c r="N2801" s="22">
        <v>287.63</v>
      </c>
      <c r="O2801" s="24">
        <v>34.7</v>
      </c>
      <c r="P2801" s="18">
        <f t="shared" si="1"/>
        <v>278.426</v>
      </c>
    </row>
    <row r="2802" ht="15.75" customHeight="1">
      <c r="A2802" s="13" t="s">
        <v>234</v>
      </c>
      <c r="B2802" s="13" t="s">
        <v>99</v>
      </c>
      <c r="C2802" s="14" t="s">
        <v>106</v>
      </c>
      <c r="D2802" s="14" t="str">
        <f>VLOOKUP(C2802,'State Key'!$A$2:$B$210,2,False)</f>
        <v>Telangana</v>
      </c>
      <c r="E2802" s="15">
        <v>1000.0</v>
      </c>
      <c r="F2802" s="16">
        <v>0.0</v>
      </c>
      <c r="G2802" s="16">
        <v>226.349</v>
      </c>
      <c r="H2802" s="16">
        <v>0.0</v>
      </c>
      <c r="I2802" s="16">
        <v>0.0</v>
      </c>
      <c r="J2802" s="16">
        <v>0.0</v>
      </c>
      <c r="K2802" s="16">
        <v>0.0</v>
      </c>
      <c r="L2802" s="16">
        <v>226.349</v>
      </c>
      <c r="M2802" s="16">
        <v>280.73</v>
      </c>
      <c r="N2802" s="16">
        <v>261.468</v>
      </c>
      <c r="O2802" s="24">
        <v>27.9</v>
      </c>
      <c r="P2802" s="18">
        <f t="shared" si="1"/>
        <v>226.349</v>
      </c>
    </row>
    <row r="2803" ht="15.75" customHeight="1">
      <c r="A2803" s="19" t="s">
        <v>234</v>
      </c>
      <c r="B2803" s="19" t="s">
        <v>99</v>
      </c>
      <c r="C2803" s="20" t="s">
        <v>107</v>
      </c>
      <c r="D2803" s="14" t="str">
        <f>VLOOKUP(C2803,'State Key'!$A$2:$B$210,2,False)</f>
        <v>Telangana</v>
      </c>
      <c r="E2803" s="21">
        <v>800.0</v>
      </c>
      <c r="F2803" s="22">
        <v>0.0</v>
      </c>
      <c r="G2803" s="22">
        <v>199.232</v>
      </c>
      <c r="H2803" s="22">
        <v>0.0</v>
      </c>
      <c r="I2803" s="22">
        <v>0.0</v>
      </c>
      <c r="J2803" s="22">
        <v>0.0</v>
      </c>
      <c r="K2803" s="22">
        <v>0.0</v>
      </c>
      <c r="L2803" s="22">
        <v>199.232</v>
      </c>
      <c r="M2803" s="22">
        <v>227.51</v>
      </c>
      <c r="N2803" s="22">
        <v>58.018</v>
      </c>
      <c r="O2803" s="23">
        <v>7.7</v>
      </c>
      <c r="P2803" s="18">
        <f t="shared" si="1"/>
        <v>199.232</v>
      </c>
    </row>
    <row r="2804" ht="15.75" customHeight="1">
      <c r="A2804" s="13" t="s">
        <v>234</v>
      </c>
      <c r="B2804" s="13" t="s">
        <v>99</v>
      </c>
      <c r="C2804" s="14" t="s">
        <v>108</v>
      </c>
      <c r="D2804" s="14" t="str">
        <f>VLOOKUP(C2804,'State Key'!$A$2:$B$210,2,False)</f>
        <v>Karnataka</v>
      </c>
      <c r="E2804" s="15">
        <v>2400.0</v>
      </c>
      <c r="F2804" s="16">
        <v>287.57</v>
      </c>
      <c r="G2804" s="16">
        <v>272.06</v>
      </c>
      <c r="H2804" s="16">
        <v>199.08</v>
      </c>
      <c r="I2804" s="16">
        <v>0.0</v>
      </c>
      <c r="J2804" s="16">
        <v>1.234</v>
      </c>
      <c r="K2804" s="16">
        <v>0.0</v>
      </c>
      <c r="L2804" s="16">
        <v>759.944</v>
      </c>
      <c r="M2804" s="16">
        <v>526.121</v>
      </c>
      <c r="N2804" s="16">
        <v>603.641</v>
      </c>
      <c r="O2804" s="24">
        <v>34.4</v>
      </c>
      <c r="P2804" s="18">
        <f t="shared" si="1"/>
        <v>759.944</v>
      </c>
    </row>
    <row r="2805" ht="15.75" customHeight="1">
      <c r="A2805" s="19" t="s">
        <v>234</v>
      </c>
      <c r="B2805" s="19" t="s">
        <v>99</v>
      </c>
      <c r="C2805" s="20" t="s">
        <v>231</v>
      </c>
      <c r="D2805" s="14" t="str">
        <f>VLOOKUP(C2805,'State Key'!$A$2:$B$210,2,False)</f>
        <v>Karnataka</v>
      </c>
      <c r="E2805" s="21">
        <v>1200.0</v>
      </c>
      <c r="F2805" s="22">
        <v>0.0</v>
      </c>
      <c r="G2805" s="22">
        <v>0.0</v>
      </c>
      <c r="H2805" s="22">
        <v>0.0</v>
      </c>
      <c r="I2805" s="22">
        <v>0.0</v>
      </c>
      <c r="J2805" s="22">
        <v>55.688</v>
      </c>
      <c r="K2805" s="22">
        <v>0.0</v>
      </c>
      <c r="L2805" s="22">
        <v>55.688</v>
      </c>
      <c r="M2805" s="22">
        <v>145.61</v>
      </c>
      <c r="N2805" s="22">
        <v>134.48</v>
      </c>
      <c r="O2805" s="24">
        <v>27.7</v>
      </c>
      <c r="P2805" s="18">
        <f t="shared" si="1"/>
        <v>55.688</v>
      </c>
    </row>
    <row r="2806" ht="15.75" customHeight="1">
      <c r="A2806" s="13" t="s">
        <v>234</v>
      </c>
      <c r="B2806" s="13" t="s">
        <v>99</v>
      </c>
      <c r="C2806" s="14" t="s">
        <v>109</v>
      </c>
      <c r="D2806" s="14" t="str">
        <f>VLOOKUP(C2806,'State Key'!$A$2:$B$210,2,False)</f>
        <v>Tamil Nadu</v>
      </c>
      <c r="E2806" s="15">
        <v>840.0</v>
      </c>
      <c r="F2806" s="16">
        <v>231.6451</v>
      </c>
      <c r="G2806" s="16">
        <v>149.3122</v>
      </c>
      <c r="H2806" s="16">
        <v>0.0</v>
      </c>
      <c r="I2806" s="16">
        <v>0.0</v>
      </c>
      <c r="J2806" s="16">
        <v>0.0</v>
      </c>
      <c r="K2806" s="16">
        <v>0.0</v>
      </c>
      <c r="L2806" s="16">
        <v>380.9573</v>
      </c>
      <c r="M2806" s="16">
        <v>279.556</v>
      </c>
      <c r="N2806" s="16">
        <v>327.65</v>
      </c>
      <c r="O2806" s="24">
        <v>35.2</v>
      </c>
      <c r="P2806" s="18">
        <f t="shared" si="1"/>
        <v>380.9573</v>
      </c>
    </row>
    <row r="2807" ht="15.75" customHeight="1">
      <c r="A2807" s="19" t="s">
        <v>234</v>
      </c>
      <c r="B2807" s="19" t="s">
        <v>99</v>
      </c>
      <c r="C2807" s="20" t="s">
        <v>110</v>
      </c>
      <c r="D2807" s="14" t="str">
        <f>VLOOKUP(C2807,'State Key'!$A$2:$B$210,2,False)</f>
        <v>Tamil Nadu</v>
      </c>
      <c r="E2807" s="21">
        <v>600.0</v>
      </c>
      <c r="F2807" s="22">
        <v>130.73</v>
      </c>
      <c r="G2807" s="22">
        <v>105.712</v>
      </c>
      <c r="H2807" s="22">
        <v>0.0</v>
      </c>
      <c r="I2807" s="22">
        <v>0.0</v>
      </c>
      <c r="J2807" s="22">
        <v>0.0</v>
      </c>
      <c r="K2807" s="22">
        <v>0.0</v>
      </c>
      <c r="L2807" s="22">
        <v>236.442</v>
      </c>
      <c r="M2807" s="22">
        <v>231.779</v>
      </c>
      <c r="N2807" s="22">
        <v>145.05</v>
      </c>
      <c r="O2807" s="24">
        <v>18.8</v>
      </c>
      <c r="P2807" s="18">
        <f t="shared" si="1"/>
        <v>236.442</v>
      </c>
    </row>
    <row r="2808" ht="15.75" customHeight="1">
      <c r="A2808" s="13" t="s">
        <v>234</v>
      </c>
      <c r="B2808" s="13" t="s">
        <v>99</v>
      </c>
      <c r="C2808" s="14" t="s">
        <v>111</v>
      </c>
      <c r="D2808" s="14" t="str">
        <f>VLOOKUP(C2808,'State Key'!$A$2:$B$210,2,False)</f>
        <v>Tamil Nadu</v>
      </c>
      <c r="E2808" s="15">
        <v>1200.0</v>
      </c>
      <c r="F2808" s="16">
        <v>0.0</v>
      </c>
      <c r="G2808" s="16">
        <v>0.0</v>
      </c>
      <c r="H2808" s="16">
        <v>0.0</v>
      </c>
      <c r="I2808" s="16">
        <v>0.0</v>
      </c>
      <c r="J2808" s="16">
        <v>319.711</v>
      </c>
      <c r="K2808" s="16">
        <v>0.0</v>
      </c>
      <c r="L2808" s="16">
        <v>319.711</v>
      </c>
      <c r="M2808" s="16">
        <v>198.578</v>
      </c>
      <c r="N2808" s="16">
        <v>214.46</v>
      </c>
      <c r="O2808" s="24">
        <v>32.4</v>
      </c>
      <c r="P2808" s="18">
        <f t="shared" si="1"/>
        <v>319.711</v>
      </c>
    </row>
    <row r="2809" ht="15.75" customHeight="1">
      <c r="A2809" s="19" t="s">
        <v>234</v>
      </c>
      <c r="B2809" s="19" t="s">
        <v>99</v>
      </c>
      <c r="C2809" s="20" t="s">
        <v>112</v>
      </c>
      <c r="D2809" s="14" t="str">
        <f>VLOOKUP(C2809,'State Key'!$A$2:$B$210,2,False)</f>
        <v>Tamil Nadu</v>
      </c>
      <c r="E2809" s="21">
        <v>1830.0</v>
      </c>
      <c r="F2809" s="22">
        <v>669.864</v>
      </c>
      <c r="G2809" s="22">
        <v>0.0</v>
      </c>
      <c r="H2809" s="22">
        <v>0.0</v>
      </c>
      <c r="I2809" s="22">
        <v>0.0</v>
      </c>
      <c r="J2809" s="22">
        <v>0.0</v>
      </c>
      <c r="K2809" s="22">
        <v>0.0</v>
      </c>
      <c r="L2809" s="22">
        <v>669.864</v>
      </c>
      <c r="M2809" s="22">
        <v>660.9</v>
      </c>
      <c r="N2809" s="22">
        <v>554.04</v>
      </c>
      <c r="O2809" s="24">
        <v>25.1</v>
      </c>
      <c r="P2809" s="18">
        <f t="shared" si="1"/>
        <v>669.864</v>
      </c>
    </row>
    <row r="2810" ht="15.75" customHeight="1">
      <c r="A2810" s="13" t="s">
        <v>234</v>
      </c>
      <c r="B2810" s="13" t="s">
        <v>99</v>
      </c>
      <c r="C2810" s="14" t="s">
        <v>113</v>
      </c>
      <c r="D2810" s="14" t="str">
        <f>VLOOKUP(C2810,'State Key'!$A$2:$B$210,2,False)</f>
        <v>Tamil Nadu</v>
      </c>
      <c r="E2810" s="15">
        <v>1000.0</v>
      </c>
      <c r="F2810" s="16">
        <v>0.0</v>
      </c>
      <c r="G2810" s="16">
        <v>0.0</v>
      </c>
      <c r="H2810" s="16">
        <v>198.2</v>
      </c>
      <c r="I2810" s="16">
        <v>0.0</v>
      </c>
      <c r="J2810" s="16">
        <v>75.86</v>
      </c>
      <c r="K2810" s="16">
        <v>0.0</v>
      </c>
      <c r="L2810" s="16">
        <v>274.06</v>
      </c>
      <c r="M2810" s="16">
        <v>362.456</v>
      </c>
      <c r="N2810" s="16">
        <v>155.12</v>
      </c>
      <c r="O2810" s="23">
        <v>12.8</v>
      </c>
      <c r="P2810" s="18">
        <f t="shared" si="1"/>
        <v>274.06</v>
      </c>
    </row>
    <row r="2811" ht="15.75" customHeight="1">
      <c r="A2811" s="19" t="s">
        <v>234</v>
      </c>
      <c r="B2811" s="19" t="s">
        <v>99</v>
      </c>
      <c r="C2811" s="20" t="s">
        <v>228</v>
      </c>
      <c r="D2811" s="14" t="str">
        <f>VLOOKUP(C2811,'State Key'!$A$2:$B$210,2,False)</f>
        <v>Tamil Nadu</v>
      </c>
      <c r="E2811" s="21">
        <v>414.0</v>
      </c>
      <c r="F2811" s="22">
        <v>0.063</v>
      </c>
      <c r="G2811" s="22">
        <v>0.0</v>
      </c>
      <c r="H2811" s="22">
        <v>0.0</v>
      </c>
      <c r="I2811" s="22">
        <v>0.0</v>
      </c>
      <c r="J2811" s="22">
        <v>147.388</v>
      </c>
      <c r="K2811" s="22">
        <v>0.0</v>
      </c>
      <c r="L2811" s="22">
        <v>147.451</v>
      </c>
      <c r="M2811" s="22">
        <v>156.247</v>
      </c>
      <c r="N2811" s="22">
        <v>89.46</v>
      </c>
      <c r="O2811" s="24">
        <v>17.2</v>
      </c>
      <c r="P2811" s="18">
        <f t="shared" si="1"/>
        <v>147.451</v>
      </c>
    </row>
    <row r="2812" ht="15.75" customHeight="1">
      <c r="A2812" s="13" t="s">
        <v>234</v>
      </c>
      <c r="B2812" s="13" t="s">
        <v>99</v>
      </c>
      <c r="C2812" s="14" t="s">
        <v>114</v>
      </c>
      <c r="D2812" s="14" t="str">
        <f>VLOOKUP(C2812,'State Key'!$A$2:$B$210,2,False)</f>
        <v>Andhra Pradesh</v>
      </c>
      <c r="E2812" s="15">
        <v>1320.0</v>
      </c>
      <c r="F2812" s="16">
        <v>165.426</v>
      </c>
      <c r="G2812" s="16">
        <v>0.0</v>
      </c>
      <c r="H2812" s="16">
        <v>0.0</v>
      </c>
      <c r="I2812" s="16">
        <v>0.0</v>
      </c>
      <c r="J2812" s="16">
        <v>104.373</v>
      </c>
      <c r="K2812" s="16">
        <v>0.0</v>
      </c>
      <c r="L2812" s="16">
        <v>269.799</v>
      </c>
      <c r="M2812" s="16">
        <v>349.122</v>
      </c>
      <c r="N2812" s="16">
        <v>170.06</v>
      </c>
      <c r="O2812" s="24">
        <v>14.6</v>
      </c>
      <c r="P2812" s="18">
        <f t="shared" si="1"/>
        <v>269.799</v>
      </c>
    </row>
    <row r="2813" ht="15.75" customHeight="1">
      <c r="A2813" s="19" t="s">
        <v>234</v>
      </c>
      <c r="B2813" s="19" t="s">
        <v>99</v>
      </c>
      <c r="C2813" s="20" t="s">
        <v>115</v>
      </c>
      <c r="D2813" s="14" t="str">
        <f>VLOOKUP(C2813,'State Key'!$A$2:$B$210,2,False)</f>
        <v>Karnataka</v>
      </c>
      <c r="E2813" s="21">
        <v>1720.0</v>
      </c>
      <c r="F2813" s="22">
        <v>503.73</v>
      </c>
      <c r="G2813" s="22">
        <v>212.751</v>
      </c>
      <c r="H2813" s="22">
        <v>0.0</v>
      </c>
      <c r="I2813" s="22">
        <v>0.0</v>
      </c>
      <c r="J2813" s="22">
        <v>47.071</v>
      </c>
      <c r="K2813" s="22">
        <v>0.0</v>
      </c>
      <c r="L2813" s="22">
        <v>763.552</v>
      </c>
      <c r="M2813" s="22">
        <v>560.692</v>
      </c>
      <c r="N2813" s="22">
        <v>812.508</v>
      </c>
      <c r="O2813" s="24">
        <v>43.5</v>
      </c>
      <c r="P2813" s="18">
        <f t="shared" si="1"/>
        <v>763.552</v>
      </c>
    </row>
    <row r="2814" ht="15.75" customHeight="1">
      <c r="A2814" s="13" t="s">
        <v>234</v>
      </c>
      <c r="B2814" s="13" t="s">
        <v>99</v>
      </c>
      <c r="C2814" s="14" t="s">
        <v>116</v>
      </c>
      <c r="D2814" s="14" t="str">
        <f>VLOOKUP(C2814,'State Key'!$A$2:$B$210,2,False)</f>
        <v>Telangana</v>
      </c>
      <c r="E2814" s="15">
        <v>2600.0</v>
      </c>
      <c r="F2814" s="16">
        <v>11.74</v>
      </c>
      <c r="G2814" s="16">
        <v>697.26</v>
      </c>
      <c r="H2814" s="16">
        <v>26.51</v>
      </c>
      <c r="I2814" s="16">
        <v>0.0</v>
      </c>
      <c r="J2814" s="16">
        <v>0.0</v>
      </c>
      <c r="K2814" s="16">
        <v>0.0</v>
      </c>
      <c r="L2814" s="16">
        <v>735.51</v>
      </c>
      <c r="M2814" s="16">
        <v>813.799</v>
      </c>
      <c r="N2814" s="16">
        <v>485.26</v>
      </c>
      <c r="O2814" s="24">
        <v>17.9</v>
      </c>
      <c r="P2814" s="18">
        <f t="shared" si="1"/>
        <v>735.51</v>
      </c>
    </row>
    <row r="2815" ht="15.75" customHeight="1">
      <c r="A2815" s="19" t="s">
        <v>234</v>
      </c>
      <c r="B2815" s="19" t="s">
        <v>99</v>
      </c>
      <c r="C2815" s="20" t="s">
        <v>117</v>
      </c>
      <c r="D2815" s="14" t="str">
        <f>VLOOKUP(C2815,'State Key'!$A$2:$B$210,2,False)</f>
        <v>Telangana</v>
      </c>
      <c r="E2815" s="21">
        <v>62.5</v>
      </c>
      <c r="F2815" s="22">
        <v>0.0</v>
      </c>
      <c r="G2815" s="22">
        <v>0.0</v>
      </c>
      <c r="H2815" s="22">
        <v>0.0</v>
      </c>
      <c r="I2815" s="22">
        <v>0.0</v>
      </c>
      <c r="J2815" s="22">
        <v>0.0</v>
      </c>
      <c r="K2815" s="22">
        <v>0.0</v>
      </c>
      <c r="L2815" s="22">
        <v>0.0</v>
      </c>
      <c r="M2815" s="22">
        <v>0.0</v>
      </c>
      <c r="N2815" s="22">
        <v>3.728</v>
      </c>
      <c r="O2815" s="19" t="s">
        <v>58</v>
      </c>
      <c r="P2815" s="18">
        <f t="shared" si="1"/>
        <v>0</v>
      </c>
    </row>
    <row r="2816" ht="15.75" customHeight="1">
      <c r="A2816" s="13" t="s">
        <v>234</v>
      </c>
      <c r="B2816" s="13" t="s">
        <v>99</v>
      </c>
      <c r="C2816" s="14" t="s">
        <v>118</v>
      </c>
      <c r="D2816" s="14" t="str">
        <f>VLOOKUP(C2816,'State Key'!$A$2:$B$210,2,False)</f>
        <v>Andhra Pradesh</v>
      </c>
      <c r="E2816" s="15">
        <v>1650.0</v>
      </c>
      <c r="F2816" s="16">
        <v>502.744</v>
      </c>
      <c r="G2816" s="16">
        <v>129.777</v>
      </c>
      <c r="H2816" s="16">
        <v>0.0</v>
      </c>
      <c r="I2816" s="16">
        <v>0.0</v>
      </c>
      <c r="J2816" s="16">
        <v>0.0</v>
      </c>
      <c r="K2816" s="16">
        <v>0.0</v>
      </c>
      <c r="L2816" s="16">
        <v>632.521</v>
      </c>
      <c r="M2816" s="16">
        <v>546.77</v>
      </c>
      <c r="N2816" s="16">
        <v>155.48</v>
      </c>
      <c r="O2816" s="23">
        <v>8.5</v>
      </c>
      <c r="P2816" s="18">
        <f t="shared" si="1"/>
        <v>632.521</v>
      </c>
    </row>
    <row r="2817" ht="15.75" customHeight="1">
      <c r="A2817" s="19" t="s">
        <v>234</v>
      </c>
      <c r="B2817" s="19" t="s">
        <v>99</v>
      </c>
      <c r="C2817" s="20" t="s">
        <v>119</v>
      </c>
      <c r="D2817" s="14" t="str">
        <f>VLOOKUP(C2817,'State Key'!$A$2:$B$210,2,False)</f>
        <v>Andhra Pradesh</v>
      </c>
      <c r="E2817" s="21">
        <v>1320.0</v>
      </c>
      <c r="F2817" s="22">
        <v>287.754</v>
      </c>
      <c r="G2817" s="22">
        <v>0.0</v>
      </c>
      <c r="H2817" s="22">
        <v>0.0</v>
      </c>
      <c r="I2817" s="22">
        <v>0.0</v>
      </c>
      <c r="J2817" s="22">
        <v>416.36</v>
      </c>
      <c r="K2817" s="22">
        <v>0.0</v>
      </c>
      <c r="L2817" s="22">
        <v>704.114</v>
      </c>
      <c r="M2817" s="22">
        <v>516.3679</v>
      </c>
      <c r="N2817" s="22">
        <v>391.92</v>
      </c>
      <c r="O2817" s="24">
        <v>22.8</v>
      </c>
      <c r="P2817" s="18">
        <f t="shared" si="1"/>
        <v>704.114</v>
      </c>
    </row>
    <row r="2818" ht="15.75" customHeight="1">
      <c r="A2818" s="13" t="s">
        <v>234</v>
      </c>
      <c r="B2818" s="13" t="s">
        <v>99</v>
      </c>
      <c r="C2818" s="14" t="s">
        <v>120</v>
      </c>
      <c r="D2818" s="14" t="str">
        <f>VLOOKUP(C2818,'State Key'!$A$2:$B$210,2,False)</f>
        <v>Andhra Pradesh</v>
      </c>
      <c r="E2818" s="15">
        <v>2000.0</v>
      </c>
      <c r="F2818" s="16">
        <v>413.89</v>
      </c>
      <c r="G2818" s="16">
        <v>23.2</v>
      </c>
      <c r="H2818" s="16">
        <v>67.21</v>
      </c>
      <c r="I2818" s="16">
        <v>0.0</v>
      </c>
      <c r="J2818" s="16">
        <v>101.058</v>
      </c>
      <c r="K2818" s="16">
        <v>0.0</v>
      </c>
      <c r="L2818" s="16">
        <v>605.358</v>
      </c>
      <c r="M2818" s="16">
        <v>600.096</v>
      </c>
      <c r="N2818" s="16">
        <v>521.303</v>
      </c>
      <c r="O2818" s="24">
        <v>26.1</v>
      </c>
      <c r="P2818" s="18">
        <f t="shared" si="1"/>
        <v>605.358</v>
      </c>
    </row>
    <row r="2819" ht="15.75" customHeight="1">
      <c r="A2819" s="19" t="s">
        <v>234</v>
      </c>
      <c r="B2819" s="19" t="s">
        <v>99</v>
      </c>
      <c r="C2819" s="20" t="s">
        <v>121</v>
      </c>
      <c r="D2819" s="14" t="str">
        <f>VLOOKUP(C2819,'State Key'!$A$2:$B$210,2,False)</f>
        <v>Andhra Pradesh</v>
      </c>
      <c r="E2819" s="21">
        <v>600.0</v>
      </c>
      <c r="F2819" s="22">
        <v>0.0</v>
      </c>
      <c r="G2819" s="22">
        <v>0.0</v>
      </c>
      <c r="H2819" s="22">
        <v>0.0</v>
      </c>
      <c r="I2819" s="22">
        <v>0.0</v>
      </c>
      <c r="J2819" s="22">
        <v>239.618</v>
      </c>
      <c r="K2819" s="22">
        <v>0.0</v>
      </c>
      <c r="L2819" s="22">
        <v>239.618</v>
      </c>
      <c r="M2819" s="22">
        <v>144.357</v>
      </c>
      <c r="N2819" s="22">
        <v>201.12</v>
      </c>
      <c r="O2819" s="24">
        <v>41.8</v>
      </c>
      <c r="P2819" s="18">
        <f t="shared" si="1"/>
        <v>239.618</v>
      </c>
    </row>
    <row r="2820" ht="15.75" customHeight="1">
      <c r="A2820" s="13" t="s">
        <v>234</v>
      </c>
      <c r="B2820" s="13" t="s">
        <v>99</v>
      </c>
      <c r="C2820" s="14" t="s">
        <v>122</v>
      </c>
      <c r="D2820" s="14" t="str">
        <f>VLOOKUP(C2820,'State Key'!$A$2:$B$210,2,False)</f>
        <v>Telangana</v>
      </c>
      <c r="E2820" s="15">
        <v>1200.0</v>
      </c>
      <c r="F2820" s="16">
        <v>0.0</v>
      </c>
      <c r="G2820" s="16">
        <v>187.013</v>
      </c>
      <c r="H2820" s="16">
        <v>0.0</v>
      </c>
      <c r="I2820" s="16">
        <v>0.0</v>
      </c>
      <c r="J2820" s="16">
        <v>0.0</v>
      </c>
      <c r="K2820" s="16">
        <v>0.0</v>
      </c>
      <c r="L2820" s="16">
        <v>187.013</v>
      </c>
      <c r="M2820" s="16">
        <v>238.368</v>
      </c>
      <c r="N2820" s="16">
        <v>130.15</v>
      </c>
      <c r="O2820" s="24">
        <v>16.4</v>
      </c>
      <c r="P2820" s="18">
        <f t="shared" si="1"/>
        <v>187.013</v>
      </c>
    </row>
    <row r="2821" ht="15.75" customHeight="1">
      <c r="A2821" s="19" t="s">
        <v>234</v>
      </c>
      <c r="B2821" s="19" t="s">
        <v>99</v>
      </c>
      <c r="C2821" s="20" t="s">
        <v>220</v>
      </c>
      <c r="D2821" s="14" t="str">
        <f>VLOOKUP(C2821,'State Key'!$A$2:$B$210,2,False)</f>
        <v>Telangana</v>
      </c>
      <c r="E2821" s="21">
        <v>1600.0</v>
      </c>
      <c r="F2821" s="22">
        <v>59.63</v>
      </c>
      <c r="G2821" s="22">
        <v>326.91</v>
      </c>
      <c r="H2821" s="22">
        <v>144.51</v>
      </c>
      <c r="I2821" s="22">
        <v>0.0</v>
      </c>
      <c r="J2821" s="22">
        <v>0.0</v>
      </c>
      <c r="K2821" s="22">
        <v>0.0</v>
      </c>
      <c r="L2821" s="22">
        <v>531.05</v>
      </c>
      <c r="M2821" s="22">
        <v>469.791</v>
      </c>
      <c r="N2821" s="22">
        <v>207.756</v>
      </c>
      <c r="O2821" s="23">
        <v>13.3</v>
      </c>
      <c r="P2821" s="18">
        <f t="shared" si="1"/>
        <v>531.05</v>
      </c>
    </row>
    <row r="2822" ht="15.75" customHeight="1">
      <c r="A2822" s="13" t="s">
        <v>234</v>
      </c>
      <c r="B2822" s="13" t="s">
        <v>99</v>
      </c>
      <c r="C2822" s="14" t="s">
        <v>123</v>
      </c>
      <c r="D2822" s="14" t="str">
        <f>VLOOKUP(C2822,'State Key'!$A$2:$B$210,2,False)</f>
        <v>Andhra Pradesh</v>
      </c>
      <c r="E2822" s="15">
        <v>300.0</v>
      </c>
      <c r="F2822" s="16">
        <v>0.0</v>
      </c>
      <c r="G2822" s="16">
        <v>0.0</v>
      </c>
      <c r="H2822" s="16">
        <v>0.0</v>
      </c>
      <c r="I2822" s="16">
        <v>0.0</v>
      </c>
      <c r="J2822" s="16">
        <v>0.0</v>
      </c>
      <c r="K2822" s="16">
        <v>0.0</v>
      </c>
      <c r="L2822" s="16">
        <v>0.0</v>
      </c>
      <c r="M2822" s="16">
        <v>0.0</v>
      </c>
      <c r="N2822" s="16">
        <v>0.0</v>
      </c>
      <c r="O2822" s="13" t="s">
        <v>58</v>
      </c>
      <c r="P2822" s="18">
        <f t="shared" si="1"/>
        <v>0</v>
      </c>
    </row>
    <row r="2823" ht="15.75" customHeight="1">
      <c r="A2823" s="19" t="s">
        <v>234</v>
      </c>
      <c r="B2823" s="19" t="s">
        <v>99</v>
      </c>
      <c r="C2823" s="20" t="s">
        <v>124</v>
      </c>
      <c r="D2823" s="14" t="str">
        <f>VLOOKUP(C2823,'State Key'!$A$2:$B$210,2,False)</f>
        <v>Karnataka</v>
      </c>
      <c r="E2823" s="21">
        <v>260.0</v>
      </c>
      <c r="F2823" s="22">
        <v>0.0</v>
      </c>
      <c r="G2823" s="22">
        <v>0.0</v>
      </c>
      <c r="H2823" s="22">
        <v>0.0</v>
      </c>
      <c r="I2823" s="22">
        <v>0.0</v>
      </c>
      <c r="J2823" s="22">
        <v>27.54</v>
      </c>
      <c r="K2823" s="22">
        <v>0.0</v>
      </c>
      <c r="L2823" s="22">
        <v>27.54</v>
      </c>
      <c r="M2823" s="22">
        <v>27.54</v>
      </c>
      <c r="N2823" s="22">
        <v>0.0</v>
      </c>
      <c r="O2823" s="17">
        <v>0.0</v>
      </c>
      <c r="P2823" s="18">
        <f t="shared" si="1"/>
        <v>27.54</v>
      </c>
    </row>
    <row r="2824" ht="15.75" customHeight="1">
      <c r="A2824" s="13" t="s">
        <v>234</v>
      </c>
      <c r="B2824" s="13" t="s">
        <v>99</v>
      </c>
      <c r="C2824" s="14" t="s">
        <v>125</v>
      </c>
      <c r="D2824" s="14" t="str">
        <f>VLOOKUP(C2824,'State Key'!$A$2:$B$210,2,False)</f>
        <v>Karnataka</v>
      </c>
      <c r="E2824" s="15">
        <v>600.0</v>
      </c>
      <c r="F2824" s="16">
        <v>0.0</v>
      </c>
      <c r="G2824" s="16">
        <v>0.0</v>
      </c>
      <c r="H2824" s="16">
        <v>0.0</v>
      </c>
      <c r="I2824" s="16">
        <v>0.0</v>
      </c>
      <c r="J2824" s="16">
        <v>86.55</v>
      </c>
      <c r="K2824" s="16">
        <v>0.0</v>
      </c>
      <c r="L2824" s="16">
        <v>86.55</v>
      </c>
      <c r="M2824" s="16">
        <v>75.62</v>
      </c>
      <c r="N2824" s="16">
        <v>31.69</v>
      </c>
      <c r="O2824" s="23">
        <v>12.6</v>
      </c>
      <c r="P2824" s="18">
        <f t="shared" si="1"/>
        <v>86.55</v>
      </c>
    </row>
    <row r="2825" ht="15.75" customHeight="1">
      <c r="A2825" s="19" t="s">
        <v>234</v>
      </c>
      <c r="B2825" s="19" t="s">
        <v>99</v>
      </c>
      <c r="C2825" s="20" t="s">
        <v>126</v>
      </c>
      <c r="D2825" s="14" t="str">
        <f>VLOOKUP(C2825,'State Key'!$A$2:$B$210,2,False)</f>
        <v>Tamil Nadu</v>
      </c>
      <c r="E2825" s="21">
        <v>300.0</v>
      </c>
      <c r="F2825" s="22">
        <v>0.0</v>
      </c>
      <c r="G2825" s="22">
        <v>0.0</v>
      </c>
      <c r="H2825" s="22">
        <v>0.0</v>
      </c>
      <c r="I2825" s="22">
        <v>0.0</v>
      </c>
      <c r="J2825" s="22">
        <v>0.0</v>
      </c>
      <c r="K2825" s="22">
        <v>0.0</v>
      </c>
      <c r="L2825" s="22">
        <v>0.0</v>
      </c>
      <c r="M2825" s="22">
        <v>0.0</v>
      </c>
      <c r="N2825" s="22">
        <v>0.0</v>
      </c>
      <c r="O2825" s="19" t="s">
        <v>58</v>
      </c>
      <c r="P2825" s="18">
        <f t="shared" si="1"/>
        <v>0</v>
      </c>
    </row>
    <row r="2826" ht="15.75" customHeight="1">
      <c r="A2826" s="13" t="s">
        <v>234</v>
      </c>
      <c r="B2826" s="13" t="s">
        <v>99</v>
      </c>
      <c r="C2826" s="14" t="s">
        <v>127</v>
      </c>
      <c r="D2826" s="14" t="str">
        <f>VLOOKUP(C2826,'State Key'!$A$2:$B$210,2,False)</f>
        <v>Tamil Nadu</v>
      </c>
      <c r="E2826" s="15">
        <v>525.0</v>
      </c>
      <c r="F2826" s="16">
        <v>0.0</v>
      </c>
      <c r="G2826" s="16">
        <v>0.0</v>
      </c>
      <c r="H2826" s="16">
        <v>0.0</v>
      </c>
      <c r="I2826" s="16">
        <v>0.0</v>
      </c>
      <c r="J2826" s="16">
        <v>0.0</v>
      </c>
      <c r="K2826" s="16">
        <v>0.0</v>
      </c>
      <c r="L2826" s="16">
        <v>0.0</v>
      </c>
      <c r="M2826" s="16">
        <v>49.25</v>
      </c>
      <c r="N2826" s="16">
        <v>0.48</v>
      </c>
      <c r="O2826" s="17">
        <v>0.3</v>
      </c>
      <c r="P2826" s="18">
        <f t="shared" si="1"/>
        <v>0</v>
      </c>
    </row>
    <row r="2827" ht="15.75" customHeight="1">
      <c r="A2827" s="19" t="s">
        <v>234</v>
      </c>
      <c r="B2827" s="19" t="s">
        <v>99</v>
      </c>
      <c r="C2827" s="20" t="s">
        <v>128</v>
      </c>
      <c r="D2827" s="14" t="str">
        <f>VLOOKUP(C2827,'State Key'!$A$2:$B$210,2,False)</f>
        <v>Tamil Nadu</v>
      </c>
      <c r="E2827" s="21">
        <v>1050.0</v>
      </c>
      <c r="F2827" s="22">
        <v>582.573</v>
      </c>
      <c r="G2827" s="22">
        <v>0.0</v>
      </c>
      <c r="H2827" s="22">
        <v>0.0</v>
      </c>
      <c r="I2827" s="22">
        <v>0.0</v>
      </c>
      <c r="J2827" s="22">
        <v>0.0</v>
      </c>
      <c r="K2827" s="22">
        <v>0.0</v>
      </c>
      <c r="L2827" s="22">
        <v>582.573</v>
      </c>
      <c r="M2827" s="22">
        <v>410.623</v>
      </c>
      <c r="N2827" s="22">
        <v>359.52</v>
      </c>
      <c r="O2827" s="24">
        <v>26.3</v>
      </c>
      <c r="P2827" s="18">
        <f t="shared" si="1"/>
        <v>582.573</v>
      </c>
    </row>
    <row r="2828" ht="15.75" customHeight="1">
      <c r="A2828" s="13" t="s">
        <v>234</v>
      </c>
      <c r="B2828" s="13" t="s">
        <v>99</v>
      </c>
      <c r="C2828" s="14" t="s">
        <v>130</v>
      </c>
      <c r="D2828" s="14" t="str">
        <f>VLOOKUP(C2828,'State Key'!$A$2:$B$210,2,False)</f>
        <v>Tamil Nadu</v>
      </c>
      <c r="E2828" s="15">
        <v>1500.0</v>
      </c>
      <c r="F2828" s="16">
        <v>548.08</v>
      </c>
      <c r="G2828" s="16">
        <v>0.0</v>
      </c>
      <c r="H2828" s="16">
        <v>0.0</v>
      </c>
      <c r="I2828" s="16">
        <v>0.0</v>
      </c>
      <c r="J2828" s="16">
        <v>0.0</v>
      </c>
      <c r="K2828" s="16">
        <v>0.0</v>
      </c>
      <c r="L2828" s="16">
        <v>548.08</v>
      </c>
      <c r="M2828" s="16">
        <v>654.89</v>
      </c>
      <c r="N2828" s="16">
        <v>266.55</v>
      </c>
      <c r="O2828" s="23">
        <v>12.2</v>
      </c>
      <c r="P2828" s="18">
        <f t="shared" si="1"/>
        <v>548.08</v>
      </c>
    </row>
    <row r="2829" ht="15.75" customHeight="1">
      <c r="A2829" s="19" t="s">
        <v>234</v>
      </c>
      <c r="B2829" s="19" t="s">
        <v>99</v>
      </c>
      <c r="C2829" s="20" t="s">
        <v>131</v>
      </c>
      <c r="D2829" s="14" t="str">
        <f>VLOOKUP(C2829,'State Key'!$A$2:$B$210,2,False)</f>
        <v>Andhra Pradesh</v>
      </c>
      <c r="E2829" s="21">
        <v>1040.0</v>
      </c>
      <c r="F2829" s="22">
        <v>181.00755</v>
      </c>
      <c r="G2829" s="22">
        <v>0.0</v>
      </c>
      <c r="H2829" s="22">
        <v>0.0</v>
      </c>
      <c r="I2829" s="22">
        <v>0.0</v>
      </c>
      <c r="J2829" s="22">
        <v>0.0</v>
      </c>
      <c r="K2829" s="22">
        <v>0.0</v>
      </c>
      <c r="L2829" s="22">
        <v>181.00755</v>
      </c>
      <c r="M2829" s="22">
        <v>251.459</v>
      </c>
      <c r="N2829" s="22">
        <v>40.2871</v>
      </c>
      <c r="O2829" s="17">
        <v>4.8</v>
      </c>
      <c r="P2829" s="18">
        <f t="shared" si="1"/>
        <v>181.00755</v>
      </c>
    </row>
    <row r="2830" ht="15.75" customHeight="1">
      <c r="A2830" s="13" t="s">
        <v>234</v>
      </c>
      <c r="B2830" s="13" t="s">
        <v>99</v>
      </c>
      <c r="C2830" s="14" t="s">
        <v>132</v>
      </c>
      <c r="D2830" s="14" t="str">
        <f>VLOOKUP(C2830,'State Key'!$A$2:$B$210,2,False)</f>
        <v>Karnataka</v>
      </c>
      <c r="E2830" s="15">
        <v>1600.0</v>
      </c>
      <c r="F2830" s="16">
        <v>0.0</v>
      </c>
      <c r="G2830" s="16">
        <v>244.595</v>
      </c>
      <c r="H2830" s="16">
        <v>0.0</v>
      </c>
      <c r="I2830" s="16">
        <v>0.0</v>
      </c>
      <c r="J2830" s="16">
        <v>22.077</v>
      </c>
      <c r="K2830" s="16">
        <v>0.0</v>
      </c>
      <c r="L2830" s="16">
        <v>266.672</v>
      </c>
      <c r="M2830" s="16">
        <v>427.73</v>
      </c>
      <c r="N2830" s="16">
        <v>46.67</v>
      </c>
      <c r="O2830" s="17">
        <v>3.3</v>
      </c>
      <c r="P2830" s="18">
        <f t="shared" si="1"/>
        <v>266.672</v>
      </c>
    </row>
    <row r="2831" ht="15.75" customHeight="1">
      <c r="A2831" s="19" t="s">
        <v>234</v>
      </c>
      <c r="B2831" s="19" t="s">
        <v>133</v>
      </c>
      <c r="C2831" s="20" t="s">
        <v>211</v>
      </c>
      <c r="D2831" s="14" t="str">
        <f>VLOOKUP(C2831,'State Key'!$A$2:$B$210,2,False)</f>
        <v>Gujarat</v>
      </c>
      <c r="E2831" s="21">
        <v>2640.0</v>
      </c>
      <c r="F2831" s="22">
        <v>0.0</v>
      </c>
      <c r="G2831" s="22">
        <v>0.0</v>
      </c>
      <c r="H2831" s="22">
        <v>0.0</v>
      </c>
      <c r="I2831" s="22">
        <v>0.0</v>
      </c>
      <c r="J2831" s="22">
        <v>729.066</v>
      </c>
      <c r="K2831" s="22">
        <v>0.0</v>
      </c>
      <c r="L2831" s="22">
        <v>729.066</v>
      </c>
      <c r="M2831" s="22">
        <v>766.149</v>
      </c>
      <c r="N2831" s="22">
        <v>73.963</v>
      </c>
      <c r="O2831" s="17">
        <v>2.9</v>
      </c>
      <c r="P2831" s="18">
        <f t="shared" si="1"/>
        <v>729.066</v>
      </c>
    </row>
    <row r="2832" ht="15.75" customHeight="1">
      <c r="A2832" s="13" t="s">
        <v>234</v>
      </c>
      <c r="B2832" s="13" t="s">
        <v>133</v>
      </c>
      <c r="C2832" s="14" t="s">
        <v>212</v>
      </c>
      <c r="D2832" s="14" t="str">
        <f>VLOOKUP(C2832,'State Key'!$A$2:$B$210,2,False)</f>
        <v>Gujarat</v>
      </c>
      <c r="E2832" s="15">
        <v>1980.0</v>
      </c>
      <c r="F2832" s="16">
        <v>0.0</v>
      </c>
      <c r="G2832" s="16">
        <v>0.0</v>
      </c>
      <c r="H2832" s="16">
        <v>0.0</v>
      </c>
      <c r="I2832" s="16">
        <v>0.0</v>
      </c>
      <c r="J2832" s="16">
        <v>602.632</v>
      </c>
      <c r="K2832" s="16">
        <v>0.0</v>
      </c>
      <c r="L2832" s="16">
        <v>602.632</v>
      </c>
      <c r="M2832" s="16">
        <v>623.245</v>
      </c>
      <c r="N2832" s="16">
        <v>26.282</v>
      </c>
      <c r="O2832" s="17">
        <v>1.3</v>
      </c>
      <c r="P2832" s="18">
        <f t="shared" si="1"/>
        <v>602.632</v>
      </c>
    </row>
    <row r="2833" ht="15.75" customHeight="1">
      <c r="A2833" s="19" t="s">
        <v>234</v>
      </c>
      <c r="B2833" s="19" t="s">
        <v>133</v>
      </c>
      <c r="C2833" s="20" t="s">
        <v>213</v>
      </c>
      <c r="D2833" s="14" t="str">
        <f>VLOOKUP(C2833,'State Key'!$A$2:$B$210,2,False)</f>
        <v>Chhattisgarh</v>
      </c>
      <c r="E2833" s="21">
        <v>600.0</v>
      </c>
      <c r="F2833" s="22">
        <v>177.16</v>
      </c>
      <c r="G2833" s="22">
        <v>0.0</v>
      </c>
      <c r="H2833" s="22">
        <v>0.0</v>
      </c>
      <c r="I2833" s="22">
        <v>19.112</v>
      </c>
      <c r="J2833" s="22">
        <v>0.0</v>
      </c>
      <c r="K2833" s="22">
        <v>28.263</v>
      </c>
      <c r="L2833" s="22">
        <v>224.535</v>
      </c>
      <c r="M2833" s="22">
        <v>274.051</v>
      </c>
      <c r="N2833" s="22">
        <v>151.48</v>
      </c>
      <c r="O2833" s="24">
        <v>16.6</v>
      </c>
      <c r="P2833" s="18">
        <f t="shared" si="1"/>
        <v>224.535</v>
      </c>
    </row>
    <row r="2834" ht="15.75" customHeight="1">
      <c r="A2834" s="13" t="s">
        <v>234</v>
      </c>
      <c r="B2834" s="13" t="s">
        <v>133</v>
      </c>
      <c r="C2834" s="14" t="s">
        <v>214</v>
      </c>
      <c r="D2834" s="14" t="str">
        <f>VLOOKUP(C2834,'State Key'!$A$2:$B$210,2,False)</f>
        <v>Chhattisgarh</v>
      </c>
      <c r="E2834" s="15">
        <v>1370.0</v>
      </c>
      <c r="F2834" s="16">
        <v>535.14</v>
      </c>
      <c r="G2834" s="16">
        <v>0.0</v>
      </c>
      <c r="H2834" s="16">
        <v>0.0</v>
      </c>
      <c r="I2834" s="16">
        <v>59.488</v>
      </c>
      <c r="J2834" s="16">
        <v>0.0</v>
      </c>
      <c r="K2834" s="16">
        <v>0.0</v>
      </c>
      <c r="L2834" s="16">
        <v>594.628</v>
      </c>
      <c r="M2834" s="16">
        <v>625.569</v>
      </c>
      <c r="N2834" s="16">
        <v>44.27</v>
      </c>
      <c r="O2834" s="17">
        <v>2.1</v>
      </c>
      <c r="P2834" s="18">
        <f t="shared" si="1"/>
        <v>594.628</v>
      </c>
    </row>
    <row r="2835" ht="15.75" customHeight="1">
      <c r="A2835" s="19" t="s">
        <v>234</v>
      </c>
      <c r="B2835" s="19" t="s">
        <v>133</v>
      </c>
      <c r="C2835" s="20" t="s">
        <v>215</v>
      </c>
      <c r="D2835" s="14" t="str">
        <f>VLOOKUP(C2835,'State Key'!$A$2:$B$210,2,False)</f>
        <v>Maharashtra</v>
      </c>
      <c r="E2835" s="21">
        <v>3300.0</v>
      </c>
      <c r="F2835" s="22">
        <v>889.059</v>
      </c>
      <c r="G2835" s="22">
        <v>0.0</v>
      </c>
      <c r="H2835" s="22">
        <v>0.0</v>
      </c>
      <c r="I2835" s="22">
        <v>0.0</v>
      </c>
      <c r="J2835" s="22">
        <v>0.0</v>
      </c>
      <c r="K2835" s="22">
        <v>0.0</v>
      </c>
      <c r="L2835" s="22">
        <v>889.059</v>
      </c>
      <c r="M2835" s="22">
        <v>1065.456</v>
      </c>
      <c r="N2835" s="22">
        <v>478.71</v>
      </c>
      <c r="O2835" s="23">
        <v>13.5</v>
      </c>
      <c r="P2835" s="18">
        <f t="shared" si="1"/>
        <v>889.059</v>
      </c>
    </row>
    <row r="2836" ht="15.75" customHeight="1">
      <c r="A2836" s="13" t="s">
        <v>234</v>
      </c>
      <c r="B2836" s="13" t="s">
        <v>133</v>
      </c>
      <c r="C2836" s="14" t="s">
        <v>134</v>
      </c>
      <c r="D2836" s="14" t="str">
        <f>VLOOKUP(C2836,'State Key'!$A$2:$B$210,2,False)</f>
        <v>Chhattisgarh</v>
      </c>
      <c r="E2836" s="15">
        <v>1800.0</v>
      </c>
      <c r="F2836" s="16">
        <v>382.2343</v>
      </c>
      <c r="G2836" s="16">
        <v>0.0</v>
      </c>
      <c r="H2836" s="16">
        <v>0.0</v>
      </c>
      <c r="I2836" s="16">
        <v>0.0</v>
      </c>
      <c r="J2836" s="16">
        <v>0.0</v>
      </c>
      <c r="K2836" s="16">
        <v>27.703</v>
      </c>
      <c r="L2836" s="16">
        <v>409.9373</v>
      </c>
      <c r="M2836" s="16">
        <v>606.8402</v>
      </c>
      <c r="N2836" s="16">
        <v>111.59</v>
      </c>
      <c r="O2836" s="17">
        <v>5.5</v>
      </c>
      <c r="P2836" s="18">
        <f t="shared" si="1"/>
        <v>409.9373</v>
      </c>
    </row>
    <row r="2837" ht="15.75" customHeight="1">
      <c r="A2837" s="19" t="s">
        <v>234</v>
      </c>
      <c r="B2837" s="19" t="s">
        <v>133</v>
      </c>
      <c r="C2837" s="20" t="s">
        <v>135</v>
      </c>
      <c r="D2837" s="14" t="str">
        <f>VLOOKUP(C2837,'State Key'!$A$2:$B$210,2,False)</f>
        <v>Madhya Pradesh</v>
      </c>
      <c r="E2837" s="21">
        <v>210.0</v>
      </c>
      <c r="F2837" s="22">
        <v>55.274</v>
      </c>
      <c r="G2837" s="22">
        <v>0.0</v>
      </c>
      <c r="H2837" s="22">
        <v>0.0</v>
      </c>
      <c r="I2837" s="22">
        <v>0.0</v>
      </c>
      <c r="J2837" s="22">
        <v>0.0</v>
      </c>
      <c r="K2837" s="22">
        <v>0.0</v>
      </c>
      <c r="L2837" s="22">
        <v>55.274</v>
      </c>
      <c r="M2837" s="22">
        <v>75.701</v>
      </c>
      <c r="N2837" s="22">
        <v>43.54</v>
      </c>
      <c r="O2837" s="24">
        <v>17.3</v>
      </c>
      <c r="P2837" s="18">
        <f t="shared" si="1"/>
        <v>55.274</v>
      </c>
    </row>
    <row r="2838" ht="15.75" customHeight="1">
      <c r="A2838" s="13" t="s">
        <v>234</v>
      </c>
      <c r="B2838" s="13" t="s">
        <v>133</v>
      </c>
      <c r="C2838" s="14" t="s">
        <v>136</v>
      </c>
      <c r="D2838" s="14" t="str">
        <f>VLOOKUP(C2838,'State Key'!$A$2:$B$210,2,False)</f>
        <v>Maharashtra</v>
      </c>
      <c r="E2838" s="15">
        <v>1350.0</v>
      </c>
      <c r="F2838" s="16">
        <v>518.701</v>
      </c>
      <c r="G2838" s="16">
        <v>0.0</v>
      </c>
      <c r="H2838" s="16">
        <v>0.0</v>
      </c>
      <c r="I2838" s="16">
        <v>0.0</v>
      </c>
      <c r="J2838" s="16">
        <v>0.0</v>
      </c>
      <c r="K2838" s="16">
        <v>0.0</v>
      </c>
      <c r="L2838" s="16">
        <v>518.701</v>
      </c>
      <c r="M2838" s="16">
        <v>459.121</v>
      </c>
      <c r="N2838" s="16">
        <v>197.19</v>
      </c>
      <c r="O2838" s="23">
        <v>12.9</v>
      </c>
      <c r="P2838" s="18">
        <f t="shared" si="1"/>
        <v>518.701</v>
      </c>
    </row>
    <row r="2839" ht="15.75" customHeight="1">
      <c r="A2839" s="19" t="s">
        <v>234</v>
      </c>
      <c r="B2839" s="19" t="s">
        <v>133</v>
      </c>
      <c r="C2839" s="20" t="s">
        <v>137</v>
      </c>
      <c r="D2839" s="14" t="str">
        <f>VLOOKUP(C2839,'State Key'!$A$2:$B$210,2,False)</f>
        <v>Madhya Pradesh</v>
      </c>
      <c r="E2839" s="21">
        <v>1250.0</v>
      </c>
      <c r="F2839" s="22">
        <v>359.91</v>
      </c>
      <c r="G2839" s="22">
        <v>0.0</v>
      </c>
      <c r="H2839" s="22">
        <v>0.0</v>
      </c>
      <c r="I2839" s="22">
        <v>201.95</v>
      </c>
      <c r="J2839" s="22">
        <v>0.0</v>
      </c>
      <c r="K2839" s="22">
        <v>0.0</v>
      </c>
      <c r="L2839" s="22">
        <v>561.86</v>
      </c>
      <c r="M2839" s="22">
        <v>556.61</v>
      </c>
      <c r="N2839" s="22">
        <v>152.09</v>
      </c>
      <c r="O2839" s="23">
        <v>8.2</v>
      </c>
      <c r="P2839" s="18">
        <f t="shared" si="1"/>
        <v>561.86</v>
      </c>
    </row>
    <row r="2840" ht="15.75" customHeight="1">
      <c r="A2840" s="13" t="s">
        <v>234</v>
      </c>
      <c r="B2840" s="13" t="s">
        <v>133</v>
      </c>
      <c r="C2840" s="14" t="s">
        <v>139</v>
      </c>
      <c r="D2840" s="14" t="str">
        <f>VLOOKUP(C2840,'State Key'!$A$2:$B$210,2,False)</f>
        <v>Chhattisgarh</v>
      </c>
      <c r="E2840" s="15">
        <v>600.0</v>
      </c>
      <c r="F2840" s="16">
        <v>161.458</v>
      </c>
      <c r="G2840" s="16">
        <v>0.0</v>
      </c>
      <c r="H2840" s="16">
        <v>0.0</v>
      </c>
      <c r="I2840" s="16">
        <v>147.82</v>
      </c>
      <c r="J2840" s="16">
        <v>0.0</v>
      </c>
      <c r="K2840" s="16">
        <v>0.0</v>
      </c>
      <c r="L2840" s="16">
        <v>309.278</v>
      </c>
      <c r="M2840" s="16">
        <v>274.232</v>
      </c>
      <c r="N2840" s="16">
        <v>46.13</v>
      </c>
      <c r="O2840" s="17">
        <v>5.0</v>
      </c>
      <c r="P2840" s="18">
        <f t="shared" si="1"/>
        <v>309.278</v>
      </c>
    </row>
    <row r="2841" ht="15.75" customHeight="1">
      <c r="A2841" s="19" t="s">
        <v>234</v>
      </c>
      <c r="B2841" s="19" t="s">
        <v>133</v>
      </c>
      <c r="C2841" s="20" t="s">
        <v>140</v>
      </c>
      <c r="D2841" s="14" t="str">
        <f>VLOOKUP(C2841,'State Key'!$A$2:$B$210,2,False)</f>
        <v>Chhattisgarh</v>
      </c>
      <c r="E2841" s="21">
        <v>300.0</v>
      </c>
      <c r="F2841" s="22">
        <v>99.74</v>
      </c>
      <c r="G2841" s="22">
        <v>0.0</v>
      </c>
      <c r="H2841" s="22">
        <v>0.0</v>
      </c>
      <c r="I2841" s="22">
        <v>18.54</v>
      </c>
      <c r="J2841" s="22">
        <v>0.0</v>
      </c>
      <c r="K2841" s="22">
        <v>0.0</v>
      </c>
      <c r="L2841" s="22">
        <v>118.28</v>
      </c>
      <c r="M2841" s="22">
        <v>153.348</v>
      </c>
      <c r="N2841" s="22">
        <v>88.53</v>
      </c>
      <c r="O2841" s="24">
        <v>17.3</v>
      </c>
      <c r="P2841" s="18">
        <f t="shared" si="1"/>
        <v>118.28</v>
      </c>
    </row>
    <row r="2842" ht="15.75" customHeight="1">
      <c r="A2842" s="13" t="s">
        <v>234</v>
      </c>
      <c r="B2842" s="13" t="s">
        <v>133</v>
      </c>
      <c r="C2842" s="14" t="s">
        <v>141</v>
      </c>
      <c r="D2842" s="14" t="str">
        <f>VLOOKUP(C2842,'State Key'!$A$2:$B$210,2,False)</f>
        <v>Chhattisgarh</v>
      </c>
      <c r="E2842" s="15">
        <v>1200.0</v>
      </c>
      <c r="F2842" s="16">
        <v>450.913</v>
      </c>
      <c r="G2842" s="16">
        <v>0.0</v>
      </c>
      <c r="H2842" s="16">
        <v>0.0</v>
      </c>
      <c r="I2842" s="16">
        <v>0.0</v>
      </c>
      <c r="J2842" s="16">
        <v>0.0</v>
      </c>
      <c r="K2842" s="16">
        <v>0.0</v>
      </c>
      <c r="L2842" s="16">
        <v>450.913</v>
      </c>
      <c r="M2842" s="16">
        <v>374.295</v>
      </c>
      <c r="N2842" s="16">
        <v>334.72</v>
      </c>
      <c r="O2842" s="24">
        <v>26.8</v>
      </c>
      <c r="P2842" s="18">
        <f t="shared" si="1"/>
        <v>450.913</v>
      </c>
    </row>
    <row r="2843" ht="15.75" customHeight="1">
      <c r="A2843" s="19" t="s">
        <v>234</v>
      </c>
      <c r="B2843" s="19" t="s">
        <v>133</v>
      </c>
      <c r="C2843" s="20" t="s">
        <v>142</v>
      </c>
      <c r="D2843" s="14" t="str">
        <f>VLOOKUP(C2843,'State Key'!$A$2:$B$210,2,False)</f>
        <v>Maharashtra</v>
      </c>
      <c r="E2843" s="21">
        <v>270.0</v>
      </c>
      <c r="F2843" s="22">
        <v>53.864</v>
      </c>
      <c r="G2843" s="22">
        <v>0.0</v>
      </c>
      <c r="H2843" s="22">
        <v>0.0</v>
      </c>
      <c r="I2843" s="22">
        <v>19.213</v>
      </c>
      <c r="J2843" s="22">
        <v>0.0</v>
      </c>
      <c r="K2843" s="22">
        <v>1.586</v>
      </c>
      <c r="L2843" s="22">
        <v>74.663</v>
      </c>
      <c r="M2843" s="22">
        <v>117.838</v>
      </c>
      <c r="N2843" s="22">
        <v>64.46</v>
      </c>
      <c r="O2843" s="24">
        <v>16.4</v>
      </c>
      <c r="P2843" s="18">
        <f t="shared" si="1"/>
        <v>74.663</v>
      </c>
    </row>
    <row r="2844" ht="15.75" customHeight="1">
      <c r="A2844" s="13" t="s">
        <v>234</v>
      </c>
      <c r="B2844" s="13" t="s">
        <v>133</v>
      </c>
      <c r="C2844" s="14" t="s">
        <v>143</v>
      </c>
      <c r="D2844" s="14" t="str">
        <f>VLOOKUP(C2844,'State Key'!$A$2:$B$210,2,False)</f>
        <v>Chhattisgarh</v>
      </c>
      <c r="E2844" s="15">
        <v>500.0</v>
      </c>
      <c r="F2844" s="16">
        <v>124.289</v>
      </c>
      <c r="G2844" s="16">
        <v>32.047</v>
      </c>
      <c r="H2844" s="16">
        <v>0.0</v>
      </c>
      <c r="I2844" s="16">
        <v>0.0</v>
      </c>
      <c r="J2844" s="16">
        <v>15.671</v>
      </c>
      <c r="K2844" s="16">
        <v>0.0</v>
      </c>
      <c r="L2844" s="16">
        <v>172.007</v>
      </c>
      <c r="M2844" s="16">
        <v>261.355</v>
      </c>
      <c r="N2844" s="16">
        <v>140.34</v>
      </c>
      <c r="O2844" s="24">
        <v>16.1</v>
      </c>
      <c r="P2844" s="18">
        <f t="shared" si="1"/>
        <v>172.007</v>
      </c>
    </row>
    <row r="2845" ht="15.75" customHeight="1">
      <c r="A2845" s="19" t="s">
        <v>234</v>
      </c>
      <c r="B2845" s="19" t="s">
        <v>133</v>
      </c>
      <c r="C2845" s="20" t="s">
        <v>144</v>
      </c>
      <c r="D2845" s="14" t="str">
        <f>VLOOKUP(C2845,'State Key'!$A$2:$B$210,2,False)</f>
        <v>Maharashtra</v>
      </c>
      <c r="E2845" s="21">
        <v>1210.0</v>
      </c>
      <c r="F2845" s="22">
        <v>303.232</v>
      </c>
      <c r="G2845" s="22">
        <v>0.0</v>
      </c>
      <c r="H2845" s="22">
        <v>0.0</v>
      </c>
      <c r="I2845" s="22">
        <v>0.0</v>
      </c>
      <c r="J2845" s="22">
        <v>0.0</v>
      </c>
      <c r="K2845" s="22">
        <v>0.0</v>
      </c>
      <c r="L2845" s="22">
        <v>303.232</v>
      </c>
      <c r="M2845" s="22">
        <v>422.113</v>
      </c>
      <c r="N2845" s="22">
        <v>590.019</v>
      </c>
      <c r="O2845" s="24">
        <v>41.9</v>
      </c>
      <c r="P2845" s="18">
        <f t="shared" si="1"/>
        <v>303.232</v>
      </c>
    </row>
    <row r="2846" ht="15.75" customHeight="1">
      <c r="A2846" s="13" t="s">
        <v>234</v>
      </c>
      <c r="B2846" s="13" t="s">
        <v>133</v>
      </c>
      <c r="C2846" s="14" t="s">
        <v>145</v>
      </c>
      <c r="D2846" s="14" t="str">
        <f>VLOOKUP(C2846,'State Key'!$A$2:$B$210,2,False)</f>
        <v>Madhya Pradesh</v>
      </c>
      <c r="E2846" s="15">
        <v>500.0</v>
      </c>
      <c r="F2846" s="16">
        <v>98.47</v>
      </c>
      <c r="G2846" s="16">
        <v>0.0</v>
      </c>
      <c r="H2846" s="16">
        <v>0.0</v>
      </c>
      <c r="I2846" s="16">
        <v>33.16</v>
      </c>
      <c r="J2846" s="16">
        <v>0.0</v>
      </c>
      <c r="K2846" s="16">
        <v>0.0</v>
      </c>
      <c r="L2846" s="16">
        <v>131.63</v>
      </c>
      <c r="M2846" s="16">
        <v>193.36</v>
      </c>
      <c r="N2846" s="16">
        <v>162.01</v>
      </c>
      <c r="O2846" s="24">
        <v>25.1</v>
      </c>
      <c r="P2846" s="18">
        <f t="shared" si="1"/>
        <v>131.63</v>
      </c>
    </row>
    <row r="2847" ht="15.75" customHeight="1">
      <c r="A2847" s="19" t="s">
        <v>234</v>
      </c>
      <c r="B2847" s="19" t="s">
        <v>133</v>
      </c>
      <c r="C2847" s="20" t="s">
        <v>146</v>
      </c>
      <c r="D2847" s="14" t="str">
        <f>VLOOKUP(C2847,'State Key'!$A$2:$B$210,2,False)</f>
        <v>Chhattisgarh</v>
      </c>
      <c r="E2847" s="21">
        <v>600.0</v>
      </c>
      <c r="F2847" s="22">
        <v>4.03</v>
      </c>
      <c r="G2847" s="22">
        <v>0.0</v>
      </c>
      <c r="H2847" s="22">
        <v>0.0</v>
      </c>
      <c r="I2847" s="22">
        <v>121.333</v>
      </c>
      <c r="J2847" s="22">
        <v>0.0</v>
      </c>
      <c r="K2847" s="22">
        <v>0.0</v>
      </c>
      <c r="L2847" s="22">
        <v>125.363</v>
      </c>
      <c r="M2847" s="22">
        <v>254.32</v>
      </c>
      <c r="N2847" s="22">
        <v>166.78</v>
      </c>
      <c r="O2847" s="24">
        <v>19.7</v>
      </c>
      <c r="P2847" s="18">
        <f t="shared" si="1"/>
        <v>125.363</v>
      </c>
    </row>
    <row r="2848" ht="15.75" customHeight="1">
      <c r="A2848" s="13" t="s">
        <v>234</v>
      </c>
      <c r="B2848" s="13" t="s">
        <v>133</v>
      </c>
      <c r="C2848" s="14" t="s">
        <v>147</v>
      </c>
      <c r="D2848" s="14" t="str">
        <f>VLOOKUP(C2848,'State Key'!$A$2:$B$210,2,False)</f>
        <v>Maharashtra</v>
      </c>
      <c r="E2848" s="15">
        <v>600.0</v>
      </c>
      <c r="F2848" s="16">
        <v>0.0</v>
      </c>
      <c r="G2848" s="16">
        <v>0.0</v>
      </c>
      <c r="H2848" s="16">
        <v>0.0</v>
      </c>
      <c r="I2848" s="16">
        <v>0.0</v>
      </c>
      <c r="J2848" s="16">
        <v>0.0</v>
      </c>
      <c r="K2848" s="16">
        <v>0.0</v>
      </c>
      <c r="L2848" s="16">
        <v>0.0</v>
      </c>
      <c r="M2848" s="16">
        <v>0.0</v>
      </c>
      <c r="N2848" s="16">
        <v>0.0</v>
      </c>
      <c r="O2848" s="13" t="s">
        <v>58</v>
      </c>
      <c r="P2848" s="18">
        <f t="shared" si="1"/>
        <v>0</v>
      </c>
    </row>
    <row r="2849" ht="15.75" customHeight="1">
      <c r="A2849" s="19" t="s">
        <v>234</v>
      </c>
      <c r="B2849" s="19" t="s">
        <v>133</v>
      </c>
      <c r="C2849" s="20" t="s">
        <v>148</v>
      </c>
      <c r="D2849" s="14" t="str">
        <f>VLOOKUP(C2849,'State Key'!$A$2:$B$210,2,False)</f>
        <v>Chhattisgarh</v>
      </c>
      <c r="E2849" s="21">
        <v>30.0</v>
      </c>
      <c r="F2849" s="22">
        <v>6.95352</v>
      </c>
      <c r="G2849" s="22">
        <v>0.0</v>
      </c>
      <c r="H2849" s="22">
        <v>0.0</v>
      </c>
      <c r="I2849" s="22">
        <v>0.0</v>
      </c>
      <c r="J2849" s="22">
        <v>0.0</v>
      </c>
      <c r="K2849" s="22">
        <v>23.7465</v>
      </c>
      <c r="L2849" s="22">
        <v>30.70002</v>
      </c>
      <c r="M2849" s="22">
        <v>64.275</v>
      </c>
      <c r="N2849" s="22">
        <v>37.77</v>
      </c>
      <c r="O2849" s="24">
        <v>17.6</v>
      </c>
      <c r="P2849" s="18">
        <f t="shared" si="1"/>
        <v>30.70002</v>
      </c>
    </row>
    <row r="2850" ht="15.75" customHeight="1">
      <c r="A2850" s="13" t="s">
        <v>234</v>
      </c>
      <c r="B2850" s="13" t="s">
        <v>133</v>
      </c>
      <c r="C2850" s="14" t="s">
        <v>149</v>
      </c>
      <c r="D2850" s="14" t="str">
        <f>VLOOKUP(C2850,'State Key'!$A$2:$B$210,2,False)</f>
        <v>Maharashtra</v>
      </c>
      <c r="E2850" s="15">
        <v>2920.0</v>
      </c>
      <c r="F2850" s="16">
        <v>657.699</v>
      </c>
      <c r="G2850" s="16">
        <v>123.511</v>
      </c>
      <c r="H2850" s="16">
        <v>0.0</v>
      </c>
      <c r="I2850" s="16">
        <v>0.0</v>
      </c>
      <c r="J2850" s="16">
        <v>23.068</v>
      </c>
      <c r="K2850" s="16">
        <v>0.0</v>
      </c>
      <c r="L2850" s="16">
        <v>804.278</v>
      </c>
      <c r="M2850" s="16">
        <v>894.087</v>
      </c>
      <c r="N2850" s="16">
        <v>743.39</v>
      </c>
      <c r="O2850" s="24">
        <v>24.9</v>
      </c>
      <c r="P2850" s="18">
        <f t="shared" si="1"/>
        <v>804.278</v>
      </c>
    </row>
    <row r="2851" ht="15.75" customHeight="1">
      <c r="A2851" s="19" t="s">
        <v>234</v>
      </c>
      <c r="B2851" s="19" t="s">
        <v>133</v>
      </c>
      <c r="C2851" s="20" t="s">
        <v>150</v>
      </c>
      <c r="D2851" s="14" t="str">
        <f>VLOOKUP(C2851,'State Key'!$A$2:$B$210,2,False)</f>
        <v>Maharashtra</v>
      </c>
      <c r="E2851" s="21">
        <v>500.0</v>
      </c>
      <c r="F2851" s="22">
        <v>125.017</v>
      </c>
      <c r="G2851" s="22">
        <v>0.0</v>
      </c>
      <c r="H2851" s="22">
        <v>0.0</v>
      </c>
      <c r="I2851" s="22">
        <v>0.0</v>
      </c>
      <c r="J2851" s="22">
        <v>0.0</v>
      </c>
      <c r="K2851" s="22">
        <v>0.0</v>
      </c>
      <c r="L2851" s="22">
        <v>125.017</v>
      </c>
      <c r="M2851" s="22">
        <v>217.909</v>
      </c>
      <c r="N2851" s="22">
        <v>8.46</v>
      </c>
      <c r="O2851" s="17">
        <v>1.2</v>
      </c>
      <c r="P2851" s="18">
        <f t="shared" si="1"/>
        <v>125.017</v>
      </c>
    </row>
    <row r="2852" ht="15.75" customHeight="1">
      <c r="A2852" s="13" t="s">
        <v>234</v>
      </c>
      <c r="B2852" s="13" t="s">
        <v>133</v>
      </c>
      <c r="C2852" s="14" t="s">
        <v>151</v>
      </c>
      <c r="D2852" s="14" t="str">
        <f>VLOOKUP(C2852,'State Key'!$A$2:$B$210,2,False)</f>
        <v>Maharashtra</v>
      </c>
      <c r="E2852" s="15">
        <v>600.0</v>
      </c>
      <c r="F2852" s="16">
        <v>192.925</v>
      </c>
      <c r="G2852" s="16">
        <v>0.0</v>
      </c>
      <c r="H2852" s="16">
        <v>0.0</v>
      </c>
      <c r="I2852" s="16">
        <v>6.466</v>
      </c>
      <c r="J2852" s="16">
        <v>0.0</v>
      </c>
      <c r="K2852" s="16">
        <v>0.0</v>
      </c>
      <c r="L2852" s="16">
        <v>199.391</v>
      </c>
      <c r="M2852" s="16">
        <v>290.088</v>
      </c>
      <c r="N2852" s="16">
        <v>152.35</v>
      </c>
      <c r="O2852" s="24">
        <v>15.8</v>
      </c>
      <c r="P2852" s="18">
        <f t="shared" si="1"/>
        <v>199.391</v>
      </c>
    </row>
    <row r="2853" ht="15.75" customHeight="1">
      <c r="A2853" s="19" t="s">
        <v>234</v>
      </c>
      <c r="B2853" s="19" t="s">
        <v>133</v>
      </c>
      <c r="C2853" s="20" t="s">
        <v>152</v>
      </c>
      <c r="D2853" s="14" t="str">
        <f>VLOOKUP(C2853,'State Key'!$A$2:$B$210,2,False)</f>
        <v>Chhattisgarh</v>
      </c>
      <c r="E2853" s="21">
        <v>500.0</v>
      </c>
      <c r="F2853" s="22">
        <v>154.551</v>
      </c>
      <c r="G2853" s="22">
        <v>0.0</v>
      </c>
      <c r="H2853" s="22">
        <v>0.0</v>
      </c>
      <c r="I2853" s="22">
        <v>0.0</v>
      </c>
      <c r="J2853" s="22">
        <v>0.0</v>
      </c>
      <c r="K2853" s="22">
        <v>0.0</v>
      </c>
      <c r="L2853" s="22">
        <v>154.551</v>
      </c>
      <c r="M2853" s="22">
        <v>270.957</v>
      </c>
      <c r="N2853" s="22">
        <v>109.364</v>
      </c>
      <c r="O2853" s="23">
        <v>12.1</v>
      </c>
      <c r="P2853" s="18">
        <f t="shared" si="1"/>
        <v>154.551</v>
      </c>
    </row>
    <row r="2854" ht="15.75" customHeight="1">
      <c r="A2854" s="13" t="s">
        <v>234</v>
      </c>
      <c r="B2854" s="13" t="s">
        <v>133</v>
      </c>
      <c r="C2854" s="14" t="s">
        <v>153</v>
      </c>
      <c r="D2854" s="14" t="str">
        <f>VLOOKUP(C2854,'State Key'!$A$2:$B$210,2,False)</f>
        <v>Madhya Pradesh</v>
      </c>
      <c r="E2854" s="15">
        <v>1600.0</v>
      </c>
      <c r="F2854" s="16">
        <v>19.34</v>
      </c>
      <c r="G2854" s="16">
        <v>4.05</v>
      </c>
      <c r="H2854" s="16">
        <v>206.93</v>
      </c>
      <c r="I2854" s="16">
        <v>0.0</v>
      </c>
      <c r="J2854" s="16">
        <v>35.94</v>
      </c>
      <c r="K2854" s="16">
        <v>0.0</v>
      </c>
      <c r="L2854" s="16">
        <v>266.26</v>
      </c>
      <c r="M2854" s="16">
        <v>332.006</v>
      </c>
      <c r="N2854" s="16">
        <v>432.885</v>
      </c>
      <c r="O2854" s="24">
        <v>39.1</v>
      </c>
      <c r="P2854" s="18">
        <f t="shared" si="1"/>
        <v>266.26</v>
      </c>
    </row>
    <row r="2855" ht="15.75" customHeight="1">
      <c r="A2855" s="19" t="s">
        <v>234</v>
      </c>
      <c r="B2855" s="19" t="s">
        <v>133</v>
      </c>
      <c r="C2855" s="20" t="s">
        <v>154</v>
      </c>
      <c r="D2855" s="14" t="str">
        <f>VLOOKUP(C2855,'State Key'!$A$2:$B$210,2,False)</f>
        <v>Gujarat</v>
      </c>
      <c r="E2855" s="21">
        <v>630.0</v>
      </c>
      <c r="F2855" s="22">
        <v>177.199</v>
      </c>
      <c r="G2855" s="22">
        <v>0.0</v>
      </c>
      <c r="H2855" s="22">
        <v>0.0</v>
      </c>
      <c r="I2855" s="22">
        <v>0.0</v>
      </c>
      <c r="J2855" s="22">
        <v>7.857</v>
      </c>
      <c r="K2855" s="22">
        <v>0.0</v>
      </c>
      <c r="L2855" s="22">
        <v>185.056</v>
      </c>
      <c r="M2855" s="22">
        <v>181.415</v>
      </c>
      <c r="N2855" s="22">
        <v>99.77</v>
      </c>
      <c r="O2855" s="24">
        <v>16.5</v>
      </c>
      <c r="P2855" s="18">
        <f t="shared" si="1"/>
        <v>185.056</v>
      </c>
    </row>
    <row r="2856" ht="15.75" customHeight="1">
      <c r="A2856" s="13" t="s">
        <v>234</v>
      </c>
      <c r="B2856" s="13" t="s">
        <v>133</v>
      </c>
      <c r="C2856" s="14" t="s">
        <v>155</v>
      </c>
      <c r="D2856" s="14" t="str">
        <f>VLOOKUP(C2856,'State Key'!$A$2:$B$210,2,False)</f>
        <v>Maharashtra</v>
      </c>
      <c r="E2856" s="15">
        <v>120.0</v>
      </c>
      <c r="F2856" s="16">
        <v>0.0</v>
      </c>
      <c r="G2856" s="16">
        <v>0.0</v>
      </c>
      <c r="H2856" s="16">
        <v>0.0</v>
      </c>
      <c r="I2856" s="16">
        <v>0.0</v>
      </c>
      <c r="J2856" s="16">
        <v>0.0</v>
      </c>
      <c r="K2856" s="16">
        <v>0.0</v>
      </c>
      <c r="L2856" s="16">
        <v>0.0</v>
      </c>
      <c r="M2856" s="16">
        <v>0.0</v>
      </c>
      <c r="N2856" s="16">
        <v>0.0</v>
      </c>
      <c r="O2856" s="13" t="s">
        <v>58</v>
      </c>
      <c r="P2856" s="18">
        <f t="shared" si="1"/>
        <v>0</v>
      </c>
    </row>
    <row r="2857" ht="15.75" customHeight="1">
      <c r="A2857" s="19" t="s">
        <v>234</v>
      </c>
      <c r="B2857" s="19" t="s">
        <v>133</v>
      </c>
      <c r="C2857" s="20" t="s">
        <v>156</v>
      </c>
      <c r="D2857" s="14" t="str">
        <f>VLOOKUP(C2857,'State Key'!$A$2:$B$210,2,False)</f>
        <v>Maharashtra</v>
      </c>
      <c r="E2857" s="21">
        <v>600.0</v>
      </c>
      <c r="F2857" s="22">
        <v>91.587</v>
      </c>
      <c r="G2857" s="22">
        <v>0.0</v>
      </c>
      <c r="H2857" s="22">
        <v>0.0</v>
      </c>
      <c r="I2857" s="22">
        <v>68.521</v>
      </c>
      <c r="J2857" s="22">
        <v>0.0</v>
      </c>
      <c r="K2857" s="22">
        <v>0.0</v>
      </c>
      <c r="L2857" s="22">
        <v>160.108</v>
      </c>
      <c r="M2857" s="22">
        <v>165.188</v>
      </c>
      <c r="N2857" s="22">
        <v>102.09</v>
      </c>
      <c r="O2857" s="24">
        <v>18.5</v>
      </c>
      <c r="P2857" s="18">
        <f t="shared" si="1"/>
        <v>160.108</v>
      </c>
    </row>
    <row r="2858" ht="15.75" customHeight="1">
      <c r="A2858" s="13" t="s">
        <v>234</v>
      </c>
      <c r="B2858" s="13" t="s">
        <v>133</v>
      </c>
      <c r="C2858" s="14" t="s">
        <v>157</v>
      </c>
      <c r="D2858" s="14" t="str">
        <f>VLOOKUP(C2858,'State Key'!$A$2:$B$210,2,False)</f>
        <v>Maharashtra</v>
      </c>
      <c r="E2858" s="15">
        <v>300.0</v>
      </c>
      <c r="F2858" s="16">
        <v>0.0</v>
      </c>
      <c r="G2858" s="16">
        <v>0.0</v>
      </c>
      <c r="H2858" s="16">
        <v>0.0</v>
      </c>
      <c r="I2858" s="16">
        <v>0.0</v>
      </c>
      <c r="J2858" s="16">
        <v>50.0</v>
      </c>
      <c r="K2858" s="16">
        <v>0.0</v>
      </c>
      <c r="L2858" s="16">
        <v>50.0</v>
      </c>
      <c r="M2858" s="16">
        <v>67.97</v>
      </c>
      <c r="N2858" s="16">
        <v>32.65</v>
      </c>
      <c r="O2858" s="24">
        <v>14.4</v>
      </c>
      <c r="P2858" s="18">
        <f t="shared" si="1"/>
        <v>50</v>
      </c>
    </row>
    <row r="2859" ht="15.75" customHeight="1">
      <c r="A2859" s="19" t="s">
        <v>234</v>
      </c>
      <c r="B2859" s="19" t="s">
        <v>133</v>
      </c>
      <c r="C2859" s="20" t="s">
        <v>158</v>
      </c>
      <c r="D2859" s="14" t="str">
        <f>VLOOKUP(C2859,'State Key'!$A$2:$B$210,2,False)</f>
        <v>Chhattisgarh</v>
      </c>
      <c r="E2859" s="21">
        <v>270.0</v>
      </c>
      <c r="F2859" s="22">
        <v>43.47068</v>
      </c>
      <c r="G2859" s="22">
        <v>0.0</v>
      </c>
      <c r="H2859" s="22">
        <v>0.0</v>
      </c>
      <c r="I2859" s="22">
        <v>0.0</v>
      </c>
      <c r="J2859" s="22">
        <v>0.0</v>
      </c>
      <c r="K2859" s="22">
        <v>89.81501</v>
      </c>
      <c r="L2859" s="22">
        <v>133.28569</v>
      </c>
      <c r="M2859" s="22">
        <v>59.29</v>
      </c>
      <c r="N2859" s="22">
        <v>216.2826</v>
      </c>
      <c r="O2859" s="24">
        <v>109.4</v>
      </c>
      <c r="P2859" s="18">
        <f t="shared" si="1"/>
        <v>133.28569</v>
      </c>
    </row>
    <row r="2860" ht="15.75" customHeight="1">
      <c r="A2860" s="13" t="s">
        <v>234</v>
      </c>
      <c r="B2860" s="13" t="s">
        <v>133</v>
      </c>
      <c r="C2860" s="14" t="s">
        <v>159</v>
      </c>
      <c r="D2860" s="14" t="str">
        <f>VLOOKUP(C2860,'State Key'!$A$2:$B$210,2,False)</f>
        <v>Chhattisgarh</v>
      </c>
      <c r="E2860" s="15">
        <v>35.0</v>
      </c>
      <c r="F2860" s="16">
        <v>0.0</v>
      </c>
      <c r="G2860" s="16">
        <v>0.0</v>
      </c>
      <c r="H2860" s="16">
        <v>0.0</v>
      </c>
      <c r="I2860" s="16">
        <v>0.0</v>
      </c>
      <c r="J2860" s="16">
        <v>0.0</v>
      </c>
      <c r="K2860" s="16">
        <v>0.0</v>
      </c>
      <c r="L2860" s="16">
        <v>0.0</v>
      </c>
      <c r="M2860" s="16">
        <v>0.0</v>
      </c>
      <c r="N2860" s="16">
        <v>0.0</v>
      </c>
      <c r="O2860" s="13" t="s">
        <v>58</v>
      </c>
      <c r="P2860" s="18">
        <f t="shared" si="1"/>
        <v>0</v>
      </c>
    </row>
    <row r="2861" ht="15.75" customHeight="1">
      <c r="A2861" s="19" t="s">
        <v>234</v>
      </c>
      <c r="B2861" s="19" t="s">
        <v>133</v>
      </c>
      <c r="C2861" s="20" t="s">
        <v>160</v>
      </c>
      <c r="D2861" s="14" t="str">
        <f>VLOOKUP(C2861,'State Key'!$A$2:$B$210,2,False)</f>
        <v>Maharashtra</v>
      </c>
      <c r="E2861" s="21">
        <v>1340.0</v>
      </c>
      <c r="F2861" s="22">
        <v>526.422</v>
      </c>
      <c r="G2861" s="22">
        <v>0.0</v>
      </c>
      <c r="H2861" s="22">
        <v>0.0</v>
      </c>
      <c r="I2861" s="22">
        <v>0.0</v>
      </c>
      <c r="J2861" s="22">
        <v>13.418</v>
      </c>
      <c r="K2861" s="22">
        <v>0.858</v>
      </c>
      <c r="L2861" s="22">
        <v>540.698</v>
      </c>
      <c r="M2861" s="22">
        <v>574.26</v>
      </c>
      <c r="N2861" s="22">
        <v>298.77</v>
      </c>
      <c r="O2861" s="24">
        <v>15.6</v>
      </c>
      <c r="P2861" s="18">
        <f t="shared" si="1"/>
        <v>540.698</v>
      </c>
    </row>
    <row r="2862" ht="15.75" customHeight="1">
      <c r="A2862" s="13" t="s">
        <v>234</v>
      </c>
      <c r="B2862" s="13" t="s">
        <v>133</v>
      </c>
      <c r="C2862" s="14" t="s">
        <v>161</v>
      </c>
      <c r="D2862" s="14" t="str">
        <f>VLOOKUP(C2862,'State Key'!$A$2:$B$210,2,False)</f>
        <v>Madhya Pradesh</v>
      </c>
      <c r="E2862" s="15">
        <v>1320.0</v>
      </c>
      <c r="F2862" s="16">
        <v>208.1</v>
      </c>
      <c r="G2862" s="16">
        <v>32.25</v>
      </c>
      <c r="H2862" s="16">
        <v>103.49</v>
      </c>
      <c r="I2862" s="16">
        <v>0.0</v>
      </c>
      <c r="J2862" s="16">
        <v>35.86</v>
      </c>
      <c r="K2862" s="16">
        <v>0.0</v>
      </c>
      <c r="L2862" s="16">
        <v>379.7</v>
      </c>
      <c r="M2862" s="16">
        <v>261.723</v>
      </c>
      <c r="N2862" s="16">
        <v>749.705</v>
      </c>
      <c r="O2862" s="24">
        <v>85.9</v>
      </c>
      <c r="P2862" s="18">
        <f t="shared" si="1"/>
        <v>379.7</v>
      </c>
    </row>
    <row r="2863" ht="15.75" customHeight="1">
      <c r="A2863" s="19" t="s">
        <v>234</v>
      </c>
      <c r="B2863" s="19" t="s">
        <v>133</v>
      </c>
      <c r="C2863" s="20" t="s">
        <v>162</v>
      </c>
      <c r="D2863" s="14" t="str">
        <f>VLOOKUP(C2863,'State Key'!$A$2:$B$210,2,False)</f>
        <v>Maharashtra</v>
      </c>
      <c r="E2863" s="21">
        <v>2190.0</v>
      </c>
      <c r="F2863" s="22">
        <v>811.753</v>
      </c>
      <c r="G2863" s="22">
        <v>16.45</v>
      </c>
      <c r="H2863" s="22">
        <v>0.0</v>
      </c>
      <c r="I2863" s="22">
        <v>0.0</v>
      </c>
      <c r="J2863" s="22">
        <v>0.0</v>
      </c>
      <c r="K2863" s="22">
        <v>0.0</v>
      </c>
      <c r="L2863" s="22">
        <v>828.203</v>
      </c>
      <c r="M2863" s="22">
        <v>832.632</v>
      </c>
      <c r="N2863" s="22">
        <v>336.988</v>
      </c>
      <c r="O2863" s="23">
        <v>12.1</v>
      </c>
      <c r="P2863" s="18">
        <f t="shared" si="1"/>
        <v>828.203</v>
      </c>
    </row>
    <row r="2864" ht="15.75" customHeight="1">
      <c r="A2864" s="13" t="s">
        <v>234</v>
      </c>
      <c r="B2864" s="13" t="s">
        <v>133</v>
      </c>
      <c r="C2864" s="14" t="s">
        <v>163</v>
      </c>
      <c r="D2864" s="14" t="str">
        <f>VLOOKUP(C2864,'State Key'!$A$2:$B$210,2,False)</f>
        <v>Chhattisgarh</v>
      </c>
      <c r="E2864" s="15">
        <v>2600.0</v>
      </c>
      <c r="F2864" s="16">
        <v>951.23</v>
      </c>
      <c r="G2864" s="16">
        <v>0.0</v>
      </c>
      <c r="H2864" s="16">
        <v>0.0</v>
      </c>
      <c r="I2864" s="16">
        <v>0.0</v>
      </c>
      <c r="J2864" s="16">
        <v>0.0</v>
      </c>
      <c r="K2864" s="16">
        <v>0.0</v>
      </c>
      <c r="L2864" s="16">
        <v>951.23</v>
      </c>
      <c r="M2864" s="16">
        <v>1056.484</v>
      </c>
      <c r="N2864" s="16">
        <v>256.45</v>
      </c>
      <c r="O2864" s="23">
        <v>7.3</v>
      </c>
      <c r="P2864" s="18">
        <f t="shared" si="1"/>
        <v>951.23</v>
      </c>
    </row>
    <row r="2865" ht="15.75" customHeight="1">
      <c r="A2865" s="19" t="s">
        <v>234</v>
      </c>
      <c r="B2865" s="19" t="s">
        <v>133</v>
      </c>
      <c r="C2865" s="20" t="s">
        <v>164</v>
      </c>
      <c r="D2865" s="14" t="str">
        <f>VLOOKUP(C2865,'State Key'!$A$2:$B$210,2,False)</f>
        <v>Chhattisgarh</v>
      </c>
      <c r="E2865" s="21">
        <v>1340.0</v>
      </c>
      <c r="F2865" s="22">
        <v>444.68</v>
      </c>
      <c r="G2865" s="22">
        <v>0.0</v>
      </c>
      <c r="H2865" s="22">
        <v>0.0</v>
      </c>
      <c r="I2865" s="22">
        <v>0.0</v>
      </c>
      <c r="J2865" s="22">
        <v>0.0</v>
      </c>
      <c r="K2865" s="22">
        <v>0.0</v>
      </c>
      <c r="L2865" s="22">
        <v>444.68</v>
      </c>
      <c r="M2865" s="22">
        <v>452.317</v>
      </c>
      <c r="N2865" s="22">
        <v>97.76</v>
      </c>
      <c r="O2865" s="17">
        <v>6.5</v>
      </c>
      <c r="P2865" s="18">
        <f t="shared" si="1"/>
        <v>444.68</v>
      </c>
    </row>
    <row r="2866" ht="15.75" customHeight="1">
      <c r="A2866" s="13" t="s">
        <v>234</v>
      </c>
      <c r="B2866" s="13" t="s">
        <v>133</v>
      </c>
      <c r="C2866" s="14" t="s">
        <v>165</v>
      </c>
      <c r="D2866" s="14" t="str">
        <f>VLOOKUP(C2866,'State Key'!$A$2:$B$210,2,False)</f>
        <v>Chhattisgarh</v>
      </c>
      <c r="E2866" s="15">
        <v>1600.0</v>
      </c>
      <c r="F2866" s="16">
        <v>0.0</v>
      </c>
      <c r="G2866" s="16">
        <v>0.0</v>
      </c>
      <c r="H2866" s="16">
        <v>651.4</v>
      </c>
      <c r="I2866" s="16">
        <v>0.0</v>
      </c>
      <c r="J2866" s="16">
        <v>0.0</v>
      </c>
      <c r="K2866" s="16">
        <v>0.0</v>
      </c>
      <c r="L2866" s="16">
        <v>651.4</v>
      </c>
      <c r="M2866" s="16">
        <v>748.42</v>
      </c>
      <c r="N2866" s="16">
        <v>483.664</v>
      </c>
      <c r="O2866" s="24">
        <v>19.4</v>
      </c>
      <c r="P2866" s="18">
        <f t="shared" si="1"/>
        <v>651.4</v>
      </c>
    </row>
    <row r="2867" ht="15.75" customHeight="1">
      <c r="A2867" s="19" t="s">
        <v>234</v>
      </c>
      <c r="B2867" s="19" t="s">
        <v>133</v>
      </c>
      <c r="C2867" s="20" t="s">
        <v>166</v>
      </c>
      <c r="D2867" s="14" t="str">
        <f>VLOOKUP(C2867,'State Key'!$A$2:$B$210,2,False)</f>
        <v>Madhya Pradesh</v>
      </c>
      <c r="E2867" s="21">
        <v>1200.0</v>
      </c>
      <c r="F2867" s="22">
        <v>200.55</v>
      </c>
      <c r="G2867" s="22">
        <v>0.0</v>
      </c>
      <c r="H2867" s="22">
        <v>0.0</v>
      </c>
      <c r="I2867" s="22">
        <v>0.0</v>
      </c>
      <c r="J2867" s="22">
        <v>0.0</v>
      </c>
      <c r="K2867" s="22">
        <v>268.48</v>
      </c>
      <c r="L2867" s="22">
        <v>469.03</v>
      </c>
      <c r="M2867" s="22">
        <v>381.91</v>
      </c>
      <c r="N2867" s="22">
        <v>353.62</v>
      </c>
      <c r="O2867" s="24">
        <v>27.8</v>
      </c>
      <c r="P2867" s="18">
        <f t="shared" si="1"/>
        <v>469.03</v>
      </c>
    </row>
    <row r="2868" ht="15.75" customHeight="1">
      <c r="A2868" s="13" t="s">
        <v>234</v>
      </c>
      <c r="B2868" s="13" t="s">
        <v>133</v>
      </c>
      <c r="C2868" s="14" t="s">
        <v>167</v>
      </c>
      <c r="D2868" s="14" t="str">
        <f>VLOOKUP(C2868,'State Key'!$A$2:$B$210,2,False)</f>
        <v>Chhattisgarh</v>
      </c>
      <c r="E2868" s="15">
        <v>1000.0</v>
      </c>
      <c r="F2868" s="16">
        <v>141.794</v>
      </c>
      <c r="G2868" s="16">
        <v>0.0</v>
      </c>
      <c r="H2868" s="16">
        <v>358.205</v>
      </c>
      <c r="I2868" s="16">
        <v>0.0</v>
      </c>
      <c r="J2868" s="16">
        <v>0.0</v>
      </c>
      <c r="K2868" s="16">
        <v>0.0</v>
      </c>
      <c r="L2868" s="16">
        <v>499.999</v>
      </c>
      <c r="M2868" s="16">
        <v>485.712</v>
      </c>
      <c r="N2868" s="16">
        <v>345.15</v>
      </c>
      <c r="O2868" s="24">
        <v>21.3</v>
      </c>
      <c r="P2868" s="18">
        <f t="shared" si="1"/>
        <v>499.999</v>
      </c>
    </row>
    <row r="2869" ht="15.75" customHeight="1">
      <c r="A2869" s="19" t="s">
        <v>234</v>
      </c>
      <c r="B2869" s="19" t="s">
        <v>133</v>
      </c>
      <c r="C2869" s="20" t="s">
        <v>168</v>
      </c>
      <c r="D2869" s="14" t="str">
        <f>VLOOKUP(C2869,'State Key'!$A$2:$B$210,2,False)</f>
        <v>Maharashtra</v>
      </c>
      <c r="E2869" s="21">
        <v>2320.0</v>
      </c>
      <c r="F2869" s="22">
        <v>480.19</v>
      </c>
      <c r="G2869" s="22">
        <v>52.38</v>
      </c>
      <c r="H2869" s="22">
        <v>203.61</v>
      </c>
      <c r="I2869" s="22">
        <v>0.0</v>
      </c>
      <c r="J2869" s="22">
        <v>91.38</v>
      </c>
      <c r="K2869" s="22">
        <v>0.0</v>
      </c>
      <c r="L2869" s="22">
        <v>827.56</v>
      </c>
      <c r="M2869" s="22">
        <v>727.146</v>
      </c>
      <c r="N2869" s="22">
        <v>610.526</v>
      </c>
      <c r="O2869" s="24">
        <v>25.2</v>
      </c>
      <c r="P2869" s="18">
        <f t="shared" si="1"/>
        <v>827.56</v>
      </c>
    </row>
    <row r="2870" ht="15.75" customHeight="1">
      <c r="A2870" s="13" t="s">
        <v>234</v>
      </c>
      <c r="B2870" s="13" t="s">
        <v>133</v>
      </c>
      <c r="C2870" s="14" t="s">
        <v>169</v>
      </c>
      <c r="D2870" s="14" t="str">
        <f>VLOOKUP(C2870,'State Key'!$A$2:$B$210,2,False)</f>
        <v>Madhya Pradesh</v>
      </c>
      <c r="E2870" s="15">
        <v>246.01</v>
      </c>
      <c r="F2870" s="16">
        <v>0.0</v>
      </c>
      <c r="G2870" s="16">
        <v>0.0</v>
      </c>
      <c r="H2870" s="16">
        <v>0.0</v>
      </c>
      <c r="I2870" s="16">
        <v>0.0</v>
      </c>
      <c r="J2870" s="16">
        <v>0.0</v>
      </c>
      <c r="K2870" s="16">
        <v>0.0</v>
      </c>
      <c r="L2870" s="16">
        <v>0.0</v>
      </c>
      <c r="M2870" s="16">
        <v>0.0</v>
      </c>
      <c r="N2870" s="16">
        <v>0.0</v>
      </c>
      <c r="O2870" s="13" t="s">
        <v>58</v>
      </c>
      <c r="P2870" s="18">
        <f t="shared" si="1"/>
        <v>0</v>
      </c>
    </row>
    <row r="2871" ht="15.75" customHeight="1">
      <c r="A2871" s="19" t="s">
        <v>234</v>
      </c>
      <c r="B2871" s="19" t="s">
        <v>133</v>
      </c>
      <c r="C2871" s="20" t="s">
        <v>172</v>
      </c>
      <c r="D2871" s="14" t="str">
        <f>VLOOKUP(C2871,'State Key'!$A$2:$B$210,2,False)</f>
        <v>Gujarat</v>
      </c>
      <c r="E2871" s="21">
        <v>4000.0</v>
      </c>
      <c r="F2871" s="22">
        <v>0.0</v>
      </c>
      <c r="G2871" s="22">
        <v>0.0</v>
      </c>
      <c r="H2871" s="22">
        <v>0.0</v>
      </c>
      <c r="I2871" s="22">
        <v>0.0</v>
      </c>
      <c r="J2871" s="22">
        <v>539.785</v>
      </c>
      <c r="K2871" s="22">
        <v>0.0</v>
      </c>
      <c r="L2871" s="22">
        <v>539.785</v>
      </c>
      <c r="M2871" s="22">
        <v>858.756</v>
      </c>
      <c r="N2871" s="22">
        <v>380.281</v>
      </c>
      <c r="O2871" s="23">
        <v>13.3</v>
      </c>
      <c r="P2871" s="18">
        <f t="shared" si="1"/>
        <v>539.785</v>
      </c>
    </row>
    <row r="2872" ht="15.75" customHeight="1">
      <c r="A2872" s="13" t="s">
        <v>234</v>
      </c>
      <c r="B2872" s="13" t="s">
        <v>133</v>
      </c>
      <c r="C2872" s="14" t="s">
        <v>173</v>
      </c>
      <c r="D2872" s="14" t="str">
        <f>VLOOKUP(C2872,'State Key'!$A$2:$B$210,2,False)</f>
        <v>Maharashtra</v>
      </c>
      <c r="E2872" s="15">
        <v>1350.0</v>
      </c>
      <c r="F2872" s="16">
        <v>0.0</v>
      </c>
      <c r="G2872" s="16">
        <v>0.0</v>
      </c>
      <c r="H2872" s="16">
        <v>0.0</v>
      </c>
      <c r="I2872" s="16">
        <v>0.0</v>
      </c>
      <c r="J2872" s="16">
        <v>0.0</v>
      </c>
      <c r="K2872" s="16">
        <v>0.0</v>
      </c>
      <c r="L2872" s="16">
        <v>0.0</v>
      </c>
      <c r="M2872" s="16">
        <v>0.0</v>
      </c>
      <c r="N2872" s="16">
        <v>0.0</v>
      </c>
      <c r="O2872" s="13" t="s">
        <v>58</v>
      </c>
      <c r="P2872" s="18">
        <f t="shared" si="1"/>
        <v>0</v>
      </c>
    </row>
    <row r="2873" ht="15.75" customHeight="1">
      <c r="A2873" s="19" t="s">
        <v>234</v>
      </c>
      <c r="B2873" s="19" t="s">
        <v>133</v>
      </c>
      <c r="C2873" s="20" t="s">
        <v>174</v>
      </c>
      <c r="D2873" s="14" t="str">
        <f>VLOOKUP(C2873,'State Key'!$A$2:$B$210,2,False)</f>
        <v>Maharashtra</v>
      </c>
      <c r="E2873" s="21">
        <v>630.0</v>
      </c>
      <c r="F2873" s="22">
        <v>257.167</v>
      </c>
      <c r="G2873" s="22">
        <v>0.0</v>
      </c>
      <c r="H2873" s="22">
        <v>0.0</v>
      </c>
      <c r="I2873" s="22">
        <v>0.0</v>
      </c>
      <c r="J2873" s="22">
        <v>0.0</v>
      </c>
      <c r="K2873" s="22">
        <v>0.0</v>
      </c>
      <c r="L2873" s="22">
        <v>257.167</v>
      </c>
      <c r="M2873" s="22">
        <v>163.45</v>
      </c>
      <c r="N2873" s="22">
        <v>347.2</v>
      </c>
      <c r="O2873" s="24">
        <v>63.7</v>
      </c>
      <c r="P2873" s="18">
        <f t="shared" si="1"/>
        <v>257.167</v>
      </c>
    </row>
    <row r="2874" ht="15.75" customHeight="1">
      <c r="A2874" s="13" t="s">
        <v>234</v>
      </c>
      <c r="B2874" s="13" t="s">
        <v>133</v>
      </c>
      <c r="C2874" s="14" t="s">
        <v>175</v>
      </c>
      <c r="D2874" s="14" t="str">
        <f>VLOOKUP(C2874,'State Key'!$A$2:$B$210,2,False)</f>
        <v>Chhattisgarh</v>
      </c>
      <c r="E2874" s="15">
        <v>600.0</v>
      </c>
      <c r="F2874" s="16">
        <v>228.274</v>
      </c>
      <c r="G2874" s="16">
        <v>0.0</v>
      </c>
      <c r="H2874" s="16">
        <v>0.0</v>
      </c>
      <c r="I2874" s="16">
        <v>0.0</v>
      </c>
      <c r="J2874" s="16">
        <v>0.0</v>
      </c>
      <c r="K2874" s="16">
        <v>0.0</v>
      </c>
      <c r="L2874" s="16">
        <v>228.274</v>
      </c>
      <c r="M2874" s="16">
        <v>182.374</v>
      </c>
      <c r="N2874" s="16">
        <v>331.66</v>
      </c>
      <c r="O2874" s="24">
        <v>54.6</v>
      </c>
      <c r="P2874" s="18">
        <f t="shared" si="1"/>
        <v>228.274</v>
      </c>
    </row>
    <row r="2875" ht="15.75" customHeight="1">
      <c r="A2875" s="19" t="s">
        <v>234</v>
      </c>
      <c r="B2875" s="19" t="s">
        <v>133</v>
      </c>
      <c r="C2875" s="20" t="s">
        <v>176</v>
      </c>
      <c r="D2875" s="14" t="str">
        <f>VLOOKUP(C2875,'State Key'!$A$2:$B$210,2,False)</f>
        <v>Madhya Pradesh</v>
      </c>
      <c r="E2875" s="21">
        <v>1320.0</v>
      </c>
      <c r="F2875" s="22">
        <v>0.0</v>
      </c>
      <c r="G2875" s="22">
        <v>0.0</v>
      </c>
      <c r="H2875" s="22">
        <v>202.129</v>
      </c>
      <c r="I2875" s="22">
        <v>112.8592</v>
      </c>
      <c r="J2875" s="22">
        <v>0.0</v>
      </c>
      <c r="K2875" s="22">
        <v>0.0</v>
      </c>
      <c r="L2875" s="22">
        <v>314.9882</v>
      </c>
      <c r="M2875" s="22">
        <v>355.0181</v>
      </c>
      <c r="N2875" s="22">
        <v>332.1947</v>
      </c>
      <c r="O2875" s="24">
        <v>28.1</v>
      </c>
      <c r="P2875" s="18">
        <f t="shared" si="1"/>
        <v>314.9882</v>
      </c>
    </row>
    <row r="2876" ht="15.75" customHeight="1">
      <c r="A2876" s="13" t="s">
        <v>234</v>
      </c>
      <c r="B2876" s="13" t="s">
        <v>133</v>
      </c>
      <c r="C2876" s="14" t="s">
        <v>177</v>
      </c>
      <c r="D2876" s="14" t="str">
        <f>VLOOKUP(C2876,'State Key'!$A$2:$B$210,2,False)</f>
        <v>Madhya Pradesh</v>
      </c>
      <c r="E2876" s="15">
        <v>90.0</v>
      </c>
      <c r="F2876" s="16">
        <v>17.639</v>
      </c>
      <c r="G2876" s="16">
        <v>0.0</v>
      </c>
      <c r="H2876" s="16">
        <v>0.0</v>
      </c>
      <c r="I2876" s="16">
        <v>0.0</v>
      </c>
      <c r="J2876" s="16">
        <v>0.0</v>
      </c>
      <c r="K2876" s="16">
        <v>18.093</v>
      </c>
      <c r="L2876" s="16">
        <v>35.732</v>
      </c>
      <c r="M2876" s="16">
        <v>35.75</v>
      </c>
      <c r="N2876" s="16">
        <v>90.77</v>
      </c>
      <c r="O2876" s="24">
        <v>76.2</v>
      </c>
      <c r="P2876" s="18">
        <f t="shared" si="1"/>
        <v>35.732</v>
      </c>
    </row>
    <row r="2877" ht="15.75" customHeight="1">
      <c r="A2877" s="19" t="s">
        <v>234</v>
      </c>
      <c r="B2877" s="19" t="s">
        <v>133</v>
      </c>
      <c r="C2877" s="20" t="s">
        <v>178</v>
      </c>
      <c r="D2877" s="14" t="str">
        <f>VLOOKUP(C2877,'State Key'!$A$2:$B$210,2,False)</f>
        <v>Chhattisgarh</v>
      </c>
      <c r="E2877" s="21">
        <v>1000.0</v>
      </c>
      <c r="F2877" s="22">
        <v>70.42</v>
      </c>
      <c r="G2877" s="22">
        <v>0.0</v>
      </c>
      <c r="H2877" s="22">
        <v>0.0</v>
      </c>
      <c r="I2877" s="22">
        <v>546.812</v>
      </c>
      <c r="J2877" s="22">
        <v>0.0</v>
      </c>
      <c r="K2877" s="22">
        <v>47.955</v>
      </c>
      <c r="L2877" s="22">
        <v>665.187</v>
      </c>
      <c r="M2877" s="22">
        <v>558.004</v>
      </c>
      <c r="N2877" s="22">
        <v>508.94</v>
      </c>
      <c r="O2877" s="24">
        <v>27.4</v>
      </c>
      <c r="P2877" s="18">
        <f t="shared" si="1"/>
        <v>665.187</v>
      </c>
    </row>
    <row r="2878" ht="15.75" customHeight="1">
      <c r="A2878" s="13" t="s">
        <v>234</v>
      </c>
      <c r="B2878" s="13" t="s">
        <v>133</v>
      </c>
      <c r="C2878" s="14" t="s">
        <v>179</v>
      </c>
      <c r="D2878" s="14" t="str">
        <f>VLOOKUP(C2878,'State Key'!$A$2:$B$210,2,False)</f>
        <v>Maharashtra</v>
      </c>
      <c r="E2878" s="15">
        <v>500.0</v>
      </c>
      <c r="F2878" s="16">
        <v>77.494</v>
      </c>
      <c r="G2878" s="16">
        <v>0.0</v>
      </c>
      <c r="H2878" s="16">
        <v>0.0</v>
      </c>
      <c r="I2878" s="16">
        <v>0.0</v>
      </c>
      <c r="J2878" s="16">
        <v>0.0</v>
      </c>
      <c r="K2878" s="16">
        <v>0.0</v>
      </c>
      <c r="L2878" s="16">
        <v>77.494</v>
      </c>
      <c r="M2878" s="16">
        <v>107.111</v>
      </c>
      <c r="N2878" s="16">
        <v>192.66</v>
      </c>
      <c r="O2878" s="24">
        <v>54.0</v>
      </c>
      <c r="P2878" s="18">
        <f t="shared" si="1"/>
        <v>77.494</v>
      </c>
    </row>
    <row r="2879" ht="15.75" customHeight="1">
      <c r="A2879" s="19" t="s">
        <v>234</v>
      </c>
      <c r="B2879" s="19" t="s">
        <v>133</v>
      </c>
      <c r="C2879" s="20" t="s">
        <v>180</v>
      </c>
      <c r="D2879" s="14" t="str">
        <f>VLOOKUP(C2879,'State Key'!$A$2:$B$210,2,False)</f>
        <v>Maharashtra</v>
      </c>
      <c r="E2879" s="21">
        <v>750.0</v>
      </c>
      <c r="F2879" s="22">
        <v>106.14</v>
      </c>
      <c r="G2879" s="22">
        <v>136.253</v>
      </c>
      <c r="H2879" s="22">
        <v>0.0</v>
      </c>
      <c r="I2879" s="22">
        <v>0.0</v>
      </c>
      <c r="J2879" s="22">
        <v>0.0</v>
      </c>
      <c r="K2879" s="22">
        <v>0.0</v>
      </c>
      <c r="L2879" s="22">
        <v>242.393</v>
      </c>
      <c r="M2879" s="22">
        <v>257.944</v>
      </c>
      <c r="N2879" s="22">
        <v>127.4</v>
      </c>
      <c r="O2879" s="24">
        <v>14.8</v>
      </c>
      <c r="P2879" s="18">
        <f t="shared" si="1"/>
        <v>242.393</v>
      </c>
    </row>
    <row r="2880" ht="15.75" customHeight="1">
      <c r="A2880" s="13" t="s">
        <v>234</v>
      </c>
      <c r="B2880" s="13" t="s">
        <v>133</v>
      </c>
      <c r="C2880" s="14" t="s">
        <v>181</v>
      </c>
      <c r="D2880" s="14" t="str">
        <f>VLOOKUP(C2880,'State Key'!$A$2:$B$210,2,False)</f>
        <v>Chhattisgarh</v>
      </c>
      <c r="E2880" s="15">
        <v>600.0</v>
      </c>
      <c r="F2880" s="16">
        <v>142.0</v>
      </c>
      <c r="G2880" s="16">
        <v>0.0</v>
      </c>
      <c r="H2880" s="16">
        <v>0.0</v>
      </c>
      <c r="I2880" s="16">
        <v>0.0</v>
      </c>
      <c r="J2880" s="16">
        <v>0.0</v>
      </c>
      <c r="K2880" s="16">
        <v>0.0</v>
      </c>
      <c r="L2880" s="16">
        <v>142.0</v>
      </c>
      <c r="M2880" s="16">
        <v>204.24</v>
      </c>
      <c r="N2880" s="16">
        <v>161.7</v>
      </c>
      <c r="O2880" s="24">
        <v>23.8</v>
      </c>
      <c r="P2880" s="18">
        <f t="shared" si="1"/>
        <v>142</v>
      </c>
    </row>
    <row r="2881" ht="15.75" customHeight="1">
      <c r="A2881" s="19" t="s">
        <v>234</v>
      </c>
      <c r="B2881" s="19" t="s">
        <v>133</v>
      </c>
      <c r="C2881" s="20" t="s">
        <v>183</v>
      </c>
      <c r="D2881" s="14" t="str">
        <f>VLOOKUP(C2881,'State Key'!$A$2:$B$210,2,False)</f>
        <v>Chhattisgarh</v>
      </c>
      <c r="E2881" s="21">
        <v>100.0</v>
      </c>
      <c r="F2881" s="22">
        <v>0.0</v>
      </c>
      <c r="G2881" s="22">
        <v>0.0</v>
      </c>
      <c r="H2881" s="22">
        <v>0.0</v>
      </c>
      <c r="I2881" s="22">
        <v>0.0</v>
      </c>
      <c r="J2881" s="22">
        <v>0.0</v>
      </c>
      <c r="K2881" s="22">
        <v>58.893</v>
      </c>
      <c r="L2881" s="22">
        <v>58.893</v>
      </c>
      <c r="M2881" s="22">
        <v>57.512</v>
      </c>
      <c r="N2881" s="22">
        <v>17.07</v>
      </c>
      <c r="O2881" s="23">
        <v>8.9</v>
      </c>
      <c r="P2881" s="18">
        <f t="shared" si="1"/>
        <v>58.893</v>
      </c>
    </row>
    <row r="2882" ht="15.75" customHeight="1">
      <c r="A2882" s="13" t="s">
        <v>234</v>
      </c>
      <c r="B2882" s="13" t="s">
        <v>133</v>
      </c>
      <c r="C2882" s="14" t="s">
        <v>184</v>
      </c>
      <c r="D2882" s="14" t="str">
        <f>VLOOKUP(C2882,'State Key'!$A$2:$B$210,2,False)</f>
        <v>Gujarat</v>
      </c>
      <c r="E2882" s="15">
        <v>362.0</v>
      </c>
      <c r="F2882" s="16">
        <v>106.701</v>
      </c>
      <c r="G2882" s="16">
        <v>0.0</v>
      </c>
      <c r="H2882" s="16">
        <v>0.0</v>
      </c>
      <c r="I2882" s="16">
        <v>0.0</v>
      </c>
      <c r="J2882" s="16">
        <v>49.991</v>
      </c>
      <c r="K2882" s="16">
        <v>0.0</v>
      </c>
      <c r="L2882" s="16">
        <v>156.692</v>
      </c>
      <c r="M2882" s="16">
        <v>121.528</v>
      </c>
      <c r="N2882" s="16">
        <v>112.8201</v>
      </c>
      <c r="O2882" s="24">
        <v>27.9</v>
      </c>
      <c r="P2882" s="18">
        <f t="shared" si="1"/>
        <v>156.692</v>
      </c>
    </row>
    <row r="2883" ht="15.75" customHeight="1">
      <c r="A2883" s="19" t="s">
        <v>234</v>
      </c>
      <c r="B2883" s="19" t="s">
        <v>133</v>
      </c>
      <c r="C2883" s="20" t="s">
        <v>185</v>
      </c>
      <c r="D2883" s="14" t="str">
        <f>VLOOKUP(C2883,'State Key'!$A$2:$B$210,2,False)</f>
        <v>Gujarat</v>
      </c>
      <c r="E2883" s="21">
        <v>1200.0</v>
      </c>
      <c r="F2883" s="22">
        <v>0.0</v>
      </c>
      <c r="G2883" s="22">
        <v>0.0</v>
      </c>
      <c r="H2883" s="22">
        <v>0.0</v>
      </c>
      <c r="I2883" s="22">
        <v>0.0</v>
      </c>
      <c r="J2883" s="22">
        <v>320.434</v>
      </c>
      <c r="K2883" s="22">
        <v>0.0</v>
      </c>
      <c r="L2883" s="22">
        <v>320.434</v>
      </c>
      <c r="M2883" s="22">
        <v>137.597</v>
      </c>
      <c r="N2883" s="22">
        <v>186.761</v>
      </c>
      <c r="O2883" s="24">
        <v>40.7</v>
      </c>
      <c r="P2883" s="18">
        <f t="shared" si="1"/>
        <v>320.434</v>
      </c>
    </row>
    <row r="2884" ht="15.75" customHeight="1">
      <c r="A2884" s="13" t="s">
        <v>234</v>
      </c>
      <c r="B2884" s="13" t="s">
        <v>133</v>
      </c>
      <c r="C2884" s="14" t="s">
        <v>186</v>
      </c>
      <c r="D2884" s="14" t="str">
        <f>VLOOKUP(C2884,'State Key'!$A$2:$B$210,2,False)</f>
        <v>Chhattisgarh</v>
      </c>
      <c r="E2884" s="15">
        <v>135.0</v>
      </c>
      <c r="F2884" s="16">
        <v>0.0</v>
      </c>
      <c r="G2884" s="16">
        <v>0.0</v>
      </c>
      <c r="H2884" s="16">
        <v>0.0</v>
      </c>
      <c r="I2884" s="16">
        <v>0.0</v>
      </c>
      <c r="J2884" s="16">
        <v>0.0</v>
      </c>
      <c r="K2884" s="16">
        <v>0.0</v>
      </c>
      <c r="L2884" s="16">
        <v>0.0</v>
      </c>
      <c r="M2884" s="16">
        <v>0.0</v>
      </c>
      <c r="N2884" s="16">
        <v>0.0</v>
      </c>
      <c r="O2884" s="13" t="s">
        <v>58</v>
      </c>
      <c r="P2884" s="18">
        <f t="shared" si="1"/>
        <v>0</v>
      </c>
    </row>
    <row r="2885" ht="15.75" customHeight="1">
      <c r="A2885" s="19" t="s">
        <v>234</v>
      </c>
      <c r="B2885" s="19" t="s">
        <v>133</v>
      </c>
      <c r="C2885" s="20" t="s">
        <v>187</v>
      </c>
      <c r="D2885" s="14" t="str">
        <f>VLOOKUP(C2885,'State Key'!$A$2:$B$210,2,False)</f>
        <v>Madhya Pradesh</v>
      </c>
      <c r="E2885" s="21">
        <v>1340.0</v>
      </c>
      <c r="F2885" s="22">
        <v>448.999</v>
      </c>
      <c r="G2885" s="22">
        <v>0.0</v>
      </c>
      <c r="H2885" s="22">
        <v>0.0</v>
      </c>
      <c r="I2885" s="22">
        <v>0.0</v>
      </c>
      <c r="J2885" s="22">
        <v>0.0</v>
      </c>
      <c r="K2885" s="22">
        <v>0.0</v>
      </c>
      <c r="L2885" s="22">
        <v>448.999</v>
      </c>
      <c r="M2885" s="22">
        <v>433.433</v>
      </c>
      <c r="N2885" s="22">
        <v>188.0</v>
      </c>
      <c r="O2885" s="23">
        <v>13.0</v>
      </c>
      <c r="P2885" s="18">
        <f t="shared" si="1"/>
        <v>448.999</v>
      </c>
    </row>
    <row r="2886" ht="15.75" customHeight="1">
      <c r="A2886" s="13" t="s">
        <v>234</v>
      </c>
      <c r="B2886" s="13" t="s">
        <v>133</v>
      </c>
      <c r="C2886" s="14" t="s">
        <v>188</v>
      </c>
      <c r="D2886" s="14" t="str">
        <f>VLOOKUP(C2886,'State Key'!$A$2:$B$210,2,False)</f>
        <v>Madhya Pradesh</v>
      </c>
      <c r="E2886" s="15">
        <v>3960.0</v>
      </c>
      <c r="F2886" s="16">
        <v>0.0</v>
      </c>
      <c r="G2886" s="16">
        <v>0.0</v>
      </c>
      <c r="H2886" s="16">
        <v>1495.237</v>
      </c>
      <c r="I2886" s="16">
        <v>0.0</v>
      </c>
      <c r="J2886" s="16">
        <v>0.0</v>
      </c>
      <c r="K2886" s="16">
        <v>0.0</v>
      </c>
      <c r="L2886" s="16">
        <v>1495.237</v>
      </c>
      <c r="M2886" s="16">
        <v>1361.827</v>
      </c>
      <c r="N2886" s="16">
        <v>316.57</v>
      </c>
      <c r="O2886" s="23">
        <v>7.0</v>
      </c>
      <c r="P2886" s="18">
        <f t="shared" si="1"/>
        <v>1495.237</v>
      </c>
    </row>
    <row r="2887" ht="15.75" customHeight="1">
      <c r="A2887" s="19" t="s">
        <v>234</v>
      </c>
      <c r="B2887" s="19" t="s">
        <v>133</v>
      </c>
      <c r="C2887" s="20" t="s">
        <v>189</v>
      </c>
      <c r="D2887" s="14" t="str">
        <f>VLOOKUP(C2887,'State Key'!$A$2:$B$210,2,False)</f>
        <v>Madhya Pradesh</v>
      </c>
      <c r="E2887" s="21">
        <v>1330.0</v>
      </c>
      <c r="F2887" s="22">
        <v>211.53</v>
      </c>
      <c r="G2887" s="22">
        <v>0.0</v>
      </c>
      <c r="H2887" s="22">
        <v>0.0</v>
      </c>
      <c r="I2887" s="22">
        <v>0.0</v>
      </c>
      <c r="J2887" s="22">
        <v>0.0</v>
      </c>
      <c r="K2887" s="22">
        <v>0.0</v>
      </c>
      <c r="L2887" s="22">
        <v>211.53</v>
      </c>
      <c r="M2887" s="22">
        <v>229.855</v>
      </c>
      <c r="N2887" s="22">
        <v>137.67</v>
      </c>
      <c r="O2887" s="24">
        <v>18.0</v>
      </c>
      <c r="P2887" s="18">
        <f t="shared" si="1"/>
        <v>211.53</v>
      </c>
    </row>
    <row r="2888" ht="15.75" customHeight="1">
      <c r="A2888" s="13" t="s">
        <v>234</v>
      </c>
      <c r="B2888" s="13" t="s">
        <v>133</v>
      </c>
      <c r="C2888" s="14" t="s">
        <v>190</v>
      </c>
      <c r="D2888" s="14" t="str">
        <f>VLOOKUP(C2888,'State Key'!$A$2:$B$210,2,False)</f>
        <v>Madhya Pradesh</v>
      </c>
      <c r="E2888" s="15">
        <v>600.0</v>
      </c>
      <c r="F2888" s="16">
        <v>20.039</v>
      </c>
      <c r="G2888" s="16">
        <v>0.0</v>
      </c>
      <c r="H2888" s="16">
        <v>0.0</v>
      </c>
      <c r="I2888" s="16">
        <v>27.628</v>
      </c>
      <c r="J2888" s="16">
        <v>0.0</v>
      </c>
      <c r="K2888" s="16">
        <v>0.0</v>
      </c>
      <c r="L2888" s="16">
        <v>47.667</v>
      </c>
      <c r="M2888" s="16">
        <v>1.518</v>
      </c>
      <c r="N2888" s="16">
        <v>145.14</v>
      </c>
      <c r="O2888" s="24">
        <v>2868.4</v>
      </c>
      <c r="P2888" s="18">
        <f t="shared" si="1"/>
        <v>47.667</v>
      </c>
    </row>
    <row r="2889" ht="15.75" customHeight="1">
      <c r="A2889" s="19" t="s">
        <v>234</v>
      </c>
      <c r="B2889" s="19" t="s">
        <v>133</v>
      </c>
      <c r="C2889" s="20" t="s">
        <v>191</v>
      </c>
      <c r="D2889" s="14" t="str">
        <f>VLOOKUP(C2889,'State Key'!$A$2:$B$210,2,False)</f>
        <v>Maharashtra</v>
      </c>
      <c r="E2889" s="21">
        <v>300.0</v>
      </c>
      <c r="F2889" s="22">
        <v>101.364</v>
      </c>
      <c r="G2889" s="22">
        <v>0.0</v>
      </c>
      <c r="H2889" s="22">
        <v>0.0</v>
      </c>
      <c r="I2889" s="22">
        <v>0.0</v>
      </c>
      <c r="J2889" s="22">
        <v>0.0</v>
      </c>
      <c r="K2889" s="22">
        <v>4.005</v>
      </c>
      <c r="L2889" s="22">
        <v>105.369</v>
      </c>
      <c r="M2889" s="22">
        <v>102.639</v>
      </c>
      <c r="N2889" s="22">
        <v>54.83</v>
      </c>
      <c r="O2889" s="24">
        <v>16.0</v>
      </c>
      <c r="P2889" s="18">
        <f t="shared" si="1"/>
        <v>105.369</v>
      </c>
    </row>
    <row r="2890" ht="15.75" customHeight="1">
      <c r="A2890" s="13" t="s">
        <v>234</v>
      </c>
      <c r="B2890" s="13" t="s">
        <v>133</v>
      </c>
      <c r="C2890" s="14" t="s">
        <v>192</v>
      </c>
      <c r="D2890" s="14" t="str">
        <f>VLOOKUP(C2890,'State Key'!$A$2:$B$210,2,False)</f>
        <v>Madhya Pradesh</v>
      </c>
      <c r="E2890" s="15">
        <v>2520.0</v>
      </c>
      <c r="F2890" s="16">
        <v>981.9305</v>
      </c>
      <c r="G2890" s="16">
        <v>0.0</v>
      </c>
      <c r="H2890" s="16">
        <v>0.0</v>
      </c>
      <c r="I2890" s="16">
        <v>0.0</v>
      </c>
      <c r="J2890" s="16">
        <v>0.0</v>
      </c>
      <c r="K2890" s="16">
        <v>0.0</v>
      </c>
      <c r="L2890" s="16">
        <v>981.9305</v>
      </c>
      <c r="M2890" s="16">
        <v>1019.663</v>
      </c>
      <c r="N2890" s="16">
        <v>281.86</v>
      </c>
      <c r="O2890" s="23">
        <v>8.3</v>
      </c>
      <c r="P2890" s="18">
        <f t="shared" si="1"/>
        <v>981.9305</v>
      </c>
    </row>
    <row r="2891" ht="15.75" customHeight="1">
      <c r="A2891" s="19" t="s">
        <v>234</v>
      </c>
      <c r="B2891" s="19" t="s">
        <v>133</v>
      </c>
      <c r="C2891" s="20" t="s">
        <v>193</v>
      </c>
      <c r="D2891" s="14" t="str">
        <f>VLOOKUP(C2891,'State Key'!$A$2:$B$210,2,False)</f>
        <v>Gujarat</v>
      </c>
      <c r="E2891" s="21">
        <v>500.0</v>
      </c>
      <c r="F2891" s="22">
        <v>0.0</v>
      </c>
      <c r="G2891" s="22">
        <v>0.0</v>
      </c>
      <c r="H2891" s="22">
        <v>0.0</v>
      </c>
      <c r="I2891" s="22">
        <v>0.0</v>
      </c>
      <c r="J2891" s="22">
        <v>59.931</v>
      </c>
      <c r="K2891" s="22">
        <v>0.0</v>
      </c>
      <c r="L2891" s="22">
        <v>59.931</v>
      </c>
      <c r="M2891" s="22">
        <v>27.326</v>
      </c>
      <c r="N2891" s="22">
        <v>68.71</v>
      </c>
      <c r="O2891" s="24">
        <v>75.4</v>
      </c>
      <c r="P2891" s="18">
        <f t="shared" si="1"/>
        <v>59.931</v>
      </c>
    </row>
    <row r="2892" ht="15.75" customHeight="1">
      <c r="A2892" s="13" t="s">
        <v>234</v>
      </c>
      <c r="B2892" s="13" t="s">
        <v>133</v>
      </c>
      <c r="C2892" s="14" t="s">
        <v>194</v>
      </c>
      <c r="D2892" s="14" t="str">
        <f>VLOOKUP(C2892,'State Key'!$A$2:$B$210,2,False)</f>
        <v>Chhattisgarh</v>
      </c>
      <c r="E2892" s="15">
        <v>2980.0</v>
      </c>
      <c r="F2892" s="16">
        <v>1223.36</v>
      </c>
      <c r="G2892" s="16">
        <v>0.0</v>
      </c>
      <c r="H2892" s="16">
        <v>14.55</v>
      </c>
      <c r="I2892" s="16">
        <v>0.0</v>
      </c>
      <c r="J2892" s="16">
        <v>0.0</v>
      </c>
      <c r="K2892" s="16">
        <v>0.0</v>
      </c>
      <c r="L2892" s="16">
        <v>1237.91</v>
      </c>
      <c r="M2892" s="16">
        <v>1442.655</v>
      </c>
      <c r="N2892" s="16">
        <v>435.65</v>
      </c>
      <c r="O2892" s="23">
        <v>9.1</v>
      </c>
      <c r="P2892" s="18">
        <f t="shared" si="1"/>
        <v>1237.91</v>
      </c>
    </row>
    <row r="2893" ht="15.75" customHeight="1">
      <c r="A2893" s="19" t="s">
        <v>234</v>
      </c>
      <c r="B2893" s="19" t="s">
        <v>133</v>
      </c>
      <c r="C2893" s="20" t="s">
        <v>195</v>
      </c>
      <c r="D2893" s="14" t="str">
        <f>VLOOKUP(C2893,'State Key'!$A$2:$B$210,2,False)</f>
        <v>Maharashtra</v>
      </c>
      <c r="E2893" s="21">
        <v>1320.0</v>
      </c>
      <c r="F2893" s="22">
        <v>198.24</v>
      </c>
      <c r="G2893" s="22">
        <v>112.86</v>
      </c>
      <c r="H2893" s="22">
        <v>35.32</v>
      </c>
      <c r="I2893" s="22">
        <v>0.0</v>
      </c>
      <c r="J2893" s="22">
        <v>0.0</v>
      </c>
      <c r="K2893" s="22">
        <v>0.0</v>
      </c>
      <c r="L2893" s="22">
        <v>346.42</v>
      </c>
      <c r="M2893" s="22">
        <v>282.218</v>
      </c>
      <c r="N2893" s="22">
        <v>547.146</v>
      </c>
      <c r="O2893" s="24">
        <v>58.2</v>
      </c>
      <c r="P2893" s="18">
        <f t="shared" si="1"/>
        <v>346.42</v>
      </c>
    </row>
    <row r="2894" ht="15.75" customHeight="1">
      <c r="A2894" s="13" t="s">
        <v>234</v>
      </c>
      <c r="B2894" s="13" t="s">
        <v>133</v>
      </c>
      <c r="C2894" s="14" t="s">
        <v>196</v>
      </c>
      <c r="D2894" s="14" t="str">
        <f>VLOOKUP(C2894,'State Key'!$A$2:$B$210,2,False)</f>
        <v>Chhattisgarh</v>
      </c>
      <c r="E2894" s="15">
        <v>63.0</v>
      </c>
      <c r="F2894" s="16">
        <v>0.53165</v>
      </c>
      <c r="G2894" s="16">
        <v>0.0</v>
      </c>
      <c r="H2894" s="16">
        <v>0.0</v>
      </c>
      <c r="I2894" s="16">
        <v>0.0</v>
      </c>
      <c r="J2894" s="16">
        <v>0.0</v>
      </c>
      <c r="K2894" s="16">
        <v>47.84022</v>
      </c>
      <c r="L2894" s="16">
        <v>48.37187</v>
      </c>
      <c r="M2894" s="16">
        <v>38.677</v>
      </c>
      <c r="N2894" s="16">
        <v>77.81</v>
      </c>
      <c r="O2894" s="24">
        <v>60.4</v>
      </c>
      <c r="P2894" s="18">
        <f t="shared" si="1"/>
        <v>48.37187</v>
      </c>
    </row>
    <row r="2895" ht="15.75" customHeight="1">
      <c r="A2895" s="19" t="s">
        <v>234</v>
      </c>
      <c r="B2895" s="19" t="s">
        <v>133</v>
      </c>
      <c r="C2895" s="20" t="s">
        <v>197</v>
      </c>
      <c r="D2895" s="14" t="str">
        <f>VLOOKUP(C2895,'State Key'!$A$2:$B$210,2,False)</f>
        <v>Chhattisgarh</v>
      </c>
      <c r="E2895" s="21">
        <v>25.0</v>
      </c>
      <c r="F2895" s="22">
        <v>0.0</v>
      </c>
      <c r="G2895" s="22">
        <v>0.0</v>
      </c>
      <c r="H2895" s="22">
        <v>0.0</v>
      </c>
      <c r="I2895" s="22">
        <v>0.0</v>
      </c>
      <c r="J2895" s="22">
        <v>0.0</v>
      </c>
      <c r="K2895" s="22">
        <v>0.0</v>
      </c>
      <c r="L2895" s="22">
        <v>0.0</v>
      </c>
      <c r="M2895" s="22">
        <v>0.0</v>
      </c>
      <c r="N2895" s="22">
        <v>0.0</v>
      </c>
      <c r="O2895" s="19" t="s">
        <v>58</v>
      </c>
      <c r="P2895" s="18">
        <f t="shared" si="1"/>
        <v>0</v>
      </c>
    </row>
    <row r="2896" ht="15.75" customHeight="1">
      <c r="A2896" s="13" t="s">
        <v>234</v>
      </c>
      <c r="B2896" s="13" t="s">
        <v>133</v>
      </c>
      <c r="C2896" s="14" t="s">
        <v>198</v>
      </c>
      <c r="D2896" s="14" t="str">
        <f>VLOOKUP(C2896,'State Key'!$A$2:$B$210,2,False)</f>
        <v>Chhattisgarh</v>
      </c>
      <c r="E2896" s="15">
        <v>2400.0</v>
      </c>
      <c r="F2896" s="16">
        <v>529.794</v>
      </c>
      <c r="G2896" s="16">
        <v>0.0</v>
      </c>
      <c r="H2896" s="16">
        <v>0.0</v>
      </c>
      <c r="I2896" s="16">
        <v>700.092</v>
      </c>
      <c r="J2896" s="16">
        <v>0.0</v>
      </c>
      <c r="K2896" s="16">
        <v>0.0</v>
      </c>
      <c r="L2896" s="16">
        <v>1229.886</v>
      </c>
      <c r="M2896" s="16">
        <v>1046.443</v>
      </c>
      <c r="N2896" s="16">
        <v>289.23</v>
      </c>
      <c r="O2896" s="23">
        <v>8.3</v>
      </c>
      <c r="P2896" s="18">
        <f t="shared" si="1"/>
        <v>1229.886</v>
      </c>
    </row>
    <row r="2897" ht="15.75" customHeight="1">
      <c r="A2897" s="19" t="s">
        <v>234</v>
      </c>
      <c r="B2897" s="19" t="s">
        <v>133</v>
      </c>
      <c r="C2897" s="20" t="s">
        <v>200</v>
      </c>
      <c r="D2897" s="14" t="str">
        <f>VLOOKUP(C2897,'State Key'!$A$2:$B$210,2,False)</f>
        <v>Maharashtra</v>
      </c>
      <c r="E2897" s="21">
        <v>750.0</v>
      </c>
      <c r="F2897" s="22">
        <v>0.0</v>
      </c>
      <c r="G2897" s="22">
        <v>0.0</v>
      </c>
      <c r="H2897" s="22">
        <v>0.0</v>
      </c>
      <c r="I2897" s="22">
        <v>0.0</v>
      </c>
      <c r="J2897" s="22">
        <v>248.948</v>
      </c>
      <c r="K2897" s="22">
        <v>0.0</v>
      </c>
      <c r="L2897" s="22">
        <v>248.948</v>
      </c>
      <c r="M2897" s="22">
        <v>210.755</v>
      </c>
      <c r="N2897" s="22">
        <v>170.56</v>
      </c>
      <c r="O2897" s="24">
        <v>24.3</v>
      </c>
      <c r="P2897" s="18">
        <f t="shared" si="1"/>
        <v>248.948</v>
      </c>
    </row>
    <row r="2898" ht="15.75" customHeight="1">
      <c r="A2898" s="13" t="s">
        <v>234</v>
      </c>
      <c r="B2898" s="13" t="s">
        <v>133</v>
      </c>
      <c r="C2898" s="14" t="s">
        <v>201</v>
      </c>
      <c r="D2898" s="14" t="str">
        <f>VLOOKUP(C2898,'State Key'!$A$2:$B$210,2,False)</f>
        <v>Chhattisgarh</v>
      </c>
      <c r="E2898" s="15">
        <v>1440.0</v>
      </c>
      <c r="F2898" s="16">
        <v>212.8</v>
      </c>
      <c r="G2898" s="16">
        <v>0.0</v>
      </c>
      <c r="H2898" s="16">
        <v>0.0</v>
      </c>
      <c r="I2898" s="16">
        <v>16.642</v>
      </c>
      <c r="J2898" s="16">
        <v>0.0</v>
      </c>
      <c r="K2898" s="16">
        <v>151.023</v>
      </c>
      <c r="L2898" s="16">
        <v>380.465</v>
      </c>
      <c r="M2898" s="16">
        <v>460.754</v>
      </c>
      <c r="N2898" s="16">
        <v>241.36</v>
      </c>
      <c r="O2898" s="24">
        <v>15.7</v>
      </c>
      <c r="P2898" s="18">
        <f t="shared" si="1"/>
        <v>380.465</v>
      </c>
    </row>
    <row r="2899" ht="15.75" customHeight="1">
      <c r="A2899" s="19" t="s">
        <v>234</v>
      </c>
      <c r="B2899" s="19" t="s">
        <v>133</v>
      </c>
      <c r="C2899" s="20" t="s">
        <v>202</v>
      </c>
      <c r="D2899" s="14" t="str">
        <f>VLOOKUP(C2899,'State Key'!$A$2:$B$210,2,False)</f>
        <v>Gujarat</v>
      </c>
      <c r="E2899" s="21">
        <v>1110.0</v>
      </c>
      <c r="F2899" s="22">
        <v>339.763</v>
      </c>
      <c r="G2899" s="22">
        <v>0.0</v>
      </c>
      <c r="H2899" s="22">
        <v>0.0</v>
      </c>
      <c r="I2899" s="22">
        <v>0.0</v>
      </c>
      <c r="J2899" s="22">
        <v>28.257</v>
      </c>
      <c r="K2899" s="22">
        <v>0.0</v>
      </c>
      <c r="L2899" s="22">
        <v>368.02</v>
      </c>
      <c r="M2899" s="22">
        <v>346.675</v>
      </c>
      <c r="N2899" s="22">
        <v>277.34</v>
      </c>
      <c r="O2899" s="24">
        <v>24.0</v>
      </c>
      <c r="P2899" s="18">
        <f t="shared" si="1"/>
        <v>368.02</v>
      </c>
    </row>
    <row r="2900" ht="15.75" customHeight="1">
      <c r="A2900" s="13" t="s">
        <v>234</v>
      </c>
      <c r="B2900" s="13" t="s">
        <v>133</v>
      </c>
      <c r="C2900" s="14" t="s">
        <v>203</v>
      </c>
      <c r="D2900" s="14" t="str">
        <f>VLOOKUP(C2900,'State Key'!$A$2:$B$210,2,False)</f>
        <v>Madhya Pradesh</v>
      </c>
      <c r="E2900" s="15">
        <v>4760.0</v>
      </c>
      <c r="F2900" s="16">
        <v>1841.03</v>
      </c>
      <c r="G2900" s="16">
        <v>0.0</v>
      </c>
      <c r="H2900" s="16">
        <v>37.21</v>
      </c>
      <c r="I2900" s="16">
        <v>0.0</v>
      </c>
      <c r="J2900" s="16">
        <v>0.0</v>
      </c>
      <c r="K2900" s="16">
        <v>0.0</v>
      </c>
      <c r="L2900" s="16">
        <v>1878.24</v>
      </c>
      <c r="M2900" s="16">
        <v>1790.642</v>
      </c>
      <c r="N2900" s="16">
        <v>1189.87</v>
      </c>
      <c r="O2900" s="24">
        <v>19.9</v>
      </c>
      <c r="P2900" s="18">
        <f t="shared" si="1"/>
        <v>1878.24</v>
      </c>
    </row>
    <row r="2901" ht="15.75" customHeight="1">
      <c r="A2901" s="19" t="s">
        <v>234</v>
      </c>
      <c r="B2901" s="19" t="s">
        <v>133</v>
      </c>
      <c r="C2901" s="20" t="s">
        <v>204</v>
      </c>
      <c r="D2901" s="14" t="str">
        <f>VLOOKUP(C2901,'State Key'!$A$2:$B$210,2,False)</f>
        <v>Gujarat</v>
      </c>
      <c r="E2901" s="21">
        <v>2270.0</v>
      </c>
      <c r="F2901" s="22">
        <v>691.763</v>
      </c>
      <c r="G2901" s="22">
        <v>0.0</v>
      </c>
      <c r="H2901" s="22">
        <v>0.0</v>
      </c>
      <c r="I2901" s="22">
        <v>0.0</v>
      </c>
      <c r="J2901" s="22">
        <v>11.93</v>
      </c>
      <c r="K2901" s="22">
        <v>0.0</v>
      </c>
      <c r="L2901" s="22">
        <v>703.693</v>
      </c>
      <c r="M2901" s="22">
        <v>735.445</v>
      </c>
      <c r="N2901" s="22">
        <v>610.77</v>
      </c>
      <c r="O2901" s="24">
        <v>24.9</v>
      </c>
      <c r="P2901" s="18">
        <f t="shared" si="1"/>
        <v>703.693</v>
      </c>
    </row>
    <row r="2902" ht="15.75" customHeight="1">
      <c r="A2902" s="13" t="s">
        <v>234</v>
      </c>
      <c r="B2902" s="13" t="s">
        <v>133</v>
      </c>
      <c r="C2902" s="14" t="s">
        <v>205</v>
      </c>
      <c r="D2902" s="14" t="str">
        <f>VLOOKUP(C2902,'State Key'!$A$2:$B$210,2,False)</f>
        <v>Maharashtra</v>
      </c>
      <c r="E2902" s="15">
        <v>540.0</v>
      </c>
      <c r="F2902" s="16">
        <v>121.75</v>
      </c>
      <c r="G2902" s="16">
        <v>0.0</v>
      </c>
      <c r="H2902" s="16">
        <v>0.0</v>
      </c>
      <c r="I2902" s="16">
        <v>0.0</v>
      </c>
      <c r="J2902" s="16">
        <v>0.0</v>
      </c>
      <c r="K2902" s="16">
        <v>17.8</v>
      </c>
      <c r="L2902" s="16">
        <v>139.55</v>
      </c>
      <c r="M2902" s="16">
        <v>239.08</v>
      </c>
      <c r="N2902" s="16">
        <v>79.76</v>
      </c>
      <c r="O2902" s="23">
        <v>10.0</v>
      </c>
      <c r="P2902" s="18">
        <f t="shared" si="1"/>
        <v>139.55</v>
      </c>
    </row>
    <row r="2903" ht="15.75" customHeight="1">
      <c r="A2903" s="19" t="s">
        <v>235</v>
      </c>
      <c r="B2903" s="19" t="s">
        <v>22</v>
      </c>
      <c r="C2903" s="20" t="s">
        <v>23</v>
      </c>
      <c r="D2903" s="14" t="str">
        <f>VLOOKUP(C2903,'State Key'!$A$2:$B$210,2,False)</f>
        <v>West Bengal</v>
      </c>
      <c r="E2903" s="21">
        <v>1050.0</v>
      </c>
      <c r="F2903" s="22">
        <v>0.0</v>
      </c>
      <c r="G2903" s="22">
        <v>0.0</v>
      </c>
      <c r="H2903" s="22">
        <v>385.357</v>
      </c>
      <c r="I2903" s="22">
        <v>0.0</v>
      </c>
      <c r="J2903" s="22">
        <v>0.0</v>
      </c>
      <c r="K2903" s="22">
        <v>0.0</v>
      </c>
      <c r="L2903" s="22">
        <v>385.357</v>
      </c>
      <c r="M2903" s="22">
        <v>440.212</v>
      </c>
      <c r="N2903" s="22">
        <v>162.92</v>
      </c>
      <c r="O2903" s="23">
        <v>11.1</v>
      </c>
      <c r="P2903" s="18">
        <f t="shared" si="1"/>
        <v>385.357</v>
      </c>
    </row>
    <row r="2904" ht="15.75" customHeight="1">
      <c r="A2904" s="13" t="s">
        <v>235</v>
      </c>
      <c r="B2904" s="13" t="s">
        <v>22</v>
      </c>
      <c r="C2904" s="14" t="s">
        <v>24</v>
      </c>
      <c r="D2904" s="14" t="str">
        <f>VLOOKUP(C2904,'State Key'!$A$2:$B$210,2,False)</f>
        <v>West Bengal</v>
      </c>
      <c r="E2904" s="15">
        <v>270.0</v>
      </c>
      <c r="F2904" s="16">
        <v>0.0</v>
      </c>
      <c r="G2904" s="16">
        <v>0.0</v>
      </c>
      <c r="H2904" s="16">
        <v>130.484</v>
      </c>
      <c r="I2904" s="16">
        <v>0.0</v>
      </c>
      <c r="J2904" s="16">
        <v>0.0</v>
      </c>
      <c r="K2904" s="16">
        <v>0.0</v>
      </c>
      <c r="L2904" s="16">
        <v>130.484</v>
      </c>
      <c r="M2904" s="16">
        <v>117.08</v>
      </c>
      <c r="N2904" s="16">
        <v>82.28</v>
      </c>
      <c r="O2904" s="24">
        <v>21.1</v>
      </c>
      <c r="P2904" s="18">
        <f t="shared" si="1"/>
        <v>130.484</v>
      </c>
    </row>
    <row r="2905" ht="15.75" customHeight="1">
      <c r="A2905" s="19" t="s">
        <v>235</v>
      </c>
      <c r="B2905" s="19" t="s">
        <v>22</v>
      </c>
      <c r="C2905" s="20" t="s">
        <v>25</v>
      </c>
      <c r="D2905" s="14" t="str">
        <f>VLOOKUP(C2905,'State Key'!$A$2:$B$210,2,False)</f>
        <v>Bihar</v>
      </c>
      <c r="E2905" s="21">
        <v>710.0</v>
      </c>
      <c r="F2905" s="22">
        <v>0.0</v>
      </c>
      <c r="G2905" s="22">
        <v>0.0</v>
      </c>
      <c r="H2905" s="22">
        <v>149.59</v>
      </c>
      <c r="I2905" s="22">
        <v>0.0</v>
      </c>
      <c r="J2905" s="22">
        <v>0.0</v>
      </c>
      <c r="K2905" s="22">
        <v>0.0</v>
      </c>
      <c r="L2905" s="22">
        <v>149.59</v>
      </c>
      <c r="M2905" s="22">
        <v>220.219</v>
      </c>
      <c r="N2905" s="22">
        <v>164.913</v>
      </c>
      <c r="O2905" s="24">
        <v>22.5</v>
      </c>
      <c r="P2905" s="18">
        <f t="shared" si="1"/>
        <v>149.59</v>
      </c>
    </row>
    <row r="2906" ht="15.75" customHeight="1">
      <c r="A2906" s="13" t="s">
        <v>235</v>
      </c>
      <c r="B2906" s="13" t="s">
        <v>22</v>
      </c>
      <c r="C2906" s="14" t="s">
        <v>26</v>
      </c>
      <c r="D2906" s="14" t="str">
        <f>VLOOKUP(C2906,'State Key'!$A$2:$B$210,2,False)</f>
        <v>Bihar</v>
      </c>
      <c r="E2906" s="15">
        <v>2640.0</v>
      </c>
      <c r="F2906" s="16">
        <v>410.75</v>
      </c>
      <c r="G2906" s="16">
        <v>0.0</v>
      </c>
      <c r="H2906" s="16">
        <v>378.72</v>
      </c>
      <c r="I2906" s="16">
        <v>0.0</v>
      </c>
      <c r="J2906" s="16">
        <v>0.0</v>
      </c>
      <c r="K2906" s="16">
        <v>0.0</v>
      </c>
      <c r="L2906" s="16">
        <v>789.47</v>
      </c>
      <c r="M2906" s="16">
        <v>866.808</v>
      </c>
      <c r="N2906" s="16">
        <v>602.956</v>
      </c>
      <c r="O2906" s="24">
        <v>20.9</v>
      </c>
      <c r="P2906" s="18">
        <f t="shared" si="1"/>
        <v>789.47</v>
      </c>
    </row>
    <row r="2907" ht="15.75" customHeight="1">
      <c r="A2907" s="19" t="s">
        <v>235</v>
      </c>
      <c r="B2907" s="19" t="s">
        <v>22</v>
      </c>
      <c r="C2907" s="20" t="s">
        <v>27</v>
      </c>
      <c r="D2907" s="14" t="str">
        <f>VLOOKUP(C2907,'State Key'!$A$2:$B$210,2,False)</f>
        <v>Jharkhand</v>
      </c>
      <c r="E2907" s="21">
        <v>500.0</v>
      </c>
      <c r="F2907" s="22">
        <v>56.309</v>
      </c>
      <c r="G2907" s="22">
        <v>0.0</v>
      </c>
      <c r="H2907" s="22">
        <v>3.754</v>
      </c>
      <c r="I2907" s="22">
        <v>0.0</v>
      </c>
      <c r="J2907" s="22">
        <v>0.0</v>
      </c>
      <c r="K2907" s="22">
        <v>0.0</v>
      </c>
      <c r="L2907" s="22">
        <v>60.063</v>
      </c>
      <c r="M2907" s="22">
        <v>154.276</v>
      </c>
      <c r="N2907" s="22">
        <v>99.26</v>
      </c>
      <c r="O2907" s="24">
        <v>19.3</v>
      </c>
      <c r="P2907" s="18">
        <f t="shared" si="1"/>
        <v>60.063</v>
      </c>
    </row>
    <row r="2908" ht="15.75" customHeight="1">
      <c r="A2908" s="13" t="s">
        <v>235</v>
      </c>
      <c r="B2908" s="13" t="s">
        <v>22</v>
      </c>
      <c r="C2908" s="14" t="s">
        <v>28</v>
      </c>
      <c r="D2908" s="14" t="str">
        <f>VLOOKUP(C2908,'State Key'!$A$2:$B$210,2,False)</f>
        <v>West Bengal</v>
      </c>
      <c r="E2908" s="15">
        <v>750.0</v>
      </c>
      <c r="F2908" s="16">
        <v>68.704</v>
      </c>
      <c r="G2908" s="16">
        <v>0.0</v>
      </c>
      <c r="H2908" s="16">
        <v>107.731</v>
      </c>
      <c r="I2908" s="16">
        <v>125.71</v>
      </c>
      <c r="J2908" s="16">
        <v>0.0</v>
      </c>
      <c r="K2908" s="16">
        <v>0.0</v>
      </c>
      <c r="L2908" s="16">
        <v>302.145</v>
      </c>
      <c r="M2908" s="16">
        <v>312.4029</v>
      </c>
      <c r="N2908" s="16">
        <v>184.7</v>
      </c>
      <c r="O2908" s="24">
        <v>17.7</v>
      </c>
      <c r="P2908" s="18">
        <f t="shared" si="1"/>
        <v>302.145</v>
      </c>
    </row>
    <row r="2909" ht="15.75" customHeight="1">
      <c r="A2909" s="19" t="s">
        <v>235</v>
      </c>
      <c r="B2909" s="19" t="s">
        <v>22</v>
      </c>
      <c r="C2909" s="20" t="s">
        <v>29</v>
      </c>
      <c r="D2909" s="14" t="str">
        <f>VLOOKUP(C2909,'State Key'!$A$2:$B$210,2,False)</f>
        <v>Jharkhand</v>
      </c>
      <c r="E2909" s="21">
        <v>500.0</v>
      </c>
      <c r="F2909" s="22">
        <v>137.833</v>
      </c>
      <c r="G2909" s="22">
        <v>0.0</v>
      </c>
      <c r="H2909" s="22">
        <v>21.605</v>
      </c>
      <c r="I2909" s="22">
        <v>0.0</v>
      </c>
      <c r="J2909" s="22">
        <v>0.0</v>
      </c>
      <c r="K2909" s="22">
        <v>0.0</v>
      </c>
      <c r="L2909" s="22">
        <v>159.438</v>
      </c>
      <c r="M2909" s="22">
        <v>225.977</v>
      </c>
      <c r="N2909" s="22">
        <v>148.82</v>
      </c>
      <c r="O2909" s="24">
        <v>19.8</v>
      </c>
      <c r="P2909" s="18">
        <f t="shared" si="1"/>
        <v>159.438</v>
      </c>
    </row>
    <row r="2910" ht="15.75" customHeight="1">
      <c r="A2910" s="13" t="s">
        <v>235</v>
      </c>
      <c r="B2910" s="13" t="s">
        <v>22</v>
      </c>
      <c r="C2910" s="14" t="s">
        <v>30</v>
      </c>
      <c r="D2910" s="14" t="str">
        <f>VLOOKUP(C2910,'State Key'!$A$2:$B$210,2,False)</f>
        <v>West Bengal</v>
      </c>
      <c r="E2910" s="15">
        <v>550.0</v>
      </c>
      <c r="F2910" s="16">
        <v>95.23</v>
      </c>
      <c r="G2910" s="16">
        <v>0.0</v>
      </c>
      <c r="H2910" s="16">
        <v>105.442</v>
      </c>
      <c r="I2910" s="16">
        <v>0.0</v>
      </c>
      <c r="J2910" s="16">
        <v>0.0</v>
      </c>
      <c r="K2910" s="16">
        <v>0.0</v>
      </c>
      <c r="L2910" s="16">
        <v>200.672</v>
      </c>
      <c r="M2910" s="16">
        <v>187.85</v>
      </c>
      <c r="N2910" s="16">
        <v>43.82</v>
      </c>
      <c r="O2910" s="23">
        <v>7.0</v>
      </c>
      <c r="P2910" s="18">
        <f t="shared" si="1"/>
        <v>200.672</v>
      </c>
    </row>
    <row r="2911" ht="15.75" customHeight="1">
      <c r="A2911" s="19" t="s">
        <v>235</v>
      </c>
      <c r="B2911" s="19" t="s">
        <v>22</v>
      </c>
      <c r="C2911" s="20" t="s">
        <v>31</v>
      </c>
      <c r="D2911" s="14" t="str">
        <f>VLOOKUP(C2911,'State Key'!$A$2:$B$210,2,False)</f>
        <v>Odisha</v>
      </c>
      <c r="E2911" s="21">
        <v>1600.0</v>
      </c>
      <c r="F2911" s="22">
        <v>0.0</v>
      </c>
      <c r="G2911" s="22">
        <v>0.0</v>
      </c>
      <c r="H2911" s="22">
        <v>754.97</v>
      </c>
      <c r="I2911" s="22">
        <v>0.0</v>
      </c>
      <c r="J2911" s="22">
        <v>0.0</v>
      </c>
      <c r="K2911" s="22">
        <v>0.0</v>
      </c>
      <c r="L2911" s="22">
        <v>754.97</v>
      </c>
      <c r="M2911" s="22">
        <v>802.692</v>
      </c>
      <c r="N2911" s="22">
        <v>521.876</v>
      </c>
      <c r="O2911" s="24">
        <v>19.5</v>
      </c>
      <c r="P2911" s="18">
        <f t="shared" si="1"/>
        <v>754.97</v>
      </c>
    </row>
    <row r="2912" ht="15.75" customHeight="1">
      <c r="A2912" s="13" t="s">
        <v>235</v>
      </c>
      <c r="B2912" s="13" t="s">
        <v>22</v>
      </c>
      <c r="C2912" s="14" t="s">
        <v>32</v>
      </c>
      <c r="D2912" s="14" t="str">
        <f>VLOOKUP(C2912,'State Key'!$A$2:$B$210,2,False)</f>
        <v>Odisha</v>
      </c>
      <c r="E2912" s="15">
        <v>1200.0</v>
      </c>
      <c r="F2912" s="16">
        <v>344.499</v>
      </c>
      <c r="G2912" s="16">
        <v>0.0</v>
      </c>
      <c r="H2912" s="16">
        <v>0.0</v>
      </c>
      <c r="I2912" s="16">
        <v>82.492</v>
      </c>
      <c r="J2912" s="16">
        <v>0.0</v>
      </c>
      <c r="K2912" s="16">
        <v>0.0</v>
      </c>
      <c r="L2912" s="16">
        <v>426.991</v>
      </c>
      <c r="M2912" s="16">
        <v>465.27</v>
      </c>
      <c r="N2912" s="16">
        <v>1298.98</v>
      </c>
      <c r="O2912" s="24">
        <v>83.8</v>
      </c>
      <c r="P2912" s="18">
        <f t="shared" si="1"/>
        <v>426.991</v>
      </c>
    </row>
    <row r="2913" ht="15.75" customHeight="1">
      <c r="A2913" s="19" t="s">
        <v>235</v>
      </c>
      <c r="B2913" s="19" t="s">
        <v>22</v>
      </c>
      <c r="C2913" s="20" t="s">
        <v>33</v>
      </c>
      <c r="D2913" s="14" t="str">
        <f>VLOOKUP(C2913,'State Key'!$A$2:$B$210,2,False)</f>
        <v>West Bengal</v>
      </c>
      <c r="E2913" s="21">
        <v>12.0</v>
      </c>
      <c r="F2913" s="22">
        <v>0.0</v>
      </c>
      <c r="G2913" s="22">
        <v>0.0</v>
      </c>
      <c r="H2913" s="22">
        <v>0.0</v>
      </c>
      <c r="I2913" s="22">
        <v>0.0</v>
      </c>
      <c r="J2913" s="22">
        <v>0.0</v>
      </c>
      <c r="K2913" s="22">
        <v>0.0</v>
      </c>
      <c r="L2913" s="22">
        <v>0.0</v>
      </c>
      <c r="M2913" s="22">
        <v>0.0</v>
      </c>
      <c r="N2913" s="22">
        <v>0.01</v>
      </c>
      <c r="O2913" s="19" t="s">
        <v>58</v>
      </c>
      <c r="P2913" s="18">
        <f t="shared" si="1"/>
        <v>0</v>
      </c>
    </row>
    <row r="2914" ht="15.75" customHeight="1">
      <c r="A2914" s="13" t="s">
        <v>235</v>
      </c>
      <c r="B2914" s="13" t="s">
        <v>22</v>
      </c>
      <c r="C2914" s="14" t="s">
        <v>34</v>
      </c>
      <c r="D2914" s="14" t="str">
        <f>VLOOKUP(C2914,'State Key'!$A$2:$B$210,2,False)</f>
        <v>West Bengal</v>
      </c>
      <c r="E2914" s="15">
        <v>1000.0</v>
      </c>
      <c r="F2914" s="16">
        <v>315.929</v>
      </c>
      <c r="G2914" s="16">
        <v>0.0</v>
      </c>
      <c r="H2914" s="16">
        <v>10.842</v>
      </c>
      <c r="I2914" s="16">
        <v>0.0</v>
      </c>
      <c r="J2914" s="16">
        <v>0.0</v>
      </c>
      <c r="K2914" s="16">
        <v>0.0</v>
      </c>
      <c r="L2914" s="16">
        <v>326.771</v>
      </c>
      <c r="M2914" s="16">
        <v>342.051</v>
      </c>
      <c r="N2914" s="16">
        <v>265.67</v>
      </c>
      <c r="O2914" s="24">
        <v>23.3</v>
      </c>
      <c r="P2914" s="18">
        <f t="shared" si="1"/>
        <v>326.771</v>
      </c>
    </row>
    <row r="2915" ht="15.75" customHeight="1">
      <c r="A2915" s="19" t="s">
        <v>235</v>
      </c>
      <c r="B2915" s="19" t="s">
        <v>22</v>
      </c>
      <c r="C2915" s="20" t="s">
        <v>35</v>
      </c>
      <c r="D2915" s="14" t="str">
        <f>VLOOKUP(C2915,'State Key'!$A$2:$B$210,2,False)</f>
        <v>West Bengal</v>
      </c>
      <c r="E2915" s="21">
        <v>2100.0</v>
      </c>
      <c r="F2915" s="22">
        <v>492.2</v>
      </c>
      <c r="G2915" s="22">
        <v>0.0</v>
      </c>
      <c r="H2915" s="22">
        <v>96.56</v>
      </c>
      <c r="I2915" s="22">
        <v>0.0</v>
      </c>
      <c r="J2915" s="22">
        <v>0.0</v>
      </c>
      <c r="K2915" s="22">
        <v>0.0</v>
      </c>
      <c r="L2915" s="22">
        <v>588.76</v>
      </c>
      <c r="M2915" s="22">
        <v>717.808</v>
      </c>
      <c r="N2915" s="22">
        <v>541.33</v>
      </c>
      <c r="O2915" s="24">
        <v>22.6</v>
      </c>
      <c r="P2915" s="18">
        <f t="shared" si="1"/>
        <v>588.76</v>
      </c>
    </row>
    <row r="2916" ht="15.75" customHeight="1">
      <c r="A2916" s="13" t="s">
        <v>235</v>
      </c>
      <c r="B2916" s="13" t="s">
        <v>22</v>
      </c>
      <c r="C2916" s="14" t="s">
        <v>36</v>
      </c>
      <c r="D2916" s="14" t="str">
        <f>VLOOKUP(C2916,'State Key'!$A$2:$B$210,2,False)</f>
        <v>West Bengal</v>
      </c>
      <c r="E2916" s="15">
        <v>600.0</v>
      </c>
      <c r="F2916" s="16">
        <v>259.854</v>
      </c>
      <c r="G2916" s="16">
        <v>0.0</v>
      </c>
      <c r="H2916" s="16">
        <v>0.0</v>
      </c>
      <c r="I2916" s="16">
        <v>0.0</v>
      </c>
      <c r="J2916" s="16">
        <v>0.0</v>
      </c>
      <c r="K2916" s="16">
        <v>0.0</v>
      </c>
      <c r="L2916" s="16">
        <v>259.854</v>
      </c>
      <c r="M2916" s="16">
        <v>290.226</v>
      </c>
      <c r="N2916" s="16">
        <v>140.05</v>
      </c>
      <c r="O2916" s="24">
        <v>14.5</v>
      </c>
      <c r="P2916" s="18">
        <f t="shared" si="1"/>
        <v>259.854</v>
      </c>
    </row>
    <row r="2917" ht="15.75" customHeight="1">
      <c r="A2917" s="19" t="s">
        <v>235</v>
      </c>
      <c r="B2917" s="19" t="s">
        <v>22</v>
      </c>
      <c r="C2917" s="20" t="s">
        <v>37</v>
      </c>
      <c r="D2917" s="14" t="str">
        <f>VLOOKUP(C2917,'State Key'!$A$2:$B$210,2,False)</f>
        <v>West Bengal</v>
      </c>
      <c r="E2917" s="21">
        <v>300.0</v>
      </c>
      <c r="F2917" s="22">
        <v>123.93</v>
      </c>
      <c r="G2917" s="22">
        <v>0.0</v>
      </c>
      <c r="H2917" s="22">
        <v>0.0</v>
      </c>
      <c r="I2917" s="22">
        <v>0.0</v>
      </c>
      <c r="J2917" s="22">
        <v>0.0</v>
      </c>
      <c r="K2917" s="22">
        <v>0.0</v>
      </c>
      <c r="L2917" s="22">
        <v>123.93</v>
      </c>
      <c r="M2917" s="22">
        <v>122.053</v>
      </c>
      <c r="N2917" s="22">
        <v>31.19</v>
      </c>
      <c r="O2917" s="23">
        <v>7.7</v>
      </c>
      <c r="P2917" s="18">
        <f t="shared" si="1"/>
        <v>123.93</v>
      </c>
    </row>
    <row r="2918" ht="15.75" customHeight="1">
      <c r="A2918" s="13" t="s">
        <v>235</v>
      </c>
      <c r="B2918" s="13" t="s">
        <v>22</v>
      </c>
      <c r="C2918" s="14" t="s">
        <v>38</v>
      </c>
      <c r="D2918" s="14" t="str">
        <f>VLOOKUP(C2918,'State Key'!$A$2:$B$210,2,False)</f>
        <v>Odisha</v>
      </c>
      <c r="E2918" s="15">
        <v>1740.0</v>
      </c>
      <c r="F2918" s="16">
        <v>240.932</v>
      </c>
      <c r="G2918" s="16">
        <v>0.0</v>
      </c>
      <c r="H2918" s="16">
        <v>448.842</v>
      </c>
      <c r="I2918" s="16">
        <v>0.0</v>
      </c>
      <c r="J2918" s="16">
        <v>0.0</v>
      </c>
      <c r="K2918" s="16">
        <v>0.0</v>
      </c>
      <c r="L2918" s="16">
        <v>689.774</v>
      </c>
      <c r="M2918" s="16">
        <v>579.996</v>
      </c>
      <c r="N2918" s="16">
        <v>353.27</v>
      </c>
      <c r="O2918" s="24">
        <v>18.3</v>
      </c>
      <c r="P2918" s="18">
        <f t="shared" si="1"/>
        <v>689.774</v>
      </c>
    </row>
    <row r="2919" ht="15.75" customHeight="1">
      <c r="A2919" s="19" t="s">
        <v>235</v>
      </c>
      <c r="B2919" s="19" t="s">
        <v>22</v>
      </c>
      <c r="C2919" s="20" t="s">
        <v>39</v>
      </c>
      <c r="D2919" s="14" t="str">
        <f>VLOOKUP(C2919,'State Key'!$A$2:$B$210,2,False)</f>
        <v>Jharkhand</v>
      </c>
      <c r="E2919" s="21">
        <v>240.0</v>
      </c>
      <c r="F2919" s="22">
        <v>55.4408</v>
      </c>
      <c r="G2919" s="22">
        <v>0.0</v>
      </c>
      <c r="H2919" s="22">
        <v>0.0</v>
      </c>
      <c r="I2919" s="22">
        <v>0.0</v>
      </c>
      <c r="J2919" s="22">
        <v>0.0</v>
      </c>
      <c r="K2919" s="22">
        <v>19.024</v>
      </c>
      <c r="L2919" s="22">
        <v>74.4648</v>
      </c>
      <c r="M2919" s="22">
        <v>99.908</v>
      </c>
      <c r="N2919" s="22">
        <v>156.29</v>
      </c>
      <c r="O2919" s="24">
        <v>46.9</v>
      </c>
      <c r="P2919" s="18">
        <f t="shared" si="1"/>
        <v>74.4648</v>
      </c>
    </row>
    <row r="2920" ht="15.75" customHeight="1">
      <c r="A2920" s="13" t="s">
        <v>235</v>
      </c>
      <c r="B2920" s="13" t="s">
        <v>22</v>
      </c>
      <c r="C2920" s="14" t="s">
        <v>40</v>
      </c>
      <c r="D2920" s="14" t="str">
        <f>VLOOKUP(C2920,'State Key'!$A$2:$B$210,2,False)</f>
        <v>Bihar</v>
      </c>
      <c r="E2920" s="15">
        <v>2340.0</v>
      </c>
      <c r="F2920" s="16">
        <v>1077.27</v>
      </c>
      <c r="G2920" s="16">
        <v>0.0</v>
      </c>
      <c r="H2920" s="16">
        <v>58.31</v>
      </c>
      <c r="I2920" s="16">
        <v>0.0</v>
      </c>
      <c r="J2920" s="16">
        <v>0.0</v>
      </c>
      <c r="K2920" s="16">
        <v>0.0</v>
      </c>
      <c r="L2920" s="16">
        <v>1135.58</v>
      </c>
      <c r="M2920" s="16">
        <v>1125.516</v>
      </c>
      <c r="N2920" s="16">
        <v>568.347</v>
      </c>
      <c r="O2920" s="24">
        <v>15.1</v>
      </c>
      <c r="P2920" s="18">
        <f t="shared" si="1"/>
        <v>1135.58</v>
      </c>
    </row>
    <row r="2921" ht="15.75" customHeight="1">
      <c r="A2921" s="19" t="s">
        <v>235</v>
      </c>
      <c r="B2921" s="19" t="s">
        <v>22</v>
      </c>
      <c r="C2921" s="20" t="s">
        <v>41</v>
      </c>
      <c r="D2921" s="14" t="str">
        <f>VLOOKUP(C2921,'State Key'!$A$2:$B$210,2,False)</f>
        <v>Odisha</v>
      </c>
      <c r="E2921" s="21">
        <v>1050.0</v>
      </c>
      <c r="F2921" s="22">
        <v>328.005</v>
      </c>
      <c r="G2921" s="22">
        <v>0.0</v>
      </c>
      <c r="H2921" s="22">
        <v>0.0</v>
      </c>
      <c r="I2921" s="22">
        <v>121.628</v>
      </c>
      <c r="J2921" s="22">
        <v>0.0</v>
      </c>
      <c r="K2921" s="22">
        <v>0.0</v>
      </c>
      <c r="L2921" s="22">
        <v>449.633</v>
      </c>
      <c r="M2921" s="22">
        <v>463.912</v>
      </c>
      <c r="N2921" s="22">
        <v>122.01</v>
      </c>
      <c r="O2921" s="23">
        <v>7.9</v>
      </c>
      <c r="P2921" s="18">
        <f t="shared" si="1"/>
        <v>449.633</v>
      </c>
    </row>
    <row r="2922" ht="15.75" customHeight="1">
      <c r="A2922" s="13" t="s">
        <v>235</v>
      </c>
      <c r="B2922" s="13" t="s">
        <v>22</v>
      </c>
      <c r="C2922" s="14" t="s">
        <v>42</v>
      </c>
      <c r="D2922" s="14" t="str">
        <f>VLOOKUP(C2922,'State Key'!$A$2:$B$210,2,False)</f>
        <v>Jharkhand</v>
      </c>
      <c r="E2922" s="15">
        <v>1000.0</v>
      </c>
      <c r="F2922" s="16">
        <v>263.017</v>
      </c>
      <c r="G2922" s="16">
        <v>0.0</v>
      </c>
      <c r="H2922" s="16">
        <v>25.386</v>
      </c>
      <c r="I2922" s="16">
        <v>0.0</v>
      </c>
      <c r="J2922" s="16">
        <v>0.0</v>
      </c>
      <c r="K2922" s="16">
        <v>0.0</v>
      </c>
      <c r="L2922" s="16">
        <v>288.403</v>
      </c>
      <c r="M2922" s="16">
        <v>425.02</v>
      </c>
      <c r="N2922" s="16">
        <v>178.22</v>
      </c>
      <c r="O2922" s="23">
        <v>12.6</v>
      </c>
      <c r="P2922" s="18">
        <f t="shared" si="1"/>
        <v>288.403</v>
      </c>
    </row>
    <row r="2923" ht="15.75" customHeight="1">
      <c r="A2923" s="19" t="s">
        <v>235</v>
      </c>
      <c r="B2923" s="19" t="s">
        <v>22</v>
      </c>
      <c r="C2923" s="20" t="s">
        <v>43</v>
      </c>
      <c r="D2923" s="14" t="str">
        <f>VLOOKUP(C2923,'State Key'!$A$2:$B$210,2,False)</f>
        <v>West Bengal</v>
      </c>
      <c r="E2923" s="21">
        <v>840.0</v>
      </c>
      <c r="F2923" s="22">
        <v>0.0</v>
      </c>
      <c r="G2923" s="22">
        <v>0.0</v>
      </c>
      <c r="H2923" s="22">
        <v>249.524</v>
      </c>
      <c r="I2923" s="22">
        <v>0.0</v>
      </c>
      <c r="J2923" s="22">
        <v>0.0</v>
      </c>
      <c r="K2923" s="22">
        <v>0.0</v>
      </c>
      <c r="L2923" s="22">
        <v>249.524</v>
      </c>
      <c r="M2923" s="22">
        <v>284.358</v>
      </c>
      <c r="N2923" s="22">
        <v>99.97</v>
      </c>
      <c r="O2923" s="23">
        <v>10.5</v>
      </c>
      <c r="P2923" s="18">
        <f t="shared" si="1"/>
        <v>249.524</v>
      </c>
    </row>
    <row r="2924" ht="15.75" customHeight="1">
      <c r="A2924" s="13" t="s">
        <v>235</v>
      </c>
      <c r="B2924" s="13" t="s">
        <v>22</v>
      </c>
      <c r="C2924" s="14" t="s">
        <v>44</v>
      </c>
      <c r="D2924" s="14" t="str">
        <f>VLOOKUP(C2924,'State Key'!$A$2:$B$210,2,False)</f>
        <v>Jharkhand</v>
      </c>
      <c r="E2924" s="15">
        <v>540.0</v>
      </c>
      <c r="F2924" s="16">
        <v>128.459</v>
      </c>
      <c r="G2924" s="16">
        <v>0.0</v>
      </c>
      <c r="H2924" s="16">
        <v>0.0</v>
      </c>
      <c r="I2924" s="16">
        <v>0.0</v>
      </c>
      <c r="J2924" s="16">
        <v>0.0</v>
      </c>
      <c r="K2924" s="16">
        <v>79.425</v>
      </c>
      <c r="L2924" s="16">
        <v>207.884</v>
      </c>
      <c r="M2924" s="16">
        <v>187.969</v>
      </c>
      <c r="N2924" s="16">
        <v>51.71</v>
      </c>
      <c r="O2924" s="23">
        <v>8.3</v>
      </c>
      <c r="P2924" s="18">
        <f t="shared" si="1"/>
        <v>207.884</v>
      </c>
    </row>
    <row r="2925" ht="15.75" customHeight="1">
      <c r="A2925" s="19" t="s">
        <v>235</v>
      </c>
      <c r="B2925" s="19" t="s">
        <v>22</v>
      </c>
      <c r="C2925" s="20" t="s">
        <v>45</v>
      </c>
      <c r="D2925" s="14" t="str">
        <f>VLOOKUP(C2925,'State Key'!$A$2:$B$210,2,False)</f>
        <v>Jharkhand</v>
      </c>
      <c r="E2925" s="21">
        <v>1050.0</v>
      </c>
      <c r="F2925" s="22">
        <v>385.199</v>
      </c>
      <c r="G2925" s="22">
        <v>0.0</v>
      </c>
      <c r="H2925" s="22">
        <v>0.0</v>
      </c>
      <c r="I2925" s="22">
        <v>0.0</v>
      </c>
      <c r="J2925" s="22">
        <v>0.0</v>
      </c>
      <c r="K2925" s="22">
        <v>7.201</v>
      </c>
      <c r="L2925" s="22">
        <v>392.4</v>
      </c>
      <c r="M2925" s="22">
        <v>385.912</v>
      </c>
      <c r="N2925" s="22">
        <v>424.66</v>
      </c>
      <c r="O2925" s="24">
        <v>33.0</v>
      </c>
      <c r="P2925" s="18">
        <f t="shared" si="1"/>
        <v>392.4</v>
      </c>
    </row>
    <row r="2926" ht="15.75" customHeight="1">
      <c r="A2926" s="13" t="s">
        <v>235</v>
      </c>
      <c r="B2926" s="13" t="s">
        <v>22</v>
      </c>
      <c r="C2926" s="14" t="s">
        <v>46</v>
      </c>
      <c r="D2926" s="14" t="str">
        <f>VLOOKUP(C2926,'State Key'!$A$2:$B$210,2,False)</f>
        <v>West Bengal</v>
      </c>
      <c r="E2926" s="15">
        <v>2340.0</v>
      </c>
      <c r="F2926" s="16">
        <v>581.93</v>
      </c>
      <c r="G2926" s="16">
        <v>0.0</v>
      </c>
      <c r="H2926" s="16">
        <v>63.602</v>
      </c>
      <c r="I2926" s="16">
        <v>0.0</v>
      </c>
      <c r="J2926" s="16">
        <v>0.0</v>
      </c>
      <c r="K2926" s="16">
        <v>133.937</v>
      </c>
      <c r="L2926" s="16">
        <v>779.469</v>
      </c>
      <c r="M2926" s="16">
        <v>811.106</v>
      </c>
      <c r="N2926" s="16">
        <v>449.04</v>
      </c>
      <c r="O2926" s="24">
        <v>16.6</v>
      </c>
      <c r="P2926" s="18">
        <f t="shared" si="1"/>
        <v>779.469</v>
      </c>
    </row>
    <row r="2927" ht="15.75" customHeight="1">
      <c r="A2927" s="19" t="s">
        <v>235</v>
      </c>
      <c r="B2927" s="19" t="s">
        <v>22</v>
      </c>
      <c r="C2927" s="20" t="s">
        <v>47</v>
      </c>
      <c r="D2927" s="14" t="str">
        <f>VLOOKUP(C2927,'State Key'!$A$2:$B$210,2,False)</f>
        <v>Bihar</v>
      </c>
      <c r="E2927" s="21">
        <v>390.0</v>
      </c>
      <c r="F2927" s="22">
        <v>0.0</v>
      </c>
      <c r="G2927" s="22">
        <v>0.0</v>
      </c>
      <c r="H2927" s="22">
        <v>139.472</v>
      </c>
      <c r="I2927" s="22">
        <v>0.0</v>
      </c>
      <c r="J2927" s="22">
        <v>0.0</v>
      </c>
      <c r="K2927" s="22">
        <v>0.0</v>
      </c>
      <c r="L2927" s="22">
        <v>139.472</v>
      </c>
      <c r="M2927" s="22">
        <v>149.484</v>
      </c>
      <c r="N2927" s="22">
        <v>130.11</v>
      </c>
      <c r="O2927" s="24">
        <v>26.1</v>
      </c>
      <c r="P2927" s="18">
        <f t="shared" si="1"/>
        <v>139.472</v>
      </c>
    </row>
    <row r="2928" ht="15.75" customHeight="1">
      <c r="A2928" s="13" t="s">
        <v>235</v>
      </c>
      <c r="B2928" s="13" t="s">
        <v>22</v>
      </c>
      <c r="C2928" s="14" t="s">
        <v>48</v>
      </c>
      <c r="D2928" s="14" t="str">
        <f>VLOOKUP(C2928,'State Key'!$A$2:$B$210,2,False)</f>
        <v>Bihar</v>
      </c>
      <c r="E2928" s="15">
        <v>1980.0</v>
      </c>
      <c r="F2928" s="16">
        <v>518.755</v>
      </c>
      <c r="G2928" s="16">
        <v>0.0</v>
      </c>
      <c r="H2928" s="16">
        <v>26.594</v>
      </c>
      <c r="I2928" s="16">
        <v>0.0</v>
      </c>
      <c r="J2928" s="16">
        <v>0.0</v>
      </c>
      <c r="K2928" s="16">
        <v>0.0</v>
      </c>
      <c r="L2928" s="16">
        <v>545.349</v>
      </c>
      <c r="M2928" s="16">
        <v>865.927</v>
      </c>
      <c r="N2928" s="16">
        <v>487.47</v>
      </c>
      <c r="O2928" s="24">
        <v>16.9</v>
      </c>
      <c r="P2928" s="18">
        <f t="shared" si="1"/>
        <v>545.349</v>
      </c>
    </row>
    <row r="2929" ht="15.75" customHeight="1">
      <c r="A2929" s="19" t="s">
        <v>235</v>
      </c>
      <c r="B2929" s="19" t="s">
        <v>22</v>
      </c>
      <c r="C2929" s="20" t="s">
        <v>49</v>
      </c>
      <c r="D2929" s="14" t="str">
        <f>VLOOKUP(C2929,'State Key'!$A$2:$B$210,2,False)</f>
        <v>Bihar</v>
      </c>
      <c r="E2929" s="21">
        <v>1000.0</v>
      </c>
      <c r="F2929" s="22">
        <v>378.2643</v>
      </c>
      <c r="G2929" s="22">
        <v>0.0</v>
      </c>
      <c r="H2929" s="22">
        <v>0.0</v>
      </c>
      <c r="I2929" s="22">
        <v>0.0</v>
      </c>
      <c r="J2929" s="22">
        <v>0.0</v>
      </c>
      <c r="K2929" s="22">
        <v>0.0</v>
      </c>
      <c r="L2929" s="22">
        <v>378.2643</v>
      </c>
      <c r="M2929" s="22">
        <v>389.0</v>
      </c>
      <c r="N2929" s="22">
        <v>246.32</v>
      </c>
      <c r="O2929" s="24">
        <v>19.0</v>
      </c>
      <c r="P2929" s="18">
        <f t="shared" si="1"/>
        <v>378.2643</v>
      </c>
    </row>
    <row r="2930" ht="15.75" customHeight="1">
      <c r="A2930" s="13" t="s">
        <v>235</v>
      </c>
      <c r="B2930" s="13" t="s">
        <v>22</v>
      </c>
      <c r="C2930" s="14" t="s">
        <v>50</v>
      </c>
      <c r="D2930" s="14" t="str">
        <f>VLOOKUP(C2930,'State Key'!$A$2:$B$210,2,False)</f>
        <v>Jharkhand</v>
      </c>
      <c r="E2930" s="15">
        <v>1320.0</v>
      </c>
      <c r="F2930" s="16">
        <v>370.56</v>
      </c>
      <c r="G2930" s="16">
        <v>0.0</v>
      </c>
      <c r="H2930" s="16">
        <v>27.44</v>
      </c>
      <c r="I2930" s="16">
        <v>0.0</v>
      </c>
      <c r="J2930" s="16">
        <v>0.0</v>
      </c>
      <c r="K2930" s="16">
        <v>18.75</v>
      </c>
      <c r="L2930" s="16">
        <v>416.75</v>
      </c>
      <c r="M2930" s="16">
        <v>653.433</v>
      </c>
      <c r="N2930" s="16">
        <v>131.09</v>
      </c>
      <c r="O2930" s="17">
        <v>6.0</v>
      </c>
      <c r="P2930" s="18">
        <f t="shared" si="1"/>
        <v>416.75</v>
      </c>
    </row>
    <row r="2931" ht="15.75" customHeight="1">
      <c r="A2931" s="19" t="s">
        <v>235</v>
      </c>
      <c r="B2931" s="19" t="s">
        <v>22</v>
      </c>
      <c r="C2931" s="20" t="s">
        <v>51</v>
      </c>
      <c r="D2931" s="14" t="str">
        <f>VLOOKUP(C2931,'State Key'!$A$2:$B$210,2,False)</f>
        <v>West Bengal</v>
      </c>
      <c r="E2931" s="21">
        <v>1200.0</v>
      </c>
      <c r="F2931" s="22">
        <v>271.502</v>
      </c>
      <c r="G2931" s="22">
        <v>0.0</v>
      </c>
      <c r="H2931" s="22">
        <v>0.0</v>
      </c>
      <c r="I2931" s="22">
        <v>0.0</v>
      </c>
      <c r="J2931" s="22">
        <v>0.0</v>
      </c>
      <c r="K2931" s="22">
        <v>0.0</v>
      </c>
      <c r="L2931" s="22">
        <v>271.502</v>
      </c>
      <c r="M2931" s="22">
        <v>455.466</v>
      </c>
      <c r="N2931" s="22">
        <v>142.07</v>
      </c>
      <c r="O2931" s="23">
        <v>9.4</v>
      </c>
      <c r="P2931" s="18">
        <f t="shared" si="1"/>
        <v>271.502</v>
      </c>
    </row>
    <row r="2932" ht="15.75" customHeight="1">
      <c r="A2932" s="13" t="s">
        <v>235</v>
      </c>
      <c r="B2932" s="13" t="s">
        <v>22</v>
      </c>
      <c r="C2932" s="14" t="s">
        <v>52</v>
      </c>
      <c r="D2932" s="14" t="str">
        <f>VLOOKUP(C2932,'State Key'!$A$2:$B$210,2,False)</f>
        <v>West Bengal</v>
      </c>
      <c r="E2932" s="15">
        <v>1600.0</v>
      </c>
      <c r="F2932" s="16">
        <v>0.0</v>
      </c>
      <c r="G2932" s="16">
        <v>0.0</v>
      </c>
      <c r="H2932" s="16">
        <v>620.196</v>
      </c>
      <c r="I2932" s="16">
        <v>0.0</v>
      </c>
      <c r="J2932" s="16">
        <v>0.0</v>
      </c>
      <c r="K2932" s="16">
        <v>0.0</v>
      </c>
      <c r="L2932" s="16">
        <v>620.196</v>
      </c>
      <c r="M2932" s="16">
        <v>625.684</v>
      </c>
      <c r="N2932" s="16">
        <v>314.67</v>
      </c>
      <c r="O2932" s="24">
        <v>15.1</v>
      </c>
      <c r="P2932" s="18">
        <f t="shared" si="1"/>
        <v>620.196</v>
      </c>
    </row>
    <row r="2933" ht="15.75" customHeight="1">
      <c r="A2933" s="19" t="s">
        <v>235</v>
      </c>
      <c r="B2933" s="19" t="s">
        <v>22</v>
      </c>
      <c r="C2933" s="20" t="s">
        <v>53</v>
      </c>
      <c r="D2933" s="14" t="str">
        <f>VLOOKUP(C2933,'State Key'!$A$2:$B$210,2,False)</f>
        <v>West Bengal</v>
      </c>
      <c r="E2933" s="21">
        <v>500.0</v>
      </c>
      <c r="F2933" s="22">
        <v>0.0</v>
      </c>
      <c r="G2933" s="22">
        <v>0.0</v>
      </c>
      <c r="H2933" s="22">
        <v>241.306</v>
      </c>
      <c r="I2933" s="22">
        <v>0.0</v>
      </c>
      <c r="J2933" s="22">
        <v>0.0</v>
      </c>
      <c r="K2933" s="22">
        <v>0.0</v>
      </c>
      <c r="L2933" s="22">
        <v>241.306</v>
      </c>
      <c r="M2933" s="22">
        <v>246.917</v>
      </c>
      <c r="N2933" s="22">
        <v>54.96</v>
      </c>
      <c r="O2933" s="17">
        <v>6.7</v>
      </c>
      <c r="P2933" s="18">
        <f t="shared" si="1"/>
        <v>241.306</v>
      </c>
    </row>
    <row r="2934" ht="15.75" customHeight="1">
      <c r="A2934" s="13" t="s">
        <v>235</v>
      </c>
      <c r="B2934" s="13" t="s">
        <v>22</v>
      </c>
      <c r="C2934" s="14" t="s">
        <v>54</v>
      </c>
      <c r="D2934" s="14" t="str">
        <f>VLOOKUP(C2934,'State Key'!$A$2:$B$210,2,False)</f>
        <v>West Bengal</v>
      </c>
      <c r="E2934" s="15">
        <v>135.0</v>
      </c>
      <c r="F2934" s="16">
        <v>15.886</v>
      </c>
      <c r="G2934" s="16">
        <v>0.0</v>
      </c>
      <c r="H2934" s="16">
        <v>0.0</v>
      </c>
      <c r="I2934" s="16">
        <v>11.865</v>
      </c>
      <c r="J2934" s="16">
        <v>0.0</v>
      </c>
      <c r="K2934" s="16">
        <v>0.0</v>
      </c>
      <c r="L2934" s="16">
        <v>27.751</v>
      </c>
      <c r="M2934" s="16">
        <v>16.449</v>
      </c>
      <c r="N2934" s="16">
        <v>46.44</v>
      </c>
      <c r="O2934" s="24">
        <v>84.7</v>
      </c>
      <c r="P2934" s="18">
        <f t="shared" si="1"/>
        <v>27.751</v>
      </c>
    </row>
    <row r="2935" ht="15.75" customHeight="1">
      <c r="A2935" s="19" t="s">
        <v>235</v>
      </c>
      <c r="B2935" s="19" t="s">
        <v>22</v>
      </c>
      <c r="C2935" s="20" t="s">
        <v>55</v>
      </c>
      <c r="D2935" s="14" t="str">
        <f>VLOOKUP(C2935,'State Key'!$A$2:$B$210,2,False)</f>
        <v>Odisha</v>
      </c>
      <c r="E2935" s="21">
        <v>3000.0</v>
      </c>
      <c r="F2935" s="22">
        <v>1296.57</v>
      </c>
      <c r="G2935" s="22">
        <v>0.0</v>
      </c>
      <c r="H2935" s="22">
        <v>61.71</v>
      </c>
      <c r="I2935" s="22">
        <v>0.0</v>
      </c>
      <c r="J2935" s="22">
        <v>0.0</v>
      </c>
      <c r="K2935" s="22">
        <v>0.0</v>
      </c>
      <c r="L2935" s="22">
        <v>1358.28</v>
      </c>
      <c r="M2935" s="22">
        <v>1324.469</v>
      </c>
      <c r="N2935" s="22">
        <v>351.37</v>
      </c>
      <c r="O2935" s="23">
        <v>8.0</v>
      </c>
      <c r="P2935" s="18">
        <f t="shared" si="1"/>
        <v>1358.28</v>
      </c>
    </row>
    <row r="2936" ht="15.75" customHeight="1">
      <c r="A2936" s="13" t="s">
        <v>235</v>
      </c>
      <c r="B2936" s="13" t="s">
        <v>22</v>
      </c>
      <c r="C2936" s="14" t="s">
        <v>56</v>
      </c>
      <c r="D2936" s="14" t="str">
        <f>VLOOKUP(C2936,'State Key'!$A$2:$B$210,2,False)</f>
        <v>Jharkhand</v>
      </c>
      <c r="E2936" s="15">
        <v>420.0</v>
      </c>
      <c r="F2936" s="16">
        <v>127.86</v>
      </c>
      <c r="G2936" s="16">
        <v>0.0</v>
      </c>
      <c r="H2936" s="16">
        <v>0.0</v>
      </c>
      <c r="I2936" s="16">
        <v>0.0</v>
      </c>
      <c r="J2936" s="16">
        <v>0.0</v>
      </c>
      <c r="K2936" s="16">
        <v>0.0</v>
      </c>
      <c r="L2936" s="16">
        <v>127.86</v>
      </c>
      <c r="M2936" s="16">
        <v>122.7</v>
      </c>
      <c r="N2936" s="16">
        <v>83.84</v>
      </c>
      <c r="O2936" s="24">
        <v>20.5</v>
      </c>
      <c r="P2936" s="18">
        <f t="shared" si="1"/>
        <v>127.86</v>
      </c>
    </row>
    <row r="2937" ht="15.75" customHeight="1">
      <c r="A2937" s="19" t="s">
        <v>235</v>
      </c>
      <c r="B2937" s="19" t="s">
        <v>22</v>
      </c>
      <c r="C2937" s="20" t="s">
        <v>57</v>
      </c>
      <c r="D2937" s="14" t="str">
        <f>VLOOKUP(C2937,'State Key'!$A$2:$B$210,2,False)</f>
        <v>West Bengal</v>
      </c>
      <c r="E2937" s="21">
        <v>240.0</v>
      </c>
      <c r="F2937" s="22">
        <v>0.0</v>
      </c>
      <c r="G2937" s="22">
        <v>0.0</v>
      </c>
      <c r="H2937" s="22">
        <v>0.0</v>
      </c>
      <c r="I2937" s="22">
        <v>0.0</v>
      </c>
      <c r="J2937" s="22">
        <v>0.0</v>
      </c>
      <c r="K2937" s="22">
        <v>0.0</v>
      </c>
      <c r="L2937" s="22">
        <v>0.0</v>
      </c>
      <c r="M2937" s="22">
        <v>0.0</v>
      </c>
      <c r="N2937" s="22">
        <v>0.0</v>
      </c>
      <c r="O2937" s="19" t="s">
        <v>58</v>
      </c>
      <c r="P2937" s="18">
        <f t="shared" si="1"/>
        <v>0</v>
      </c>
    </row>
    <row r="2938" ht="15.75" customHeight="1">
      <c r="A2938" s="13" t="s">
        <v>235</v>
      </c>
      <c r="B2938" s="13" t="s">
        <v>22</v>
      </c>
      <c r="C2938" s="14" t="s">
        <v>59</v>
      </c>
      <c r="D2938" s="14" t="str">
        <f>VLOOKUP(C2938,'State Key'!$A$2:$B$210,2,False)</f>
        <v>Odisha</v>
      </c>
      <c r="E2938" s="15">
        <v>350.0</v>
      </c>
      <c r="F2938" s="16">
        <v>4.49</v>
      </c>
      <c r="G2938" s="16">
        <v>0.0</v>
      </c>
      <c r="H2938" s="16">
        <v>0.0</v>
      </c>
      <c r="I2938" s="16">
        <v>0.0</v>
      </c>
      <c r="J2938" s="16">
        <v>0.0</v>
      </c>
      <c r="K2938" s="16">
        <v>0.0</v>
      </c>
      <c r="L2938" s="16">
        <v>4.49</v>
      </c>
      <c r="M2938" s="16">
        <v>21.54</v>
      </c>
      <c r="N2938" s="16">
        <v>8.21</v>
      </c>
      <c r="O2938" s="23">
        <v>11.4</v>
      </c>
      <c r="P2938" s="18">
        <f t="shared" si="1"/>
        <v>4.49</v>
      </c>
    </row>
    <row r="2939" ht="15.75" customHeight="1">
      <c r="A2939" s="19" t="s">
        <v>235</v>
      </c>
      <c r="B2939" s="19" t="s">
        <v>22</v>
      </c>
      <c r="C2939" s="20" t="s">
        <v>60</v>
      </c>
      <c r="D2939" s="14" t="str">
        <f>VLOOKUP(C2939,'State Key'!$A$2:$B$210,2,False)</f>
        <v>Odisha</v>
      </c>
      <c r="E2939" s="21">
        <v>600.0</v>
      </c>
      <c r="F2939" s="22">
        <v>345.67</v>
      </c>
      <c r="G2939" s="22">
        <v>0.0</v>
      </c>
      <c r="H2939" s="22">
        <v>0.0</v>
      </c>
      <c r="I2939" s="22">
        <v>0.0</v>
      </c>
      <c r="J2939" s="22">
        <v>0.0</v>
      </c>
      <c r="K2939" s="22">
        <v>0.0</v>
      </c>
      <c r="L2939" s="22">
        <v>345.67</v>
      </c>
      <c r="M2939" s="22">
        <v>244.56</v>
      </c>
      <c r="N2939" s="22">
        <v>138.53</v>
      </c>
      <c r="O2939" s="24">
        <v>17.0</v>
      </c>
      <c r="P2939" s="18">
        <f t="shared" si="1"/>
        <v>345.67</v>
      </c>
    </row>
    <row r="2940" ht="15.75" customHeight="1">
      <c r="A2940" s="13" t="s">
        <v>235</v>
      </c>
      <c r="B2940" s="13" t="s">
        <v>61</v>
      </c>
      <c r="C2940" s="14" t="s">
        <v>209</v>
      </c>
      <c r="D2940" s="14" t="str">
        <f>VLOOKUP(C2940,'State Key'!$A$2:$B$210,2,False)</f>
        <v>Rajasthan</v>
      </c>
      <c r="E2940" s="15">
        <v>1320.0</v>
      </c>
      <c r="F2940" s="16">
        <v>255.432</v>
      </c>
      <c r="G2940" s="16">
        <v>0.0</v>
      </c>
      <c r="H2940" s="16">
        <v>0.0</v>
      </c>
      <c r="I2940" s="16">
        <v>0.0</v>
      </c>
      <c r="J2940" s="16">
        <v>91.994</v>
      </c>
      <c r="K2940" s="16">
        <v>0.0</v>
      </c>
      <c r="L2940" s="16">
        <v>347.426</v>
      </c>
      <c r="M2940" s="16">
        <v>449.846</v>
      </c>
      <c r="N2940" s="16">
        <v>129.94</v>
      </c>
      <c r="O2940" s="23">
        <v>8.7</v>
      </c>
      <c r="P2940" s="18">
        <f t="shared" si="1"/>
        <v>347.426</v>
      </c>
    </row>
    <row r="2941" ht="15.75" customHeight="1">
      <c r="A2941" s="19" t="s">
        <v>235</v>
      </c>
      <c r="B2941" s="19" t="s">
        <v>61</v>
      </c>
      <c r="C2941" s="20" t="s">
        <v>62</v>
      </c>
      <c r="D2941" s="14" t="str">
        <f>VLOOKUP(C2941,'State Key'!$A$2:$B$210,2,False)</f>
        <v>Uttar Pradesh</v>
      </c>
      <c r="E2941" s="21">
        <v>1200.0</v>
      </c>
      <c r="F2941" s="22">
        <v>427.577</v>
      </c>
      <c r="G2941" s="22">
        <v>0.0</v>
      </c>
      <c r="H2941" s="22">
        <v>0.0</v>
      </c>
      <c r="I2941" s="22">
        <v>0.0</v>
      </c>
      <c r="J2941" s="22">
        <v>0.0</v>
      </c>
      <c r="K2941" s="22">
        <v>0.0</v>
      </c>
      <c r="L2941" s="22">
        <v>427.577</v>
      </c>
      <c r="M2941" s="22">
        <v>497.352</v>
      </c>
      <c r="N2941" s="22">
        <v>110.81</v>
      </c>
      <c r="O2941" s="17">
        <v>6.7</v>
      </c>
      <c r="P2941" s="18">
        <f t="shared" si="1"/>
        <v>427.577</v>
      </c>
    </row>
    <row r="2942" ht="15.75" customHeight="1">
      <c r="A2942" s="13" t="s">
        <v>235</v>
      </c>
      <c r="B2942" s="13" t="s">
        <v>61</v>
      </c>
      <c r="C2942" s="14" t="s">
        <v>63</v>
      </c>
      <c r="D2942" s="14" t="str">
        <f>VLOOKUP(C2942,'State Key'!$A$2:$B$210,2,False)</f>
        <v>Uttar Pradesh</v>
      </c>
      <c r="E2942" s="15">
        <v>2630.0</v>
      </c>
      <c r="F2942" s="16">
        <v>867.45</v>
      </c>
      <c r="G2942" s="16">
        <v>0.0</v>
      </c>
      <c r="H2942" s="16">
        <v>0.0</v>
      </c>
      <c r="I2942" s="16">
        <v>0.0</v>
      </c>
      <c r="J2942" s="16">
        <v>0.0</v>
      </c>
      <c r="K2942" s="16">
        <v>0.0</v>
      </c>
      <c r="L2942" s="16">
        <v>867.45</v>
      </c>
      <c r="M2942" s="16">
        <v>1128.729</v>
      </c>
      <c r="N2942" s="16">
        <v>166.51</v>
      </c>
      <c r="O2942" s="17">
        <v>4.4</v>
      </c>
      <c r="P2942" s="18">
        <f t="shared" si="1"/>
        <v>867.45</v>
      </c>
    </row>
    <row r="2943" ht="15.75" customHeight="1">
      <c r="A2943" s="19" t="s">
        <v>235</v>
      </c>
      <c r="B2943" s="19" t="s">
        <v>61</v>
      </c>
      <c r="C2943" s="20" t="s">
        <v>64</v>
      </c>
      <c r="D2943" s="14" t="str">
        <f>VLOOKUP(C2943,'State Key'!$A$2:$B$210,2,False)</f>
        <v>Uttar Pradesh</v>
      </c>
      <c r="E2943" s="21">
        <v>90.0</v>
      </c>
      <c r="F2943" s="22">
        <v>30.959</v>
      </c>
      <c r="G2943" s="22">
        <v>0.0</v>
      </c>
      <c r="H2943" s="22">
        <v>0.0</v>
      </c>
      <c r="I2943" s="22">
        <v>0.0</v>
      </c>
      <c r="J2943" s="22">
        <v>0.0</v>
      </c>
      <c r="K2943" s="22">
        <v>0.0</v>
      </c>
      <c r="L2943" s="22">
        <v>30.959</v>
      </c>
      <c r="M2943" s="22">
        <v>34.343</v>
      </c>
      <c r="N2943" s="22">
        <v>29.88</v>
      </c>
      <c r="O2943" s="24">
        <v>26.1</v>
      </c>
      <c r="P2943" s="18">
        <f t="shared" si="1"/>
        <v>30.959</v>
      </c>
    </row>
    <row r="2944" ht="15.75" customHeight="1">
      <c r="A2944" s="13" t="s">
        <v>235</v>
      </c>
      <c r="B2944" s="13" t="s">
        <v>61</v>
      </c>
      <c r="C2944" s="14" t="s">
        <v>65</v>
      </c>
      <c r="D2944" s="14" t="str">
        <f>VLOOKUP(C2944,'State Key'!$A$2:$B$210,2,False)</f>
        <v>Rajasthan</v>
      </c>
      <c r="E2944" s="15">
        <v>500.0</v>
      </c>
      <c r="F2944" s="16">
        <v>104.46</v>
      </c>
      <c r="G2944" s="16">
        <v>0.0</v>
      </c>
      <c r="H2944" s="16">
        <v>0.0</v>
      </c>
      <c r="I2944" s="16">
        <v>0.0</v>
      </c>
      <c r="J2944" s="16">
        <v>0.0</v>
      </c>
      <c r="K2944" s="16">
        <v>0.0</v>
      </c>
      <c r="L2944" s="16">
        <v>104.46</v>
      </c>
      <c r="M2944" s="16">
        <v>133.86</v>
      </c>
      <c r="N2944" s="16">
        <v>97.27</v>
      </c>
      <c r="O2944" s="24">
        <v>21.8</v>
      </c>
      <c r="P2944" s="18">
        <f t="shared" si="1"/>
        <v>104.46</v>
      </c>
    </row>
    <row r="2945" ht="15.75" customHeight="1">
      <c r="A2945" s="19" t="s">
        <v>235</v>
      </c>
      <c r="B2945" s="19" t="s">
        <v>61</v>
      </c>
      <c r="C2945" s="20" t="s">
        <v>66</v>
      </c>
      <c r="D2945" s="14" t="str">
        <f>VLOOKUP(C2945,'State Key'!$A$2:$B$210,2,False)</f>
        <v>Rajasthan</v>
      </c>
      <c r="E2945" s="21">
        <v>500.0</v>
      </c>
      <c r="F2945" s="22">
        <v>229.1</v>
      </c>
      <c r="G2945" s="22">
        <v>0.0</v>
      </c>
      <c r="H2945" s="22">
        <v>4.07</v>
      </c>
      <c r="I2945" s="22">
        <v>0.0</v>
      </c>
      <c r="J2945" s="22">
        <v>0.0</v>
      </c>
      <c r="K2945" s="22">
        <v>0.0</v>
      </c>
      <c r="L2945" s="22">
        <v>233.17</v>
      </c>
      <c r="M2945" s="22">
        <v>201.77</v>
      </c>
      <c r="N2945" s="22">
        <v>105.5</v>
      </c>
      <c r="O2945" s="24">
        <v>15.7</v>
      </c>
      <c r="P2945" s="18">
        <f t="shared" si="1"/>
        <v>233.17</v>
      </c>
    </row>
    <row r="2946" ht="15.75" customHeight="1">
      <c r="A2946" s="13" t="s">
        <v>235</v>
      </c>
      <c r="B2946" s="13" t="s">
        <v>61</v>
      </c>
      <c r="C2946" s="14" t="s">
        <v>67</v>
      </c>
      <c r="D2946" s="14" t="str">
        <f>VLOOKUP(C2946,'State Key'!$A$2:$B$210,2,False)</f>
        <v>Rajasthan</v>
      </c>
      <c r="E2946" s="15">
        <v>1320.0</v>
      </c>
      <c r="F2946" s="16">
        <v>32.18842</v>
      </c>
      <c r="G2946" s="16">
        <v>0.0</v>
      </c>
      <c r="H2946" s="16">
        <v>217.59635</v>
      </c>
      <c r="I2946" s="16">
        <v>0.0</v>
      </c>
      <c r="J2946" s="16">
        <v>0.0</v>
      </c>
      <c r="K2946" s="16">
        <v>0.0</v>
      </c>
      <c r="L2946" s="16">
        <v>249.78477</v>
      </c>
      <c r="M2946" s="16">
        <v>443.5932</v>
      </c>
      <c r="N2946" s="16">
        <v>113.426</v>
      </c>
      <c r="O2946" s="23">
        <v>7.7</v>
      </c>
      <c r="P2946" s="18">
        <f t="shared" si="1"/>
        <v>249.78477</v>
      </c>
    </row>
    <row r="2947" ht="15.75" customHeight="1">
      <c r="A2947" s="19" t="s">
        <v>235</v>
      </c>
      <c r="B2947" s="19" t="s">
        <v>61</v>
      </c>
      <c r="C2947" s="20" t="s">
        <v>68</v>
      </c>
      <c r="D2947" s="14" t="str">
        <f>VLOOKUP(C2947,'State Key'!$A$2:$B$210,2,False)</f>
        <v>Uttar Pradesh</v>
      </c>
      <c r="E2947" s="21">
        <v>1820.0</v>
      </c>
      <c r="F2947" s="22">
        <v>374.68</v>
      </c>
      <c r="G2947" s="22">
        <v>4.02</v>
      </c>
      <c r="H2947" s="22">
        <v>23.55</v>
      </c>
      <c r="I2947" s="22">
        <v>0.0</v>
      </c>
      <c r="J2947" s="22">
        <v>71.05</v>
      </c>
      <c r="K2947" s="22">
        <v>0.0</v>
      </c>
      <c r="L2947" s="22">
        <v>473.3</v>
      </c>
      <c r="M2947" s="22">
        <v>549.161</v>
      </c>
      <c r="N2947" s="22">
        <v>627.472</v>
      </c>
      <c r="O2947" s="24">
        <v>34.3</v>
      </c>
      <c r="P2947" s="18">
        <f t="shared" si="1"/>
        <v>473.3</v>
      </c>
    </row>
    <row r="2948" ht="15.75" customHeight="1">
      <c r="A2948" s="13" t="s">
        <v>235</v>
      </c>
      <c r="B2948" s="13" t="s">
        <v>61</v>
      </c>
      <c r="C2948" s="14" t="s">
        <v>69</v>
      </c>
      <c r="D2948" s="14" t="str">
        <f>VLOOKUP(C2948,'State Key'!$A$2:$B$210,2,False)</f>
        <v>Punjab</v>
      </c>
      <c r="E2948" s="15">
        <v>920.0</v>
      </c>
      <c r="F2948" s="16">
        <v>132.518</v>
      </c>
      <c r="G2948" s="16">
        <v>0.0</v>
      </c>
      <c r="H2948" s="16">
        <v>183.502</v>
      </c>
      <c r="I2948" s="16">
        <v>0.0</v>
      </c>
      <c r="J2948" s="16">
        <v>0.0</v>
      </c>
      <c r="K2948" s="16">
        <v>0.0</v>
      </c>
      <c r="L2948" s="16">
        <v>316.02</v>
      </c>
      <c r="M2948" s="16">
        <v>248.932</v>
      </c>
      <c r="N2948" s="16">
        <v>237.23</v>
      </c>
      <c r="O2948" s="24">
        <v>28.6</v>
      </c>
      <c r="P2948" s="18">
        <f t="shared" si="1"/>
        <v>316.02</v>
      </c>
    </row>
    <row r="2949" ht="15.75" customHeight="1">
      <c r="A2949" s="19" t="s">
        <v>235</v>
      </c>
      <c r="B2949" s="19" t="s">
        <v>61</v>
      </c>
      <c r="C2949" s="20" t="s">
        <v>70</v>
      </c>
      <c r="D2949" s="14" t="str">
        <f>VLOOKUP(C2949,'State Key'!$A$2:$B$210,2,False)</f>
        <v>Punjab</v>
      </c>
      <c r="E2949" s="21">
        <v>540.0</v>
      </c>
      <c r="F2949" s="22">
        <v>58.56574</v>
      </c>
      <c r="G2949" s="22">
        <v>0.0</v>
      </c>
      <c r="H2949" s="22">
        <v>123.093</v>
      </c>
      <c r="I2949" s="22">
        <v>0.0</v>
      </c>
      <c r="J2949" s="22">
        <v>0.0</v>
      </c>
      <c r="K2949" s="22">
        <v>0.0</v>
      </c>
      <c r="L2949" s="22">
        <v>181.65874</v>
      </c>
      <c r="M2949" s="22">
        <v>172.4908</v>
      </c>
      <c r="N2949" s="22">
        <v>123.18</v>
      </c>
      <c r="O2949" s="24">
        <v>21.4</v>
      </c>
      <c r="P2949" s="18">
        <f t="shared" si="1"/>
        <v>181.65874</v>
      </c>
    </row>
    <row r="2950" ht="15.75" customHeight="1">
      <c r="A2950" s="13" t="s">
        <v>235</v>
      </c>
      <c r="B2950" s="13" t="s">
        <v>61</v>
      </c>
      <c r="C2950" s="14" t="s">
        <v>71</v>
      </c>
      <c r="D2950" s="14" t="str">
        <f>VLOOKUP(C2950,'State Key'!$A$2:$B$210,2,False)</f>
        <v>Uttar Pradesh</v>
      </c>
      <c r="E2950" s="15">
        <v>1265.0</v>
      </c>
      <c r="F2950" s="16">
        <v>221.892</v>
      </c>
      <c r="G2950" s="16">
        <v>0.0</v>
      </c>
      <c r="H2950" s="16">
        <v>0.0</v>
      </c>
      <c r="I2950" s="16">
        <v>0.0</v>
      </c>
      <c r="J2950" s="16">
        <v>0.0</v>
      </c>
      <c r="K2950" s="16">
        <v>0.0</v>
      </c>
      <c r="L2950" s="16">
        <v>221.892</v>
      </c>
      <c r="M2950" s="16">
        <v>410.596</v>
      </c>
      <c r="N2950" s="16">
        <v>566.44</v>
      </c>
      <c r="O2950" s="24">
        <v>41.4</v>
      </c>
      <c r="P2950" s="18">
        <f t="shared" si="1"/>
        <v>221.892</v>
      </c>
    </row>
    <row r="2951" ht="15.75" customHeight="1">
      <c r="A2951" s="19" t="s">
        <v>235</v>
      </c>
      <c r="B2951" s="19" t="s">
        <v>61</v>
      </c>
      <c r="C2951" s="20" t="s">
        <v>72</v>
      </c>
      <c r="D2951" s="14" t="str">
        <f>VLOOKUP(C2951,'State Key'!$A$2:$B$210,2,False)</f>
        <v>Haryana</v>
      </c>
      <c r="E2951" s="21">
        <v>1500.0</v>
      </c>
      <c r="F2951" s="22">
        <v>590.93754</v>
      </c>
      <c r="G2951" s="22">
        <v>0.0</v>
      </c>
      <c r="H2951" s="22">
        <v>0.0</v>
      </c>
      <c r="I2951" s="22">
        <v>0.0</v>
      </c>
      <c r="J2951" s="22">
        <v>0.0</v>
      </c>
      <c r="K2951" s="22">
        <v>2.09048</v>
      </c>
      <c r="L2951" s="22">
        <v>593.02802</v>
      </c>
      <c r="M2951" s="22">
        <v>555.9938</v>
      </c>
      <c r="N2951" s="22">
        <v>783.15</v>
      </c>
      <c r="O2951" s="24">
        <v>42.3</v>
      </c>
      <c r="P2951" s="18">
        <f t="shared" si="1"/>
        <v>593.02802</v>
      </c>
    </row>
    <row r="2952" ht="15.75" customHeight="1">
      <c r="A2952" s="13" t="s">
        <v>235</v>
      </c>
      <c r="B2952" s="13" t="s">
        <v>61</v>
      </c>
      <c r="C2952" s="14" t="s">
        <v>226</v>
      </c>
      <c r="D2952" s="14" t="str">
        <f>VLOOKUP(C2952,'State Key'!$A$2:$B$210,2,False)</f>
        <v>Uttar Pradesh</v>
      </c>
      <c r="E2952" s="15">
        <v>660.0</v>
      </c>
      <c r="F2952" s="16">
        <v>162.211</v>
      </c>
      <c r="G2952" s="16">
        <v>0.0</v>
      </c>
      <c r="H2952" s="16">
        <v>0.0</v>
      </c>
      <c r="I2952" s="16">
        <v>0.0</v>
      </c>
      <c r="J2952" s="16">
        <v>0.0</v>
      </c>
      <c r="K2952" s="16">
        <v>0.0</v>
      </c>
      <c r="L2952" s="16">
        <v>162.211</v>
      </c>
      <c r="M2952" s="16">
        <v>201.73</v>
      </c>
      <c r="N2952" s="16">
        <v>75.25</v>
      </c>
      <c r="O2952" s="23">
        <v>11.2</v>
      </c>
      <c r="P2952" s="18">
        <f t="shared" si="1"/>
        <v>162.211</v>
      </c>
    </row>
    <row r="2953" ht="15.75" customHeight="1">
      <c r="A2953" s="19" t="s">
        <v>235</v>
      </c>
      <c r="B2953" s="19" t="s">
        <v>61</v>
      </c>
      <c r="C2953" s="20" t="s">
        <v>73</v>
      </c>
      <c r="D2953" s="14" t="str">
        <f>VLOOKUP(C2953,'State Key'!$A$2:$B$210,2,False)</f>
        <v>Rajasthan</v>
      </c>
      <c r="E2953" s="21">
        <v>1200.0</v>
      </c>
      <c r="F2953" s="22">
        <v>0.0</v>
      </c>
      <c r="G2953" s="22">
        <v>0.0</v>
      </c>
      <c r="H2953" s="22">
        <v>385.365</v>
      </c>
      <c r="I2953" s="22">
        <v>0.0</v>
      </c>
      <c r="J2953" s="22">
        <v>0.0</v>
      </c>
      <c r="K2953" s="22">
        <v>0.0</v>
      </c>
      <c r="L2953" s="22">
        <v>385.365</v>
      </c>
      <c r="M2953" s="22">
        <v>328.642</v>
      </c>
      <c r="N2953" s="22">
        <v>209.87</v>
      </c>
      <c r="O2953" s="24">
        <v>19.2</v>
      </c>
      <c r="P2953" s="18">
        <f t="shared" si="1"/>
        <v>385.365</v>
      </c>
    </row>
    <row r="2954" ht="15.75" customHeight="1">
      <c r="A2954" s="13" t="s">
        <v>235</v>
      </c>
      <c r="B2954" s="13" t="s">
        <v>61</v>
      </c>
      <c r="C2954" s="14" t="s">
        <v>75</v>
      </c>
      <c r="D2954" s="14" t="str">
        <f>VLOOKUP(C2954,'State Key'!$A$2:$B$210,2,False)</f>
        <v>Uttar Pradesh</v>
      </c>
      <c r="E2954" s="15">
        <v>90.0</v>
      </c>
      <c r="F2954" s="16">
        <v>15.716</v>
      </c>
      <c r="G2954" s="16">
        <v>0.0</v>
      </c>
      <c r="H2954" s="16">
        <v>0.0</v>
      </c>
      <c r="I2954" s="16">
        <v>0.0</v>
      </c>
      <c r="J2954" s="16">
        <v>0.0</v>
      </c>
      <c r="K2954" s="16">
        <v>0.0</v>
      </c>
      <c r="L2954" s="16">
        <v>15.716</v>
      </c>
      <c r="M2954" s="16">
        <v>30.696</v>
      </c>
      <c r="N2954" s="16">
        <v>29.28</v>
      </c>
      <c r="O2954" s="24">
        <v>28.6</v>
      </c>
      <c r="P2954" s="18">
        <f t="shared" si="1"/>
        <v>15.716</v>
      </c>
    </row>
    <row r="2955" ht="15.75" customHeight="1">
      <c r="A2955" s="19" t="s">
        <v>235</v>
      </c>
      <c r="B2955" s="19" t="s">
        <v>61</v>
      </c>
      <c r="C2955" s="20" t="s">
        <v>76</v>
      </c>
      <c r="D2955" s="14" t="str">
        <f>VLOOKUP(C2955,'State Key'!$A$2:$B$210,2,False)</f>
        <v>Rajasthan</v>
      </c>
      <c r="E2955" s="21">
        <v>1240.0</v>
      </c>
      <c r="F2955" s="22">
        <v>462.60629</v>
      </c>
      <c r="G2955" s="22">
        <v>0.0</v>
      </c>
      <c r="H2955" s="22">
        <v>0.0</v>
      </c>
      <c r="I2955" s="22">
        <v>0.0</v>
      </c>
      <c r="J2955" s="22">
        <v>0.0</v>
      </c>
      <c r="K2955" s="22">
        <v>20.4158</v>
      </c>
      <c r="L2955" s="22">
        <v>483.02209</v>
      </c>
      <c r="M2955" s="22">
        <v>423.9011</v>
      </c>
      <c r="N2955" s="22">
        <v>170.26</v>
      </c>
      <c r="O2955" s="23">
        <v>12.0</v>
      </c>
      <c r="P2955" s="18">
        <f t="shared" si="1"/>
        <v>483.02209</v>
      </c>
    </row>
    <row r="2956" ht="15.75" customHeight="1">
      <c r="A2956" s="13" t="s">
        <v>235</v>
      </c>
      <c r="B2956" s="13" t="s">
        <v>61</v>
      </c>
      <c r="C2956" s="14" t="s">
        <v>77</v>
      </c>
      <c r="D2956" s="14" t="str">
        <f>VLOOKUP(C2956,'State Key'!$A$2:$B$210,2,False)</f>
        <v>Uttar Pradesh</v>
      </c>
      <c r="E2956" s="15">
        <v>90.0</v>
      </c>
      <c r="F2956" s="16">
        <v>27.357</v>
      </c>
      <c r="G2956" s="16">
        <v>0.0</v>
      </c>
      <c r="H2956" s="16">
        <v>0.0</v>
      </c>
      <c r="I2956" s="16">
        <v>0.0</v>
      </c>
      <c r="J2956" s="16">
        <v>0.0</v>
      </c>
      <c r="K2956" s="16">
        <v>0.0</v>
      </c>
      <c r="L2956" s="16">
        <v>27.357</v>
      </c>
      <c r="M2956" s="16">
        <v>31.01</v>
      </c>
      <c r="N2956" s="16">
        <v>38.67</v>
      </c>
      <c r="O2956" s="24">
        <v>37.4</v>
      </c>
      <c r="P2956" s="18">
        <f t="shared" si="1"/>
        <v>27.357</v>
      </c>
    </row>
    <row r="2957" ht="15.75" customHeight="1">
      <c r="A2957" s="19" t="s">
        <v>235</v>
      </c>
      <c r="B2957" s="19" t="s">
        <v>61</v>
      </c>
      <c r="C2957" s="20" t="s">
        <v>78</v>
      </c>
      <c r="D2957" s="14" t="str">
        <f>VLOOKUP(C2957,'State Key'!$A$2:$B$210,2,False)</f>
        <v>Uttar Pradesh</v>
      </c>
      <c r="E2957" s="21">
        <v>1980.0</v>
      </c>
      <c r="F2957" s="22">
        <v>661.439</v>
      </c>
      <c r="G2957" s="22">
        <v>0.0</v>
      </c>
      <c r="H2957" s="22">
        <v>0.0</v>
      </c>
      <c r="I2957" s="22">
        <v>0.0</v>
      </c>
      <c r="J2957" s="22">
        <v>0.0</v>
      </c>
      <c r="K2957" s="22">
        <v>0.0</v>
      </c>
      <c r="L2957" s="22">
        <v>661.439</v>
      </c>
      <c r="M2957" s="22">
        <v>758.337</v>
      </c>
      <c r="N2957" s="22">
        <v>361.8</v>
      </c>
      <c r="O2957" s="24">
        <v>14.3</v>
      </c>
      <c r="P2957" s="18">
        <f t="shared" si="1"/>
        <v>661.439</v>
      </c>
    </row>
    <row r="2958" ht="15.75" customHeight="1">
      <c r="A2958" s="13" t="s">
        <v>235</v>
      </c>
      <c r="B2958" s="13" t="s">
        <v>61</v>
      </c>
      <c r="C2958" s="14" t="s">
        <v>79</v>
      </c>
      <c r="D2958" s="14" t="str">
        <f>VLOOKUP(C2958,'State Key'!$A$2:$B$210,2,False)</f>
        <v>Haryana</v>
      </c>
      <c r="E2958" s="15">
        <v>1320.0</v>
      </c>
      <c r="F2958" s="16">
        <v>362.038</v>
      </c>
      <c r="G2958" s="16">
        <v>0.0</v>
      </c>
      <c r="H2958" s="16">
        <v>0.0</v>
      </c>
      <c r="I2958" s="16">
        <v>0.0</v>
      </c>
      <c r="J2958" s="16">
        <v>0.0</v>
      </c>
      <c r="K2958" s="16">
        <v>0.0</v>
      </c>
      <c r="L2958" s="16">
        <v>362.038</v>
      </c>
      <c r="M2958" s="16">
        <v>437.555</v>
      </c>
      <c r="N2958" s="16">
        <v>393.108</v>
      </c>
      <c r="O2958" s="24">
        <v>27.0</v>
      </c>
      <c r="P2958" s="18">
        <f t="shared" si="1"/>
        <v>362.038</v>
      </c>
    </row>
    <row r="2959" ht="15.75" customHeight="1">
      <c r="A2959" s="19" t="s">
        <v>235</v>
      </c>
      <c r="B2959" s="19" t="s">
        <v>61</v>
      </c>
      <c r="C2959" s="20" t="s">
        <v>80</v>
      </c>
      <c r="D2959" s="14" t="str">
        <f>VLOOKUP(C2959,'State Key'!$A$2:$B$210,2,False)</f>
        <v>Uttar Pradesh</v>
      </c>
      <c r="E2959" s="21">
        <v>90.0</v>
      </c>
      <c r="F2959" s="22">
        <v>27.614</v>
      </c>
      <c r="G2959" s="22">
        <v>0.0</v>
      </c>
      <c r="H2959" s="22">
        <v>0.0</v>
      </c>
      <c r="I2959" s="22">
        <v>0.0</v>
      </c>
      <c r="J2959" s="22">
        <v>0.0</v>
      </c>
      <c r="K2959" s="22">
        <v>0.0</v>
      </c>
      <c r="L2959" s="22">
        <v>27.614</v>
      </c>
      <c r="M2959" s="22">
        <v>32.033</v>
      </c>
      <c r="N2959" s="22">
        <v>27.86</v>
      </c>
      <c r="O2959" s="24">
        <v>26.1</v>
      </c>
      <c r="P2959" s="18">
        <f t="shared" si="1"/>
        <v>27.614</v>
      </c>
    </row>
    <row r="2960" ht="15.75" customHeight="1">
      <c r="A2960" s="13" t="s">
        <v>235</v>
      </c>
      <c r="B2960" s="13" t="s">
        <v>61</v>
      </c>
      <c r="C2960" s="14" t="s">
        <v>81</v>
      </c>
      <c r="D2960" s="14" t="str">
        <f>VLOOKUP(C2960,'State Key'!$A$2:$B$210,2,False)</f>
        <v>Uttar Pradesh</v>
      </c>
      <c r="E2960" s="15">
        <v>1320.0</v>
      </c>
      <c r="F2960" s="16">
        <v>380.2064</v>
      </c>
      <c r="G2960" s="16">
        <v>0.0</v>
      </c>
      <c r="H2960" s="16">
        <v>0.0</v>
      </c>
      <c r="I2960" s="16">
        <v>0.0</v>
      </c>
      <c r="J2960" s="16">
        <v>0.0</v>
      </c>
      <c r="K2960" s="16">
        <v>0.0</v>
      </c>
      <c r="L2960" s="16">
        <v>380.2064</v>
      </c>
      <c r="M2960" s="16">
        <v>449.068</v>
      </c>
      <c r="N2960" s="16">
        <v>294.17</v>
      </c>
      <c r="O2960" s="24">
        <v>19.7</v>
      </c>
      <c r="P2960" s="18">
        <f t="shared" si="1"/>
        <v>380.2064</v>
      </c>
    </row>
    <row r="2961" ht="15.75" customHeight="1">
      <c r="A2961" s="19" t="s">
        <v>235</v>
      </c>
      <c r="B2961" s="19" t="s">
        <v>61</v>
      </c>
      <c r="C2961" s="20" t="s">
        <v>82</v>
      </c>
      <c r="D2961" s="14" t="str">
        <f>VLOOKUP(C2961,'State Key'!$A$2:$B$210,2,False)</f>
        <v>Uttar Pradesh</v>
      </c>
      <c r="E2961" s="21">
        <v>1660.0</v>
      </c>
      <c r="F2961" s="22">
        <v>433.44</v>
      </c>
      <c r="G2961" s="22">
        <v>0.0</v>
      </c>
      <c r="H2961" s="22">
        <v>0.0</v>
      </c>
      <c r="I2961" s="22">
        <v>0.0</v>
      </c>
      <c r="J2961" s="22">
        <v>0.0</v>
      </c>
      <c r="K2961" s="22">
        <v>0.0</v>
      </c>
      <c r="L2961" s="22">
        <v>433.44</v>
      </c>
      <c r="M2961" s="22">
        <v>374.352</v>
      </c>
      <c r="N2961" s="22">
        <v>309.77</v>
      </c>
      <c r="O2961" s="24">
        <v>24.8</v>
      </c>
      <c r="P2961" s="18">
        <f t="shared" si="1"/>
        <v>433.44</v>
      </c>
    </row>
    <row r="2962" ht="15.75" customHeight="1">
      <c r="A2962" s="13" t="s">
        <v>235</v>
      </c>
      <c r="B2962" s="13" t="s">
        <v>61</v>
      </c>
      <c r="C2962" s="14" t="s">
        <v>83</v>
      </c>
      <c r="D2962" s="14" t="str">
        <f>VLOOKUP(C2962,'State Key'!$A$2:$B$210,2,False)</f>
        <v>Haryana</v>
      </c>
      <c r="E2962" s="15">
        <v>710.0</v>
      </c>
      <c r="F2962" s="16">
        <v>290.484</v>
      </c>
      <c r="G2962" s="16">
        <v>0.0</v>
      </c>
      <c r="H2962" s="16">
        <v>0.0</v>
      </c>
      <c r="I2962" s="16">
        <v>0.0</v>
      </c>
      <c r="J2962" s="16">
        <v>0.0</v>
      </c>
      <c r="K2962" s="16">
        <v>0.0</v>
      </c>
      <c r="L2962" s="16">
        <v>290.484</v>
      </c>
      <c r="M2962" s="16">
        <v>330.956</v>
      </c>
      <c r="N2962" s="16">
        <v>191.98</v>
      </c>
      <c r="O2962" s="24">
        <v>17.4</v>
      </c>
      <c r="P2962" s="18">
        <f t="shared" si="1"/>
        <v>290.484</v>
      </c>
    </row>
    <row r="2963" ht="15.75" customHeight="1">
      <c r="A2963" s="19" t="s">
        <v>235</v>
      </c>
      <c r="B2963" s="19" t="s">
        <v>61</v>
      </c>
      <c r="C2963" s="20" t="s">
        <v>84</v>
      </c>
      <c r="D2963" s="14" t="str">
        <f>VLOOKUP(C2963,'State Key'!$A$2:$B$210,2,False)</f>
        <v>Uttar Pradesh</v>
      </c>
      <c r="E2963" s="21">
        <v>920.0</v>
      </c>
      <c r="F2963" s="22">
        <v>249.21</v>
      </c>
      <c r="G2963" s="22">
        <v>0.0</v>
      </c>
      <c r="H2963" s="22">
        <v>0.0</v>
      </c>
      <c r="I2963" s="22">
        <v>0.0</v>
      </c>
      <c r="J2963" s="22">
        <v>0.0</v>
      </c>
      <c r="K2963" s="22">
        <v>0.0</v>
      </c>
      <c r="L2963" s="22">
        <v>249.21</v>
      </c>
      <c r="M2963" s="22">
        <v>317.522</v>
      </c>
      <c r="N2963" s="22">
        <v>209.777</v>
      </c>
      <c r="O2963" s="24">
        <v>19.8</v>
      </c>
      <c r="P2963" s="18">
        <f t="shared" si="1"/>
        <v>249.21</v>
      </c>
    </row>
    <row r="2964" ht="15.75" customHeight="1">
      <c r="A2964" s="13" t="s">
        <v>235</v>
      </c>
      <c r="B2964" s="13" t="s">
        <v>61</v>
      </c>
      <c r="C2964" s="14" t="s">
        <v>85</v>
      </c>
      <c r="D2964" s="14" t="str">
        <f>VLOOKUP(C2964,'State Key'!$A$2:$B$210,2,False)</f>
        <v>Uttar Pradesh</v>
      </c>
      <c r="E2964" s="15">
        <v>1980.0</v>
      </c>
      <c r="F2964" s="16">
        <v>440.79</v>
      </c>
      <c r="G2964" s="16">
        <v>0.0</v>
      </c>
      <c r="H2964" s="16">
        <v>0.0</v>
      </c>
      <c r="I2964" s="16">
        <v>0.0</v>
      </c>
      <c r="J2964" s="16">
        <v>0.0</v>
      </c>
      <c r="K2964" s="16">
        <v>0.0</v>
      </c>
      <c r="L2964" s="16">
        <v>440.79</v>
      </c>
      <c r="M2964" s="16">
        <v>636.763</v>
      </c>
      <c r="N2964" s="16">
        <v>510.52</v>
      </c>
      <c r="O2964" s="24">
        <v>24.1</v>
      </c>
      <c r="P2964" s="18">
        <f t="shared" si="1"/>
        <v>440.79</v>
      </c>
    </row>
    <row r="2965" ht="15.75" customHeight="1">
      <c r="A2965" s="19" t="s">
        <v>235</v>
      </c>
      <c r="B2965" s="19" t="s">
        <v>61</v>
      </c>
      <c r="C2965" s="20" t="s">
        <v>86</v>
      </c>
      <c r="D2965" s="14" t="str">
        <f>VLOOKUP(C2965,'State Key'!$A$2:$B$210,2,False)</f>
        <v>Haryana</v>
      </c>
      <c r="E2965" s="21">
        <v>1200.0</v>
      </c>
      <c r="F2965" s="22">
        <v>365.115</v>
      </c>
      <c r="G2965" s="22">
        <v>0.0</v>
      </c>
      <c r="H2965" s="22">
        <v>0.0</v>
      </c>
      <c r="I2965" s="22">
        <v>0.0</v>
      </c>
      <c r="J2965" s="22">
        <v>0.0</v>
      </c>
      <c r="K2965" s="22">
        <v>0.0</v>
      </c>
      <c r="L2965" s="22">
        <v>365.115</v>
      </c>
      <c r="M2965" s="22">
        <v>465.063</v>
      </c>
      <c r="N2965" s="22">
        <v>231.762</v>
      </c>
      <c r="O2965" s="24">
        <v>15.0</v>
      </c>
      <c r="P2965" s="18">
        <f t="shared" si="1"/>
        <v>365.115</v>
      </c>
    </row>
    <row r="2966" ht="15.75" customHeight="1">
      <c r="A2966" s="13" t="s">
        <v>235</v>
      </c>
      <c r="B2966" s="13" t="s">
        <v>61</v>
      </c>
      <c r="C2966" s="14" t="s">
        <v>87</v>
      </c>
      <c r="D2966" s="14" t="str">
        <f>VLOOKUP(C2966,'State Key'!$A$2:$B$210,2,False)</f>
        <v>Punjab</v>
      </c>
      <c r="E2966" s="15">
        <v>1400.0</v>
      </c>
      <c r="F2966" s="16">
        <v>382.359</v>
      </c>
      <c r="G2966" s="16">
        <v>0.0</v>
      </c>
      <c r="H2966" s="16">
        <v>0.0</v>
      </c>
      <c r="I2966" s="16">
        <v>0.0</v>
      </c>
      <c r="J2966" s="16">
        <v>0.0</v>
      </c>
      <c r="K2966" s="16">
        <v>0.0</v>
      </c>
      <c r="L2966" s="16">
        <v>382.359</v>
      </c>
      <c r="M2966" s="16">
        <v>526.585</v>
      </c>
      <c r="N2966" s="16">
        <v>258.7</v>
      </c>
      <c r="O2966" s="24">
        <v>14.7</v>
      </c>
      <c r="P2966" s="18">
        <f t="shared" si="1"/>
        <v>382.359</v>
      </c>
    </row>
    <row r="2967" ht="15.75" customHeight="1">
      <c r="A2967" s="19" t="s">
        <v>235</v>
      </c>
      <c r="B2967" s="19" t="s">
        <v>61</v>
      </c>
      <c r="C2967" s="20" t="s">
        <v>88</v>
      </c>
      <c r="D2967" s="14" t="str">
        <f>VLOOKUP(C2967,'State Key'!$A$2:$B$210,2,False)</f>
        <v>Uttar Pradesh</v>
      </c>
      <c r="E2967" s="21">
        <v>3000.0</v>
      </c>
      <c r="F2967" s="22">
        <v>1009.92</v>
      </c>
      <c r="G2967" s="22">
        <v>0.0</v>
      </c>
      <c r="H2967" s="22">
        <v>0.0</v>
      </c>
      <c r="I2967" s="22">
        <v>0.0</v>
      </c>
      <c r="J2967" s="22">
        <v>0.0</v>
      </c>
      <c r="K2967" s="22">
        <v>0.0</v>
      </c>
      <c r="L2967" s="22">
        <v>1009.92</v>
      </c>
      <c r="M2967" s="22">
        <v>1241.881</v>
      </c>
      <c r="N2967" s="22">
        <v>609.95</v>
      </c>
      <c r="O2967" s="24">
        <v>14.7</v>
      </c>
      <c r="P2967" s="18">
        <f t="shared" si="1"/>
        <v>1009.92</v>
      </c>
    </row>
    <row r="2968" ht="15.75" customHeight="1">
      <c r="A2968" s="13" t="s">
        <v>235</v>
      </c>
      <c r="B2968" s="13" t="s">
        <v>61</v>
      </c>
      <c r="C2968" s="14" t="s">
        <v>89</v>
      </c>
      <c r="D2968" s="14" t="str">
        <f>VLOOKUP(C2968,'State Key'!$A$2:$B$210,2,False)</f>
        <v>Punjab</v>
      </c>
      <c r="E2968" s="15">
        <v>840.0</v>
      </c>
      <c r="F2968" s="16">
        <v>56.207</v>
      </c>
      <c r="G2968" s="16">
        <v>0.0</v>
      </c>
      <c r="H2968" s="16">
        <v>299.85</v>
      </c>
      <c r="I2968" s="16">
        <v>0.0</v>
      </c>
      <c r="J2968" s="16">
        <v>0.0</v>
      </c>
      <c r="K2968" s="16">
        <v>0.0</v>
      </c>
      <c r="L2968" s="16">
        <v>356.057</v>
      </c>
      <c r="M2968" s="16">
        <v>277.48</v>
      </c>
      <c r="N2968" s="16">
        <v>261.85</v>
      </c>
      <c r="O2968" s="24">
        <v>28.3</v>
      </c>
      <c r="P2968" s="18">
        <f t="shared" si="1"/>
        <v>356.057</v>
      </c>
    </row>
    <row r="2969" ht="15.75" customHeight="1">
      <c r="A2969" s="19" t="s">
        <v>235</v>
      </c>
      <c r="B2969" s="19" t="s">
        <v>61</v>
      </c>
      <c r="C2969" s="20" t="s">
        <v>90</v>
      </c>
      <c r="D2969" s="14" t="str">
        <f>VLOOKUP(C2969,'State Key'!$A$2:$B$210,2,False)</f>
        <v>Uttar Pradesh</v>
      </c>
      <c r="E2969" s="21">
        <v>1200.0</v>
      </c>
      <c r="F2969" s="22">
        <v>358.823</v>
      </c>
      <c r="G2969" s="22">
        <v>0.0</v>
      </c>
      <c r="H2969" s="22">
        <v>0.0</v>
      </c>
      <c r="I2969" s="22">
        <v>0.0</v>
      </c>
      <c r="J2969" s="22">
        <v>0.0</v>
      </c>
      <c r="K2969" s="22">
        <v>0.0</v>
      </c>
      <c r="L2969" s="22">
        <v>358.823</v>
      </c>
      <c r="M2969" s="22">
        <v>408.172</v>
      </c>
      <c r="N2969" s="22">
        <v>286.65</v>
      </c>
      <c r="O2969" s="24">
        <v>21.1</v>
      </c>
      <c r="P2969" s="18">
        <f t="shared" si="1"/>
        <v>358.823</v>
      </c>
    </row>
    <row r="2970" ht="15.75" customHeight="1">
      <c r="A2970" s="13" t="s">
        <v>235</v>
      </c>
      <c r="B2970" s="13" t="s">
        <v>61</v>
      </c>
      <c r="C2970" s="14" t="s">
        <v>219</v>
      </c>
      <c r="D2970" s="14" t="str">
        <f>VLOOKUP(C2970,'State Key'!$A$2:$B$210,2,False)</f>
        <v>Rajasthan</v>
      </c>
      <c r="E2970" s="15">
        <v>300.0</v>
      </c>
      <c r="F2970" s="16">
        <v>0.0</v>
      </c>
      <c r="G2970" s="16">
        <v>0.0</v>
      </c>
      <c r="H2970" s="16">
        <v>0.0</v>
      </c>
      <c r="I2970" s="16">
        <v>0.0</v>
      </c>
      <c r="J2970" s="16">
        <v>46.31</v>
      </c>
      <c r="K2970" s="16">
        <v>0.0</v>
      </c>
      <c r="L2970" s="16">
        <v>46.31</v>
      </c>
      <c r="M2970" s="16">
        <v>46.31</v>
      </c>
      <c r="N2970" s="16">
        <v>0.0</v>
      </c>
      <c r="O2970" s="17">
        <v>0.0</v>
      </c>
      <c r="P2970" s="18">
        <f t="shared" si="1"/>
        <v>46.31</v>
      </c>
    </row>
    <row r="2971" ht="15.75" customHeight="1">
      <c r="A2971" s="19" t="s">
        <v>235</v>
      </c>
      <c r="B2971" s="19" t="s">
        <v>61</v>
      </c>
      <c r="C2971" s="20" t="s">
        <v>91</v>
      </c>
      <c r="D2971" s="14" t="str">
        <f>VLOOKUP(C2971,'State Key'!$A$2:$B$210,2,False)</f>
        <v>Uttar Pradesh</v>
      </c>
      <c r="E2971" s="21">
        <v>2000.0</v>
      </c>
      <c r="F2971" s="22">
        <v>700.87</v>
      </c>
      <c r="G2971" s="22">
        <v>0.0</v>
      </c>
      <c r="H2971" s="22">
        <v>3.39</v>
      </c>
      <c r="I2971" s="22">
        <v>0.0</v>
      </c>
      <c r="J2971" s="22">
        <v>0.0</v>
      </c>
      <c r="K2971" s="22">
        <v>0.0</v>
      </c>
      <c r="L2971" s="22">
        <v>704.26</v>
      </c>
      <c r="M2971" s="22">
        <v>780.508</v>
      </c>
      <c r="N2971" s="22">
        <v>221.56</v>
      </c>
      <c r="O2971" s="23">
        <v>8.5</v>
      </c>
      <c r="P2971" s="18">
        <f t="shared" si="1"/>
        <v>704.26</v>
      </c>
    </row>
    <row r="2972" ht="15.75" customHeight="1">
      <c r="A2972" s="13" t="s">
        <v>235</v>
      </c>
      <c r="B2972" s="13" t="s">
        <v>61</v>
      </c>
      <c r="C2972" s="14" t="s">
        <v>92</v>
      </c>
      <c r="D2972" s="14" t="str">
        <f>VLOOKUP(C2972,'State Key'!$A$2:$B$210,2,False)</f>
        <v>Rajasthan</v>
      </c>
      <c r="E2972" s="15">
        <v>1320.0</v>
      </c>
      <c r="F2972" s="16">
        <v>197.16493</v>
      </c>
      <c r="G2972" s="16">
        <v>0.0</v>
      </c>
      <c r="H2972" s="16">
        <v>31.88665</v>
      </c>
      <c r="I2972" s="16">
        <v>0.0</v>
      </c>
      <c r="J2972" s="16">
        <v>0.0</v>
      </c>
      <c r="K2972" s="16">
        <v>0.0</v>
      </c>
      <c r="L2972" s="16">
        <v>229.05158</v>
      </c>
      <c r="M2972" s="16">
        <v>219.767</v>
      </c>
      <c r="N2972" s="16">
        <v>157.59</v>
      </c>
      <c r="O2972" s="24">
        <v>21.5</v>
      </c>
      <c r="P2972" s="18">
        <f t="shared" si="1"/>
        <v>229.05158</v>
      </c>
    </row>
    <row r="2973" ht="15.75" customHeight="1">
      <c r="A2973" s="19" t="s">
        <v>235</v>
      </c>
      <c r="B2973" s="19" t="s">
        <v>61</v>
      </c>
      <c r="C2973" s="20" t="s">
        <v>93</v>
      </c>
      <c r="D2973" s="14" t="str">
        <f>VLOOKUP(C2973,'State Key'!$A$2:$B$210,2,False)</f>
        <v>Rajasthan</v>
      </c>
      <c r="E2973" s="21">
        <v>1500.0</v>
      </c>
      <c r="F2973" s="22">
        <v>422.832</v>
      </c>
      <c r="G2973" s="22">
        <v>0.0</v>
      </c>
      <c r="H2973" s="22">
        <v>0.0</v>
      </c>
      <c r="I2973" s="22">
        <v>0.0</v>
      </c>
      <c r="J2973" s="22">
        <v>0.0</v>
      </c>
      <c r="K2973" s="22">
        <v>0.0</v>
      </c>
      <c r="L2973" s="22">
        <v>422.832</v>
      </c>
      <c r="M2973" s="22">
        <v>487.74</v>
      </c>
      <c r="N2973" s="22">
        <v>48.84</v>
      </c>
      <c r="O2973" s="17">
        <v>3.0</v>
      </c>
      <c r="P2973" s="18">
        <f t="shared" si="1"/>
        <v>422.832</v>
      </c>
    </row>
    <row r="2974" ht="15.75" customHeight="1">
      <c r="A2974" s="13" t="s">
        <v>235</v>
      </c>
      <c r="B2974" s="13" t="s">
        <v>61</v>
      </c>
      <c r="C2974" s="14" t="s">
        <v>94</v>
      </c>
      <c r="D2974" s="14" t="str">
        <f>VLOOKUP(C2974,'State Key'!$A$2:$B$210,2,False)</f>
        <v>Punjab</v>
      </c>
      <c r="E2974" s="15">
        <v>1980.0</v>
      </c>
      <c r="F2974" s="16">
        <v>628.916</v>
      </c>
      <c r="G2974" s="16">
        <v>0.0</v>
      </c>
      <c r="H2974" s="16">
        <v>0.0</v>
      </c>
      <c r="I2974" s="16">
        <v>0.0</v>
      </c>
      <c r="J2974" s="16">
        <v>0.0</v>
      </c>
      <c r="K2974" s="16">
        <v>0.0</v>
      </c>
      <c r="L2974" s="16">
        <v>628.916</v>
      </c>
      <c r="M2974" s="16">
        <v>593.356</v>
      </c>
      <c r="N2974" s="16">
        <v>141.31</v>
      </c>
      <c r="O2974" s="23">
        <v>7.1</v>
      </c>
      <c r="P2974" s="18">
        <f t="shared" si="1"/>
        <v>628.916</v>
      </c>
    </row>
    <row r="2975" ht="15.75" customHeight="1">
      <c r="A2975" s="19" t="s">
        <v>235</v>
      </c>
      <c r="B2975" s="19" t="s">
        <v>61</v>
      </c>
      <c r="C2975" s="20" t="s">
        <v>95</v>
      </c>
      <c r="D2975" s="14" t="str">
        <f>VLOOKUP(C2975,'State Key'!$A$2:$B$210,2,False)</f>
        <v>Uttar Pradesh</v>
      </c>
      <c r="E2975" s="21">
        <v>1760.0</v>
      </c>
      <c r="F2975" s="22">
        <v>395.81</v>
      </c>
      <c r="G2975" s="22">
        <v>0.0</v>
      </c>
      <c r="H2975" s="22">
        <v>123.02</v>
      </c>
      <c r="I2975" s="22">
        <v>0.0</v>
      </c>
      <c r="J2975" s="22">
        <v>56.18</v>
      </c>
      <c r="K2975" s="22">
        <v>0.0</v>
      </c>
      <c r="L2975" s="22">
        <v>575.01</v>
      </c>
      <c r="M2975" s="22">
        <v>645.314</v>
      </c>
      <c r="N2975" s="22">
        <v>496.692</v>
      </c>
      <c r="O2975" s="24">
        <v>23.1</v>
      </c>
      <c r="P2975" s="18">
        <f t="shared" si="1"/>
        <v>575.01</v>
      </c>
    </row>
    <row r="2976" ht="15.75" customHeight="1">
      <c r="A2976" s="13" t="s">
        <v>235</v>
      </c>
      <c r="B2976" s="13" t="s">
        <v>61</v>
      </c>
      <c r="C2976" s="14" t="s">
        <v>96</v>
      </c>
      <c r="D2976" s="14" t="str">
        <f>VLOOKUP(C2976,'State Key'!$A$2:$B$210,2,False)</f>
        <v>Uttar Pradesh</v>
      </c>
      <c r="E2976" s="15">
        <v>1550.0</v>
      </c>
      <c r="F2976" s="16">
        <v>395.95</v>
      </c>
      <c r="G2976" s="16">
        <v>0.0</v>
      </c>
      <c r="H2976" s="16">
        <v>61.18</v>
      </c>
      <c r="I2976" s="16">
        <v>0.0</v>
      </c>
      <c r="J2976" s="16">
        <v>58.78</v>
      </c>
      <c r="K2976" s="16">
        <v>0.0</v>
      </c>
      <c r="L2976" s="16">
        <v>515.91</v>
      </c>
      <c r="M2976" s="16">
        <v>577.276</v>
      </c>
      <c r="N2976" s="16">
        <v>257.108</v>
      </c>
      <c r="O2976" s="23">
        <v>13.4</v>
      </c>
      <c r="P2976" s="18">
        <f t="shared" si="1"/>
        <v>515.91</v>
      </c>
    </row>
    <row r="2977" ht="15.75" customHeight="1">
      <c r="A2977" s="19" t="s">
        <v>235</v>
      </c>
      <c r="B2977" s="19" t="s">
        <v>61</v>
      </c>
      <c r="C2977" s="20" t="s">
        <v>97</v>
      </c>
      <c r="D2977" s="14" t="str">
        <f>VLOOKUP(C2977,'State Key'!$A$2:$B$210,2,False)</f>
        <v>Uttar Pradesh</v>
      </c>
      <c r="E2977" s="21">
        <v>90.0</v>
      </c>
      <c r="F2977" s="22">
        <v>19.808</v>
      </c>
      <c r="G2977" s="22">
        <v>0.0</v>
      </c>
      <c r="H2977" s="22">
        <v>0.0</v>
      </c>
      <c r="I2977" s="22">
        <v>0.0</v>
      </c>
      <c r="J2977" s="22">
        <v>0.0</v>
      </c>
      <c r="K2977" s="22">
        <v>0.0</v>
      </c>
      <c r="L2977" s="22">
        <v>19.808</v>
      </c>
      <c r="M2977" s="22">
        <v>28.928</v>
      </c>
      <c r="N2977" s="22">
        <v>34.2</v>
      </c>
      <c r="O2977" s="24">
        <v>35.5</v>
      </c>
      <c r="P2977" s="18">
        <f t="shared" si="1"/>
        <v>19.808</v>
      </c>
    </row>
    <row r="2978" ht="15.75" customHeight="1">
      <c r="A2978" s="13" t="s">
        <v>235</v>
      </c>
      <c r="B2978" s="13" t="s">
        <v>61</v>
      </c>
      <c r="C2978" s="14" t="s">
        <v>98</v>
      </c>
      <c r="D2978" s="14" t="str">
        <f>VLOOKUP(C2978,'State Key'!$A$2:$B$210,2,False)</f>
        <v>Haryana</v>
      </c>
      <c r="E2978" s="15">
        <v>600.0</v>
      </c>
      <c r="F2978" s="16">
        <v>257.558</v>
      </c>
      <c r="G2978" s="16">
        <v>0.0</v>
      </c>
      <c r="H2978" s="16">
        <v>0.0</v>
      </c>
      <c r="I2978" s="16">
        <v>0.0</v>
      </c>
      <c r="J2978" s="16">
        <v>0.0</v>
      </c>
      <c r="K2978" s="16">
        <v>0.0</v>
      </c>
      <c r="L2978" s="16">
        <v>257.558</v>
      </c>
      <c r="M2978" s="16">
        <v>228.854</v>
      </c>
      <c r="N2978" s="16">
        <v>245.706</v>
      </c>
      <c r="O2978" s="24">
        <v>32.2</v>
      </c>
      <c r="P2978" s="18">
        <f t="shared" si="1"/>
        <v>257.558</v>
      </c>
    </row>
    <row r="2979" ht="15.75" customHeight="1">
      <c r="A2979" s="19" t="s">
        <v>235</v>
      </c>
      <c r="B2979" s="19" t="s">
        <v>99</v>
      </c>
      <c r="C2979" s="20" t="s">
        <v>230</v>
      </c>
      <c r="D2979" s="14" t="str">
        <f>VLOOKUP(C2979,'State Key'!$A$2:$B$210,2,False)</f>
        <v>Karnataka</v>
      </c>
      <c r="E2979" s="21">
        <v>1200.0</v>
      </c>
      <c r="F2979" s="22">
        <v>0.0</v>
      </c>
      <c r="G2979" s="22">
        <v>0.0</v>
      </c>
      <c r="H2979" s="22">
        <v>0.0</v>
      </c>
      <c r="I2979" s="22">
        <v>0.0</v>
      </c>
      <c r="J2979" s="22">
        <v>92.974</v>
      </c>
      <c r="K2979" s="22">
        <v>0.0</v>
      </c>
      <c r="L2979" s="22">
        <v>92.974</v>
      </c>
      <c r="M2979" s="22">
        <v>122.786</v>
      </c>
      <c r="N2979" s="22">
        <v>104.67</v>
      </c>
      <c r="O2979" s="24">
        <v>25.6</v>
      </c>
      <c r="P2979" s="18">
        <f t="shared" si="1"/>
        <v>92.974</v>
      </c>
    </row>
    <row r="2980" ht="15.75" customHeight="1">
      <c r="A2980" s="13" t="s">
        <v>235</v>
      </c>
      <c r="B2980" s="13" t="s">
        <v>99</v>
      </c>
      <c r="C2980" s="14" t="s">
        <v>100</v>
      </c>
      <c r="D2980" s="14" t="str">
        <f>VLOOKUP(C2980,'State Key'!$A$2:$B$210,2,False)</f>
        <v>Karnataka</v>
      </c>
      <c r="E2980" s="15">
        <v>1700.0</v>
      </c>
      <c r="F2980" s="16">
        <v>65.95265</v>
      </c>
      <c r="G2980" s="16">
        <v>109.54734</v>
      </c>
      <c r="H2980" s="16">
        <v>276.20495</v>
      </c>
      <c r="I2980" s="16">
        <v>0.0</v>
      </c>
      <c r="J2980" s="16">
        <v>25.27469</v>
      </c>
      <c r="K2980" s="16">
        <v>0.0</v>
      </c>
      <c r="L2980" s="16">
        <v>476.97963</v>
      </c>
      <c r="M2980" s="16">
        <v>494.062</v>
      </c>
      <c r="N2980" s="16">
        <v>464.5628</v>
      </c>
      <c r="O2980" s="24">
        <v>28.2</v>
      </c>
      <c r="P2980" s="18">
        <f t="shared" si="1"/>
        <v>476.97963</v>
      </c>
    </row>
    <row r="2981" ht="15.75" customHeight="1">
      <c r="A2981" s="19" t="s">
        <v>235</v>
      </c>
      <c r="B2981" s="19" t="s">
        <v>99</v>
      </c>
      <c r="C2981" s="20" t="s">
        <v>101</v>
      </c>
      <c r="D2981" s="14" t="str">
        <f>VLOOKUP(C2981,'State Key'!$A$2:$B$210,2,False)</f>
        <v>Telangana</v>
      </c>
      <c r="E2981" s="21">
        <v>1080.0</v>
      </c>
      <c r="F2981" s="22">
        <v>0.0</v>
      </c>
      <c r="G2981" s="22">
        <v>331.28</v>
      </c>
      <c r="H2981" s="22">
        <v>0.0</v>
      </c>
      <c r="I2981" s="22">
        <v>0.0</v>
      </c>
      <c r="J2981" s="22">
        <v>0.0</v>
      </c>
      <c r="K2981" s="22">
        <v>0.0</v>
      </c>
      <c r="L2981" s="22">
        <v>331.28</v>
      </c>
      <c r="M2981" s="22">
        <v>327.623</v>
      </c>
      <c r="N2981" s="22">
        <v>139.236</v>
      </c>
      <c r="O2981" s="23">
        <v>12.7</v>
      </c>
      <c r="P2981" s="18">
        <f t="shared" si="1"/>
        <v>331.28</v>
      </c>
    </row>
    <row r="2982" ht="15.75" customHeight="1">
      <c r="A2982" s="13" t="s">
        <v>235</v>
      </c>
      <c r="B2982" s="13" t="s">
        <v>99</v>
      </c>
      <c r="C2982" s="14" t="s">
        <v>102</v>
      </c>
      <c r="D2982" s="14" t="str">
        <f>VLOOKUP(C2982,'State Key'!$A$2:$B$210,2,False)</f>
        <v>Andhra Pradesh</v>
      </c>
      <c r="E2982" s="15">
        <v>2400.0</v>
      </c>
      <c r="F2982" s="16">
        <v>509.42004</v>
      </c>
      <c r="G2982" s="16">
        <v>0.0</v>
      </c>
      <c r="H2982" s="16">
        <v>0.0</v>
      </c>
      <c r="I2982" s="16">
        <v>0.0</v>
      </c>
      <c r="J2982" s="16">
        <v>0.0</v>
      </c>
      <c r="K2982" s="16">
        <v>0.0</v>
      </c>
      <c r="L2982" s="16">
        <v>509.42004</v>
      </c>
      <c r="M2982" s="16">
        <v>578.2559</v>
      </c>
      <c r="N2982" s="16">
        <v>70.89</v>
      </c>
      <c r="O2982" s="17">
        <v>3.7</v>
      </c>
      <c r="P2982" s="18">
        <f t="shared" si="1"/>
        <v>509.42004</v>
      </c>
    </row>
    <row r="2983" ht="15.75" customHeight="1">
      <c r="A2983" s="19" t="s">
        <v>235</v>
      </c>
      <c r="B2983" s="19" t="s">
        <v>99</v>
      </c>
      <c r="C2983" s="20" t="s">
        <v>103</v>
      </c>
      <c r="D2983" s="14" t="str">
        <f>VLOOKUP(C2983,'State Key'!$A$2:$B$210,2,False)</f>
        <v>Andhra Pradesh</v>
      </c>
      <c r="E2983" s="21">
        <v>2560.0</v>
      </c>
      <c r="F2983" s="22">
        <v>791.253</v>
      </c>
      <c r="G2983" s="22">
        <v>35.601</v>
      </c>
      <c r="H2983" s="22">
        <v>0.0</v>
      </c>
      <c r="I2983" s="22">
        <v>0.0</v>
      </c>
      <c r="J2983" s="22">
        <v>0.0</v>
      </c>
      <c r="K2983" s="22">
        <v>0.0</v>
      </c>
      <c r="L2983" s="22">
        <v>826.854</v>
      </c>
      <c r="M2983" s="22">
        <v>691.195</v>
      </c>
      <c r="N2983" s="22">
        <v>193.68</v>
      </c>
      <c r="O2983" s="23">
        <v>8.4</v>
      </c>
      <c r="P2983" s="18">
        <f t="shared" si="1"/>
        <v>826.854</v>
      </c>
    </row>
    <row r="2984" ht="15.75" customHeight="1">
      <c r="A2984" s="13" t="s">
        <v>235</v>
      </c>
      <c r="B2984" s="13" t="s">
        <v>99</v>
      </c>
      <c r="C2984" s="14" t="s">
        <v>104</v>
      </c>
      <c r="D2984" s="14" t="str">
        <f>VLOOKUP(C2984,'State Key'!$A$2:$B$210,2,False)</f>
        <v>Tamil Nadu</v>
      </c>
      <c r="E2984" s="15">
        <v>1200.0</v>
      </c>
      <c r="F2984" s="16">
        <v>0.0</v>
      </c>
      <c r="G2984" s="16">
        <v>0.0</v>
      </c>
      <c r="H2984" s="16">
        <v>0.0</v>
      </c>
      <c r="I2984" s="16">
        <v>0.0</v>
      </c>
      <c r="J2984" s="16">
        <v>463.362</v>
      </c>
      <c r="K2984" s="16">
        <v>0.0</v>
      </c>
      <c r="L2984" s="16">
        <v>463.362</v>
      </c>
      <c r="M2984" s="16">
        <v>375.46</v>
      </c>
      <c r="N2984" s="16">
        <v>505.448</v>
      </c>
      <c r="O2984" s="24">
        <v>40.4</v>
      </c>
      <c r="P2984" s="18">
        <f t="shared" si="1"/>
        <v>463.362</v>
      </c>
    </row>
    <row r="2985" ht="15.75" customHeight="1">
      <c r="A2985" s="19" t="s">
        <v>235</v>
      </c>
      <c r="B2985" s="19" t="s">
        <v>99</v>
      </c>
      <c r="C2985" s="20" t="s">
        <v>105</v>
      </c>
      <c r="D2985" s="14" t="str">
        <f>VLOOKUP(C2985,'State Key'!$A$2:$B$210,2,False)</f>
        <v>Telangana</v>
      </c>
      <c r="E2985" s="21">
        <v>1100.0</v>
      </c>
      <c r="F2985" s="22">
        <v>0.0</v>
      </c>
      <c r="G2985" s="22">
        <v>93.883</v>
      </c>
      <c r="H2985" s="22">
        <v>201.204</v>
      </c>
      <c r="I2985" s="22">
        <v>0.0</v>
      </c>
      <c r="J2985" s="22">
        <v>0.0</v>
      </c>
      <c r="K2985" s="22">
        <v>0.0</v>
      </c>
      <c r="L2985" s="22">
        <v>295.087</v>
      </c>
      <c r="M2985" s="22">
        <v>277.876</v>
      </c>
      <c r="N2985" s="22">
        <v>296.256</v>
      </c>
      <c r="O2985" s="24">
        <v>32.0</v>
      </c>
      <c r="P2985" s="18">
        <f t="shared" si="1"/>
        <v>295.087</v>
      </c>
    </row>
    <row r="2986" ht="15.75" customHeight="1">
      <c r="A2986" s="13" t="s">
        <v>235</v>
      </c>
      <c r="B2986" s="13" t="s">
        <v>99</v>
      </c>
      <c r="C2986" s="14" t="s">
        <v>106</v>
      </c>
      <c r="D2986" s="14" t="str">
        <f>VLOOKUP(C2986,'State Key'!$A$2:$B$210,2,False)</f>
        <v>Telangana</v>
      </c>
      <c r="E2986" s="15">
        <v>1000.0</v>
      </c>
      <c r="F2986" s="16">
        <v>0.0</v>
      </c>
      <c r="G2986" s="16">
        <v>286.932</v>
      </c>
      <c r="H2986" s="16">
        <v>0.0</v>
      </c>
      <c r="I2986" s="16">
        <v>0.0</v>
      </c>
      <c r="J2986" s="16">
        <v>0.0</v>
      </c>
      <c r="K2986" s="16">
        <v>0.0</v>
      </c>
      <c r="L2986" s="16">
        <v>286.932</v>
      </c>
      <c r="M2986" s="16">
        <v>318.32</v>
      </c>
      <c r="N2986" s="16">
        <v>222.043</v>
      </c>
      <c r="O2986" s="24">
        <v>20.9</v>
      </c>
      <c r="P2986" s="18">
        <f t="shared" si="1"/>
        <v>286.932</v>
      </c>
    </row>
    <row r="2987" ht="15.75" customHeight="1">
      <c r="A2987" s="19" t="s">
        <v>235</v>
      </c>
      <c r="B2987" s="19" t="s">
        <v>99</v>
      </c>
      <c r="C2987" s="20" t="s">
        <v>107</v>
      </c>
      <c r="D2987" s="14" t="str">
        <f>VLOOKUP(C2987,'State Key'!$A$2:$B$210,2,False)</f>
        <v>Telangana</v>
      </c>
      <c r="E2987" s="21">
        <v>800.0</v>
      </c>
      <c r="F2987" s="22">
        <v>0.0</v>
      </c>
      <c r="G2987" s="22">
        <v>314.184</v>
      </c>
      <c r="H2987" s="22">
        <v>0.0</v>
      </c>
      <c r="I2987" s="22">
        <v>0.0</v>
      </c>
      <c r="J2987" s="22">
        <v>0.0</v>
      </c>
      <c r="K2987" s="22">
        <v>0.0</v>
      </c>
      <c r="L2987" s="22">
        <v>314.184</v>
      </c>
      <c r="M2987" s="22">
        <v>282.179</v>
      </c>
      <c r="N2987" s="22">
        <v>85.022</v>
      </c>
      <c r="O2987" s="23">
        <v>9.0</v>
      </c>
      <c r="P2987" s="18">
        <f t="shared" si="1"/>
        <v>314.184</v>
      </c>
    </row>
    <row r="2988" ht="15.75" customHeight="1">
      <c r="A2988" s="13" t="s">
        <v>235</v>
      </c>
      <c r="B2988" s="13" t="s">
        <v>99</v>
      </c>
      <c r="C2988" s="14" t="s">
        <v>108</v>
      </c>
      <c r="D2988" s="14" t="str">
        <f>VLOOKUP(C2988,'State Key'!$A$2:$B$210,2,False)</f>
        <v>Karnataka</v>
      </c>
      <c r="E2988" s="15">
        <v>2400.0</v>
      </c>
      <c r="F2988" s="16">
        <v>295.24</v>
      </c>
      <c r="G2988" s="16">
        <v>92.42</v>
      </c>
      <c r="H2988" s="16">
        <v>217.19</v>
      </c>
      <c r="I2988" s="16">
        <v>0.0</v>
      </c>
      <c r="J2988" s="16">
        <v>0.129</v>
      </c>
      <c r="K2988" s="16">
        <v>0.0</v>
      </c>
      <c r="L2988" s="16">
        <v>604.979</v>
      </c>
      <c r="M2988" s="16">
        <v>614.437</v>
      </c>
      <c r="N2988" s="16">
        <v>601.963</v>
      </c>
      <c r="O2988" s="24">
        <v>29.4</v>
      </c>
      <c r="P2988" s="18">
        <f t="shared" si="1"/>
        <v>604.979</v>
      </c>
    </row>
    <row r="2989" ht="15.75" customHeight="1">
      <c r="A2989" s="19" t="s">
        <v>235</v>
      </c>
      <c r="B2989" s="19" t="s">
        <v>99</v>
      </c>
      <c r="C2989" s="20" t="s">
        <v>231</v>
      </c>
      <c r="D2989" s="14" t="str">
        <f>VLOOKUP(C2989,'State Key'!$A$2:$B$210,2,False)</f>
        <v>Karnataka</v>
      </c>
      <c r="E2989" s="21">
        <v>1200.0</v>
      </c>
      <c r="F2989" s="22">
        <v>0.0</v>
      </c>
      <c r="G2989" s="22">
        <v>0.0</v>
      </c>
      <c r="H2989" s="22">
        <v>0.0</v>
      </c>
      <c r="I2989" s="22">
        <v>0.0</v>
      </c>
      <c r="J2989" s="22">
        <v>92.974</v>
      </c>
      <c r="K2989" s="22">
        <v>0.0</v>
      </c>
      <c r="L2989" s="22">
        <v>92.974</v>
      </c>
      <c r="M2989" s="22">
        <v>122.786</v>
      </c>
      <c r="N2989" s="22">
        <v>104.67</v>
      </c>
      <c r="O2989" s="24">
        <v>25.6</v>
      </c>
      <c r="P2989" s="18">
        <f t="shared" si="1"/>
        <v>92.974</v>
      </c>
    </row>
    <row r="2990" ht="15.75" customHeight="1">
      <c r="A2990" s="13" t="s">
        <v>235</v>
      </c>
      <c r="B2990" s="13" t="s">
        <v>99</v>
      </c>
      <c r="C2990" s="14" t="s">
        <v>109</v>
      </c>
      <c r="D2990" s="14" t="str">
        <f>VLOOKUP(C2990,'State Key'!$A$2:$B$210,2,False)</f>
        <v>Tamil Nadu</v>
      </c>
      <c r="E2990" s="15">
        <v>840.0</v>
      </c>
      <c r="F2990" s="16">
        <v>96.7214</v>
      </c>
      <c r="G2990" s="16">
        <v>161.1597</v>
      </c>
      <c r="H2990" s="16">
        <v>0.0</v>
      </c>
      <c r="I2990" s="16">
        <v>0.0</v>
      </c>
      <c r="J2990" s="16">
        <v>0.0</v>
      </c>
      <c r="K2990" s="16">
        <v>0.0</v>
      </c>
      <c r="L2990" s="16">
        <v>257.8811</v>
      </c>
      <c r="M2990" s="16">
        <v>391.3979</v>
      </c>
      <c r="N2990" s="16">
        <v>193.66</v>
      </c>
      <c r="O2990" s="24">
        <v>14.8</v>
      </c>
      <c r="P2990" s="18">
        <f t="shared" si="1"/>
        <v>257.8811</v>
      </c>
    </row>
    <row r="2991" ht="15.75" customHeight="1">
      <c r="A2991" s="19" t="s">
        <v>235</v>
      </c>
      <c r="B2991" s="19" t="s">
        <v>99</v>
      </c>
      <c r="C2991" s="20" t="s">
        <v>110</v>
      </c>
      <c r="D2991" s="14" t="str">
        <f>VLOOKUP(C2991,'State Key'!$A$2:$B$210,2,False)</f>
        <v>Tamil Nadu</v>
      </c>
      <c r="E2991" s="21">
        <v>600.0</v>
      </c>
      <c r="F2991" s="22">
        <v>12.7</v>
      </c>
      <c r="G2991" s="22">
        <v>41.02</v>
      </c>
      <c r="H2991" s="22">
        <v>0.0</v>
      </c>
      <c r="I2991" s="22">
        <v>0.0</v>
      </c>
      <c r="J2991" s="22">
        <v>0.0</v>
      </c>
      <c r="K2991" s="22">
        <v>0.0</v>
      </c>
      <c r="L2991" s="22">
        <v>53.72</v>
      </c>
      <c r="M2991" s="22">
        <v>37.79</v>
      </c>
      <c r="N2991" s="22">
        <v>160.98</v>
      </c>
      <c r="O2991" s="24">
        <v>127.8</v>
      </c>
      <c r="P2991" s="18">
        <f t="shared" si="1"/>
        <v>53.72</v>
      </c>
    </row>
    <row r="2992" ht="15.75" customHeight="1">
      <c r="A2992" s="13" t="s">
        <v>235</v>
      </c>
      <c r="B2992" s="13" t="s">
        <v>99</v>
      </c>
      <c r="C2992" s="14" t="s">
        <v>111</v>
      </c>
      <c r="D2992" s="14" t="str">
        <f>VLOOKUP(C2992,'State Key'!$A$2:$B$210,2,False)</f>
        <v>Tamil Nadu</v>
      </c>
      <c r="E2992" s="15">
        <v>1200.0</v>
      </c>
      <c r="F2992" s="16">
        <v>0.0</v>
      </c>
      <c r="G2992" s="16">
        <v>0.0</v>
      </c>
      <c r="H2992" s="16">
        <v>0.0</v>
      </c>
      <c r="I2992" s="16">
        <v>0.0</v>
      </c>
      <c r="J2992" s="16">
        <v>308.928</v>
      </c>
      <c r="K2992" s="16">
        <v>0.0</v>
      </c>
      <c r="L2992" s="16">
        <v>308.928</v>
      </c>
      <c r="M2992" s="16">
        <v>330.354</v>
      </c>
      <c r="N2992" s="16">
        <v>190.2092</v>
      </c>
      <c r="O2992" s="24">
        <v>17.3</v>
      </c>
      <c r="P2992" s="18">
        <f t="shared" si="1"/>
        <v>308.928</v>
      </c>
    </row>
    <row r="2993" ht="15.75" customHeight="1">
      <c r="A2993" s="19" t="s">
        <v>235</v>
      </c>
      <c r="B2993" s="19" t="s">
        <v>99</v>
      </c>
      <c r="C2993" s="20" t="s">
        <v>112</v>
      </c>
      <c r="D2993" s="14" t="str">
        <f>VLOOKUP(C2993,'State Key'!$A$2:$B$210,2,False)</f>
        <v>Tamil Nadu</v>
      </c>
      <c r="E2993" s="21">
        <v>1830.0</v>
      </c>
      <c r="F2993" s="22">
        <v>628.735</v>
      </c>
      <c r="G2993" s="22">
        <v>0.0</v>
      </c>
      <c r="H2993" s="22">
        <v>0.0</v>
      </c>
      <c r="I2993" s="22">
        <v>0.0</v>
      </c>
      <c r="J2993" s="22">
        <v>173.302</v>
      </c>
      <c r="K2993" s="22">
        <v>0.0</v>
      </c>
      <c r="L2993" s="22">
        <v>802.037</v>
      </c>
      <c r="M2993" s="22">
        <v>901.535</v>
      </c>
      <c r="N2993" s="22">
        <v>448.999</v>
      </c>
      <c r="O2993" s="24">
        <v>14.9</v>
      </c>
      <c r="P2993" s="18">
        <f t="shared" si="1"/>
        <v>802.037</v>
      </c>
    </row>
    <row r="2994" ht="15.75" customHeight="1">
      <c r="A2994" s="13" t="s">
        <v>235</v>
      </c>
      <c r="B2994" s="13" t="s">
        <v>99</v>
      </c>
      <c r="C2994" s="14" t="s">
        <v>113</v>
      </c>
      <c r="D2994" s="14" t="str">
        <f>VLOOKUP(C2994,'State Key'!$A$2:$B$210,2,False)</f>
        <v>Tamil Nadu</v>
      </c>
      <c r="E2994" s="15">
        <v>1000.0</v>
      </c>
      <c r="F2994" s="16">
        <v>0.0</v>
      </c>
      <c r="G2994" s="16">
        <v>0.0</v>
      </c>
      <c r="H2994" s="16">
        <v>263.471</v>
      </c>
      <c r="I2994" s="16">
        <v>0.0</v>
      </c>
      <c r="J2994" s="16">
        <v>75.35</v>
      </c>
      <c r="K2994" s="16">
        <v>0.0</v>
      </c>
      <c r="L2994" s="16">
        <v>338.821</v>
      </c>
      <c r="M2994" s="16">
        <v>367.3629</v>
      </c>
      <c r="N2994" s="16">
        <v>141.723</v>
      </c>
      <c r="O2994" s="23">
        <v>11.6</v>
      </c>
      <c r="P2994" s="18">
        <f t="shared" si="1"/>
        <v>338.821</v>
      </c>
    </row>
    <row r="2995" ht="15.75" customHeight="1">
      <c r="A2995" s="19" t="s">
        <v>235</v>
      </c>
      <c r="B2995" s="19" t="s">
        <v>99</v>
      </c>
      <c r="C2995" s="20" t="s">
        <v>228</v>
      </c>
      <c r="D2995" s="14" t="str">
        <f>VLOOKUP(C2995,'State Key'!$A$2:$B$210,2,False)</f>
        <v>Tamil Nadu</v>
      </c>
      <c r="E2995" s="21">
        <v>414.0</v>
      </c>
      <c r="F2995" s="22">
        <v>0.0</v>
      </c>
      <c r="G2995" s="22">
        <v>0.0</v>
      </c>
      <c r="H2995" s="22">
        <v>0.0</v>
      </c>
      <c r="I2995" s="22">
        <v>0.0</v>
      </c>
      <c r="J2995" s="22">
        <v>136.123</v>
      </c>
      <c r="K2995" s="22">
        <v>0.0</v>
      </c>
      <c r="L2995" s="22">
        <v>136.123</v>
      </c>
      <c r="M2995" s="22">
        <v>155.1937</v>
      </c>
      <c r="N2995" s="22">
        <v>72.09</v>
      </c>
      <c r="O2995" s="23">
        <v>13.9</v>
      </c>
      <c r="P2995" s="18">
        <f t="shared" si="1"/>
        <v>136.123</v>
      </c>
    </row>
    <row r="2996" ht="15.75" customHeight="1">
      <c r="A2996" s="13" t="s">
        <v>235</v>
      </c>
      <c r="B2996" s="13" t="s">
        <v>99</v>
      </c>
      <c r="C2996" s="14" t="s">
        <v>114</v>
      </c>
      <c r="D2996" s="14" t="str">
        <f>VLOOKUP(C2996,'State Key'!$A$2:$B$210,2,False)</f>
        <v>Andhra Pradesh</v>
      </c>
      <c r="E2996" s="15">
        <v>1320.0</v>
      </c>
      <c r="F2996" s="16">
        <v>284.075</v>
      </c>
      <c r="G2996" s="16">
        <v>0.0</v>
      </c>
      <c r="H2996" s="16">
        <v>0.0</v>
      </c>
      <c r="I2996" s="16">
        <v>0.0</v>
      </c>
      <c r="J2996" s="16">
        <v>275.23</v>
      </c>
      <c r="K2996" s="16">
        <v>0.0</v>
      </c>
      <c r="L2996" s="16">
        <v>559.305</v>
      </c>
      <c r="M2996" s="16">
        <v>353.223</v>
      </c>
      <c r="N2996" s="16">
        <v>376.15</v>
      </c>
      <c r="O2996" s="24">
        <v>31.9</v>
      </c>
      <c r="P2996" s="18">
        <f t="shared" si="1"/>
        <v>559.305</v>
      </c>
    </row>
    <row r="2997" ht="15.75" customHeight="1">
      <c r="A2997" s="19" t="s">
        <v>235</v>
      </c>
      <c r="B2997" s="19" t="s">
        <v>99</v>
      </c>
      <c r="C2997" s="20" t="s">
        <v>115</v>
      </c>
      <c r="D2997" s="14" t="str">
        <f>VLOOKUP(C2997,'State Key'!$A$2:$B$210,2,False)</f>
        <v>Karnataka</v>
      </c>
      <c r="E2997" s="21">
        <v>1720.0</v>
      </c>
      <c r="F2997" s="22">
        <v>310.939</v>
      </c>
      <c r="G2997" s="22">
        <v>124.682</v>
      </c>
      <c r="H2997" s="22">
        <v>0.0</v>
      </c>
      <c r="I2997" s="22">
        <v>0.0</v>
      </c>
      <c r="J2997" s="22">
        <v>10.936</v>
      </c>
      <c r="K2997" s="22">
        <v>0.0</v>
      </c>
      <c r="L2997" s="22">
        <v>446.557</v>
      </c>
      <c r="M2997" s="22">
        <v>539.983</v>
      </c>
      <c r="N2997" s="22">
        <v>711.92</v>
      </c>
      <c r="O2997" s="24">
        <v>39.6</v>
      </c>
      <c r="P2997" s="18">
        <f t="shared" si="1"/>
        <v>446.557</v>
      </c>
    </row>
    <row r="2998" ht="15.75" customHeight="1">
      <c r="A2998" s="13" t="s">
        <v>235</v>
      </c>
      <c r="B2998" s="13" t="s">
        <v>99</v>
      </c>
      <c r="C2998" s="14" t="s">
        <v>116</v>
      </c>
      <c r="D2998" s="14" t="str">
        <f>VLOOKUP(C2998,'State Key'!$A$2:$B$210,2,False)</f>
        <v>Telangana</v>
      </c>
      <c r="E2998" s="15">
        <v>2600.0</v>
      </c>
      <c r="F2998" s="16">
        <v>26.45</v>
      </c>
      <c r="G2998" s="16">
        <v>671.67</v>
      </c>
      <c r="H2998" s="16">
        <v>50.94</v>
      </c>
      <c r="I2998" s="16">
        <v>0.0</v>
      </c>
      <c r="J2998" s="16">
        <v>0.0</v>
      </c>
      <c r="K2998" s="16">
        <v>0.0</v>
      </c>
      <c r="L2998" s="16">
        <v>749.06</v>
      </c>
      <c r="M2998" s="16">
        <v>761.806</v>
      </c>
      <c r="N2998" s="16">
        <v>468.18</v>
      </c>
      <c r="O2998" s="24">
        <v>18.4</v>
      </c>
      <c r="P2998" s="18">
        <f t="shared" si="1"/>
        <v>749.06</v>
      </c>
    </row>
    <row r="2999" ht="15.75" customHeight="1">
      <c r="A2999" s="19" t="s">
        <v>235</v>
      </c>
      <c r="B2999" s="19" t="s">
        <v>99</v>
      </c>
      <c r="C2999" s="20" t="s">
        <v>117</v>
      </c>
      <c r="D2999" s="14" t="str">
        <f>VLOOKUP(C2999,'State Key'!$A$2:$B$210,2,False)</f>
        <v>Telangana</v>
      </c>
      <c r="E2999" s="21">
        <v>62.5</v>
      </c>
      <c r="F2999" s="22">
        <v>0.0</v>
      </c>
      <c r="G2999" s="22">
        <v>0.0</v>
      </c>
      <c r="H2999" s="22">
        <v>0.0</v>
      </c>
      <c r="I2999" s="22">
        <v>0.0</v>
      </c>
      <c r="J2999" s="22">
        <v>0.0</v>
      </c>
      <c r="K2999" s="22">
        <v>0.0</v>
      </c>
      <c r="L2999" s="22">
        <v>0.0</v>
      </c>
      <c r="M2999" s="22">
        <v>0.0</v>
      </c>
      <c r="N2999" s="22">
        <v>3.728</v>
      </c>
      <c r="O2999" s="19" t="s">
        <v>58</v>
      </c>
      <c r="P2999" s="18">
        <f t="shared" si="1"/>
        <v>0</v>
      </c>
    </row>
    <row r="3000" ht="15.75" customHeight="1">
      <c r="A3000" s="13" t="s">
        <v>235</v>
      </c>
      <c r="B3000" s="13" t="s">
        <v>99</v>
      </c>
      <c r="C3000" s="14" t="s">
        <v>118</v>
      </c>
      <c r="D3000" s="14" t="str">
        <f>VLOOKUP(C3000,'State Key'!$A$2:$B$210,2,False)</f>
        <v>Andhra Pradesh</v>
      </c>
      <c r="E3000" s="15">
        <v>1650.0</v>
      </c>
      <c r="F3000" s="16">
        <v>484.438</v>
      </c>
      <c r="G3000" s="16">
        <v>93.093</v>
      </c>
      <c r="H3000" s="16">
        <v>0.0</v>
      </c>
      <c r="I3000" s="16">
        <v>0.0</v>
      </c>
      <c r="J3000" s="16">
        <v>0.0</v>
      </c>
      <c r="K3000" s="16">
        <v>0.0</v>
      </c>
      <c r="L3000" s="16">
        <v>577.531</v>
      </c>
      <c r="M3000" s="16">
        <v>575.622</v>
      </c>
      <c r="N3000" s="16">
        <v>157.391</v>
      </c>
      <c r="O3000" s="23">
        <v>8.2</v>
      </c>
      <c r="P3000" s="18">
        <f t="shared" si="1"/>
        <v>577.531</v>
      </c>
    </row>
    <row r="3001" ht="15.75" customHeight="1">
      <c r="A3001" s="19" t="s">
        <v>235</v>
      </c>
      <c r="B3001" s="19" t="s">
        <v>99</v>
      </c>
      <c r="C3001" s="20" t="s">
        <v>119</v>
      </c>
      <c r="D3001" s="14" t="str">
        <f>VLOOKUP(C3001,'State Key'!$A$2:$B$210,2,False)</f>
        <v>Andhra Pradesh</v>
      </c>
      <c r="E3001" s="21">
        <v>1320.0</v>
      </c>
      <c r="F3001" s="22">
        <v>252.583</v>
      </c>
      <c r="G3001" s="22">
        <v>0.0</v>
      </c>
      <c r="H3001" s="22">
        <v>0.0</v>
      </c>
      <c r="I3001" s="22">
        <v>0.0</v>
      </c>
      <c r="J3001" s="22">
        <v>324.194</v>
      </c>
      <c r="K3001" s="22">
        <v>0.0</v>
      </c>
      <c r="L3001" s="22">
        <v>576.777</v>
      </c>
      <c r="M3001" s="22">
        <v>554.336</v>
      </c>
      <c r="N3001" s="22">
        <v>414.36</v>
      </c>
      <c r="O3001" s="24">
        <v>22.4</v>
      </c>
      <c r="P3001" s="18">
        <f t="shared" si="1"/>
        <v>576.777</v>
      </c>
    </row>
    <row r="3002" ht="15.75" customHeight="1">
      <c r="A3002" s="13" t="s">
        <v>235</v>
      </c>
      <c r="B3002" s="13" t="s">
        <v>99</v>
      </c>
      <c r="C3002" s="14" t="s">
        <v>120</v>
      </c>
      <c r="D3002" s="14" t="str">
        <f>VLOOKUP(C3002,'State Key'!$A$2:$B$210,2,False)</f>
        <v>Andhra Pradesh</v>
      </c>
      <c r="E3002" s="15">
        <v>2000.0</v>
      </c>
      <c r="F3002" s="16">
        <v>617.91</v>
      </c>
      <c r="G3002" s="16">
        <v>4.07</v>
      </c>
      <c r="H3002" s="16">
        <v>22.55</v>
      </c>
      <c r="I3002" s="16">
        <v>0.0</v>
      </c>
      <c r="J3002" s="16">
        <v>122.515</v>
      </c>
      <c r="K3002" s="16">
        <v>0.0</v>
      </c>
      <c r="L3002" s="16">
        <v>767.045</v>
      </c>
      <c r="M3002" s="16">
        <v>766.787</v>
      </c>
      <c r="N3002" s="16">
        <v>523.418</v>
      </c>
      <c r="O3002" s="24">
        <v>20.5</v>
      </c>
      <c r="P3002" s="18">
        <f t="shared" si="1"/>
        <v>767.045</v>
      </c>
    </row>
    <row r="3003" ht="15.75" customHeight="1">
      <c r="A3003" s="19" t="s">
        <v>235</v>
      </c>
      <c r="B3003" s="19" t="s">
        <v>99</v>
      </c>
      <c r="C3003" s="20" t="s">
        <v>121</v>
      </c>
      <c r="D3003" s="14" t="str">
        <f>VLOOKUP(C3003,'State Key'!$A$2:$B$210,2,False)</f>
        <v>Andhra Pradesh</v>
      </c>
      <c r="E3003" s="21">
        <v>600.0</v>
      </c>
      <c r="F3003" s="22">
        <v>0.0</v>
      </c>
      <c r="G3003" s="22">
        <v>0.0</v>
      </c>
      <c r="H3003" s="22">
        <v>0.0</v>
      </c>
      <c r="I3003" s="22">
        <v>0.0</v>
      </c>
      <c r="J3003" s="22">
        <v>202.51</v>
      </c>
      <c r="K3003" s="22">
        <v>0.0</v>
      </c>
      <c r="L3003" s="22">
        <v>202.51</v>
      </c>
      <c r="M3003" s="22">
        <v>186.424</v>
      </c>
      <c r="N3003" s="22">
        <v>221.15</v>
      </c>
      <c r="O3003" s="24">
        <v>35.6</v>
      </c>
      <c r="P3003" s="18">
        <f t="shared" si="1"/>
        <v>202.51</v>
      </c>
    </row>
    <row r="3004" ht="15.75" customHeight="1">
      <c r="A3004" s="13" t="s">
        <v>235</v>
      </c>
      <c r="B3004" s="13" t="s">
        <v>99</v>
      </c>
      <c r="C3004" s="14" t="s">
        <v>122</v>
      </c>
      <c r="D3004" s="14" t="str">
        <f>VLOOKUP(C3004,'State Key'!$A$2:$B$210,2,False)</f>
        <v>Telangana</v>
      </c>
      <c r="E3004" s="15">
        <v>1200.0</v>
      </c>
      <c r="F3004" s="16">
        <v>0.0</v>
      </c>
      <c r="G3004" s="16">
        <v>220.862</v>
      </c>
      <c r="H3004" s="16">
        <v>0.0</v>
      </c>
      <c r="I3004" s="16">
        <v>0.0</v>
      </c>
      <c r="J3004" s="16">
        <v>0.0</v>
      </c>
      <c r="K3004" s="16">
        <v>0.0</v>
      </c>
      <c r="L3004" s="16">
        <v>220.862</v>
      </c>
      <c r="M3004" s="16">
        <v>238.145</v>
      </c>
      <c r="N3004" s="16">
        <v>112.87</v>
      </c>
      <c r="O3004" s="24">
        <v>14.2</v>
      </c>
      <c r="P3004" s="18">
        <f t="shared" si="1"/>
        <v>220.862</v>
      </c>
    </row>
    <row r="3005" ht="15.75" customHeight="1">
      <c r="A3005" s="19" t="s">
        <v>235</v>
      </c>
      <c r="B3005" s="19" t="s">
        <v>99</v>
      </c>
      <c r="C3005" s="20" t="s">
        <v>220</v>
      </c>
      <c r="D3005" s="14" t="str">
        <f>VLOOKUP(C3005,'State Key'!$A$2:$B$210,2,False)</f>
        <v>Telangana</v>
      </c>
      <c r="E3005" s="21">
        <v>1600.0</v>
      </c>
      <c r="F3005" s="22">
        <v>128.28</v>
      </c>
      <c r="G3005" s="22">
        <v>297.61</v>
      </c>
      <c r="H3005" s="22">
        <v>222.36</v>
      </c>
      <c r="I3005" s="22">
        <v>0.0</v>
      </c>
      <c r="J3005" s="22">
        <v>0.0</v>
      </c>
      <c r="K3005" s="22">
        <v>0.0</v>
      </c>
      <c r="L3005" s="22">
        <v>648.25</v>
      </c>
      <c r="M3005" s="22">
        <v>564.516</v>
      </c>
      <c r="N3005" s="22">
        <v>300.328</v>
      </c>
      <c r="O3005" s="24">
        <v>16.0</v>
      </c>
      <c r="P3005" s="18">
        <f t="shared" si="1"/>
        <v>648.25</v>
      </c>
    </row>
    <row r="3006" ht="15.75" customHeight="1">
      <c r="A3006" s="13" t="s">
        <v>235</v>
      </c>
      <c r="B3006" s="13" t="s">
        <v>99</v>
      </c>
      <c r="C3006" s="14" t="s">
        <v>123</v>
      </c>
      <c r="D3006" s="14" t="str">
        <f>VLOOKUP(C3006,'State Key'!$A$2:$B$210,2,False)</f>
        <v>Andhra Pradesh</v>
      </c>
      <c r="E3006" s="15">
        <v>300.0</v>
      </c>
      <c r="F3006" s="16">
        <v>0.0</v>
      </c>
      <c r="G3006" s="16">
        <v>0.0</v>
      </c>
      <c r="H3006" s="16">
        <v>0.0</v>
      </c>
      <c r="I3006" s="16">
        <v>0.0</v>
      </c>
      <c r="J3006" s="16">
        <v>0.0</v>
      </c>
      <c r="K3006" s="16">
        <v>0.0</v>
      </c>
      <c r="L3006" s="16">
        <v>0.0</v>
      </c>
      <c r="M3006" s="16">
        <v>0.0</v>
      </c>
      <c r="N3006" s="16">
        <v>0.0</v>
      </c>
      <c r="O3006" s="13" t="s">
        <v>58</v>
      </c>
      <c r="P3006" s="18">
        <f t="shared" si="1"/>
        <v>0</v>
      </c>
    </row>
    <row r="3007" ht="15.75" customHeight="1">
      <c r="A3007" s="19" t="s">
        <v>235</v>
      </c>
      <c r="B3007" s="19" t="s">
        <v>99</v>
      </c>
      <c r="C3007" s="20" t="s">
        <v>124</v>
      </c>
      <c r="D3007" s="14" t="str">
        <f>VLOOKUP(C3007,'State Key'!$A$2:$B$210,2,False)</f>
        <v>Karnataka</v>
      </c>
      <c r="E3007" s="21">
        <v>260.0</v>
      </c>
      <c r="F3007" s="22">
        <v>0.0</v>
      </c>
      <c r="G3007" s="22">
        <v>0.0</v>
      </c>
      <c r="H3007" s="22">
        <v>0.0</v>
      </c>
      <c r="I3007" s="22">
        <v>0.0</v>
      </c>
      <c r="J3007" s="22">
        <v>34.97</v>
      </c>
      <c r="K3007" s="22">
        <v>0.0</v>
      </c>
      <c r="L3007" s="22">
        <v>34.97</v>
      </c>
      <c r="M3007" s="22">
        <v>34.97</v>
      </c>
      <c r="N3007" s="22">
        <v>0.0</v>
      </c>
      <c r="O3007" s="17">
        <v>0.0</v>
      </c>
      <c r="P3007" s="18">
        <f t="shared" si="1"/>
        <v>34.97</v>
      </c>
    </row>
    <row r="3008" ht="15.75" customHeight="1">
      <c r="A3008" s="13" t="s">
        <v>235</v>
      </c>
      <c r="B3008" s="13" t="s">
        <v>99</v>
      </c>
      <c r="C3008" s="14" t="s">
        <v>125</v>
      </c>
      <c r="D3008" s="14" t="str">
        <f>VLOOKUP(C3008,'State Key'!$A$2:$B$210,2,False)</f>
        <v>Karnataka</v>
      </c>
      <c r="E3008" s="15">
        <v>600.0</v>
      </c>
      <c r="F3008" s="16">
        <v>0.0</v>
      </c>
      <c r="G3008" s="16">
        <v>0.0</v>
      </c>
      <c r="H3008" s="16">
        <v>0.0</v>
      </c>
      <c r="I3008" s="16">
        <v>0.0</v>
      </c>
      <c r="J3008" s="16">
        <v>72.59</v>
      </c>
      <c r="K3008" s="16">
        <v>0.0</v>
      </c>
      <c r="L3008" s="16">
        <v>72.59</v>
      </c>
      <c r="M3008" s="16">
        <v>91.58</v>
      </c>
      <c r="N3008" s="16">
        <v>11.19</v>
      </c>
      <c r="O3008" s="17">
        <v>3.7</v>
      </c>
      <c r="P3008" s="18">
        <f t="shared" si="1"/>
        <v>72.59</v>
      </c>
    </row>
    <row r="3009" ht="15.75" customHeight="1">
      <c r="A3009" s="19" t="s">
        <v>235</v>
      </c>
      <c r="B3009" s="19" t="s">
        <v>99</v>
      </c>
      <c r="C3009" s="20" t="s">
        <v>126</v>
      </c>
      <c r="D3009" s="14" t="str">
        <f>VLOOKUP(C3009,'State Key'!$A$2:$B$210,2,False)</f>
        <v>Tamil Nadu</v>
      </c>
      <c r="E3009" s="21">
        <v>300.0</v>
      </c>
      <c r="F3009" s="22">
        <v>0.0</v>
      </c>
      <c r="G3009" s="22">
        <v>0.0</v>
      </c>
      <c r="H3009" s="22">
        <v>0.0</v>
      </c>
      <c r="I3009" s="22">
        <v>0.0</v>
      </c>
      <c r="J3009" s="22">
        <v>0.0</v>
      </c>
      <c r="K3009" s="22">
        <v>0.0</v>
      </c>
      <c r="L3009" s="22">
        <v>0.0</v>
      </c>
      <c r="M3009" s="22">
        <v>0.0</v>
      </c>
      <c r="N3009" s="22">
        <v>0.0</v>
      </c>
      <c r="O3009" s="19" t="s">
        <v>58</v>
      </c>
      <c r="P3009" s="18">
        <f t="shared" si="1"/>
        <v>0</v>
      </c>
    </row>
    <row r="3010" ht="15.75" customHeight="1">
      <c r="A3010" s="13" t="s">
        <v>235</v>
      </c>
      <c r="B3010" s="13" t="s">
        <v>99</v>
      </c>
      <c r="C3010" s="14" t="s">
        <v>127</v>
      </c>
      <c r="D3010" s="14" t="str">
        <f>VLOOKUP(C3010,'State Key'!$A$2:$B$210,2,False)</f>
        <v>Tamil Nadu</v>
      </c>
      <c r="E3010" s="15">
        <v>525.0</v>
      </c>
      <c r="F3010" s="16">
        <v>0.0</v>
      </c>
      <c r="G3010" s="16">
        <v>0.0</v>
      </c>
      <c r="H3010" s="16">
        <v>0.0</v>
      </c>
      <c r="I3010" s="16">
        <v>0.0</v>
      </c>
      <c r="J3010" s="16">
        <v>87.08</v>
      </c>
      <c r="K3010" s="16">
        <v>0.0</v>
      </c>
      <c r="L3010" s="16">
        <v>87.08</v>
      </c>
      <c r="M3010" s="16">
        <v>61.73</v>
      </c>
      <c r="N3010" s="16">
        <v>25.83</v>
      </c>
      <c r="O3010" s="23">
        <v>12.6</v>
      </c>
      <c r="P3010" s="18">
        <f t="shared" si="1"/>
        <v>87.08</v>
      </c>
    </row>
    <row r="3011" ht="15.75" customHeight="1">
      <c r="A3011" s="19" t="s">
        <v>235</v>
      </c>
      <c r="B3011" s="19" t="s">
        <v>99</v>
      </c>
      <c r="C3011" s="20" t="s">
        <v>128</v>
      </c>
      <c r="D3011" s="14" t="str">
        <f>VLOOKUP(C3011,'State Key'!$A$2:$B$210,2,False)</f>
        <v>Tamil Nadu</v>
      </c>
      <c r="E3011" s="21">
        <v>1050.0</v>
      </c>
      <c r="F3011" s="22">
        <v>460.598</v>
      </c>
      <c r="G3011" s="22">
        <v>0.0</v>
      </c>
      <c r="H3011" s="22">
        <v>0.0</v>
      </c>
      <c r="I3011" s="22">
        <v>0.0</v>
      </c>
      <c r="J3011" s="22">
        <v>0.0</v>
      </c>
      <c r="K3011" s="22">
        <v>0.0</v>
      </c>
      <c r="L3011" s="22">
        <v>460.598</v>
      </c>
      <c r="M3011" s="22">
        <v>427.445</v>
      </c>
      <c r="N3011" s="22">
        <v>386.75</v>
      </c>
      <c r="O3011" s="24">
        <v>27.1</v>
      </c>
      <c r="P3011" s="18">
        <f t="shared" si="1"/>
        <v>460.598</v>
      </c>
    </row>
    <row r="3012" ht="15.75" customHeight="1">
      <c r="A3012" s="13" t="s">
        <v>235</v>
      </c>
      <c r="B3012" s="13" t="s">
        <v>99</v>
      </c>
      <c r="C3012" s="14" t="s">
        <v>130</v>
      </c>
      <c r="D3012" s="14" t="str">
        <f>VLOOKUP(C3012,'State Key'!$A$2:$B$210,2,False)</f>
        <v>Tamil Nadu</v>
      </c>
      <c r="E3012" s="15">
        <v>1500.0</v>
      </c>
      <c r="F3012" s="16">
        <v>537.469</v>
      </c>
      <c r="G3012" s="16">
        <v>0.0</v>
      </c>
      <c r="H3012" s="16">
        <v>0.0</v>
      </c>
      <c r="I3012" s="16">
        <v>0.0</v>
      </c>
      <c r="J3012" s="16">
        <v>0.0</v>
      </c>
      <c r="K3012" s="16">
        <v>0.0</v>
      </c>
      <c r="L3012" s="16">
        <v>537.469</v>
      </c>
      <c r="M3012" s="16">
        <v>580.648</v>
      </c>
      <c r="N3012" s="16">
        <v>224.183</v>
      </c>
      <c r="O3012" s="23">
        <v>11.6</v>
      </c>
      <c r="P3012" s="18">
        <f t="shared" si="1"/>
        <v>537.469</v>
      </c>
    </row>
    <row r="3013" ht="15.75" customHeight="1">
      <c r="A3013" s="19" t="s">
        <v>235</v>
      </c>
      <c r="B3013" s="19" t="s">
        <v>99</v>
      </c>
      <c r="C3013" s="20" t="s">
        <v>131</v>
      </c>
      <c r="D3013" s="14" t="str">
        <f>VLOOKUP(C3013,'State Key'!$A$2:$B$210,2,False)</f>
        <v>Andhra Pradesh</v>
      </c>
      <c r="E3013" s="21">
        <v>1040.0</v>
      </c>
      <c r="F3013" s="22">
        <v>232.3354</v>
      </c>
      <c r="G3013" s="22">
        <v>0.0</v>
      </c>
      <c r="H3013" s="22">
        <v>0.0</v>
      </c>
      <c r="I3013" s="22">
        <v>0.0</v>
      </c>
      <c r="J3013" s="22">
        <v>0.0</v>
      </c>
      <c r="K3013" s="22">
        <v>0.0</v>
      </c>
      <c r="L3013" s="22">
        <v>232.3354</v>
      </c>
      <c r="M3013" s="22">
        <v>208.09</v>
      </c>
      <c r="N3013" s="22">
        <v>63.3389</v>
      </c>
      <c r="O3013" s="23">
        <v>9.1</v>
      </c>
      <c r="P3013" s="18">
        <f t="shared" si="1"/>
        <v>232.3354</v>
      </c>
    </row>
    <row r="3014" ht="15.75" customHeight="1">
      <c r="A3014" s="13" t="s">
        <v>235</v>
      </c>
      <c r="B3014" s="13" t="s">
        <v>99</v>
      </c>
      <c r="C3014" s="14" t="s">
        <v>132</v>
      </c>
      <c r="D3014" s="14" t="str">
        <f>VLOOKUP(C3014,'State Key'!$A$2:$B$210,2,False)</f>
        <v>Karnataka</v>
      </c>
      <c r="E3014" s="15">
        <v>1600.0</v>
      </c>
      <c r="F3014" s="16">
        <v>0.0</v>
      </c>
      <c r="G3014" s="16">
        <v>301.462</v>
      </c>
      <c r="H3014" s="16">
        <v>0.0</v>
      </c>
      <c r="I3014" s="16">
        <v>0.0</v>
      </c>
      <c r="J3014" s="16">
        <v>22.258</v>
      </c>
      <c r="K3014" s="16">
        <v>0.0</v>
      </c>
      <c r="L3014" s="16">
        <v>323.72</v>
      </c>
      <c r="M3014" s="16">
        <v>245.584</v>
      </c>
      <c r="N3014" s="16">
        <v>129.183</v>
      </c>
      <c r="O3014" s="24">
        <v>15.8</v>
      </c>
      <c r="P3014" s="18">
        <f t="shared" si="1"/>
        <v>323.72</v>
      </c>
    </row>
    <row r="3015" ht="15.75" customHeight="1">
      <c r="A3015" s="19" t="s">
        <v>235</v>
      </c>
      <c r="B3015" s="19" t="s">
        <v>133</v>
      </c>
      <c r="C3015" s="20" t="s">
        <v>211</v>
      </c>
      <c r="D3015" s="14" t="str">
        <f>VLOOKUP(C3015,'State Key'!$A$2:$B$210,2,False)</f>
        <v>Gujarat</v>
      </c>
      <c r="E3015" s="21">
        <v>2640.0</v>
      </c>
      <c r="F3015" s="22">
        <v>0.0</v>
      </c>
      <c r="G3015" s="22">
        <v>0.0</v>
      </c>
      <c r="H3015" s="22">
        <v>0.0</v>
      </c>
      <c r="I3015" s="22">
        <v>0.0</v>
      </c>
      <c r="J3015" s="22">
        <v>752.486</v>
      </c>
      <c r="K3015" s="22">
        <v>0.0</v>
      </c>
      <c r="L3015" s="22">
        <v>752.486</v>
      </c>
      <c r="M3015" s="22">
        <v>703.445</v>
      </c>
      <c r="N3015" s="22">
        <v>120.551</v>
      </c>
      <c r="O3015" s="17">
        <v>5.1</v>
      </c>
      <c r="P3015" s="18">
        <f t="shared" si="1"/>
        <v>752.486</v>
      </c>
    </row>
    <row r="3016" ht="15.75" customHeight="1">
      <c r="A3016" s="13" t="s">
        <v>235</v>
      </c>
      <c r="B3016" s="13" t="s">
        <v>133</v>
      </c>
      <c r="C3016" s="14" t="s">
        <v>212</v>
      </c>
      <c r="D3016" s="14" t="str">
        <f>VLOOKUP(C3016,'State Key'!$A$2:$B$210,2,False)</f>
        <v>Gujarat</v>
      </c>
      <c r="E3016" s="15">
        <v>1980.0</v>
      </c>
      <c r="F3016" s="16">
        <v>0.0</v>
      </c>
      <c r="G3016" s="16">
        <v>0.0</v>
      </c>
      <c r="H3016" s="16">
        <v>0.0</v>
      </c>
      <c r="I3016" s="16">
        <v>0.0</v>
      </c>
      <c r="J3016" s="16">
        <v>497.493</v>
      </c>
      <c r="K3016" s="16">
        <v>0.0</v>
      </c>
      <c r="L3016" s="16">
        <v>497.493</v>
      </c>
      <c r="M3016" s="16">
        <v>480.597</v>
      </c>
      <c r="N3016" s="16">
        <v>41.297</v>
      </c>
      <c r="O3016" s="17">
        <v>2.6</v>
      </c>
      <c r="P3016" s="18">
        <f t="shared" si="1"/>
        <v>497.493</v>
      </c>
    </row>
    <row r="3017" ht="15.75" customHeight="1">
      <c r="A3017" s="19" t="s">
        <v>235</v>
      </c>
      <c r="B3017" s="19" t="s">
        <v>133</v>
      </c>
      <c r="C3017" s="20" t="s">
        <v>213</v>
      </c>
      <c r="D3017" s="14" t="str">
        <f>VLOOKUP(C3017,'State Key'!$A$2:$B$210,2,False)</f>
        <v>Chhattisgarh</v>
      </c>
      <c r="E3017" s="21">
        <v>600.0</v>
      </c>
      <c r="F3017" s="22">
        <v>191.746</v>
      </c>
      <c r="G3017" s="22">
        <v>0.0</v>
      </c>
      <c r="H3017" s="22">
        <v>0.0</v>
      </c>
      <c r="I3017" s="22">
        <v>12.888</v>
      </c>
      <c r="J3017" s="22">
        <v>0.0</v>
      </c>
      <c r="K3017" s="22">
        <v>26.152</v>
      </c>
      <c r="L3017" s="22">
        <v>230.786</v>
      </c>
      <c r="M3017" s="22">
        <v>290.729</v>
      </c>
      <c r="N3017" s="22">
        <v>91.54</v>
      </c>
      <c r="O3017" s="23">
        <v>9.4</v>
      </c>
      <c r="P3017" s="18">
        <f t="shared" si="1"/>
        <v>230.786</v>
      </c>
    </row>
    <row r="3018" ht="15.75" customHeight="1">
      <c r="A3018" s="13" t="s">
        <v>235</v>
      </c>
      <c r="B3018" s="13" t="s">
        <v>133</v>
      </c>
      <c r="C3018" s="14" t="s">
        <v>214</v>
      </c>
      <c r="D3018" s="14" t="str">
        <f>VLOOKUP(C3018,'State Key'!$A$2:$B$210,2,False)</f>
        <v>Chhattisgarh</v>
      </c>
      <c r="E3018" s="15">
        <v>1370.0</v>
      </c>
      <c r="F3018" s="16">
        <v>494.903</v>
      </c>
      <c r="G3018" s="16">
        <v>0.0</v>
      </c>
      <c r="H3018" s="16">
        <v>0.0</v>
      </c>
      <c r="I3018" s="16">
        <v>59.653</v>
      </c>
      <c r="J3018" s="16">
        <v>15.762</v>
      </c>
      <c r="K3018" s="16">
        <v>48.291</v>
      </c>
      <c r="L3018" s="16">
        <v>618.609</v>
      </c>
      <c r="M3018" s="16">
        <v>543.308</v>
      </c>
      <c r="N3018" s="16">
        <v>119.57</v>
      </c>
      <c r="O3018" s="17">
        <v>6.6</v>
      </c>
      <c r="P3018" s="18">
        <f t="shared" si="1"/>
        <v>618.609</v>
      </c>
    </row>
    <row r="3019" ht="15.75" customHeight="1">
      <c r="A3019" s="19" t="s">
        <v>235</v>
      </c>
      <c r="B3019" s="19" t="s">
        <v>133</v>
      </c>
      <c r="C3019" s="20" t="s">
        <v>215</v>
      </c>
      <c r="D3019" s="14" t="str">
        <f>VLOOKUP(C3019,'State Key'!$A$2:$B$210,2,False)</f>
        <v>Maharashtra</v>
      </c>
      <c r="E3019" s="21">
        <v>3300.0</v>
      </c>
      <c r="F3019" s="22">
        <v>890.256</v>
      </c>
      <c r="G3019" s="22">
        <v>0.0</v>
      </c>
      <c r="H3019" s="22">
        <v>0.0</v>
      </c>
      <c r="I3019" s="22">
        <v>0.0</v>
      </c>
      <c r="J3019" s="22">
        <v>0.0</v>
      </c>
      <c r="K3019" s="22">
        <v>0.0</v>
      </c>
      <c r="L3019" s="22">
        <v>890.256</v>
      </c>
      <c r="M3019" s="22">
        <v>1130.297</v>
      </c>
      <c r="N3019" s="22">
        <v>238.66</v>
      </c>
      <c r="O3019" s="17">
        <v>6.3</v>
      </c>
      <c r="P3019" s="18">
        <f t="shared" si="1"/>
        <v>890.256</v>
      </c>
    </row>
    <row r="3020" ht="15.75" customHeight="1">
      <c r="A3020" s="13" t="s">
        <v>235</v>
      </c>
      <c r="B3020" s="13" t="s">
        <v>133</v>
      </c>
      <c r="C3020" s="14" t="s">
        <v>134</v>
      </c>
      <c r="D3020" s="14" t="str">
        <f>VLOOKUP(C3020,'State Key'!$A$2:$B$210,2,False)</f>
        <v>Chhattisgarh</v>
      </c>
      <c r="E3020" s="15">
        <v>1800.0</v>
      </c>
      <c r="F3020" s="16">
        <v>314.8543</v>
      </c>
      <c r="G3020" s="16">
        <v>0.0</v>
      </c>
      <c r="H3020" s="16">
        <v>0.0</v>
      </c>
      <c r="I3020" s="16">
        <v>0.0</v>
      </c>
      <c r="J3020" s="16">
        <v>0.0</v>
      </c>
      <c r="K3020" s="16">
        <v>66.2011</v>
      </c>
      <c r="L3020" s="16">
        <v>381.0554</v>
      </c>
      <c r="M3020" s="16">
        <v>332.9385</v>
      </c>
      <c r="N3020" s="16">
        <v>158.44</v>
      </c>
      <c r="O3020" s="24">
        <v>14.3</v>
      </c>
      <c r="P3020" s="18">
        <f t="shared" si="1"/>
        <v>381.0554</v>
      </c>
    </row>
    <row r="3021" ht="15.75" customHeight="1">
      <c r="A3021" s="19" t="s">
        <v>235</v>
      </c>
      <c r="B3021" s="19" t="s">
        <v>133</v>
      </c>
      <c r="C3021" s="20" t="s">
        <v>135</v>
      </c>
      <c r="D3021" s="14" t="str">
        <f>VLOOKUP(C3021,'State Key'!$A$2:$B$210,2,False)</f>
        <v>Madhya Pradesh</v>
      </c>
      <c r="E3021" s="21">
        <v>210.0</v>
      </c>
      <c r="F3021" s="22">
        <v>54.62</v>
      </c>
      <c r="G3021" s="22">
        <v>0.0</v>
      </c>
      <c r="H3021" s="22">
        <v>0.0</v>
      </c>
      <c r="I3021" s="22">
        <v>0.0</v>
      </c>
      <c r="J3021" s="22">
        <v>0.0</v>
      </c>
      <c r="K3021" s="22">
        <v>0.0</v>
      </c>
      <c r="L3021" s="22">
        <v>54.62</v>
      </c>
      <c r="M3021" s="22">
        <v>0.0</v>
      </c>
      <c r="N3021" s="22">
        <v>97.86</v>
      </c>
      <c r="O3021" s="19" t="s">
        <v>58</v>
      </c>
      <c r="P3021" s="18">
        <f t="shared" si="1"/>
        <v>54.62</v>
      </c>
    </row>
    <row r="3022" ht="15.75" customHeight="1">
      <c r="A3022" s="13" t="s">
        <v>235</v>
      </c>
      <c r="B3022" s="13" t="s">
        <v>133</v>
      </c>
      <c r="C3022" s="14" t="s">
        <v>136</v>
      </c>
      <c r="D3022" s="14" t="str">
        <f>VLOOKUP(C3022,'State Key'!$A$2:$B$210,2,False)</f>
        <v>Maharashtra</v>
      </c>
      <c r="E3022" s="15">
        <v>1350.0</v>
      </c>
      <c r="F3022" s="16">
        <v>263.217</v>
      </c>
      <c r="G3022" s="16">
        <v>0.0</v>
      </c>
      <c r="H3022" s="16">
        <v>0.0</v>
      </c>
      <c r="I3022" s="16">
        <v>0.0</v>
      </c>
      <c r="J3022" s="16">
        <v>0.0</v>
      </c>
      <c r="K3022" s="16">
        <v>0.0</v>
      </c>
      <c r="L3022" s="16">
        <v>263.217</v>
      </c>
      <c r="M3022" s="16">
        <v>448.276</v>
      </c>
      <c r="N3022" s="16">
        <v>111.7</v>
      </c>
      <c r="O3022" s="23">
        <v>7.5</v>
      </c>
      <c r="P3022" s="18">
        <f t="shared" si="1"/>
        <v>263.217</v>
      </c>
    </row>
    <row r="3023" ht="15.75" customHeight="1">
      <c r="A3023" s="19" t="s">
        <v>235</v>
      </c>
      <c r="B3023" s="19" t="s">
        <v>133</v>
      </c>
      <c r="C3023" s="20" t="s">
        <v>137</v>
      </c>
      <c r="D3023" s="14" t="str">
        <f>VLOOKUP(C3023,'State Key'!$A$2:$B$210,2,False)</f>
        <v>Madhya Pradesh</v>
      </c>
      <c r="E3023" s="21">
        <v>1250.0</v>
      </c>
      <c r="F3023" s="22">
        <v>299.42</v>
      </c>
      <c r="G3023" s="22">
        <v>0.0</v>
      </c>
      <c r="H3023" s="22">
        <v>0.0</v>
      </c>
      <c r="I3023" s="22">
        <v>178.49</v>
      </c>
      <c r="J3023" s="22">
        <v>0.0</v>
      </c>
      <c r="K3023" s="22">
        <v>0.0</v>
      </c>
      <c r="L3023" s="22">
        <v>477.91</v>
      </c>
      <c r="M3023" s="22">
        <v>456.29</v>
      </c>
      <c r="N3023" s="22">
        <v>173.71</v>
      </c>
      <c r="O3023" s="23">
        <v>11.4</v>
      </c>
      <c r="P3023" s="18">
        <f t="shared" si="1"/>
        <v>477.91</v>
      </c>
    </row>
    <row r="3024" ht="15.75" customHeight="1">
      <c r="A3024" s="13" t="s">
        <v>235</v>
      </c>
      <c r="B3024" s="13" t="s">
        <v>133</v>
      </c>
      <c r="C3024" s="14" t="s">
        <v>139</v>
      </c>
      <c r="D3024" s="14" t="str">
        <f>VLOOKUP(C3024,'State Key'!$A$2:$B$210,2,False)</f>
        <v>Chhattisgarh</v>
      </c>
      <c r="E3024" s="15">
        <v>600.0</v>
      </c>
      <c r="F3024" s="16">
        <v>130.56</v>
      </c>
      <c r="G3024" s="16">
        <v>0.0</v>
      </c>
      <c r="H3024" s="16">
        <v>0.0</v>
      </c>
      <c r="I3024" s="16">
        <v>91.39</v>
      </c>
      <c r="J3024" s="16">
        <v>0.0</v>
      </c>
      <c r="K3024" s="16">
        <v>0.0</v>
      </c>
      <c r="L3024" s="16">
        <v>221.95</v>
      </c>
      <c r="M3024" s="16">
        <v>265.259</v>
      </c>
      <c r="N3024" s="16">
        <v>2.82</v>
      </c>
      <c r="O3024" s="17">
        <v>0.3</v>
      </c>
      <c r="P3024" s="18">
        <f t="shared" si="1"/>
        <v>221.95</v>
      </c>
    </row>
    <row r="3025" ht="15.75" customHeight="1">
      <c r="A3025" s="19" t="s">
        <v>235</v>
      </c>
      <c r="B3025" s="19" t="s">
        <v>133</v>
      </c>
      <c r="C3025" s="20" t="s">
        <v>140</v>
      </c>
      <c r="D3025" s="14" t="str">
        <f>VLOOKUP(C3025,'State Key'!$A$2:$B$210,2,False)</f>
        <v>Chhattisgarh</v>
      </c>
      <c r="E3025" s="21">
        <v>300.0</v>
      </c>
      <c r="F3025" s="22">
        <v>110.154</v>
      </c>
      <c r="G3025" s="22">
        <v>0.0</v>
      </c>
      <c r="H3025" s="22">
        <v>0.0</v>
      </c>
      <c r="I3025" s="22">
        <v>11.016</v>
      </c>
      <c r="J3025" s="22">
        <v>0.0</v>
      </c>
      <c r="K3025" s="22">
        <v>0.0</v>
      </c>
      <c r="L3025" s="22">
        <v>121.17</v>
      </c>
      <c r="M3025" s="22">
        <v>111.174</v>
      </c>
      <c r="N3025" s="22">
        <v>98.53</v>
      </c>
      <c r="O3025" s="24">
        <v>26.6</v>
      </c>
      <c r="P3025" s="18">
        <f t="shared" si="1"/>
        <v>121.17</v>
      </c>
    </row>
    <row r="3026" ht="15.75" customHeight="1">
      <c r="A3026" s="13" t="s">
        <v>235</v>
      </c>
      <c r="B3026" s="13" t="s">
        <v>133</v>
      </c>
      <c r="C3026" s="14" t="s">
        <v>141</v>
      </c>
      <c r="D3026" s="14" t="str">
        <f>VLOOKUP(C3026,'State Key'!$A$2:$B$210,2,False)</f>
        <v>Chhattisgarh</v>
      </c>
      <c r="E3026" s="15">
        <v>1200.0</v>
      </c>
      <c r="F3026" s="16">
        <v>279.335</v>
      </c>
      <c r="G3026" s="16">
        <v>0.0</v>
      </c>
      <c r="H3026" s="16">
        <v>0.0</v>
      </c>
      <c r="I3026" s="16">
        <v>0.0</v>
      </c>
      <c r="J3026" s="16">
        <v>0.0</v>
      </c>
      <c r="K3026" s="16">
        <v>0.0</v>
      </c>
      <c r="L3026" s="16">
        <v>279.335</v>
      </c>
      <c r="M3026" s="16">
        <v>424.917</v>
      </c>
      <c r="N3026" s="16">
        <v>189.2</v>
      </c>
      <c r="O3026" s="23">
        <v>13.4</v>
      </c>
      <c r="P3026" s="18">
        <f t="shared" si="1"/>
        <v>279.335</v>
      </c>
    </row>
    <row r="3027" ht="15.75" customHeight="1">
      <c r="A3027" s="19" t="s">
        <v>235</v>
      </c>
      <c r="B3027" s="19" t="s">
        <v>133</v>
      </c>
      <c r="C3027" s="20" t="s">
        <v>142</v>
      </c>
      <c r="D3027" s="14" t="str">
        <f>VLOOKUP(C3027,'State Key'!$A$2:$B$210,2,False)</f>
        <v>Maharashtra</v>
      </c>
      <c r="E3027" s="21">
        <v>270.0</v>
      </c>
      <c r="F3027" s="22">
        <v>53.603</v>
      </c>
      <c r="G3027" s="22">
        <v>0.0</v>
      </c>
      <c r="H3027" s="22">
        <v>0.0</v>
      </c>
      <c r="I3027" s="22">
        <v>13.121</v>
      </c>
      <c r="J3027" s="22">
        <v>0.0</v>
      </c>
      <c r="K3027" s="22">
        <v>3.687</v>
      </c>
      <c r="L3027" s="22">
        <v>70.411</v>
      </c>
      <c r="M3027" s="22">
        <v>59.014</v>
      </c>
      <c r="N3027" s="22">
        <v>75.86</v>
      </c>
      <c r="O3027" s="24">
        <v>38.6</v>
      </c>
      <c r="P3027" s="18">
        <f t="shared" si="1"/>
        <v>70.411</v>
      </c>
    </row>
    <row r="3028" ht="15.75" customHeight="1">
      <c r="A3028" s="13" t="s">
        <v>235</v>
      </c>
      <c r="B3028" s="13" t="s">
        <v>133</v>
      </c>
      <c r="C3028" s="14" t="s">
        <v>143</v>
      </c>
      <c r="D3028" s="14" t="str">
        <f>VLOOKUP(C3028,'State Key'!$A$2:$B$210,2,False)</f>
        <v>Chhattisgarh</v>
      </c>
      <c r="E3028" s="15">
        <v>500.0</v>
      </c>
      <c r="F3028" s="16">
        <v>125.13</v>
      </c>
      <c r="G3028" s="16">
        <v>40.45</v>
      </c>
      <c r="H3028" s="16">
        <v>0.0</v>
      </c>
      <c r="I3028" s="16">
        <v>0.0</v>
      </c>
      <c r="J3028" s="16">
        <v>46.889</v>
      </c>
      <c r="K3028" s="16">
        <v>0.0</v>
      </c>
      <c r="L3028" s="16">
        <v>212.469</v>
      </c>
      <c r="M3028" s="16">
        <v>238.413</v>
      </c>
      <c r="N3028" s="16">
        <v>114.4</v>
      </c>
      <c r="O3028" s="24">
        <v>14.4</v>
      </c>
      <c r="P3028" s="18">
        <f t="shared" si="1"/>
        <v>212.469</v>
      </c>
    </row>
    <row r="3029" ht="15.75" customHeight="1">
      <c r="A3029" s="19" t="s">
        <v>235</v>
      </c>
      <c r="B3029" s="19" t="s">
        <v>133</v>
      </c>
      <c r="C3029" s="20" t="s">
        <v>144</v>
      </c>
      <c r="D3029" s="14" t="str">
        <f>VLOOKUP(C3029,'State Key'!$A$2:$B$210,2,False)</f>
        <v>Maharashtra</v>
      </c>
      <c r="E3029" s="21">
        <v>1210.0</v>
      </c>
      <c r="F3029" s="22">
        <v>378.032</v>
      </c>
      <c r="G3029" s="22">
        <v>48.266</v>
      </c>
      <c r="H3029" s="22">
        <v>0.0</v>
      </c>
      <c r="I3029" s="22">
        <v>0.0</v>
      </c>
      <c r="J3029" s="22">
        <v>0.065</v>
      </c>
      <c r="K3029" s="22">
        <v>0.0</v>
      </c>
      <c r="L3029" s="22">
        <v>426.363</v>
      </c>
      <c r="M3029" s="22">
        <v>509.661</v>
      </c>
      <c r="N3029" s="22">
        <v>497.664</v>
      </c>
      <c r="O3029" s="24">
        <v>29.3</v>
      </c>
      <c r="P3029" s="18">
        <f t="shared" si="1"/>
        <v>426.363</v>
      </c>
    </row>
    <row r="3030" ht="15.75" customHeight="1">
      <c r="A3030" s="13" t="s">
        <v>235</v>
      </c>
      <c r="B3030" s="13" t="s">
        <v>133</v>
      </c>
      <c r="C3030" s="14" t="s">
        <v>145</v>
      </c>
      <c r="D3030" s="14" t="str">
        <f>VLOOKUP(C3030,'State Key'!$A$2:$B$210,2,False)</f>
        <v>Madhya Pradesh</v>
      </c>
      <c r="E3030" s="15">
        <v>500.0</v>
      </c>
      <c r="F3030" s="16">
        <v>106.07</v>
      </c>
      <c r="G3030" s="16">
        <v>0.0</v>
      </c>
      <c r="H3030" s="16">
        <v>0.0</v>
      </c>
      <c r="I3030" s="16">
        <v>8.91</v>
      </c>
      <c r="J3030" s="16">
        <v>0.0</v>
      </c>
      <c r="K3030" s="16">
        <v>0.0</v>
      </c>
      <c r="L3030" s="16">
        <v>114.98</v>
      </c>
      <c r="M3030" s="16">
        <v>100.46</v>
      </c>
      <c r="N3030" s="16">
        <v>176.53</v>
      </c>
      <c r="O3030" s="24">
        <v>52.7</v>
      </c>
      <c r="P3030" s="18">
        <f t="shared" si="1"/>
        <v>114.98</v>
      </c>
    </row>
    <row r="3031" ht="15.75" customHeight="1">
      <c r="A3031" s="19" t="s">
        <v>235</v>
      </c>
      <c r="B3031" s="19" t="s">
        <v>133</v>
      </c>
      <c r="C3031" s="20" t="s">
        <v>146</v>
      </c>
      <c r="D3031" s="14" t="str">
        <f>VLOOKUP(C3031,'State Key'!$A$2:$B$210,2,False)</f>
        <v>Chhattisgarh</v>
      </c>
      <c r="E3031" s="21">
        <v>600.0</v>
      </c>
      <c r="F3031" s="22">
        <v>0.0</v>
      </c>
      <c r="G3031" s="22">
        <v>0.0</v>
      </c>
      <c r="H3031" s="22">
        <v>0.0</v>
      </c>
      <c r="I3031" s="22">
        <v>136.17</v>
      </c>
      <c r="J3031" s="22">
        <v>0.0</v>
      </c>
      <c r="K3031" s="22">
        <v>0.0</v>
      </c>
      <c r="L3031" s="22">
        <v>136.17</v>
      </c>
      <c r="M3031" s="22">
        <v>232.14</v>
      </c>
      <c r="N3031" s="22">
        <v>63.77</v>
      </c>
      <c r="O3031" s="23">
        <v>8.2</v>
      </c>
      <c r="P3031" s="18">
        <f t="shared" si="1"/>
        <v>136.17</v>
      </c>
    </row>
    <row r="3032" ht="15.75" customHeight="1">
      <c r="A3032" s="13" t="s">
        <v>235</v>
      </c>
      <c r="B3032" s="13" t="s">
        <v>133</v>
      </c>
      <c r="C3032" s="14" t="s">
        <v>147</v>
      </c>
      <c r="D3032" s="14" t="str">
        <f>VLOOKUP(C3032,'State Key'!$A$2:$B$210,2,False)</f>
        <v>Maharashtra</v>
      </c>
      <c r="E3032" s="15">
        <v>600.0</v>
      </c>
      <c r="F3032" s="16">
        <v>0.0</v>
      </c>
      <c r="G3032" s="16">
        <v>0.0</v>
      </c>
      <c r="H3032" s="16">
        <v>0.0</v>
      </c>
      <c r="I3032" s="16">
        <v>0.0</v>
      </c>
      <c r="J3032" s="16">
        <v>0.0</v>
      </c>
      <c r="K3032" s="16">
        <v>0.0</v>
      </c>
      <c r="L3032" s="16">
        <v>0.0</v>
      </c>
      <c r="M3032" s="16">
        <v>0.0</v>
      </c>
      <c r="N3032" s="16">
        <v>0.0</v>
      </c>
      <c r="O3032" s="13" t="s">
        <v>58</v>
      </c>
      <c r="P3032" s="18">
        <f t="shared" si="1"/>
        <v>0</v>
      </c>
    </row>
    <row r="3033" ht="15.75" customHeight="1">
      <c r="A3033" s="19" t="s">
        <v>235</v>
      </c>
      <c r="B3033" s="19" t="s">
        <v>133</v>
      </c>
      <c r="C3033" s="20" t="s">
        <v>148</v>
      </c>
      <c r="D3033" s="14" t="str">
        <f>VLOOKUP(C3033,'State Key'!$A$2:$B$210,2,False)</f>
        <v>Chhattisgarh</v>
      </c>
      <c r="E3033" s="21">
        <v>30.0</v>
      </c>
      <c r="F3033" s="22">
        <v>5.984</v>
      </c>
      <c r="G3033" s="22">
        <v>0.0</v>
      </c>
      <c r="H3033" s="22">
        <v>0.0</v>
      </c>
      <c r="I3033" s="22">
        <v>0.0</v>
      </c>
      <c r="J3033" s="22">
        <v>0.0</v>
      </c>
      <c r="K3033" s="22">
        <v>52.353</v>
      </c>
      <c r="L3033" s="22">
        <v>58.337</v>
      </c>
      <c r="M3033" s="22">
        <v>39.374</v>
      </c>
      <c r="N3033" s="22">
        <v>56.73</v>
      </c>
      <c r="O3033" s="24">
        <v>43.2</v>
      </c>
      <c r="P3033" s="18">
        <f t="shared" si="1"/>
        <v>58.337</v>
      </c>
    </row>
    <row r="3034" ht="15.75" customHeight="1">
      <c r="A3034" s="13" t="s">
        <v>235</v>
      </c>
      <c r="B3034" s="13" t="s">
        <v>133</v>
      </c>
      <c r="C3034" s="14" t="s">
        <v>149</v>
      </c>
      <c r="D3034" s="14" t="str">
        <f>VLOOKUP(C3034,'State Key'!$A$2:$B$210,2,False)</f>
        <v>Maharashtra</v>
      </c>
      <c r="E3034" s="15">
        <v>2920.0</v>
      </c>
      <c r="F3034" s="16">
        <v>673.49</v>
      </c>
      <c r="G3034" s="16">
        <v>116.63</v>
      </c>
      <c r="H3034" s="16">
        <v>0.0</v>
      </c>
      <c r="I3034" s="16">
        <v>0.0</v>
      </c>
      <c r="J3034" s="16">
        <v>0.073</v>
      </c>
      <c r="K3034" s="16">
        <v>0.0</v>
      </c>
      <c r="L3034" s="16">
        <v>790.193</v>
      </c>
      <c r="M3034" s="16">
        <v>997.634</v>
      </c>
      <c r="N3034" s="16">
        <v>535.95</v>
      </c>
      <c r="O3034" s="24">
        <v>16.1</v>
      </c>
      <c r="P3034" s="18">
        <f t="shared" si="1"/>
        <v>790.193</v>
      </c>
    </row>
    <row r="3035" ht="15.75" customHeight="1">
      <c r="A3035" s="19" t="s">
        <v>235</v>
      </c>
      <c r="B3035" s="19" t="s">
        <v>133</v>
      </c>
      <c r="C3035" s="20" t="s">
        <v>150</v>
      </c>
      <c r="D3035" s="14" t="str">
        <f>VLOOKUP(C3035,'State Key'!$A$2:$B$210,2,False)</f>
        <v>Maharashtra</v>
      </c>
      <c r="E3035" s="21">
        <v>500.0</v>
      </c>
      <c r="F3035" s="22">
        <v>199.842</v>
      </c>
      <c r="G3035" s="22">
        <v>0.0</v>
      </c>
      <c r="H3035" s="22">
        <v>0.0</v>
      </c>
      <c r="I3035" s="22">
        <v>0.0</v>
      </c>
      <c r="J3035" s="22">
        <v>22.673</v>
      </c>
      <c r="K3035" s="22">
        <v>0.0</v>
      </c>
      <c r="L3035" s="22">
        <v>222.515</v>
      </c>
      <c r="M3035" s="22">
        <v>216.033</v>
      </c>
      <c r="N3035" s="22">
        <v>16.941</v>
      </c>
      <c r="O3035" s="17">
        <v>2.4</v>
      </c>
      <c r="P3035" s="18">
        <f t="shared" si="1"/>
        <v>222.515</v>
      </c>
    </row>
    <row r="3036" ht="15.75" customHeight="1">
      <c r="A3036" s="13" t="s">
        <v>235</v>
      </c>
      <c r="B3036" s="13" t="s">
        <v>133</v>
      </c>
      <c r="C3036" s="14" t="s">
        <v>151</v>
      </c>
      <c r="D3036" s="14" t="str">
        <f>VLOOKUP(C3036,'State Key'!$A$2:$B$210,2,False)</f>
        <v>Maharashtra</v>
      </c>
      <c r="E3036" s="15">
        <v>600.0</v>
      </c>
      <c r="F3036" s="16">
        <v>198.233</v>
      </c>
      <c r="G3036" s="16">
        <v>0.0</v>
      </c>
      <c r="H3036" s="16">
        <v>0.0</v>
      </c>
      <c r="I3036" s="16">
        <v>43.222</v>
      </c>
      <c r="J3036" s="16">
        <v>0.0</v>
      </c>
      <c r="K3036" s="16">
        <v>0.0</v>
      </c>
      <c r="L3036" s="16">
        <v>241.455</v>
      </c>
      <c r="M3036" s="16">
        <v>287.549</v>
      </c>
      <c r="N3036" s="16">
        <v>106.26</v>
      </c>
      <c r="O3036" s="23">
        <v>11.1</v>
      </c>
      <c r="P3036" s="18">
        <f t="shared" si="1"/>
        <v>241.455</v>
      </c>
    </row>
    <row r="3037" ht="15.75" customHeight="1">
      <c r="A3037" s="19" t="s">
        <v>235</v>
      </c>
      <c r="B3037" s="19" t="s">
        <v>133</v>
      </c>
      <c r="C3037" s="20" t="s">
        <v>152</v>
      </c>
      <c r="D3037" s="14" t="str">
        <f>VLOOKUP(C3037,'State Key'!$A$2:$B$210,2,False)</f>
        <v>Chhattisgarh</v>
      </c>
      <c r="E3037" s="21">
        <v>500.0</v>
      </c>
      <c r="F3037" s="22">
        <v>79.461</v>
      </c>
      <c r="G3037" s="22">
        <v>0.0</v>
      </c>
      <c r="H3037" s="22">
        <v>0.0</v>
      </c>
      <c r="I3037" s="22">
        <v>0.0</v>
      </c>
      <c r="J3037" s="22">
        <v>0.0</v>
      </c>
      <c r="K3037" s="22">
        <v>0.0</v>
      </c>
      <c r="L3037" s="22">
        <v>79.461</v>
      </c>
      <c r="M3037" s="22">
        <v>138.731</v>
      </c>
      <c r="N3037" s="22">
        <v>49.962</v>
      </c>
      <c r="O3037" s="23">
        <v>10.8</v>
      </c>
      <c r="P3037" s="18">
        <f t="shared" si="1"/>
        <v>79.461</v>
      </c>
    </row>
    <row r="3038" ht="15.75" customHeight="1">
      <c r="A3038" s="13" t="s">
        <v>235</v>
      </c>
      <c r="B3038" s="13" t="s">
        <v>133</v>
      </c>
      <c r="C3038" s="14" t="s">
        <v>153</v>
      </c>
      <c r="D3038" s="14" t="str">
        <f>VLOOKUP(C3038,'State Key'!$A$2:$B$210,2,False)</f>
        <v>Madhya Pradesh</v>
      </c>
      <c r="E3038" s="15">
        <v>1600.0</v>
      </c>
      <c r="F3038" s="16">
        <v>82.07</v>
      </c>
      <c r="G3038" s="16">
        <v>12.26</v>
      </c>
      <c r="H3038" s="16">
        <v>128.64</v>
      </c>
      <c r="I3038" s="16">
        <v>0.0</v>
      </c>
      <c r="J3038" s="16">
        <v>40.86</v>
      </c>
      <c r="K3038" s="16">
        <v>0.0</v>
      </c>
      <c r="L3038" s="16">
        <v>263.83</v>
      </c>
      <c r="M3038" s="16">
        <v>337.395</v>
      </c>
      <c r="N3038" s="16">
        <v>358.187</v>
      </c>
      <c r="O3038" s="24">
        <v>31.8</v>
      </c>
      <c r="P3038" s="18">
        <f t="shared" si="1"/>
        <v>263.83</v>
      </c>
    </row>
    <row r="3039" ht="15.75" customHeight="1">
      <c r="A3039" s="19" t="s">
        <v>235</v>
      </c>
      <c r="B3039" s="19" t="s">
        <v>133</v>
      </c>
      <c r="C3039" s="20" t="s">
        <v>154</v>
      </c>
      <c r="D3039" s="14" t="str">
        <f>VLOOKUP(C3039,'State Key'!$A$2:$B$210,2,False)</f>
        <v>Gujarat</v>
      </c>
      <c r="E3039" s="21">
        <v>630.0</v>
      </c>
      <c r="F3039" s="22">
        <v>139.388</v>
      </c>
      <c r="G3039" s="22">
        <v>0.0</v>
      </c>
      <c r="H3039" s="22">
        <v>0.0</v>
      </c>
      <c r="I3039" s="22">
        <v>0.0</v>
      </c>
      <c r="J3039" s="22">
        <v>3.85</v>
      </c>
      <c r="K3039" s="22">
        <v>0.0</v>
      </c>
      <c r="L3039" s="22">
        <v>143.238</v>
      </c>
      <c r="M3039" s="22">
        <v>71.857</v>
      </c>
      <c r="N3039" s="22">
        <v>171.16</v>
      </c>
      <c r="O3039" s="24">
        <v>71.5</v>
      </c>
      <c r="P3039" s="18">
        <f t="shared" si="1"/>
        <v>143.238</v>
      </c>
    </row>
    <row r="3040" ht="15.75" customHeight="1">
      <c r="A3040" s="13" t="s">
        <v>235</v>
      </c>
      <c r="B3040" s="13" t="s">
        <v>133</v>
      </c>
      <c r="C3040" s="14" t="s">
        <v>155</v>
      </c>
      <c r="D3040" s="14" t="str">
        <f>VLOOKUP(C3040,'State Key'!$A$2:$B$210,2,False)</f>
        <v>Maharashtra</v>
      </c>
      <c r="E3040" s="15">
        <v>120.0</v>
      </c>
      <c r="F3040" s="16">
        <v>0.0</v>
      </c>
      <c r="G3040" s="16">
        <v>0.0</v>
      </c>
      <c r="H3040" s="16">
        <v>0.0</v>
      </c>
      <c r="I3040" s="16">
        <v>0.0</v>
      </c>
      <c r="J3040" s="16">
        <v>0.0</v>
      </c>
      <c r="K3040" s="16">
        <v>0.0</v>
      </c>
      <c r="L3040" s="16">
        <v>0.0</v>
      </c>
      <c r="M3040" s="16">
        <v>0.0</v>
      </c>
      <c r="N3040" s="16">
        <v>0.0</v>
      </c>
      <c r="O3040" s="13" t="s">
        <v>58</v>
      </c>
      <c r="P3040" s="18">
        <f t="shared" si="1"/>
        <v>0</v>
      </c>
    </row>
    <row r="3041" ht="15.75" customHeight="1">
      <c r="A3041" s="19" t="s">
        <v>235</v>
      </c>
      <c r="B3041" s="19" t="s">
        <v>133</v>
      </c>
      <c r="C3041" s="20" t="s">
        <v>156</v>
      </c>
      <c r="D3041" s="14" t="str">
        <f>VLOOKUP(C3041,'State Key'!$A$2:$B$210,2,False)</f>
        <v>Maharashtra</v>
      </c>
      <c r="E3041" s="21">
        <v>600.0</v>
      </c>
      <c r="F3041" s="22">
        <v>96.799</v>
      </c>
      <c r="G3041" s="22">
        <v>0.0</v>
      </c>
      <c r="H3041" s="22">
        <v>0.0</v>
      </c>
      <c r="I3041" s="22">
        <v>62.403</v>
      </c>
      <c r="J3041" s="22">
        <v>0.0</v>
      </c>
      <c r="K3041" s="22">
        <v>0.0</v>
      </c>
      <c r="L3041" s="22">
        <v>159.202</v>
      </c>
      <c r="M3041" s="22">
        <v>188.979</v>
      </c>
      <c r="N3041" s="22">
        <v>72.31</v>
      </c>
      <c r="O3041" s="23">
        <v>11.5</v>
      </c>
      <c r="P3041" s="18">
        <f t="shared" si="1"/>
        <v>159.202</v>
      </c>
    </row>
    <row r="3042" ht="15.75" customHeight="1">
      <c r="A3042" s="13" t="s">
        <v>235</v>
      </c>
      <c r="B3042" s="13" t="s">
        <v>133</v>
      </c>
      <c r="C3042" s="14" t="s">
        <v>157</v>
      </c>
      <c r="D3042" s="14" t="str">
        <f>VLOOKUP(C3042,'State Key'!$A$2:$B$210,2,False)</f>
        <v>Maharashtra</v>
      </c>
      <c r="E3042" s="15">
        <v>300.0</v>
      </c>
      <c r="F3042" s="16">
        <v>0.0</v>
      </c>
      <c r="G3042" s="16">
        <v>0.0</v>
      </c>
      <c r="H3042" s="16">
        <v>0.0</v>
      </c>
      <c r="I3042" s="16">
        <v>0.0</v>
      </c>
      <c r="J3042" s="16">
        <v>75.0</v>
      </c>
      <c r="K3042" s="16">
        <v>0.0</v>
      </c>
      <c r="L3042" s="16">
        <v>75.0</v>
      </c>
      <c r="M3042" s="16">
        <v>70.51</v>
      </c>
      <c r="N3042" s="16">
        <v>37.14</v>
      </c>
      <c r="O3042" s="24">
        <v>15.8</v>
      </c>
      <c r="P3042" s="18">
        <f t="shared" si="1"/>
        <v>75</v>
      </c>
    </row>
    <row r="3043" ht="15.75" customHeight="1">
      <c r="A3043" s="19" t="s">
        <v>235</v>
      </c>
      <c r="B3043" s="19" t="s">
        <v>133</v>
      </c>
      <c r="C3043" s="20" t="s">
        <v>158</v>
      </c>
      <c r="D3043" s="14" t="str">
        <f>VLOOKUP(C3043,'State Key'!$A$2:$B$210,2,False)</f>
        <v>Chhattisgarh</v>
      </c>
      <c r="E3043" s="21">
        <v>270.0</v>
      </c>
      <c r="F3043" s="22">
        <v>50.5087</v>
      </c>
      <c r="G3043" s="22">
        <v>0.0</v>
      </c>
      <c r="H3043" s="22">
        <v>0.0</v>
      </c>
      <c r="I3043" s="22">
        <v>0.0</v>
      </c>
      <c r="J3043" s="22">
        <v>0.0</v>
      </c>
      <c r="K3043" s="22">
        <v>28.152</v>
      </c>
      <c r="L3043" s="22">
        <v>78.6607</v>
      </c>
      <c r="M3043" s="22">
        <v>69.92</v>
      </c>
      <c r="N3043" s="22">
        <v>225.02</v>
      </c>
      <c r="O3043" s="24">
        <v>96.5</v>
      </c>
      <c r="P3043" s="18">
        <f t="shared" si="1"/>
        <v>78.6607</v>
      </c>
    </row>
    <row r="3044" ht="15.75" customHeight="1">
      <c r="A3044" s="13" t="s">
        <v>235</v>
      </c>
      <c r="B3044" s="13" t="s">
        <v>133</v>
      </c>
      <c r="C3044" s="14" t="s">
        <v>159</v>
      </c>
      <c r="D3044" s="14" t="str">
        <f>VLOOKUP(C3044,'State Key'!$A$2:$B$210,2,False)</f>
        <v>Chhattisgarh</v>
      </c>
      <c r="E3044" s="15">
        <v>35.0</v>
      </c>
      <c r="F3044" s="16">
        <v>0.0</v>
      </c>
      <c r="G3044" s="16">
        <v>0.0</v>
      </c>
      <c r="H3044" s="16">
        <v>0.0</v>
      </c>
      <c r="I3044" s="16">
        <v>0.0</v>
      </c>
      <c r="J3044" s="16">
        <v>0.0</v>
      </c>
      <c r="K3044" s="16">
        <v>0.0</v>
      </c>
      <c r="L3044" s="16">
        <v>0.0</v>
      </c>
      <c r="M3044" s="16">
        <v>0.0</v>
      </c>
      <c r="N3044" s="16">
        <v>0.0</v>
      </c>
      <c r="O3044" s="13" t="s">
        <v>58</v>
      </c>
      <c r="P3044" s="18">
        <f t="shared" si="1"/>
        <v>0</v>
      </c>
    </row>
    <row r="3045" ht="15.75" customHeight="1">
      <c r="A3045" s="19" t="s">
        <v>235</v>
      </c>
      <c r="B3045" s="19" t="s">
        <v>133</v>
      </c>
      <c r="C3045" s="20" t="s">
        <v>160</v>
      </c>
      <c r="D3045" s="14" t="str">
        <f>VLOOKUP(C3045,'State Key'!$A$2:$B$210,2,False)</f>
        <v>Maharashtra</v>
      </c>
      <c r="E3045" s="21">
        <v>1340.0</v>
      </c>
      <c r="F3045" s="22">
        <v>502.193</v>
      </c>
      <c r="G3045" s="22">
        <v>0.0</v>
      </c>
      <c r="H3045" s="22">
        <v>0.0</v>
      </c>
      <c r="I3045" s="22">
        <v>0.0</v>
      </c>
      <c r="J3045" s="22">
        <v>0.0</v>
      </c>
      <c r="K3045" s="22">
        <v>0.53</v>
      </c>
      <c r="L3045" s="22">
        <v>502.723</v>
      </c>
      <c r="M3045" s="22">
        <v>591.944</v>
      </c>
      <c r="N3045" s="22">
        <v>209.55</v>
      </c>
      <c r="O3045" s="23">
        <v>10.6</v>
      </c>
      <c r="P3045" s="18">
        <f t="shared" si="1"/>
        <v>502.723</v>
      </c>
    </row>
    <row r="3046" ht="15.75" customHeight="1">
      <c r="A3046" s="13" t="s">
        <v>235</v>
      </c>
      <c r="B3046" s="13" t="s">
        <v>133</v>
      </c>
      <c r="C3046" s="14" t="s">
        <v>161</v>
      </c>
      <c r="D3046" s="14" t="str">
        <f>VLOOKUP(C3046,'State Key'!$A$2:$B$210,2,False)</f>
        <v>Madhya Pradesh</v>
      </c>
      <c r="E3046" s="15">
        <v>1320.0</v>
      </c>
      <c r="F3046" s="16">
        <v>67.41</v>
      </c>
      <c r="G3046" s="16">
        <v>0.0</v>
      </c>
      <c r="H3046" s="16">
        <v>55.21</v>
      </c>
      <c r="I3046" s="16">
        <v>0.0</v>
      </c>
      <c r="J3046" s="16">
        <v>40.21</v>
      </c>
      <c r="K3046" s="16">
        <v>0.0</v>
      </c>
      <c r="L3046" s="16">
        <v>162.83</v>
      </c>
      <c r="M3046" s="16">
        <v>404.635</v>
      </c>
      <c r="N3046" s="16">
        <v>509.072</v>
      </c>
      <c r="O3046" s="24">
        <v>37.7</v>
      </c>
      <c r="P3046" s="18">
        <f t="shared" si="1"/>
        <v>162.83</v>
      </c>
    </row>
    <row r="3047" ht="15.75" customHeight="1">
      <c r="A3047" s="19" t="s">
        <v>235</v>
      </c>
      <c r="B3047" s="19" t="s">
        <v>133</v>
      </c>
      <c r="C3047" s="20" t="s">
        <v>162</v>
      </c>
      <c r="D3047" s="14" t="str">
        <f>VLOOKUP(C3047,'State Key'!$A$2:$B$210,2,False)</f>
        <v>Maharashtra</v>
      </c>
      <c r="E3047" s="21">
        <v>2190.0</v>
      </c>
      <c r="F3047" s="22">
        <v>742.625</v>
      </c>
      <c r="G3047" s="22">
        <v>90.647</v>
      </c>
      <c r="H3047" s="22">
        <v>0.0</v>
      </c>
      <c r="I3047" s="22">
        <v>0.0</v>
      </c>
      <c r="J3047" s="22">
        <v>0.0</v>
      </c>
      <c r="K3047" s="22">
        <v>0.0</v>
      </c>
      <c r="L3047" s="22">
        <v>833.272</v>
      </c>
      <c r="M3047" s="22">
        <v>755.335</v>
      </c>
      <c r="N3047" s="22">
        <v>414.92</v>
      </c>
      <c r="O3047" s="24">
        <v>16.5</v>
      </c>
      <c r="P3047" s="18">
        <f t="shared" si="1"/>
        <v>833.272</v>
      </c>
    </row>
    <row r="3048" ht="15.75" customHeight="1">
      <c r="A3048" s="13" t="s">
        <v>235</v>
      </c>
      <c r="B3048" s="13" t="s">
        <v>133</v>
      </c>
      <c r="C3048" s="14" t="s">
        <v>163</v>
      </c>
      <c r="D3048" s="14" t="str">
        <f>VLOOKUP(C3048,'State Key'!$A$2:$B$210,2,False)</f>
        <v>Chhattisgarh</v>
      </c>
      <c r="E3048" s="15">
        <v>2600.0</v>
      </c>
      <c r="F3048" s="16">
        <v>1015.29</v>
      </c>
      <c r="G3048" s="16">
        <v>0.0</v>
      </c>
      <c r="H3048" s="16">
        <v>0.0</v>
      </c>
      <c r="I3048" s="16">
        <v>0.0</v>
      </c>
      <c r="J3048" s="16">
        <v>0.0</v>
      </c>
      <c r="K3048" s="16">
        <v>0.0</v>
      </c>
      <c r="L3048" s="16">
        <v>1015.29</v>
      </c>
      <c r="M3048" s="16">
        <v>1038.465</v>
      </c>
      <c r="N3048" s="16">
        <v>228.13</v>
      </c>
      <c r="O3048" s="17">
        <v>6.6</v>
      </c>
      <c r="P3048" s="18">
        <f t="shared" si="1"/>
        <v>1015.29</v>
      </c>
    </row>
    <row r="3049" ht="15.75" customHeight="1">
      <c r="A3049" s="19" t="s">
        <v>235</v>
      </c>
      <c r="B3049" s="19" t="s">
        <v>133</v>
      </c>
      <c r="C3049" s="20" t="s">
        <v>164</v>
      </c>
      <c r="D3049" s="14" t="str">
        <f>VLOOKUP(C3049,'State Key'!$A$2:$B$210,2,False)</f>
        <v>Chhattisgarh</v>
      </c>
      <c r="E3049" s="21">
        <v>1340.0</v>
      </c>
      <c r="F3049" s="22">
        <v>489.001</v>
      </c>
      <c r="G3049" s="22">
        <v>0.0</v>
      </c>
      <c r="H3049" s="22">
        <v>0.0</v>
      </c>
      <c r="I3049" s="22">
        <v>0.0</v>
      </c>
      <c r="J3049" s="22">
        <v>0.0</v>
      </c>
      <c r="K3049" s="22">
        <v>0.0</v>
      </c>
      <c r="L3049" s="22">
        <v>489.001</v>
      </c>
      <c r="M3049" s="22">
        <v>475.748</v>
      </c>
      <c r="N3049" s="22">
        <v>111.01</v>
      </c>
      <c r="O3049" s="23">
        <v>7.0</v>
      </c>
      <c r="P3049" s="18">
        <f t="shared" si="1"/>
        <v>489.001</v>
      </c>
    </row>
    <row r="3050" ht="15.75" customHeight="1">
      <c r="A3050" s="13" t="s">
        <v>235</v>
      </c>
      <c r="B3050" s="13" t="s">
        <v>133</v>
      </c>
      <c r="C3050" s="14" t="s">
        <v>165</v>
      </c>
      <c r="D3050" s="14" t="str">
        <f>VLOOKUP(C3050,'State Key'!$A$2:$B$210,2,False)</f>
        <v>Chhattisgarh</v>
      </c>
      <c r="E3050" s="15">
        <v>1600.0</v>
      </c>
      <c r="F3050" s="16">
        <v>0.0</v>
      </c>
      <c r="G3050" s="16">
        <v>0.0</v>
      </c>
      <c r="H3050" s="16">
        <v>577.57</v>
      </c>
      <c r="I3050" s="16">
        <v>0.0</v>
      </c>
      <c r="J3050" s="16">
        <v>0.0</v>
      </c>
      <c r="K3050" s="16">
        <v>0.0</v>
      </c>
      <c r="L3050" s="16">
        <v>577.57</v>
      </c>
      <c r="M3050" s="16">
        <v>767.187</v>
      </c>
      <c r="N3050" s="16">
        <v>297.53</v>
      </c>
      <c r="O3050" s="23">
        <v>11.6</v>
      </c>
      <c r="P3050" s="18">
        <f t="shared" si="1"/>
        <v>577.57</v>
      </c>
    </row>
    <row r="3051" ht="15.75" customHeight="1">
      <c r="A3051" s="19" t="s">
        <v>235</v>
      </c>
      <c r="B3051" s="19" t="s">
        <v>133</v>
      </c>
      <c r="C3051" s="20" t="s">
        <v>166</v>
      </c>
      <c r="D3051" s="14" t="str">
        <f>VLOOKUP(C3051,'State Key'!$A$2:$B$210,2,False)</f>
        <v>Madhya Pradesh</v>
      </c>
      <c r="E3051" s="21">
        <v>1200.0</v>
      </c>
      <c r="F3051" s="22">
        <v>142.557</v>
      </c>
      <c r="G3051" s="22">
        <v>0.0</v>
      </c>
      <c r="H3051" s="22">
        <v>0.0</v>
      </c>
      <c r="I3051" s="22">
        <v>0.0</v>
      </c>
      <c r="J3051" s="22">
        <v>0.0</v>
      </c>
      <c r="K3051" s="22">
        <v>136.258</v>
      </c>
      <c r="L3051" s="22">
        <v>278.815</v>
      </c>
      <c r="M3051" s="22">
        <v>416.818</v>
      </c>
      <c r="N3051" s="22">
        <v>215.62</v>
      </c>
      <c r="O3051" s="24">
        <v>15.5</v>
      </c>
      <c r="P3051" s="18">
        <f t="shared" si="1"/>
        <v>278.815</v>
      </c>
    </row>
    <row r="3052" ht="15.75" customHeight="1">
      <c r="A3052" s="13" t="s">
        <v>235</v>
      </c>
      <c r="B3052" s="13" t="s">
        <v>133</v>
      </c>
      <c r="C3052" s="14" t="s">
        <v>167</v>
      </c>
      <c r="D3052" s="14" t="str">
        <f>VLOOKUP(C3052,'State Key'!$A$2:$B$210,2,False)</f>
        <v>Chhattisgarh</v>
      </c>
      <c r="E3052" s="15">
        <v>1000.0</v>
      </c>
      <c r="F3052" s="16">
        <v>60.314</v>
      </c>
      <c r="G3052" s="16">
        <v>0.0</v>
      </c>
      <c r="H3052" s="16">
        <v>262.385</v>
      </c>
      <c r="I3052" s="16">
        <v>0.0</v>
      </c>
      <c r="J3052" s="16">
        <v>0.0</v>
      </c>
      <c r="K3052" s="16">
        <v>0.0</v>
      </c>
      <c r="L3052" s="16">
        <v>322.699</v>
      </c>
      <c r="M3052" s="16">
        <v>465.044</v>
      </c>
      <c r="N3052" s="16">
        <v>202.8</v>
      </c>
      <c r="O3052" s="23">
        <v>13.1</v>
      </c>
      <c r="P3052" s="18">
        <f t="shared" si="1"/>
        <v>322.699</v>
      </c>
    </row>
    <row r="3053" ht="15.75" customHeight="1">
      <c r="A3053" s="19" t="s">
        <v>235</v>
      </c>
      <c r="B3053" s="19" t="s">
        <v>133</v>
      </c>
      <c r="C3053" s="20" t="s">
        <v>168</v>
      </c>
      <c r="D3053" s="14" t="str">
        <f>VLOOKUP(C3053,'State Key'!$A$2:$B$210,2,False)</f>
        <v>Maharashtra</v>
      </c>
      <c r="E3053" s="21">
        <v>2320.0</v>
      </c>
      <c r="F3053" s="22">
        <v>577.04</v>
      </c>
      <c r="G3053" s="22">
        <v>53.28</v>
      </c>
      <c r="H3053" s="22">
        <v>42.7</v>
      </c>
      <c r="I3053" s="22">
        <v>0.0</v>
      </c>
      <c r="J3053" s="22">
        <v>139.39</v>
      </c>
      <c r="K3053" s="22">
        <v>0.0</v>
      </c>
      <c r="L3053" s="22">
        <v>812.41</v>
      </c>
      <c r="M3053" s="22">
        <v>794.686</v>
      </c>
      <c r="N3053" s="22">
        <v>620.02</v>
      </c>
      <c r="O3053" s="24">
        <v>23.4</v>
      </c>
      <c r="P3053" s="18">
        <f t="shared" si="1"/>
        <v>812.41</v>
      </c>
    </row>
    <row r="3054" ht="15.75" customHeight="1">
      <c r="A3054" s="13" t="s">
        <v>235</v>
      </c>
      <c r="B3054" s="13" t="s">
        <v>133</v>
      </c>
      <c r="C3054" s="14" t="s">
        <v>169</v>
      </c>
      <c r="D3054" s="14" t="str">
        <f>VLOOKUP(C3054,'State Key'!$A$2:$B$210,2,False)</f>
        <v>Madhya Pradesh</v>
      </c>
      <c r="E3054" s="15">
        <v>246.01</v>
      </c>
      <c r="F3054" s="16">
        <v>0.0</v>
      </c>
      <c r="G3054" s="16">
        <v>0.0</v>
      </c>
      <c r="H3054" s="16">
        <v>0.0</v>
      </c>
      <c r="I3054" s="16">
        <v>0.0</v>
      </c>
      <c r="J3054" s="16">
        <v>0.0</v>
      </c>
      <c r="K3054" s="16">
        <v>0.0</v>
      </c>
      <c r="L3054" s="16">
        <v>0.0</v>
      </c>
      <c r="M3054" s="16">
        <v>0.0</v>
      </c>
      <c r="N3054" s="16">
        <v>0.0</v>
      </c>
      <c r="O3054" s="13" t="s">
        <v>58</v>
      </c>
      <c r="P3054" s="18">
        <f t="shared" si="1"/>
        <v>0</v>
      </c>
    </row>
    <row r="3055" ht="15.75" customHeight="1">
      <c r="A3055" s="19" t="s">
        <v>235</v>
      </c>
      <c r="B3055" s="19" t="s">
        <v>133</v>
      </c>
      <c r="C3055" s="20" t="s">
        <v>172</v>
      </c>
      <c r="D3055" s="14" t="str">
        <f>VLOOKUP(C3055,'State Key'!$A$2:$B$210,2,False)</f>
        <v>Gujarat</v>
      </c>
      <c r="E3055" s="21">
        <v>4000.0</v>
      </c>
      <c r="F3055" s="22">
        <v>0.0</v>
      </c>
      <c r="G3055" s="22">
        <v>0.0</v>
      </c>
      <c r="H3055" s="22">
        <v>0.0</v>
      </c>
      <c r="I3055" s="22">
        <v>0.0</v>
      </c>
      <c r="J3055" s="22">
        <v>1065.697</v>
      </c>
      <c r="K3055" s="22">
        <v>0.0</v>
      </c>
      <c r="L3055" s="22">
        <v>1065.697</v>
      </c>
      <c r="M3055" s="22">
        <v>763.988</v>
      </c>
      <c r="N3055" s="22">
        <v>681.99</v>
      </c>
      <c r="O3055" s="24">
        <v>26.8</v>
      </c>
      <c r="P3055" s="18">
        <f t="shared" si="1"/>
        <v>1065.697</v>
      </c>
    </row>
    <row r="3056" ht="15.75" customHeight="1">
      <c r="A3056" s="13" t="s">
        <v>235</v>
      </c>
      <c r="B3056" s="13" t="s">
        <v>133</v>
      </c>
      <c r="C3056" s="14" t="s">
        <v>173</v>
      </c>
      <c r="D3056" s="14" t="str">
        <f>VLOOKUP(C3056,'State Key'!$A$2:$B$210,2,False)</f>
        <v>Maharashtra</v>
      </c>
      <c r="E3056" s="15">
        <v>1350.0</v>
      </c>
      <c r="F3056" s="16">
        <v>0.0</v>
      </c>
      <c r="G3056" s="16">
        <v>0.0</v>
      </c>
      <c r="H3056" s="16">
        <v>0.0</v>
      </c>
      <c r="I3056" s="16">
        <v>0.0</v>
      </c>
      <c r="J3056" s="16">
        <v>0.0</v>
      </c>
      <c r="K3056" s="16">
        <v>0.0</v>
      </c>
      <c r="L3056" s="16">
        <v>0.0</v>
      </c>
      <c r="M3056" s="16">
        <v>0.0</v>
      </c>
      <c r="N3056" s="16">
        <v>0.0</v>
      </c>
      <c r="O3056" s="13" t="s">
        <v>58</v>
      </c>
      <c r="P3056" s="18">
        <f t="shared" si="1"/>
        <v>0</v>
      </c>
    </row>
    <row r="3057" ht="15.75" customHeight="1">
      <c r="A3057" s="19" t="s">
        <v>235</v>
      </c>
      <c r="B3057" s="19" t="s">
        <v>133</v>
      </c>
      <c r="C3057" s="20" t="s">
        <v>174</v>
      </c>
      <c r="D3057" s="14" t="str">
        <f>VLOOKUP(C3057,'State Key'!$A$2:$B$210,2,False)</f>
        <v>Maharashtra</v>
      </c>
      <c r="E3057" s="21">
        <v>630.0</v>
      </c>
      <c r="F3057" s="22">
        <v>169.264</v>
      </c>
      <c r="G3057" s="22">
        <v>0.0</v>
      </c>
      <c r="H3057" s="22">
        <v>0.0</v>
      </c>
      <c r="I3057" s="22">
        <v>0.0</v>
      </c>
      <c r="J3057" s="22">
        <v>0.0</v>
      </c>
      <c r="K3057" s="22">
        <v>0.0</v>
      </c>
      <c r="L3057" s="22">
        <v>169.264</v>
      </c>
      <c r="M3057" s="22">
        <v>183.426</v>
      </c>
      <c r="N3057" s="22">
        <v>333.04</v>
      </c>
      <c r="O3057" s="24">
        <v>54.5</v>
      </c>
      <c r="P3057" s="18">
        <f t="shared" si="1"/>
        <v>169.264</v>
      </c>
    </row>
    <row r="3058" ht="15.75" customHeight="1">
      <c r="A3058" s="13" t="s">
        <v>235</v>
      </c>
      <c r="B3058" s="13" t="s">
        <v>133</v>
      </c>
      <c r="C3058" s="14" t="s">
        <v>175</v>
      </c>
      <c r="D3058" s="14" t="str">
        <f>VLOOKUP(C3058,'State Key'!$A$2:$B$210,2,False)</f>
        <v>Chhattisgarh</v>
      </c>
      <c r="E3058" s="15">
        <v>600.0</v>
      </c>
      <c r="F3058" s="16">
        <v>144.733</v>
      </c>
      <c r="G3058" s="16">
        <v>0.0</v>
      </c>
      <c r="H3058" s="16">
        <v>0.0</v>
      </c>
      <c r="I3058" s="16">
        <v>0.0</v>
      </c>
      <c r="J3058" s="16">
        <v>0.0</v>
      </c>
      <c r="K3058" s="16">
        <v>0.0</v>
      </c>
      <c r="L3058" s="16">
        <v>144.733</v>
      </c>
      <c r="M3058" s="16">
        <v>265.575</v>
      </c>
      <c r="N3058" s="16">
        <v>210.82</v>
      </c>
      <c r="O3058" s="24">
        <v>23.8</v>
      </c>
      <c r="P3058" s="18">
        <f t="shared" si="1"/>
        <v>144.733</v>
      </c>
    </row>
    <row r="3059" ht="15.75" customHeight="1">
      <c r="A3059" s="19" t="s">
        <v>235</v>
      </c>
      <c r="B3059" s="19" t="s">
        <v>133</v>
      </c>
      <c r="C3059" s="20" t="s">
        <v>176</v>
      </c>
      <c r="D3059" s="14" t="str">
        <f>VLOOKUP(C3059,'State Key'!$A$2:$B$210,2,False)</f>
        <v>Madhya Pradesh</v>
      </c>
      <c r="E3059" s="21">
        <v>1320.0</v>
      </c>
      <c r="F3059" s="22">
        <v>0.0</v>
      </c>
      <c r="G3059" s="22">
        <v>0.0</v>
      </c>
      <c r="H3059" s="22">
        <v>99.148</v>
      </c>
      <c r="I3059" s="22">
        <v>54.8286</v>
      </c>
      <c r="J3059" s="22">
        <v>0.0</v>
      </c>
      <c r="K3059" s="22">
        <v>0.0</v>
      </c>
      <c r="L3059" s="22">
        <v>153.9766</v>
      </c>
      <c r="M3059" s="22">
        <v>291.974</v>
      </c>
      <c r="N3059" s="22">
        <v>192.9654</v>
      </c>
      <c r="O3059" s="24">
        <v>19.8</v>
      </c>
      <c r="P3059" s="18">
        <f t="shared" si="1"/>
        <v>153.9766</v>
      </c>
    </row>
    <row r="3060" ht="15.75" customHeight="1">
      <c r="A3060" s="13" t="s">
        <v>235</v>
      </c>
      <c r="B3060" s="13" t="s">
        <v>133</v>
      </c>
      <c r="C3060" s="14" t="s">
        <v>177</v>
      </c>
      <c r="D3060" s="14" t="str">
        <f>VLOOKUP(C3060,'State Key'!$A$2:$B$210,2,False)</f>
        <v>Madhya Pradesh</v>
      </c>
      <c r="E3060" s="15">
        <v>90.0</v>
      </c>
      <c r="F3060" s="16">
        <v>12.33</v>
      </c>
      <c r="G3060" s="16">
        <v>0.0</v>
      </c>
      <c r="H3060" s="16">
        <v>0.0</v>
      </c>
      <c r="I3060" s="16">
        <v>0.0</v>
      </c>
      <c r="J3060" s="16">
        <v>0.0</v>
      </c>
      <c r="K3060" s="16">
        <v>24.748</v>
      </c>
      <c r="L3060" s="16">
        <v>37.078</v>
      </c>
      <c r="M3060" s="16">
        <v>34.719</v>
      </c>
      <c r="N3060" s="16">
        <v>93.13</v>
      </c>
      <c r="O3060" s="24">
        <v>80.5</v>
      </c>
      <c r="P3060" s="18">
        <f t="shared" si="1"/>
        <v>37.078</v>
      </c>
    </row>
    <row r="3061" ht="15.75" customHeight="1">
      <c r="A3061" s="19" t="s">
        <v>235</v>
      </c>
      <c r="B3061" s="19" t="s">
        <v>133</v>
      </c>
      <c r="C3061" s="20" t="s">
        <v>178</v>
      </c>
      <c r="D3061" s="14" t="str">
        <f>VLOOKUP(C3061,'State Key'!$A$2:$B$210,2,False)</f>
        <v>Chhattisgarh</v>
      </c>
      <c r="E3061" s="21">
        <v>1000.0</v>
      </c>
      <c r="F3061" s="22">
        <v>57.406</v>
      </c>
      <c r="G3061" s="22">
        <v>0.0</v>
      </c>
      <c r="H3061" s="22">
        <v>0.0</v>
      </c>
      <c r="I3061" s="22">
        <v>185.547</v>
      </c>
      <c r="J3061" s="22">
        <v>0.0</v>
      </c>
      <c r="K3061" s="22">
        <v>55.186</v>
      </c>
      <c r="L3061" s="22">
        <v>298.139</v>
      </c>
      <c r="M3061" s="22">
        <v>531.773</v>
      </c>
      <c r="N3061" s="22">
        <v>275.311</v>
      </c>
      <c r="O3061" s="24">
        <v>15.5</v>
      </c>
      <c r="P3061" s="18">
        <f t="shared" si="1"/>
        <v>298.139</v>
      </c>
    </row>
    <row r="3062" ht="15.75" customHeight="1">
      <c r="A3062" s="13" t="s">
        <v>235</v>
      </c>
      <c r="B3062" s="13" t="s">
        <v>133</v>
      </c>
      <c r="C3062" s="14" t="s">
        <v>179</v>
      </c>
      <c r="D3062" s="14" t="str">
        <f>VLOOKUP(C3062,'State Key'!$A$2:$B$210,2,False)</f>
        <v>Maharashtra</v>
      </c>
      <c r="E3062" s="15">
        <v>500.0</v>
      </c>
      <c r="F3062" s="16">
        <v>87.828</v>
      </c>
      <c r="G3062" s="16">
        <v>0.0</v>
      </c>
      <c r="H3062" s="16">
        <v>0.0</v>
      </c>
      <c r="I3062" s="16">
        <v>0.0</v>
      </c>
      <c r="J3062" s="16">
        <v>0.0</v>
      </c>
      <c r="K3062" s="16">
        <v>0.0</v>
      </c>
      <c r="L3062" s="16">
        <v>87.828</v>
      </c>
      <c r="M3062" s="16">
        <v>156.684</v>
      </c>
      <c r="N3062" s="16">
        <v>123.8</v>
      </c>
      <c r="O3062" s="24">
        <v>23.7</v>
      </c>
      <c r="P3062" s="18">
        <f t="shared" si="1"/>
        <v>87.828</v>
      </c>
    </row>
    <row r="3063" ht="15.75" customHeight="1">
      <c r="A3063" s="19" t="s">
        <v>235</v>
      </c>
      <c r="B3063" s="19" t="s">
        <v>133</v>
      </c>
      <c r="C3063" s="20" t="s">
        <v>180</v>
      </c>
      <c r="D3063" s="14" t="str">
        <f>VLOOKUP(C3063,'State Key'!$A$2:$B$210,2,False)</f>
        <v>Maharashtra</v>
      </c>
      <c r="E3063" s="21">
        <v>750.0</v>
      </c>
      <c r="F3063" s="22">
        <v>83.109</v>
      </c>
      <c r="G3063" s="22">
        <v>120.747</v>
      </c>
      <c r="H3063" s="22">
        <v>0.0</v>
      </c>
      <c r="I3063" s="22">
        <v>0.0</v>
      </c>
      <c r="J3063" s="22">
        <v>0.0</v>
      </c>
      <c r="K3063" s="22">
        <v>0.0</v>
      </c>
      <c r="L3063" s="22">
        <v>203.856</v>
      </c>
      <c r="M3063" s="22">
        <v>176.073</v>
      </c>
      <c r="N3063" s="22">
        <v>155.18</v>
      </c>
      <c r="O3063" s="24">
        <v>26.4</v>
      </c>
      <c r="P3063" s="18">
        <f t="shared" si="1"/>
        <v>203.856</v>
      </c>
    </row>
    <row r="3064" ht="15.75" customHeight="1">
      <c r="A3064" s="13" t="s">
        <v>235</v>
      </c>
      <c r="B3064" s="13" t="s">
        <v>133</v>
      </c>
      <c r="C3064" s="14" t="s">
        <v>181</v>
      </c>
      <c r="D3064" s="14" t="str">
        <f>VLOOKUP(C3064,'State Key'!$A$2:$B$210,2,False)</f>
        <v>Chhattisgarh</v>
      </c>
      <c r="E3064" s="15">
        <v>600.0</v>
      </c>
      <c r="F3064" s="16">
        <v>128.42</v>
      </c>
      <c r="G3064" s="16">
        <v>0.0</v>
      </c>
      <c r="H3064" s="16">
        <v>0.0</v>
      </c>
      <c r="I3064" s="16">
        <v>0.0</v>
      </c>
      <c r="J3064" s="16">
        <v>0.0</v>
      </c>
      <c r="K3064" s="16">
        <v>0.0</v>
      </c>
      <c r="L3064" s="16">
        <v>128.42</v>
      </c>
      <c r="M3064" s="16">
        <v>150.8</v>
      </c>
      <c r="N3064" s="16">
        <v>139.32</v>
      </c>
      <c r="O3064" s="24">
        <v>27.7</v>
      </c>
      <c r="P3064" s="18">
        <f t="shared" si="1"/>
        <v>128.42</v>
      </c>
    </row>
    <row r="3065" ht="15.75" customHeight="1">
      <c r="A3065" s="19" t="s">
        <v>235</v>
      </c>
      <c r="B3065" s="19" t="s">
        <v>133</v>
      </c>
      <c r="C3065" s="20" t="s">
        <v>183</v>
      </c>
      <c r="D3065" s="14" t="str">
        <f>VLOOKUP(C3065,'State Key'!$A$2:$B$210,2,False)</f>
        <v>Chhattisgarh</v>
      </c>
      <c r="E3065" s="21">
        <v>100.0</v>
      </c>
      <c r="F3065" s="22">
        <v>0.0</v>
      </c>
      <c r="G3065" s="22">
        <v>0.0</v>
      </c>
      <c r="H3065" s="22">
        <v>0.0</v>
      </c>
      <c r="I3065" s="22">
        <v>0.0</v>
      </c>
      <c r="J3065" s="22">
        <v>0.0</v>
      </c>
      <c r="K3065" s="22">
        <v>58.822</v>
      </c>
      <c r="L3065" s="22">
        <v>58.822</v>
      </c>
      <c r="M3065" s="22">
        <v>71.25</v>
      </c>
      <c r="N3065" s="22">
        <v>4.64</v>
      </c>
      <c r="O3065" s="17">
        <v>2.0</v>
      </c>
      <c r="P3065" s="18">
        <f t="shared" si="1"/>
        <v>58.822</v>
      </c>
    </row>
    <row r="3066" ht="15.75" customHeight="1">
      <c r="A3066" s="13" t="s">
        <v>235</v>
      </c>
      <c r="B3066" s="13" t="s">
        <v>133</v>
      </c>
      <c r="C3066" s="14" t="s">
        <v>184</v>
      </c>
      <c r="D3066" s="14" t="str">
        <f>VLOOKUP(C3066,'State Key'!$A$2:$B$210,2,False)</f>
        <v>Gujarat</v>
      </c>
      <c r="E3066" s="15">
        <v>362.0</v>
      </c>
      <c r="F3066" s="16">
        <v>90.63</v>
      </c>
      <c r="G3066" s="16">
        <v>0.0</v>
      </c>
      <c r="H3066" s="16">
        <v>0.0</v>
      </c>
      <c r="I3066" s="16">
        <v>0.0</v>
      </c>
      <c r="J3066" s="16">
        <v>50.82</v>
      </c>
      <c r="K3066" s="16">
        <v>0.0</v>
      </c>
      <c r="L3066" s="16">
        <v>141.45</v>
      </c>
      <c r="M3066" s="16">
        <v>123.01</v>
      </c>
      <c r="N3066" s="16">
        <v>131.26</v>
      </c>
      <c r="O3066" s="24">
        <v>32.0</v>
      </c>
      <c r="P3066" s="18">
        <f t="shared" si="1"/>
        <v>141.45</v>
      </c>
    </row>
    <row r="3067" ht="15.75" customHeight="1">
      <c r="A3067" s="19" t="s">
        <v>235</v>
      </c>
      <c r="B3067" s="19" t="s">
        <v>133</v>
      </c>
      <c r="C3067" s="20" t="s">
        <v>185</v>
      </c>
      <c r="D3067" s="14" t="str">
        <f>VLOOKUP(C3067,'State Key'!$A$2:$B$210,2,False)</f>
        <v>Gujarat</v>
      </c>
      <c r="E3067" s="21">
        <v>1200.0</v>
      </c>
      <c r="F3067" s="22">
        <v>0.0</v>
      </c>
      <c r="G3067" s="22">
        <v>0.0</v>
      </c>
      <c r="H3067" s="22">
        <v>0.0</v>
      </c>
      <c r="I3067" s="22">
        <v>0.0</v>
      </c>
      <c r="J3067" s="22">
        <v>73.54</v>
      </c>
      <c r="K3067" s="22">
        <v>0.0</v>
      </c>
      <c r="L3067" s="22">
        <v>73.54</v>
      </c>
      <c r="M3067" s="22">
        <v>184.1044</v>
      </c>
      <c r="N3067" s="22">
        <v>72.94</v>
      </c>
      <c r="O3067" s="23">
        <v>11.9</v>
      </c>
      <c r="P3067" s="18">
        <f t="shared" si="1"/>
        <v>73.54</v>
      </c>
    </row>
    <row r="3068" ht="15.75" customHeight="1">
      <c r="A3068" s="13" t="s">
        <v>235</v>
      </c>
      <c r="B3068" s="13" t="s">
        <v>133</v>
      </c>
      <c r="C3068" s="14" t="s">
        <v>186</v>
      </c>
      <c r="D3068" s="14" t="str">
        <f>VLOOKUP(C3068,'State Key'!$A$2:$B$210,2,False)</f>
        <v>Chhattisgarh</v>
      </c>
      <c r="E3068" s="15">
        <v>135.0</v>
      </c>
      <c r="F3068" s="16">
        <v>0.0</v>
      </c>
      <c r="G3068" s="16">
        <v>0.0</v>
      </c>
      <c r="H3068" s="16">
        <v>0.0</v>
      </c>
      <c r="I3068" s="16">
        <v>0.0</v>
      </c>
      <c r="J3068" s="16">
        <v>0.0</v>
      </c>
      <c r="K3068" s="16">
        <v>0.0</v>
      </c>
      <c r="L3068" s="16">
        <v>0.0</v>
      </c>
      <c r="M3068" s="16">
        <v>0.0</v>
      </c>
      <c r="N3068" s="16">
        <v>0.0</v>
      </c>
      <c r="O3068" s="13" t="s">
        <v>58</v>
      </c>
      <c r="P3068" s="18">
        <f t="shared" si="1"/>
        <v>0</v>
      </c>
    </row>
    <row r="3069" ht="15.75" customHeight="1">
      <c r="A3069" s="19" t="s">
        <v>235</v>
      </c>
      <c r="B3069" s="19" t="s">
        <v>133</v>
      </c>
      <c r="C3069" s="20" t="s">
        <v>187</v>
      </c>
      <c r="D3069" s="14" t="str">
        <f>VLOOKUP(C3069,'State Key'!$A$2:$B$210,2,False)</f>
        <v>Madhya Pradesh</v>
      </c>
      <c r="E3069" s="21">
        <v>1340.0</v>
      </c>
      <c r="F3069" s="22">
        <v>301.211</v>
      </c>
      <c r="G3069" s="22">
        <v>0.0</v>
      </c>
      <c r="H3069" s="22">
        <v>0.0</v>
      </c>
      <c r="I3069" s="22">
        <v>0.0</v>
      </c>
      <c r="J3069" s="22">
        <v>0.0</v>
      </c>
      <c r="K3069" s="22">
        <v>0.0</v>
      </c>
      <c r="L3069" s="22">
        <v>301.211</v>
      </c>
      <c r="M3069" s="22">
        <v>374.406</v>
      </c>
      <c r="N3069" s="22">
        <v>111.35</v>
      </c>
      <c r="O3069" s="23">
        <v>8.9</v>
      </c>
      <c r="P3069" s="18">
        <f t="shared" si="1"/>
        <v>301.211</v>
      </c>
    </row>
    <row r="3070" ht="15.75" customHeight="1">
      <c r="A3070" s="13" t="s">
        <v>235</v>
      </c>
      <c r="B3070" s="13" t="s">
        <v>133</v>
      </c>
      <c r="C3070" s="14" t="s">
        <v>188</v>
      </c>
      <c r="D3070" s="14" t="str">
        <f>VLOOKUP(C3070,'State Key'!$A$2:$B$210,2,False)</f>
        <v>Madhya Pradesh</v>
      </c>
      <c r="E3070" s="15">
        <v>3960.0</v>
      </c>
      <c r="F3070" s="16">
        <v>0.0</v>
      </c>
      <c r="G3070" s="16">
        <v>0.0</v>
      </c>
      <c r="H3070" s="16">
        <v>1384.89</v>
      </c>
      <c r="I3070" s="16">
        <v>0.0</v>
      </c>
      <c r="J3070" s="16">
        <v>0.0</v>
      </c>
      <c r="K3070" s="16">
        <v>0.0</v>
      </c>
      <c r="L3070" s="16">
        <v>1384.89</v>
      </c>
      <c r="M3070" s="16">
        <v>1622.007</v>
      </c>
      <c r="N3070" s="16">
        <v>79.45</v>
      </c>
      <c r="O3070" s="17">
        <v>1.5</v>
      </c>
      <c r="P3070" s="18">
        <f t="shared" si="1"/>
        <v>1384.89</v>
      </c>
    </row>
    <row r="3071" ht="15.75" customHeight="1">
      <c r="A3071" s="19" t="s">
        <v>235</v>
      </c>
      <c r="B3071" s="19" t="s">
        <v>133</v>
      </c>
      <c r="C3071" s="20" t="s">
        <v>189</v>
      </c>
      <c r="D3071" s="14" t="str">
        <f>VLOOKUP(C3071,'State Key'!$A$2:$B$210,2,False)</f>
        <v>Madhya Pradesh</v>
      </c>
      <c r="E3071" s="21">
        <v>1330.0</v>
      </c>
      <c r="F3071" s="22">
        <v>167.037</v>
      </c>
      <c r="G3071" s="22">
        <v>0.0</v>
      </c>
      <c r="H3071" s="22">
        <v>0.0</v>
      </c>
      <c r="I3071" s="22">
        <v>0.0</v>
      </c>
      <c r="J3071" s="22">
        <v>0.0</v>
      </c>
      <c r="K3071" s="22">
        <v>0.0</v>
      </c>
      <c r="L3071" s="22">
        <v>167.037</v>
      </c>
      <c r="M3071" s="22">
        <v>105.314</v>
      </c>
      <c r="N3071" s="22">
        <v>195.0</v>
      </c>
      <c r="O3071" s="24">
        <v>55.5</v>
      </c>
      <c r="P3071" s="18">
        <f t="shared" si="1"/>
        <v>167.037</v>
      </c>
    </row>
    <row r="3072" ht="15.75" customHeight="1">
      <c r="A3072" s="13" t="s">
        <v>235</v>
      </c>
      <c r="B3072" s="13" t="s">
        <v>133</v>
      </c>
      <c r="C3072" s="14" t="s">
        <v>190</v>
      </c>
      <c r="D3072" s="14" t="str">
        <f>VLOOKUP(C3072,'State Key'!$A$2:$B$210,2,False)</f>
        <v>Madhya Pradesh</v>
      </c>
      <c r="E3072" s="15">
        <v>600.0</v>
      </c>
      <c r="F3072" s="16">
        <v>32.203</v>
      </c>
      <c r="G3072" s="16">
        <v>0.0</v>
      </c>
      <c r="H3072" s="16">
        <v>0.0</v>
      </c>
      <c r="I3072" s="16">
        <v>101.249</v>
      </c>
      <c r="J3072" s="16">
        <v>0.0</v>
      </c>
      <c r="K3072" s="16">
        <v>0.0</v>
      </c>
      <c r="L3072" s="16">
        <v>133.452</v>
      </c>
      <c r="M3072" s="16">
        <v>126.838</v>
      </c>
      <c r="N3072" s="16">
        <v>151.75</v>
      </c>
      <c r="O3072" s="24">
        <v>35.9</v>
      </c>
      <c r="P3072" s="18">
        <f t="shared" si="1"/>
        <v>133.452</v>
      </c>
    </row>
    <row r="3073" ht="15.75" customHeight="1">
      <c r="A3073" s="19" t="s">
        <v>235</v>
      </c>
      <c r="B3073" s="19" t="s">
        <v>133</v>
      </c>
      <c r="C3073" s="20" t="s">
        <v>191</v>
      </c>
      <c r="D3073" s="14" t="str">
        <f>VLOOKUP(C3073,'State Key'!$A$2:$B$210,2,False)</f>
        <v>Maharashtra</v>
      </c>
      <c r="E3073" s="21">
        <v>300.0</v>
      </c>
      <c r="F3073" s="22">
        <v>8.111</v>
      </c>
      <c r="G3073" s="22">
        <v>0.0</v>
      </c>
      <c r="H3073" s="22">
        <v>0.0</v>
      </c>
      <c r="I3073" s="22">
        <v>0.0</v>
      </c>
      <c r="J3073" s="22">
        <v>0.0</v>
      </c>
      <c r="K3073" s="22">
        <v>89.368</v>
      </c>
      <c r="L3073" s="22">
        <v>97.479</v>
      </c>
      <c r="M3073" s="22">
        <v>82.905</v>
      </c>
      <c r="N3073" s="22">
        <v>69.4</v>
      </c>
      <c r="O3073" s="24">
        <v>25.1</v>
      </c>
      <c r="P3073" s="18">
        <f t="shared" si="1"/>
        <v>97.479</v>
      </c>
    </row>
    <row r="3074" ht="15.75" customHeight="1">
      <c r="A3074" s="13" t="s">
        <v>235</v>
      </c>
      <c r="B3074" s="13" t="s">
        <v>133</v>
      </c>
      <c r="C3074" s="14" t="s">
        <v>192</v>
      </c>
      <c r="D3074" s="14" t="str">
        <f>VLOOKUP(C3074,'State Key'!$A$2:$B$210,2,False)</f>
        <v>Madhya Pradesh</v>
      </c>
      <c r="E3074" s="15">
        <v>2520.0</v>
      </c>
      <c r="F3074" s="16">
        <v>675.382</v>
      </c>
      <c r="G3074" s="16">
        <v>0.0</v>
      </c>
      <c r="H3074" s="16">
        <v>0.0</v>
      </c>
      <c r="I3074" s="16">
        <v>0.0</v>
      </c>
      <c r="J3074" s="16">
        <v>0.0</v>
      </c>
      <c r="K3074" s="16">
        <v>0.0</v>
      </c>
      <c r="L3074" s="16">
        <v>675.382</v>
      </c>
      <c r="M3074" s="16">
        <v>631.407</v>
      </c>
      <c r="N3074" s="16">
        <v>325.22</v>
      </c>
      <c r="O3074" s="24">
        <v>15.5</v>
      </c>
      <c r="P3074" s="18">
        <f t="shared" si="1"/>
        <v>675.382</v>
      </c>
    </row>
    <row r="3075" ht="15.75" customHeight="1">
      <c r="A3075" s="19" t="s">
        <v>235</v>
      </c>
      <c r="B3075" s="19" t="s">
        <v>133</v>
      </c>
      <c r="C3075" s="20" t="s">
        <v>193</v>
      </c>
      <c r="D3075" s="14" t="str">
        <f>VLOOKUP(C3075,'State Key'!$A$2:$B$210,2,False)</f>
        <v>Gujarat</v>
      </c>
      <c r="E3075" s="21">
        <v>500.0</v>
      </c>
      <c r="F3075" s="22">
        <v>0.0</v>
      </c>
      <c r="G3075" s="22">
        <v>0.0</v>
      </c>
      <c r="H3075" s="22">
        <v>0.0</v>
      </c>
      <c r="I3075" s="22">
        <v>0.0</v>
      </c>
      <c r="J3075" s="22">
        <v>0.0</v>
      </c>
      <c r="K3075" s="22">
        <v>0.0</v>
      </c>
      <c r="L3075" s="22">
        <v>0.0</v>
      </c>
      <c r="M3075" s="22">
        <v>10.031</v>
      </c>
      <c r="N3075" s="22">
        <v>58.68</v>
      </c>
      <c r="O3075" s="24">
        <v>175.5</v>
      </c>
      <c r="P3075" s="18">
        <f t="shared" si="1"/>
        <v>0</v>
      </c>
    </row>
    <row r="3076" ht="15.75" customHeight="1">
      <c r="A3076" s="13" t="s">
        <v>235</v>
      </c>
      <c r="B3076" s="13" t="s">
        <v>133</v>
      </c>
      <c r="C3076" s="14" t="s">
        <v>194</v>
      </c>
      <c r="D3076" s="14" t="str">
        <f>VLOOKUP(C3076,'State Key'!$A$2:$B$210,2,False)</f>
        <v>Chhattisgarh</v>
      </c>
      <c r="E3076" s="15">
        <v>2980.0</v>
      </c>
      <c r="F3076" s="16">
        <v>1253.0</v>
      </c>
      <c r="G3076" s="16">
        <v>0.0</v>
      </c>
      <c r="H3076" s="16">
        <v>15.96</v>
      </c>
      <c r="I3076" s="16">
        <v>0.0</v>
      </c>
      <c r="J3076" s="16">
        <v>0.0</v>
      </c>
      <c r="K3076" s="16">
        <v>0.0</v>
      </c>
      <c r="L3076" s="16">
        <v>1268.96</v>
      </c>
      <c r="M3076" s="16">
        <v>1224.854</v>
      </c>
      <c r="N3076" s="16">
        <v>474.18</v>
      </c>
      <c r="O3076" s="23">
        <v>11.6</v>
      </c>
      <c r="P3076" s="18">
        <f t="shared" si="1"/>
        <v>1268.96</v>
      </c>
    </row>
    <row r="3077" ht="15.75" customHeight="1">
      <c r="A3077" s="19" t="s">
        <v>235</v>
      </c>
      <c r="B3077" s="19" t="s">
        <v>133</v>
      </c>
      <c r="C3077" s="20" t="s">
        <v>195</v>
      </c>
      <c r="D3077" s="14" t="str">
        <f>VLOOKUP(C3077,'State Key'!$A$2:$B$210,2,False)</f>
        <v>Maharashtra</v>
      </c>
      <c r="E3077" s="21">
        <v>1320.0</v>
      </c>
      <c r="F3077" s="22">
        <v>121.7</v>
      </c>
      <c r="G3077" s="22">
        <v>89.28</v>
      </c>
      <c r="H3077" s="22">
        <v>55.81</v>
      </c>
      <c r="I3077" s="22">
        <v>0.0</v>
      </c>
      <c r="J3077" s="22">
        <v>0.0</v>
      </c>
      <c r="K3077" s="22">
        <v>0.0</v>
      </c>
      <c r="L3077" s="22">
        <v>266.79</v>
      </c>
      <c r="M3077" s="22">
        <v>409.795</v>
      </c>
      <c r="N3077" s="22">
        <v>403.178</v>
      </c>
      <c r="O3077" s="24">
        <v>29.5</v>
      </c>
      <c r="P3077" s="18">
        <f t="shared" si="1"/>
        <v>266.79</v>
      </c>
    </row>
    <row r="3078" ht="15.75" customHeight="1">
      <c r="A3078" s="13" t="s">
        <v>235</v>
      </c>
      <c r="B3078" s="13" t="s">
        <v>133</v>
      </c>
      <c r="C3078" s="14" t="s">
        <v>196</v>
      </c>
      <c r="D3078" s="14" t="str">
        <f>VLOOKUP(C3078,'State Key'!$A$2:$B$210,2,False)</f>
        <v>Chhattisgarh</v>
      </c>
      <c r="E3078" s="15">
        <v>63.0</v>
      </c>
      <c r="F3078" s="16">
        <v>0.5325</v>
      </c>
      <c r="G3078" s="16">
        <v>0.0</v>
      </c>
      <c r="H3078" s="16">
        <v>0.0</v>
      </c>
      <c r="I3078" s="16">
        <v>0.0</v>
      </c>
      <c r="J3078" s="16">
        <v>0.0</v>
      </c>
      <c r="K3078" s="16">
        <v>9.906</v>
      </c>
      <c r="L3078" s="16">
        <v>10.4385</v>
      </c>
      <c r="M3078" s="16">
        <v>61.174</v>
      </c>
      <c r="N3078" s="16">
        <v>27.1</v>
      </c>
      <c r="O3078" s="23">
        <v>13.3</v>
      </c>
      <c r="P3078" s="18">
        <f t="shared" si="1"/>
        <v>10.4385</v>
      </c>
    </row>
    <row r="3079" ht="15.75" customHeight="1">
      <c r="A3079" s="19" t="s">
        <v>235</v>
      </c>
      <c r="B3079" s="19" t="s">
        <v>133</v>
      </c>
      <c r="C3079" s="20" t="s">
        <v>197</v>
      </c>
      <c r="D3079" s="14" t="str">
        <f>VLOOKUP(C3079,'State Key'!$A$2:$B$210,2,False)</f>
        <v>Chhattisgarh</v>
      </c>
      <c r="E3079" s="21">
        <v>25.0</v>
      </c>
      <c r="F3079" s="22">
        <v>0.0</v>
      </c>
      <c r="G3079" s="22">
        <v>0.0</v>
      </c>
      <c r="H3079" s="22">
        <v>0.0</v>
      </c>
      <c r="I3079" s="22">
        <v>0.0</v>
      </c>
      <c r="J3079" s="22">
        <v>0.0</v>
      </c>
      <c r="K3079" s="22">
        <v>0.0</v>
      </c>
      <c r="L3079" s="22">
        <v>0.0</v>
      </c>
      <c r="M3079" s="22">
        <v>0.0</v>
      </c>
      <c r="N3079" s="22">
        <v>0.0</v>
      </c>
      <c r="O3079" s="19" t="s">
        <v>58</v>
      </c>
      <c r="P3079" s="18">
        <f t="shared" si="1"/>
        <v>0</v>
      </c>
    </row>
    <row r="3080" ht="15.75" customHeight="1">
      <c r="A3080" s="13" t="s">
        <v>235</v>
      </c>
      <c r="B3080" s="13" t="s">
        <v>133</v>
      </c>
      <c r="C3080" s="14" t="s">
        <v>198</v>
      </c>
      <c r="D3080" s="14" t="str">
        <f>VLOOKUP(C3080,'State Key'!$A$2:$B$210,2,False)</f>
        <v>Chhattisgarh</v>
      </c>
      <c r="E3080" s="15">
        <v>2400.0</v>
      </c>
      <c r="F3080" s="16">
        <v>424.78</v>
      </c>
      <c r="G3080" s="16">
        <v>0.0</v>
      </c>
      <c r="H3080" s="16">
        <v>0.0</v>
      </c>
      <c r="I3080" s="16">
        <v>598.067</v>
      </c>
      <c r="J3080" s="16">
        <v>0.0</v>
      </c>
      <c r="K3080" s="16">
        <v>0.0</v>
      </c>
      <c r="L3080" s="16">
        <v>1022.847</v>
      </c>
      <c r="M3080" s="16">
        <v>1066.162</v>
      </c>
      <c r="N3080" s="16">
        <v>245.913</v>
      </c>
      <c r="O3080" s="17">
        <v>6.9</v>
      </c>
      <c r="P3080" s="18">
        <f t="shared" si="1"/>
        <v>1022.847</v>
      </c>
    </row>
    <row r="3081" ht="15.75" customHeight="1">
      <c r="A3081" s="19" t="s">
        <v>235</v>
      </c>
      <c r="B3081" s="19" t="s">
        <v>133</v>
      </c>
      <c r="C3081" s="20" t="s">
        <v>200</v>
      </c>
      <c r="D3081" s="14" t="str">
        <f>VLOOKUP(C3081,'State Key'!$A$2:$B$210,2,False)</f>
        <v>Maharashtra</v>
      </c>
      <c r="E3081" s="21">
        <v>750.0</v>
      </c>
      <c r="F3081" s="22">
        <v>0.0</v>
      </c>
      <c r="G3081" s="22">
        <v>0.0</v>
      </c>
      <c r="H3081" s="22">
        <v>0.0</v>
      </c>
      <c r="I3081" s="22">
        <v>0.0</v>
      </c>
      <c r="J3081" s="22">
        <v>246.338</v>
      </c>
      <c r="K3081" s="22">
        <v>0.0</v>
      </c>
      <c r="L3081" s="22">
        <v>246.338</v>
      </c>
      <c r="M3081" s="22">
        <v>188.4721</v>
      </c>
      <c r="N3081" s="22">
        <v>228.43</v>
      </c>
      <c r="O3081" s="24">
        <v>36.4</v>
      </c>
      <c r="P3081" s="18">
        <f t="shared" si="1"/>
        <v>246.338</v>
      </c>
    </row>
    <row r="3082" ht="15.75" customHeight="1">
      <c r="A3082" s="13" t="s">
        <v>235</v>
      </c>
      <c r="B3082" s="13" t="s">
        <v>133</v>
      </c>
      <c r="C3082" s="14" t="s">
        <v>201</v>
      </c>
      <c r="D3082" s="14" t="str">
        <f>VLOOKUP(C3082,'State Key'!$A$2:$B$210,2,False)</f>
        <v>Chhattisgarh</v>
      </c>
      <c r="E3082" s="15">
        <v>1440.0</v>
      </c>
      <c r="F3082" s="16">
        <v>173.752</v>
      </c>
      <c r="G3082" s="16">
        <v>0.0</v>
      </c>
      <c r="H3082" s="16">
        <v>0.0</v>
      </c>
      <c r="I3082" s="16">
        <v>87.48</v>
      </c>
      <c r="J3082" s="16">
        <v>0.0</v>
      </c>
      <c r="K3082" s="16">
        <v>131.653</v>
      </c>
      <c r="L3082" s="16">
        <v>392.885</v>
      </c>
      <c r="M3082" s="16">
        <v>493.038</v>
      </c>
      <c r="N3082" s="16">
        <v>141.21</v>
      </c>
      <c r="O3082" s="23">
        <v>8.6</v>
      </c>
      <c r="P3082" s="18">
        <f t="shared" si="1"/>
        <v>392.885</v>
      </c>
    </row>
    <row r="3083" ht="15.75" customHeight="1">
      <c r="A3083" s="19" t="s">
        <v>235</v>
      </c>
      <c r="B3083" s="19" t="s">
        <v>133</v>
      </c>
      <c r="C3083" s="20" t="s">
        <v>202</v>
      </c>
      <c r="D3083" s="14" t="str">
        <f>VLOOKUP(C3083,'State Key'!$A$2:$B$210,2,False)</f>
        <v>Gujarat</v>
      </c>
      <c r="E3083" s="21">
        <v>1110.0</v>
      </c>
      <c r="F3083" s="22">
        <v>317.1</v>
      </c>
      <c r="G3083" s="22">
        <v>0.0</v>
      </c>
      <c r="H3083" s="22">
        <v>0.0</v>
      </c>
      <c r="I3083" s="22">
        <v>0.0</v>
      </c>
      <c r="J3083" s="22">
        <v>0.0</v>
      </c>
      <c r="K3083" s="22">
        <v>0.0</v>
      </c>
      <c r="L3083" s="22">
        <v>317.1</v>
      </c>
      <c r="M3083" s="22">
        <v>288.972</v>
      </c>
      <c r="N3083" s="22">
        <v>305.46</v>
      </c>
      <c r="O3083" s="24">
        <v>31.7</v>
      </c>
      <c r="P3083" s="18">
        <f t="shared" si="1"/>
        <v>317.1</v>
      </c>
    </row>
    <row r="3084" ht="15.75" customHeight="1">
      <c r="A3084" s="13" t="s">
        <v>235</v>
      </c>
      <c r="B3084" s="13" t="s">
        <v>133</v>
      </c>
      <c r="C3084" s="14" t="s">
        <v>203</v>
      </c>
      <c r="D3084" s="14" t="str">
        <f>VLOOKUP(C3084,'State Key'!$A$2:$B$210,2,False)</f>
        <v>Madhya Pradesh</v>
      </c>
      <c r="E3084" s="15">
        <v>4760.0</v>
      </c>
      <c r="F3084" s="16">
        <v>1404.6</v>
      </c>
      <c r="G3084" s="16">
        <v>0.0</v>
      </c>
      <c r="H3084" s="16">
        <v>78.08</v>
      </c>
      <c r="I3084" s="16">
        <v>0.0</v>
      </c>
      <c r="J3084" s="16">
        <v>0.0</v>
      </c>
      <c r="K3084" s="16">
        <v>0.0</v>
      </c>
      <c r="L3084" s="16">
        <v>1482.68</v>
      </c>
      <c r="M3084" s="16">
        <v>1820.3</v>
      </c>
      <c r="N3084" s="16">
        <v>853.95</v>
      </c>
      <c r="O3084" s="24">
        <v>14.1</v>
      </c>
      <c r="P3084" s="18">
        <f t="shared" si="1"/>
        <v>1482.68</v>
      </c>
    </row>
    <row r="3085" ht="15.75" customHeight="1">
      <c r="A3085" s="19" t="s">
        <v>235</v>
      </c>
      <c r="B3085" s="19" t="s">
        <v>133</v>
      </c>
      <c r="C3085" s="20" t="s">
        <v>204</v>
      </c>
      <c r="D3085" s="14" t="str">
        <f>VLOOKUP(C3085,'State Key'!$A$2:$B$210,2,False)</f>
        <v>Gujarat</v>
      </c>
      <c r="E3085" s="21">
        <v>2270.0</v>
      </c>
      <c r="F3085" s="22">
        <v>447.092</v>
      </c>
      <c r="G3085" s="22">
        <v>0.0</v>
      </c>
      <c r="H3085" s="22">
        <v>0.0</v>
      </c>
      <c r="I3085" s="22">
        <v>0.0</v>
      </c>
      <c r="J3085" s="22">
        <v>20.258</v>
      </c>
      <c r="K3085" s="22">
        <v>0.0</v>
      </c>
      <c r="L3085" s="22">
        <v>467.35</v>
      </c>
      <c r="M3085" s="22">
        <v>482.258</v>
      </c>
      <c r="N3085" s="22">
        <v>595.86</v>
      </c>
      <c r="O3085" s="24">
        <v>37.1</v>
      </c>
      <c r="P3085" s="18">
        <f t="shared" si="1"/>
        <v>467.35</v>
      </c>
    </row>
    <row r="3086" ht="15.75" customHeight="1">
      <c r="A3086" s="13" t="s">
        <v>235</v>
      </c>
      <c r="B3086" s="13" t="s">
        <v>133</v>
      </c>
      <c r="C3086" s="14" t="s">
        <v>205</v>
      </c>
      <c r="D3086" s="14" t="str">
        <f>VLOOKUP(C3086,'State Key'!$A$2:$B$210,2,False)</f>
        <v>Maharashtra</v>
      </c>
      <c r="E3086" s="15">
        <v>540.0</v>
      </c>
      <c r="F3086" s="16">
        <v>137.86</v>
      </c>
      <c r="G3086" s="16">
        <v>0.0</v>
      </c>
      <c r="H3086" s="16">
        <v>0.0</v>
      </c>
      <c r="I3086" s="16">
        <v>0.0</v>
      </c>
      <c r="J3086" s="16">
        <v>0.0</v>
      </c>
      <c r="K3086" s="16">
        <v>9.76</v>
      </c>
      <c r="L3086" s="16">
        <v>147.62</v>
      </c>
      <c r="M3086" s="16">
        <v>185.9</v>
      </c>
      <c r="N3086" s="16">
        <v>41.48</v>
      </c>
      <c r="O3086" s="17">
        <v>6.7</v>
      </c>
      <c r="P3086" s="18">
        <f t="shared" si="1"/>
        <v>147.62</v>
      </c>
    </row>
    <row r="3087" ht="15.75" customHeight="1">
      <c r="A3087" s="19" t="s">
        <v>236</v>
      </c>
      <c r="B3087" s="19" t="s">
        <v>22</v>
      </c>
      <c r="C3087" s="20" t="s">
        <v>23</v>
      </c>
      <c r="D3087" s="14" t="str">
        <f>VLOOKUP(C3087,'State Key'!$A$2:$B$210,2,False)</f>
        <v>West Bengal</v>
      </c>
      <c r="E3087" s="21">
        <v>1050.0</v>
      </c>
      <c r="F3087" s="22">
        <v>0.0</v>
      </c>
      <c r="G3087" s="22">
        <v>0.0</v>
      </c>
      <c r="H3087" s="22">
        <v>391.794</v>
      </c>
      <c r="I3087" s="22">
        <v>0.0</v>
      </c>
      <c r="J3087" s="22">
        <v>0.0</v>
      </c>
      <c r="K3087" s="22">
        <v>0.0</v>
      </c>
      <c r="L3087" s="22">
        <v>391.794</v>
      </c>
      <c r="M3087" s="22">
        <v>426.343</v>
      </c>
      <c r="N3087" s="22">
        <v>128.51</v>
      </c>
      <c r="O3087" s="23">
        <v>9.0</v>
      </c>
      <c r="P3087" s="18">
        <f t="shared" si="1"/>
        <v>391.794</v>
      </c>
    </row>
    <row r="3088" ht="15.75" customHeight="1">
      <c r="A3088" s="13" t="s">
        <v>236</v>
      </c>
      <c r="B3088" s="13" t="s">
        <v>22</v>
      </c>
      <c r="C3088" s="14" t="s">
        <v>24</v>
      </c>
      <c r="D3088" s="14" t="str">
        <f>VLOOKUP(C3088,'State Key'!$A$2:$B$210,2,False)</f>
        <v>West Bengal</v>
      </c>
      <c r="E3088" s="15">
        <v>270.0</v>
      </c>
      <c r="F3088" s="16">
        <v>0.0</v>
      </c>
      <c r="G3088" s="16">
        <v>0.0</v>
      </c>
      <c r="H3088" s="16">
        <v>123.088</v>
      </c>
      <c r="I3088" s="16">
        <v>0.0</v>
      </c>
      <c r="J3088" s="16">
        <v>0.0</v>
      </c>
      <c r="K3088" s="16">
        <v>0.0</v>
      </c>
      <c r="L3088" s="16">
        <v>123.088</v>
      </c>
      <c r="M3088" s="16">
        <v>114.917</v>
      </c>
      <c r="N3088" s="16">
        <v>86.24</v>
      </c>
      <c r="O3088" s="24">
        <v>22.5</v>
      </c>
      <c r="P3088" s="18">
        <f t="shared" si="1"/>
        <v>123.088</v>
      </c>
    </row>
    <row r="3089" ht="15.75" customHeight="1">
      <c r="A3089" s="19" t="s">
        <v>236</v>
      </c>
      <c r="B3089" s="19" t="s">
        <v>22</v>
      </c>
      <c r="C3089" s="20" t="s">
        <v>25</v>
      </c>
      <c r="D3089" s="14" t="str">
        <f>VLOOKUP(C3089,'State Key'!$A$2:$B$210,2,False)</f>
        <v>Bihar</v>
      </c>
      <c r="E3089" s="21">
        <v>710.0</v>
      </c>
      <c r="F3089" s="22">
        <v>0.0</v>
      </c>
      <c r="G3089" s="22">
        <v>0.0</v>
      </c>
      <c r="H3089" s="22">
        <v>173.13</v>
      </c>
      <c r="I3089" s="22">
        <v>0.0</v>
      </c>
      <c r="J3089" s="22">
        <v>0.0</v>
      </c>
      <c r="K3089" s="22">
        <v>0.0</v>
      </c>
      <c r="L3089" s="22">
        <v>173.13</v>
      </c>
      <c r="M3089" s="22">
        <v>221.73</v>
      </c>
      <c r="N3089" s="22">
        <v>116.309</v>
      </c>
      <c r="O3089" s="24">
        <v>15.7</v>
      </c>
      <c r="P3089" s="18">
        <f t="shared" si="1"/>
        <v>173.13</v>
      </c>
    </row>
    <row r="3090" ht="15.75" customHeight="1">
      <c r="A3090" s="13" t="s">
        <v>236</v>
      </c>
      <c r="B3090" s="13" t="s">
        <v>22</v>
      </c>
      <c r="C3090" s="14" t="s">
        <v>26</v>
      </c>
      <c r="D3090" s="14" t="str">
        <f>VLOOKUP(C3090,'State Key'!$A$2:$B$210,2,False)</f>
        <v>Bihar</v>
      </c>
      <c r="E3090" s="15">
        <v>2640.0</v>
      </c>
      <c r="F3090" s="16">
        <v>375.93</v>
      </c>
      <c r="G3090" s="16">
        <v>0.0</v>
      </c>
      <c r="H3090" s="16">
        <v>483.94</v>
      </c>
      <c r="I3090" s="16">
        <v>0.0</v>
      </c>
      <c r="J3090" s="16">
        <v>0.0</v>
      </c>
      <c r="K3090" s="16">
        <v>0.0</v>
      </c>
      <c r="L3090" s="16">
        <v>859.87</v>
      </c>
      <c r="M3090" s="16">
        <v>1086.371</v>
      </c>
      <c r="N3090" s="16">
        <v>369.337</v>
      </c>
      <c r="O3090" s="23">
        <v>10.2</v>
      </c>
      <c r="P3090" s="18">
        <f t="shared" si="1"/>
        <v>859.87</v>
      </c>
    </row>
    <row r="3091" ht="15.75" customHeight="1">
      <c r="A3091" s="19" t="s">
        <v>236</v>
      </c>
      <c r="B3091" s="19" t="s">
        <v>22</v>
      </c>
      <c r="C3091" s="20" t="s">
        <v>27</v>
      </c>
      <c r="D3091" s="14" t="str">
        <f>VLOOKUP(C3091,'State Key'!$A$2:$B$210,2,False)</f>
        <v>Jharkhand</v>
      </c>
      <c r="E3091" s="21">
        <v>500.0</v>
      </c>
      <c r="F3091" s="22">
        <v>154.803</v>
      </c>
      <c r="G3091" s="22">
        <v>0.0</v>
      </c>
      <c r="H3091" s="22">
        <v>12.778</v>
      </c>
      <c r="I3091" s="22">
        <v>0.0</v>
      </c>
      <c r="J3091" s="22">
        <v>0.0</v>
      </c>
      <c r="K3091" s="22">
        <v>0.0</v>
      </c>
      <c r="L3091" s="22">
        <v>167.581</v>
      </c>
      <c r="M3091" s="22">
        <v>178.466</v>
      </c>
      <c r="N3091" s="22">
        <v>88.38</v>
      </c>
      <c r="O3091" s="24">
        <v>14.9</v>
      </c>
      <c r="P3091" s="18">
        <f t="shared" si="1"/>
        <v>167.581</v>
      </c>
    </row>
    <row r="3092" ht="15.75" customHeight="1">
      <c r="A3092" s="13" t="s">
        <v>236</v>
      </c>
      <c r="B3092" s="13" t="s">
        <v>22</v>
      </c>
      <c r="C3092" s="14" t="s">
        <v>28</v>
      </c>
      <c r="D3092" s="14" t="str">
        <f>VLOOKUP(C3092,'State Key'!$A$2:$B$210,2,False)</f>
        <v>West Bengal</v>
      </c>
      <c r="E3092" s="15">
        <v>750.0</v>
      </c>
      <c r="F3092" s="16">
        <v>64.645</v>
      </c>
      <c r="G3092" s="16">
        <v>0.0</v>
      </c>
      <c r="H3092" s="16">
        <v>97.052</v>
      </c>
      <c r="I3092" s="16">
        <v>114.681</v>
      </c>
      <c r="J3092" s="16">
        <v>0.0</v>
      </c>
      <c r="K3092" s="16">
        <v>0.0</v>
      </c>
      <c r="L3092" s="16">
        <v>276.378</v>
      </c>
      <c r="M3092" s="16">
        <v>314.871</v>
      </c>
      <c r="N3092" s="16">
        <v>146.21</v>
      </c>
      <c r="O3092" s="23">
        <v>13.9</v>
      </c>
      <c r="P3092" s="18">
        <f t="shared" si="1"/>
        <v>276.378</v>
      </c>
    </row>
    <row r="3093" ht="15.75" customHeight="1">
      <c r="A3093" s="19" t="s">
        <v>236</v>
      </c>
      <c r="B3093" s="19" t="s">
        <v>22</v>
      </c>
      <c r="C3093" s="20" t="s">
        <v>29</v>
      </c>
      <c r="D3093" s="14" t="str">
        <f>VLOOKUP(C3093,'State Key'!$A$2:$B$210,2,False)</f>
        <v>Jharkhand</v>
      </c>
      <c r="E3093" s="21">
        <v>500.0</v>
      </c>
      <c r="F3093" s="22">
        <v>86.253</v>
      </c>
      <c r="G3093" s="22">
        <v>0.0</v>
      </c>
      <c r="H3093" s="22">
        <v>71.043</v>
      </c>
      <c r="I3093" s="22">
        <v>0.0</v>
      </c>
      <c r="J3093" s="22">
        <v>0.0</v>
      </c>
      <c r="K3093" s="22">
        <v>0.0</v>
      </c>
      <c r="L3093" s="22">
        <v>157.296</v>
      </c>
      <c r="M3093" s="22">
        <v>226.035</v>
      </c>
      <c r="N3093" s="22">
        <v>80.08</v>
      </c>
      <c r="O3093" s="23">
        <v>10.6</v>
      </c>
      <c r="P3093" s="18">
        <f t="shared" si="1"/>
        <v>157.296</v>
      </c>
    </row>
    <row r="3094" ht="15.75" customHeight="1">
      <c r="A3094" s="13" t="s">
        <v>236</v>
      </c>
      <c r="B3094" s="13" t="s">
        <v>22</v>
      </c>
      <c r="C3094" s="14" t="s">
        <v>30</v>
      </c>
      <c r="D3094" s="14" t="str">
        <f>VLOOKUP(C3094,'State Key'!$A$2:$B$210,2,False)</f>
        <v>West Bengal</v>
      </c>
      <c r="E3094" s="15">
        <v>550.0</v>
      </c>
      <c r="F3094" s="16">
        <v>93.93</v>
      </c>
      <c r="G3094" s="16">
        <v>0.0</v>
      </c>
      <c r="H3094" s="16">
        <v>104.017</v>
      </c>
      <c r="I3094" s="16">
        <v>0.0</v>
      </c>
      <c r="J3094" s="16">
        <v>0.0</v>
      </c>
      <c r="K3094" s="16">
        <v>0.0</v>
      </c>
      <c r="L3094" s="16">
        <v>197.947</v>
      </c>
      <c r="M3094" s="16">
        <v>185.28</v>
      </c>
      <c r="N3094" s="16">
        <v>56.49</v>
      </c>
      <c r="O3094" s="23">
        <v>9.1</v>
      </c>
      <c r="P3094" s="18">
        <f t="shared" si="1"/>
        <v>197.947</v>
      </c>
    </row>
    <row r="3095" ht="15.75" customHeight="1">
      <c r="A3095" s="19" t="s">
        <v>236</v>
      </c>
      <c r="B3095" s="19" t="s">
        <v>22</v>
      </c>
      <c r="C3095" s="20" t="s">
        <v>31</v>
      </c>
      <c r="D3095" s="14" t="str">
        <f>VLOOKUP(C3095,'State Key'!$A$2:$B$210,2,False)</f>
        <v>Odisha</v>
      </c>
      <c r="E3095" s="21">
        <v>1600.0</v>
      </c>
      <c r="F3095" s="22">
        <v>0.0</v>
      </c>
      <c r="G3095" s="22">
        <v>0.0</v>
      </c>
      <c r="H3095" s="22">
        <v>732.85</v>
      </c>
      <c r="I3095" s="22">
        <v>0.0</v>
      </c>
      <c r="J3095" s="22">
        <v>0.0</v>
      </c>
      <c r="K3095" s="22">
        <v>0.0</v>
      </c>
      <c r="L3095" s="22">
        <v>732.85</v>
      </c>
      <c r="M3095" s="22">
        <v>811.214</v>
      </c>
      <c r="N3095" s="22">
        <v>443.513</v>
      </c>
      <c r="O3095" s="24">
        <v>16.4</v>
      </c>
      <c r="P3095" s="18">
        <f t="shared" si="1"/>
        <v>732.85</v>
      </c>
    </row>
    <row r="3096" ht="15.75" customHeight="1">
      <c r="A3096" s="13" t="s">
        <v>236</v>
      </c>
      <c r="B3096" s="13" t="s">
        <v>22</v>
      </c>
      <c r="C3096" s="14" t="s">
        <v>32</v>
      </c>
      <c r="D3096" s="14" t="str">
        <f>VLOOKUP(C3096,'State Key'!$A$2:$B$210,2,False)</f>
        <v>Odisha</v>
      </c>
      <c r="E3096" s="15">
        <v>1200.0</v>
      </c>
      <c r="F3096" s="16">
        <v>217.273</v>
      </c>
      <c r="G3096" s="16">
        <v>0.0</v>
      </c>
      <c r="H3096" s="16">
        <v>0.0</v>
      </c>
      <c r="I3096" s="16">
        <v>103.414</v>
      </c>
      <c r="J3096" s="16">
        <v>0.0</v>
      </c>
      <c r="K3096" s="16">
        <v>0.0</v>
      </c>
      <c r="L3096" s="16">
        <v>320.687</v>
      </c>
      <c r="M3096" s="16">
        <v>611.737</v>
      </c>
      <c r="N3096" s="16">
        <v>1007.93</v>
      </c>
      <c r="O3096" s="24">
        <v>49.4</v>
      </c>
      <c r="P3096" s="18">
        <f t="shared" si="1"/>
        <v>320.687</v>
      </c>
    </row>
    <row r="3097" ht="15.75" customHeight="1">
      <c r="A3097" s="19" t="s">
        <v>236</v>
      </c>
      <c r="B3097" s="19" t="s">
        <v>22</v>
      </c>
      <c r="C3097" s="20" t="s">
        <v>33</v>
      </c>
      <c r="D3097" s="14" t="str">
        <f>VLOOKUP(C3097,'State Key'!$A$2:$B$210,2,False)</f>
        <v>West Bengal</v>
      </c>
      <c r="E3097" s="21">
        <v>12.0</v>
      </c>
      <c r="F3097" s="22">
        <v>7.768</v>
      </c>
      <c r="G3097" s="22">
        <v>0.0</v>
      </c>
      <c r="H3097" s="22">
        <v>0.0</v>
      </c>
      <c r="I3097" s="22">
        <v>0.0</v>
      </c>
      <c r="J3097" s="22">
        <v>0.0</v>
      </c>
      <c r="K3097" s="22">
        <v>0.0</v>
      </c>
      <c r="L3097" s="22">
        <v>7.768</v>
      </c>
      <c r="M3097" s="22">
        <v>6.375</v>
      </c>
      <c r="N3097" s="22">
        <v>1.4</v>
      </c>
      <c r="O3097" s="17">
        <v>6.6</v>
      </c>
      <c r="P3097" s="18">
        <f t="shared" si="1"/>
        <v>7.768</v>
      </c>
    </row>
    <row r="3098" ht="15.75" customHeight="1">
      <c r="A3098" s="13" t="s">
        <v>236</v>
      </c>
      <c r="B3098" s="13" t="s">
        <v>22</v>
      </c>
      <c r="C3098" s="14" t="s">
        <v>34</v>
      </c>
      <c r="D3098" s="14" t="str">
        <f>VLOOKUP(C3098,'State Key'!$A$2:$B$210,2,False)</f>
        <v>West Bengal</v>
      </c>
      <c r="E3098" s="15">
        <v>1000.0</v>
      </c>
      <c r="F3098" s="16">
        <v>315.585</v>
      </c>
      <c r="G3098" s="16">
        <v>0.0</v>
      </c>
      <c r="H3098" s="16">
        <v>0.0</v>
      </c>
      <c r="I3098" s="16">
        <v>0.0</v>
      </c>
      <c r="J3098" s="16">
        <v>0.0</v>
      </c>
      <c r="K3098" s="16">
        <v>0.897</v>
      </c>
      <c r="L3098" s="16">
        <v>316.482</v>
      </c>
      <c r="M3098" s="16">
        <v>350.035</v>
      </c>
      <c r="N3098" s="16">
        <v>232.12</v>
      </c>
      <c r="O3098" s="24">
        <v>19.9</v>
      </c>
      <c r="P3098" s="18">
        <f t="shared" si="1"/>
        <v>316.482</v>
      </c>
    </row>
    <row r="3099" ht="15.75" customHeight="1">
      <c r="A3099" s="19" t="s">
        <v>236</v>
      </c>
      <c r="B3099" s="19" t="s">
        <v>22</v>
      </c>
      <c r="C3099" s="20" t="s">
        <v>35</v>
      </c>
      <c r="D3099" s="14" t="str">
        <f>VLOOKUP(C3099,'State Key'!$A$2:$B$210,2,False)</f>
        <v>West Bengal</v>
      </c>
      <c r="E3099" s="21">
        <v>2100.0</v>
      </c>
      <c r="F3099" s="22">
        <v>535.3</v>
      </c>
      <c r="G3099" s="22">
        <v>0.0</v>
      </c>
      <c r="H3099" s="22">
        <v>38.41</v>
      </c>
      <c r="I3099" s="22">
        <v>0.0</v>
      </c>
      <c r="J3099" s="22">
        <v>0.0</v>
      </c>
      <c r="K3099" s="22">
        <v>0.0</v>
      </c>
      <c r="L3099" s="22">
        <v>573.71</v>
      </c>
      <c r="M3099" s="22">
        <v>782.203</v>
      </c>
      <c r="N3099" s="22">
        <v>338.78</v>
      </c>
      <c r="O3099" s="23">
        <v>13.0</v>
      </c>
      <c r="P3099" s="18">
        <f t="shared" si="1"/>
        <v>573.71</v>
      </c>
    </row>
    <row r="3100" ht="15.75" customHeight="1">
      <c r="A3100" s="13" t="s">
        <v>236</v>
      </c>
      <c r="B3100" s="13" t="s">
        <v>22</v>
      </c>
      <c r="C3100" s="14" t="s">
        <v>36</v>
      </c>
      <c r="D3100" s="14" t="str">
        <f>VLOOKUP(C3100,'State Key'!$A$2:$B$210,2,False)</f>
        <v>West Bengal</v>
      </c>
      <c r="E3100" s="15">
        <v>600.0</v>
      </c>
      <c r="F3100" s="16">
        <v>300.849</v>
      </c>
      <c r="G3100" s="16">
        <v>0.0</v>
      </c>
      <c r="H3100" s="16">
        <v>0.0</v>
      </c>
      <c r="I3100" s="16">
        <v>0.0</v>
      </c>
      <c r="J3100" s="16">
        <v>0.0</v>
      </c>
      <c r="K3100" s="16">
        <v>0.0</v>
      </c>
      <c r="L3100" s="16">
        <v>300.849</v>
      </c>
      <c r="M3100" s="16">
        <v>280.316</v>
      </c>
      <c r="N3100" s="16">
        <v>160.58</v>
      </c>
      <c r="O3100" s="24">
        <v>17.2</v>
      </c>
      <c r="P3100" s="18">
        <f t="shared" si="1"/>
        <v>300.849</v>
      </c>
    </row>
    <row r="3101" ht="15.75" customHeight="1">
      <c r="A3101" s="19" t="s">
        <v>236</v>
      </c>
      <c r="B3101" s="19" t="s">
        <v>22</v>
      </c>
      <c r="C3101" s="20" t="s">
        <v>37</v>
      </c>
      <c r="D3101" s="14" t="str">
        <f>VLOOKUP(C3101,'State Key'!$A$2:$B$210,2,False)</f>
        <v>West Bengal</v>
      </c>
      <c r="E3101" s="21">
        <v>300.0</v>
      </c>
      <c r="F3101" s="22">
        <v>122.154</v>
      </c>
      <c r="G3101" s="22">
        <v>0.0</v>
      </c>
      <c r="H3101" s="22">
        <v>0.0</v>
      </c>
      <c r="I3101" s="22">
        <v>0.0</v>
      </c>
      <c r="J3101" s="22">
        <v>0.0</v>
      </c>
      <c r="K3101" s="22">
        <v>0.0</v>
      </c>
      <c r="L3101" s="22">
        <v>122.154</v>
      </c>
      <c r="M3101" s="22">
        <v>120.517</v>
      </c>
      <c r="N3101" s="22">
        <v>32.83</v>
      </c>
      <c r="O3101" s="23">
        <v>8.2</v>
      </c>
      <c r="P3101" s="18">
        <f t="shared" si="1"/>
        <v>122.154</v>
      </c>
    </row>
    <row r="3102" ht="15.75" customHeight="1">
      <c r="A3102" s="13" t="s">
        <v>236</v>
      </c>
      <c r="B3102" s="13" t="s">
        <v>22</v>
      </c>
      <c r="C3102" s="14" t="s">
        <v>38</v>
      </c>
      <c r="D3102" s="14" t="str">
        <f>VLOOKUP(C3102,'State Key'!$A$2:$B$210,2,False)</f>
        <v>Odisha</v>
      </c>
      <c r="E3102" s="15">
        <v>1740.0</v>
      </c>
      <c r="F3102" s="16">
        <v>243.157</v>
      </c>
      <c r="G3102" s="16">
        <v>0.0</v>
      </c>
      <c r="H3102" s="16">
        <v>438.2</v>
      </c>
      <c r="I3102" s="16">
        <v>0.0</v>
      </c>
      <c r="J3102" s="16">
        <v>0.0</v>
      </c>
      <c r="K3102" s="16">
        <v>0.0</v>
      </c>
      <c r="L3102" s="16">
        <v>681.357</v>
      </c>
      <c r="M3102" s="16">
        <v>641.86</v>
      </c>
      <c r="N3102" s="16">
        <v>392.12</v>
      </c>
      <c r="O3102" s="24">
        <v>18.3</v>
      </c>
      <c r="P3102" s="18">
        <f t="shared" si="1"/>
        <v>681.357</v>
      </c>
    </row>
    <row r="3103" ht="15.75" customHeight="1">
      <c r="A3103" s="19" t="s">
        <v>236</v>
      </c>
      <c r="B3103" s="19" t="s">
        <v>22</v>
      </c>
      <c r="C3103" s="20" t="s">
        <v>39</v>
      </c>
      <c r="D3103" s="14" t="str">
        <f>VLOOKUP(C3103,'State Key'!$A$2:$B$210,2,False)</f>
        <v>Jharkhand</v>
      </c>
      <c r="E3103" s="21">
        <v>240.0</v>
      </c>
      <c r="F3103" s="22">
        <v>56.314</v>
      </c>
      <c r="G3103" s="22">
        <v>0.0</v>
      </c>
      <c r="H3103" s="22">
        <v>0.0</v>
      </c>
      <c r="I3103" s="22">
        <v>0.0</v>
      </c>
      <c r="J3103" s="22">
        <v>0.0</v>
      </c>
      <c r="K3103" s="22">
        <v>11.472</v>
      </c>
      <c r="L3103" s="22">
        <v>67.786</v>
      </c>
      <c r="M3103" s="22">
        <v>99.28</v>
      </c>
      <c r="N3103" s="22">
        <v>124.8</v>
      </c>
      <c r="O3103" s="24">
        <v>37.7</v>
      </c>
      <c r="P3103" s="18">
        <f t="shared" si="1"/>
        <v>67.786</v>
      </c>
    </row>
    <row r="3104" ht="15.75" customHeight="1">
      <c r="A3104" s="13" t="s">
        <v>236</v>
      </c>
      <c r="B3104" s="13" t="s">
        <v>22</v>
      </c>
      <c r="C3104" s="14" t="s">
        <v>40</v>
      </c>
      <c r="D3104" s="14" t="str">
        <f>VLOOKUP(C3104,'State Key'!$A$2:$B$210,2,False)</f>
        <v>Bihar</v>
      </c>
      <c r="E3104" s="15">
        <v>2340.0</v>
      </c>
      <c r="F3104" s="16">
        <v>879.25</v>
      </c>
      <c r="G3104" s="16">
        <v>0.0</v>
      </c>
      <c r="H3104" s="16">
        <v>23.5</v>
      </c>
      <c r="I3104" s="16">
        <v>0.0</v>
      </c>
      <c r="J3104" s="16">
        <v>0.0</v>
      </c>
      <c r="K3104" s="16">
        <v>0.0</v>
      </c>
      <c r="L3104" s="16">
        <v>902.75</v>
      </c>
      <c r="M3104" s="16">
        <v>987.641</v>
      </c>
      <c r="N3104" s="16">
        <v>481.575</v>
      </c>
      <c r="O3104" s="24">
        <v>14.6</v>
      </c>
      <c r="P3104" s="18">
        <f t="shared" si="1"/>
        <v>902.75</v>
      </c>
    </row>
    <row r="3105" ht="15.75" customHeight="1">
      <c r="A3105" s="19" t="s">
        <v>236</v>
      </c>
      <c r="B3105" s="19" t="s">
        <v>22</v>
      </c>
      <c r="C3105" s="20" t="s">
        <v>41</v>
      </c>
      <c r="D3105" s="14" t="str">
        <f>VLOOKUP(C3105,'State Key'!$A$2:$B$210,2,False)</f>
        <v>Odisha</v>
      </c>
      <c r="E3105" s="21">
        <v>1050.0</v>
      </c>
      <c r="F3105" s="22">
        <v>345.095</v>
      </c>
      <c r="G3105" s="22">
        <v>0.0</v>
      </c>
      <c r="H3105" s="22">
        <v>0.0</v>
      </c>
      <c r="I3105" s="22">
        <v>147.108</v>
      </c>
      <c r="J3105" s="22">
        <v>0.0</v>
      </c>
      <c r="K3105" s="22">
        <v>0.0</v>
      </c>
      <c r="L3105" s="22">
        <v>492.203</v>
      </c>
      <c r="M3105" s="22">
        <v>476.511</v>
      </c>
      <c r="N3105" s="22">
        <v>128.33</v>
      </c>
      <c r="O3105" s="23">
        <v>8.1</v>
      </c>
      <c r="P3105" s="18">
        <f t="shared" si="1"/>
        <v>492.203</v>
      </c>
    </row>
    <row r="3106" ht="15.75" customHeight="1">
      <c r="A3106" s="13" t="s">
        <v>236</v>
      </c>
      <c r="B3106" s="13" t="s">
        <v>22</v>
      </c>
      <c r="C3106" s="14" t="s">
        <v>42</v>
      </c>
      <c r="D3106" s="14" t="str">
        <f>VLOOKUP(C3106,'State Key'!$A$2:$B$210,2,False)</f>
        <v>Jharkhand</v>
      </c>
      <c r="E3106" s="15">
        <v>1000.0</v>
      </c>
      <c r="F3106" s="16">
        <v>330.694</v>
      </c>
      <c r="G3106" s="16">
        <v>0.0</v>
      </c>
      <c r="H3106" s="16">
        <v>52.567</v>
      </c>
      <c r="I3106" s="16">
        <v>0.0</v>
      </c>
      <c r="J3106" s="16">
        <v>0.0</v>
      </c>
      <c r="K3106" s="16">
        <v>0.0</v>
      </c>
      <c r="L3106" s="16">
        <v>383.261</v>
      </c>
      <c r="M3106" s="16">
        <v>384.897</v>
      </c>
      <c r="N3106" s="16">
        <v>176.58</v>
      </c>
      <c r="O3106" s="23">
        <v>13.8</v>
      </c>
      <c r="P3106" s="18">
        <f t="shared" si="1"/>
        <v>383.261</v>
      </c>
    </row>
    <row r="3107" ht="15.75" customHeight="1">
      <c r="A3107" s="19" t="s">
        <v>236</v>
      </c>
      <c r="B3107" s="19" t="s">
        <v>22</v>
      </c>
      <c r="C3107" s="20" t="s">
        <v>43</v>
      </c>
      <c r="D3107" s="14" t="str">
        <f>VLOOKUP(C3107,'State Key'!$A$2:$B$210,2,False)</f>
        <v>West Bengal</v>
      </c>
      <c r="E3107" s="21">
        <v>840.0</v>
      </c>
      <c r="F3107" s="22">
        <v>0.0</v>
      </c>
      <c r="G3107" s="22">
        <v>0.0</v>
      </c>
      <c r="H3107" s="22">
        <v>272.655</v>
      </c>
      <c r="I3107" s="22">
        <v>0.0</v>
      </c>
      <c r="J3107" s="22">
        <v>0.0</v>
      </c>
      <c r="K3107" s="22">
        <v>0.0</v>
      </c>
      <c r="L3107" s="22">
        <v>272.655</v>
      </c>
      <c r="M3107" s="22">
        <v>253.801</v>
      </c>
      <c r="N3107" s="22">
        <v>118.67</v>
      </c>
      <c r="O3107" s="24">
        <v>14.0</v>
      </c>
      <c r="P3107" s="18">
        <f t="shared" si="1"/>
        <v>272.655</v>
      </c>
    </row>
    <row r="3108" ht="15.75" customHeight="1">
      <c r="A3108" s="13" t="s">
        <v>236</v>
      </c>
      <c r="B3108" s="13" t="s">
        <v>22</v>
      </c>
      <c r="C3108" s="14" t="s">
        <v>44</v>
      </c>
      <c r="D3108" s="14" t="str">
        <f>VLOOKUP(C3108,'State Key'!$A$2:$B$210,2,False)</f>
        <v>Jharkhand</v>
      </c>
      <c r="E3108" s="15">
        <v>540.0</v>
      </c>
      <c r="F3108" s="16">
        <v>134.799</v>
      </c>
      <c r="G3108" s="16">
        <v>0.0</v>
      </c>
      <c r="H3108" s="16">
        <v>0.0</v>
      </c>
      <c r="I3108" s="16">
        <v>0.0</v>
      </c>
      <c r="J3108" s="16">
        <v>0.0</v>
      </c>
      <c r="K3108" s="16">
        <v>43.398</v>
      </c>
      <c r="L3108" s="16">
        <v>178.197</v>
      </c>
      <c r="M3108" s="16">
        <v>175.141</v>
      </c>
      <c r="N3108" s="16">
        <v>54.77</v>
      </c>
      <c r="O3108" s="23">
        <v>9.4</v>
      </c>
      <c r="P3108" s="18">
        <f t="shared" si="1"/>
        <v>178.197</v>
      </c>
    </row>
    <row r="3109" ht="15.75" customHeight="1">
      <c r="A3109" s="19" t="s">
        <v>236</v>
      </c>
      <c r="B3109" s="19" t="s">
        <v>22</v>
      </c>
      <c r="C3109" s="20" t="s">
        <v>45</v>
      </c>
      <c r="D3109" s="14" t="str">
        <f>VLOOKUP(C3109,'State Key'!$A$2:$B$210,2,False)</f>
        <v>Jharkhand</v>
      </c>
      <c r="E3109" s="21">
        <v>1050.0</v>
      </c>
      <c r="F3109" s="22">
        <v>303.163</v>
      </c>
      <c r="G3109" s="22">
        <v>0.0</v>
      </c>
      <c r="H3109" s="22">
        <v>0.0</v>
      </c>
      <c r="I3109" s="22">
        <v>0.0</v>
      </c>
      <c r="J3109" s="22">
        <v>0.0</v>
      </c>
      <c r="K3109" s="22">
        <v>0.0</v>
      </c>
      <c r="L3109" s="22">
        <v>303.163</v>
      </c>
      <c r="M3109" s="22">
        <v>379.772</v>
      </c>
      <c r="N3109" s="22">
        <v>346.0</v>
      </c>
      <c r="O3109" s="24">
        <v>27.3</v>
      </c>
      <c r="P3109" s="18">
        <f t="shared" si="1"/>
        <v>303.163</v>
      </c>
    </row>
    <row r="3110" ht="15.75" customHeight="1">
      <c r="A3110" s="13" t="s">
        <v>236</v>
      </c>
      <c r="B3110" s="13" t="s">
        <v>22</v>
      </c>
      <c r="C3110" s="14" t="s">
        <v>46</v>
      </c>
      <c r="D3110" s="14" t="str">
        <f>VLOOKUP(C3110,'State Key'!$A$2:$B$210,2,False)</f>
        <v>West Bengal</v>
      </c>
      <c r="E3110" s="15">
        <v>2340.0</v>
      </c>
      <c r="F3110" s="16">
        <v>553.579</v>
      </c>
      <c r="G3110" s="16">
        <v>0.0</v>
      </c>
      <c r="H3110" s="16">
        <v>111.304</v>
      </c>
      <c r="I3110" s="16">
        <v>0.0</v>
      </c>
      <c r="J3110" s="16">
        <v>0.0</v>
      </c>
      <c r="K3110" s="16">
        <v>133.265</v>
      </c>
      <c r="L3110" s="16">
        <v>798.148</v>
      </c>
      <c r="M3110" s="16">
        <v>846.713</v>
      </c>
      <c r="N3110" s="16">
        <v>400.48</v>
      </c>
      <c r="O3110" s="24">
        <v>14.2</v>
      </c>
      <c r="P3110" s="18">
        <f t="shared" si="1"/>
        <v>798.148</v>
      </c>
    </row>
    <row r="3111" ht="15.75" customHeight="1">
      <c r="A3111" s="19" t="s">
        <v>236</v>
      </c>
      <c r="B3111" s="19" t="s">
        <v>22</v>
      </c>
      <c r="C3111" s="20" t="s">
        <v>47</v>
      </c>
      <c r="D3111" s="14" t="str">
        <f>VLOOKUP(C3111,'State Key'!$A$2:$B$210,2,False)</f>
        <v>Bihar</v>
      </c>
      <c r="E3111" s="21">
        <v>390.0</v>
      </c>
      <c r="F3111" s="22">
        <v>0.0</v>
      </c>
      <c r="G3111" s="22">
        <v>0.0</v>
      </c>
      <c r="H3111" s="22">
        <v>154.871</v>
      </c>
      <c r="I3111" s="22">
        <v>0.0</v>
      </c>
      <c r="J3111" s="22">
        <v>0.0</v>
      </c>
      <c r="K3111" s="22">
        <v>0.0</v>
      </c>
      <c r="L3111" s="22">
        <v>154.871</v>
      </c>
      <c r="M3111" s="22">
        <v>171.625</v>
      </c>
      <c r="N3111" s="22">
        <v>113.36</v>
      </c>
      <c r="O3111" s="24">
        <v>19.8</v>
      </c>
      <c r="P3111" s="18">
        <f t="shared" si="1"/>
        <v>154.871</v>
      </c>
    </row>
    <row r="3112" ht="15.75" customHeight="1">
      <c r="A3112" s="13" t="s">
        <v>236</v>
      </c>
      <c r="B3112" s="13" t="s">
        <v>22</v>
      </c>
      <c r="C3112" s="14" t="s">
        <v>48</v>
      </c>
      <c r="D3112" s="14" t="str">
        <f>VLOOKUP(C3112,'State Key'!$A$2:$B$210,2,False)</f>
        <v>Bihar</v>
      </c>
      <c r="E3112" s="15">
        <v>1980.0</v>
      </c>
      <c r="F3112" s="16">
        <v>614.9</v>
      </c>
      <c r="G3112" s="16">
        <v>0.0</v>
      </c>
      <c r="H3112" s="16">
        <v>19.418</v>
      </c>
      <c r="I3112" s="16">
        <v>0.0</v>
      </c>
      <c r="J3112" s="16">
        <v>0.0</v>
      </c>
      <c r="K3112" s="16">
        <v>0.0</v>
      </c>
      <c r="L3112" s="16">
        <v>634.318</v>
      </c>
      <c r="M3112" s="16">
        <v>796.269</v>
      </c>
      <c r="N3112" s="16">
        <v>323.05</v>
      </c>
      <c r="O3112" s="23">
        <v>12.2</v>
      </c>
      <c r="P3112" s="18">
        <f t="shared" si="1"/>
        <v>634.318</v>
      </c>
    </row>
    <row r="3113" ht="15.75" customHeight="1">
      <c r="A3113" s="19" t="s">
        <v>236</v>
      </c>
      <c r="B3113" s="19" t="s">
        <v>22</v>
      </c>
      <c r="C3113" s="20" t="s">
        <v>49</v>
      </c>
      <c r="D3113" s="14" t="str">
        <f>VLOOKUP(C3113,'State Key'!$A$2:$B$210,2,False)</f>
        <v>Bihar</v>
      </c>
      <c r="E3113" s="21">
        <v>1000.0</v>
      </c>
      <c r="F3113" s="22">
        <v>400.4537</v>
      </c>
      <c r="G3113" s="22">
        <v>0.0</v>
      </c>
      <c r="H3113" s="22">
        <v>0.0</v>
      </c>
      <c r="I3113" s="22">
        <v>0.0</v>
      </c>
      <c r="J3113" s="22">
        <v>0.0</v>
      </c>
      <c r="K3113" s="22">
        <v>0.0</v>
      </c>
      <c r="L3113" s="22">
        <v>400.4537</v>
      </c>
      <c r="M3113" s="22">
        <v>389.114</v>
      </c>
      <c r="N3113" s="22">
        <v>257.66</v>
      </c>
      <c r="O3113" s="24">
        <v>19.9</v>
      </c>
      <c r="P3113" s="18">
        <f t="shared" si="1"/>
        <v>400.4537</v>
      </c>
    </row>
    <row r="3114" ht="15.75" customHeight="1">
      <c r="A3114" s="13" t="s">
        <v>236</v>
      </c>
      <c r="B3114" s="13" t="s">
        <v>22</v>
      </c>
      <c r="C3114" s="14" t="s">
        <v>50</v>
      </c>
      <c r="D3114" s="14" t="str">
        <f>VLOOKUP(C3114,'State Key'!$A$2:$B$210,2,False)</f>
        <v>Jharkhand</v>
      </c>
      <c r="E3114" s="15">
        <v>1320.0</v>
      </c>
      <c r="F3114" s="16">
        <v>420.18</v>
      </c>
      <c r="G3114" s="16">
        <v>0.0</v>
      </c>
      <c r="H3114" s="16">
        <v>197.28</v>
      </c>
      <c r="I3114" s="16">
        <v>0.0</v>
      </c>
      <c r="J3114" s="16">
        <v>0.0</v>
      </c>
      <c r="K3114" s="16">
        <v>0.0</v>
      </c>
      <c r="L3114" s="16">
        <v>617.46</v>
      </c>
      <c r="M3114" s="16">
        <v>465.601</v>
      </c>
      <c r="N3114" s="16">
        <v>282.02</v>
      </c>
      <c r="O3114" s="24">
        <v>18.2</v>
      </c>
      <c r="P3114" s="18">
        <f t="shared" si="1"/>
        <v>617.46</v>
      </c>
    </row>
    <row r="3115" ht="15.75" customHeight="1">
      <c r="A3115" s="19" t="s">
        <v>236</v>
      </c>
      <c r="B3115" s="19" t="s">
        <v>22</v>
      </c>
      <c r="C3115" s="20" t="s">
        <v>51</v>
      </c>
      <c r="D3115" s="14" t="str">
        <f>VLOOKUP(C3115,'State Key'!$A$2:$B$210,2,False)</f>
        <v>West Bengal</v>
      </c>
      <c r="E3115" s="21">
        <v>1200.0</v>
      </c>
      <c r="F3115" s="22">
        <v>356.37</v>
      </c>
      <c r="G3115" s="22">
        <v>0.0</v>
      </c>
      <c r="H3115" s="22">
        <v>0.0</v>
      </c>
      <c r="I3115" s="22">
        <v>0.0</v>
      </c>
      <c r="J3115" s="22">
        <v>0.0</v>
      </c>
      <c r="K3115" s="22">
        <v>34.451</v>
      </c>
      <c r="L3115" s="22">
        <v>390.821</v>
      </c>
      <c r="M3115" s="22">
        <v>406.027</v>
      </c>
      <c r="N3115" s="22">
        <v>126.86</v>
      </c>
      <c r="O3115" s="23">
        <v>9.4</v>
      </c>
      <c r="P3115" s="18">
        <f t="shared" si="1"/>
        <v>390.821</v>
      </c>
    </row>
    <row r="3116" ht="15.75" customHeight="1">
      <c r="A3116" s="13" t="s">
        <v>236</v>
      </c>
      <c r="B3116" s="13" t="s">
        <v>22</v>
      </c>
      <c r="C3116" s="14" t="s">
        <v>52</v>
      </c>
      <c r="D3116" s="14" t="str">
        <f>VLOOKUP(C3116,'State Key'!$A$2:$B$210,2,False)</f>
        <v>West Bengal</v>
      </c>
      <c r="E3116" s="15">
        <v>1600.0</v>
      </c>
      <c r="F3116" s="16">
        <v>0.0</v>
      </c>
      <c r="G3116" s="16">
        <v>0.0</v>
      </c>
      <c r="H3116" s="16">
        <v>581.763</v>
      </c>
      <c r="I3116" s="16">
        <v>0.0</v>
      </c>
      <c r="J3116" s="16">
        <v>0.0</v>
      </c>
      <c r="K3116" s="16">
        <v>0.0</v>
      </c>
      <c r="L3116" s="16">
        <v>581.763</v>
      </c>
      <c r="M3116" s="16">
        <v>639.492</v>
      </c>
      <c r="N3116" s="16">
        <v>257.59</v>
      </c>
      <c r="O3116" s="23">
        <v>12.1</v>
      </c>
      <c r="P3116" s="18">
        <f t="shared" si="1"/>
        <v>581.763</v>
      </c>
    </row>
    <row r="3117" ht="15.75" customHeight="1">
      <c r="A3117" s="19" t="s">
        <v>236</v>
      </c>
      <c r="B3117" s="19" t="s">
        <v>22</v>
      </c>
      <c r="C3117" s="20" t="s">
        <v>53</v>
      </c>
      <c r="D3117" s="14" t="str">
        <f>VLOOKUP(C3117,'State Key'!$A$2:$B$210,2,False)</f>
        <v>West Bengal</v>
      </c>
      <c r="E3117" s="21">
        <v>500.0</v>
      </c>
      <c r="F3117" s="22">
        <v>0.0</v>
      </c>
      <c r="G3117" s="22">
        <v>0.0</v>
      </c>
      <c r="H3117" s="22">
        <v>226.762</v>
      </c>
      <c r="I3117" s="22">
        <v>0.0</v>
      </c>
      <c r="J3117" s="22">
        <v>0.0</v>
      </c>
      <c r="K3117" s="22">
        <v>0.0</v>
      </c>
      <c r="L3117" s="22">
        <v>226.762</v>
      </c>
      <c r="M3117" s="22">
        <v>234.481</v>
      </c>
      <c r="N3117" s="22">
        <v>52.13</v>
      </c>
      <c r="O3117" s="17">
        <v>6.7</v>
      </c>
      <c r="P3117" s="18">
        <f t="shared" si="1"/>
        <v>226.762</v>
      </c>
    </row>
    <row r="3118" ht="15.75" customHeight="1">
      <c r="A3118" s="13" t="s">
        <v>236</v>
      </c>
      <c r="B3118" s="13" t="s">
        <v>22</v>
      </c>
      <c r="C3118" s="14" t="s">
        <v>54</v>
      </c>
      <c r="D3118" s="14" t="str">
        <f>VLOOKUP(C3118,'State Key'!$A$2:$B$210,2,False)</f>
        <v>West Bengal</v>
      </c>
      <c r="E3118" s="15">
        <v>135.0</v>
      </c>
      <c r="F3118" s="16">
        <v>7.587</v>
      </c>
      <c r="G3118" s="16">
        <v>0.0</v>
      </c>
      <c r="H3118" s="16">
        <v>0.0</v>
      </c>
      <c r="I3118" s="16">
        <v>0.0</v>
      </c>
      <c r="J3118" s="16">
        <v>0.0</v>
      </c>
      <c r="K3118" s="16">
        <v>0.0</v>
      </c>
      <c r="L3118" s="16">
        <v>7.587</v>
      </c>
      <c r="M3118" s="16">
        <v>21.091</v>
      </c>
      <c r="N3118" s="16">
        <v>32.94</v>
      </c>
      <c r="O3118" s="24">
        <v>46.9</v>
      </c>
      <c r="P3118" s="18">
        <f t="shared" si="1"/>
        <v>7.587</v>
      </c>
    </row>
    <row r="3119" ht="15.75" customHeight="1">
      <c r="A3119" s="19" t="s">
        <v>236</v>
      </c>
      <c r="B3119" s="19" t="s">
        <v>22</v>
      </c>
      <c r="C3119" s="20" t="s">
        <v>55</v>
      </c>
      <c r="D3119" s="14" t="str">
        <f>VLOOKUP(C3119,'State Key'!$A$2:$B$210,2,False)</f>
        <v>Odisha</v>
      </c>
      <c r="E3119" s="21">
        <v>3000.0</v>
      </c>
      <c r="F3119" s="22">
        <v>1140.29</v>
      </c>
      <c r="G3119" s="22">
        <v>0.0</v>
      </c>
      <c r="H3119" s="22">
        <v>54.54</v>
      </c>
      <c r="I3119" s="22">
        <v>0.0</v>
      </c>
      <c r="J3119" s="22">
        <v>0.0</v>
      </c>
      <c r="K3119" s="22">
        <v>0.0</v>
      </c>
      <c r="L3119" s="22">
        <v>1194.83</v>
      </c>
      <c r="M3119" s="22">
        <v>1069.751</v>
      </c>
      <c r="N3119" s="22">
        <v>457.411</v>
      </c>
      <c r="O3119" s="23">
        <v>12.8</v>
      </c>
      <c r="P3119" s="18">
        <f t="shared" si="1"/>
        <v>1194.83</v>
      </c>
    </row>
    <row r="3120" ht="15.75" customHeight="1">
      <c r="A3120" s="13" t="s">
        <v>236</v>
      </c>
      <c r="B3120" s="13" t="s">
        <v>22</v>
      </c>
      <c r="C3120" s="14" t="s">
        <v>56</v>
      </c>
      <c r="D3120" s="14" t="str">
        <f>VLOOKUP(C3120,'State Key'!$A$2:$B$210,2,False)</f>
        <v>Jharkhand</v>
      </c>
      <c r="E3120" s="15">
        <v>420.0</v>
      </c>
      <c r="F3120" s="16">
        <v>114.85</v>
      </c>
      <c r="G3120" s="16">
        <v>0.0</v>
      </c>
      <c r="H3120" s="16">
        <v>0.0</v>
      </c>
      <c r="I3120" s="16">
        <v>0.0</v>
      </c>
      <c r="J3120" s="16">
        <v>0.0</v>
      </c>
      <c r="K3120" s="16">
        <v>0.0</v>
      </c>
      <c r="L3120" s="16">
        <v>114.85</v>
      </c>
      <c r="M3120" s="16">
        <v>80.36</v>
      </c>
      <c r="N3120" s="16">
        <v>118.33</v>
      </c>
      <c r="O3120" s="24">
        <v>44.2</v>
      </c>
      <c r="P3120" s="18">
        <f t="shared" si="1"/>
        <v>114.85</v>
      </c>
    </row>
    <row r="3121" ht="15.75" customHeight="1">
      <c r="A3121" s="19" t="s">
        <v>236</v>
      </c>
      <c r="B3121" s="19" t="s">
        <v>22</v>
      </c>
      <c r="C3121" s="20" t="s">
        <v>57</v>
      </c>
      <c r="D3121" s="14" t="str">
        <f>VLOOKUP(C3121,'State Key'!$A$2:$B$210,2,False)</f>
        <v>West Bengal</v>
      </c>
      <c r="E3121" s="21">
        <v>240.0</v>
      </c>
      <c r="F3121" s="22">
        <v>0.0</v>
      </c>
      <c r="G3121" s="22">
        <v>0.0</v>
      </c>
      <c r="H3121" s="22">
        <v>0.0</v>
      </c>
      <c r="I3121" s="22">
        <v>0.0</v>
      </c>
      <c r="J3121" s="22">
        <v>0.0</v>
      </c>
      <c r="K3121" s="22">
        <v>0.0</v>
      </c>
      <c r="L3121" s="22">
        <v>0.0</v>
      </c>
      <c r="M3121" s="22">
        <v>0.0</v>
      </c>
      <c r="N3121" s="22">
        <v>0.0</v>
      </c>
      <c r="O3121" s="19" t="s">
        <v>58</v>
      </c>
      <c r="P3121" s="18">
        <f t="shared" si="1"/>
        <v>0</v>
      </c>
    </row>
    <row r="3122" ht="15.75" customHeight="1">
      <c r="A3122" s="13" t="s">
        <v>236</v>
      </c>
      <c r="B3122" s="13" t="s">
        <v>22</v>
      </c>
      <c r="C3122" s="14" t="s">
        <v>59</v>
      </c>
      <c r="D3122" s="14" t="str">
        <f>VLOOKUP(C3122,'State Key'!$A$2:$B$210,2,False)</f>
        <v>Odisha</v>
      </c>
      <c r="E3122" s="15">
        <v>350.0</v>
      </c>
      <c r="F3122" s="16">
        <v>9.64</v>
      </c>
      <c r="G3122" s="16">
        <v>0.0</v>
      </c>
      <c r="H3122" s="16">
        <v>0.0</v>
      </c>
      <c r="I3122" s="16">
        <v>0.0</v>
      </c>
      <c r="J3122" s="16">
        <v>0.0</v>
      </c>
      <c r="K3122" s="16">
        <v>0.0</v>
      </c>
      <c r="L3122" s="16">
        <v>9.64</v>
      </c>
      <c r="M3122" s="16">
        <v>17.08</v>
      </c>
      <c r="N3122" s="16">
        <v>0.77</v>
      </c>
      <c r="O3122" s="17">
        <v>1.4</v>
      </c>
      <c r="P3122" s="18">
        <f t="shared" si="1"/>
        <v>9.64</v>
      </c>
    </row>
    <row r="3123" ht="15.75" customHeight="1">
      <c r="A3123" s="19" t="s">
        <v>236</v>
      </c>
      <c r="B3123" s="19" t="s">
        <v>22</v>
      </c>
      <c r="C3123" s="20" t="s">
        <v>60</v>
      </c>
      <c r="D3123" s="14" t="str">
        <f>VLOOKUP(C3123,'State Key'!$A$2:$B$210,2,False)</f>
        <v>Odisha</v>
      </c>
      <c r="E3123" s="21">
        <v>600.0</v>
      </c>
      <c r="F3123" s="22">
        <v>165.914</v>
      </c>
      <c r="G3123" s="22">
        <v>0.0</v>
      </c>
      <c r="H3123" s="22">
        <v>0.0</v>
      </c>
      <c r="I3123" s="22">
        <v>0.0</v>
      </c>
      <c r="J3123" s="22">
        <v>0.0</v>
      </c>
      <c r="K3123" s="22">
        <v>0.0</v>
      </c>
      <c r="L3123" s="22">
        <v>165.914</v>
      </c>
      <c r="M3123" s="22">
        <v>136.978</v>
      </c>
      <c r="N3123" s="22">
        <v>167.47</v>
      </c>
      <c r="O3123" s="24">
        <v>36.7</v>
      </c>
      <c r="P3123" s="18">
        <f t="shared" si="1"/>
        <v>165.914</v>
      </c>
    </row>
    <row r="3124" ht="15.75" customHeight="1">
      <c r="A3124" s="13" t="s">
        <v>236</v>
      </c>
      <c r="B3124" s="13" t="s">
        <v>61</v>
      </c>
      <c r="C3124" s="14" t="s">
        <v>209</v>
      </c>
      <c r="D3124" s="14" t="str">
        <f>VLOOKUP(C3124,'State Key'!$A$2:$B$210,2,False)</f>
        <v>Rajasthan</v>
      </c>
      <c r="E3124" s="15">
        <v>1320.0</v>
      </c>
      <c r="F3124" s="16">
        <v>304.335</v>
      </c>
      <c r="G3124" s="16">
        <v>0.0</v>
      </c>
      <c r="H3124" s="16">
        <v>0.0</v>
      </c>
      <c r="I3124" s="16">
        <v>0.0</v>
      </c>
      <c r="J3124" s="16">
        <v>193.016</v>
      </c>
      <c r="K3124" s="16">
        <v>0.0</v>
      </c>
      <c r="L3124" s="16">
        <v>497.351</v>
      </c>
      <c r="M3124" s="16">
        <v>489.091</v>
      </c>
      <c r="N3124" s="16">
        <v>138.2</v>
      </c>
      <c r="O3124" s="23">
        <v>8.5</v>
      </c>
      <c r="P3124" s="18">
        <f t="shared" si="1"/>
        <v>497.351</v>
      </c>
    </row>
    <row r="3125" ht="15.75" customHeight="1">
      <c r="A3125" s="19" t="s">
        <v>236</v>
      </c>
      <c r="B3125" s="19" t="s">
        <v>61</v>
      </c>
      <c r="C3125" s="20" t="s">
        <v>62</v>
      </c>
      <c r="D3125" s="14" t="str">
        <f>VLOOKUP(C3125,'State Key'!$A$2:$B$210,2,False)</f>
        <v>Uttar Pradesh</v>
      </c>
      <c r="E3125" s="21">
        <v>1200.0</v>
      </c>
      <c r="F3125" s="22">
        <v>462.592</v>
      </c>
      <c r="G3125" s="22">
        <v>0.0</v>
      </c>
      <c r="H3125" s="22">
        <v>0.0</v>
      </c>
      <c r="I3125" s="22">
        <v>0.0</v>
      </c>
      <c r="J3125" s="22">
        <v>0.0</v>
      </c>
      <c r="K3125" s="22">
        <v>0.0</v>
      </c>
      <c r="L3125" s="22">
        <v>462.592</v>
      </c>
      <c r="M3125" s="22">
        <v>444.284</v>
      </c>
      <c r="N3125" s="22">
        <v>162.45</v>
      </c>
      <c r="O3125" s="23">
        <v>11.0</v>
      </c>
      <c r="P3125" s="18">
        <f t="shared" si="1"/>
        <v>462.592</v>
      </c>
    </row>
    <row r="3126" ht="15.75" customHeight="1">
      <c r="A3126" s="13" t="s">
        <v>236</v>
      </c>
      <c r="B3126" s="13" t="s">
        <v>61</v>
      </c>
      <c r="C3126" s="14" t="s">
        <v>63</v>
      </c>
      <c r="D3126" s="14" t="str">
        <f>VLOOKUP(C3126,'State Key'!$A$2:$B$210,2,False)</f>
        <v>Uttar Pradesh</v>
      </c>
      <c r="E3126" s="15">
        <v>2630.0</v>
      </c>
      <c r="F3126" s="16">
        <v>1116.881</v>
      </c>
      <c r="G3126" s="16">
        <v>0.0</v>
      </c>
      <c r="H3126" s="16">
        <v>0.0</v>
      </c>
      <c r="I3126" s="16">
        <v>0.0</v>
      </c>
      <c r="J3126" s="16">
        <v>0.0</v>
      </c>
      <c r="K3126" s="16">
        <v>0.0</v>
      </c>
      <c r="L3126" s="16">
        <v>1116.881</v>
      </c>
      <c r="M3126" s="16">
        <v>1073.501</v>
      </c>
      <c r="N3126" s="16">
        <v>209.89</v>
      </c>
      <c r="O3126" s="17">
        <v>5.9</v>
      </c>
      <c r="P3126" s="18">
        <f t="shared" si="1"/>
        <v>1116.881</v>
      </c>
    </row>
    <row r="3127" ht="15.75" customHeight="1">
      <c r="A3127" s="19" t="s">
        <v>236</v>
      </c>
      <c r="B3127" s="19" t="s">
        <v>61</v>
      </c>
      <c r="C3127" s="20" t="s">
        <v>64</v>
      </c>
      <c r="D3127" s="14" t="str">
        <f>VLOOKUP(C3127,'State Key'!$A$2:$B$210,2,False)</f>
        <v>Uttar Pradesh</v>
      </c>
      <c r="E3127" s="21">
        <v>90.0</v>
      </c>
      <c r="F3127" s="22">
        <v>16.087</v>
      </c>
      <c r="G3127" s="22">
        <v>0.0</v>
      </c>
      <c r="H3127" s="22">
        <v>0.0</v>
      </c>
      <c r="I3127" s="22">
        <v>0.0</v>
      </c>
      <c r="J3127" s="22">
        <v>0.0</v>
      </c>
      <c r="K3127" s="22">
        <v>0.0</v>
      </c>
      <c r="L3127" s="22">
        <v>16.087</v>
      </c>
      <c r="M3127" s="22">
        <v>26.585</v>
      </c>
      <c r="N3127" s="22">
        <v>19.25</v>
      </c>
      <c r="O3127" s="24">
        <v>21.7</v>
      </c>
      <c r="P3127" s="18">
        <f t="shared" si="1"/>
        <v>16.087</v>
      </c>
    </row>
    <row r="3128" ht="15.75" customHeight="1">
      <c r="A3128" s="13" t="s">
        <v>236</v>
      </c>
      <c r="B3128" s="13" t="s">
        <v>61</v>
      </c>
      <c r="C3128" s="14" t="s">
        <v>65</v>
      </c>
      <c r="D3128" s="14" t="str">
        <f>VLOOKUP(C3128,'State Key'!$A$2:$B$210,2,False)</f>
        <v>Rajasthan</v>
      </c>
      <c r="E3128" s="15">
        <v>500.0</v>
      </c>
      <c r="F3128" s="16">
        <v>72.5819</v>
      </c>
      <c r="G3128" s="16">
        <v>0.0</v>
      </c>
      <c r="H3128" s="16">
        <v>0.0</v>
      </c>
      <c r="I3128" s="16">
        <v>0.0</v>
      </c>
      <c r="J3128" s="16">
        <v>0.0</v>
      </c>
      <c r="K3128" s="16">
        <v>0.0</v>
      </c>
      <c r="L3128" s="16">
        <v>72.5819</v>
      </c>
      <c r="M3128" s="16">
        <v>219.9733</v>
      </c>
      <c r="N3128" s="16">
        <v>49.1689</v>
      </c>
      <c r="O3128" s="17">
        <v>6.7</v>
      </c>
      <c r="P3128" s="18">
        <f t="shared" si="1"/>
        <v>72.5819</v>
      </c>
    </row>
    <row r="3129" ht="15.75" customHeight="1">
      <c r="A3129" s="19" t="s">
        <v>236</v>
      </c>
      <c r="B3129" s="19" t="s">
        <v>61</v>
      </c>
      <c r="C3129" s="20" t="s">
        <v>66</v>
      </c>
      <c r="D3129" s="14" t="str">
        <f>VLOOKUP(C3129,'State Key'!$A$2:$B$210,2,False)</f>
        <v>Rajasthan</v>
      </c>
      <c r="E3129" s="21">
        <v>500.0</v>
      </c>
      <c r="F3129" s="22">
        <v>222.9144</v>
      </c>
      <c r="G3129" s="22">
        <v>0.0</v>
      </c>
      <c r="H3129" s="22">
        <v>32.3542</v>
      </c>
      <c r="I3129" s="22">
        <v>0.0</v>
      </c>
      <c r="J3129" s="22">
        <v>0.0</v>
      </c>
      <c r="K3129" s="22">
        <v>0.0</v>
      </c>
      <c r="L3129" s="22">
        <v>255.2686</v>
      </c>
      <c r="M3129" s="22">
        <v>215.5032</v>
      </c>
      <c r="N3129" s="22">
        <v>45.9761</v>
      </c>
      <c r="O3129" s="17">
        <v>6.4</v>
      </c>
      <c r="P3129" s="18">
        <f t="shared" si="1"/>
        <v>255.2686</v>
      </c>
    </row>
    <row r="3130" ht="15.75" customHeight="1">
      <c r="A3130" s="13" t="s">
        <v>236</v>
      </c>
      <c r="B3130" s="13" t="s">
        <v>61</v>
      </c>
      <c r="C3130" s="14" t="s">
        <v>67</v>
      </c>
      <c r="D3130" s="14" t="str">
        <f>VLOOKUP(C3130,'State Key'!$A$2:$B$210,2,False)</f>
        <v>Rajasthan</v>
      </c>
      <c r="E3130" s="15">
        <v>1320.0</v>
      </c>
      <c r="F3130" s="16">
        <v>39.284</v>
      </c>
      <c r="G3130" s="16">
        <v>0.0</v>
      </c>
      <c r="H3130" s="16">
        <v>266.613</v>
      </c>
      <c r="I3130" s="16">
        <v>0.0</v>
      </c>
      <c r="J3130" s="16">
        <v>0.0</v>
      </c>
      <c r="K3130" s="16">
        <v>0.0</v>
      </c>
      <c r="L3130" s="16">
        <v>305.897</v>
      </c>
      <c r="M3130" s="16">
        <v>268.669</v>
      </c>
      <c r="N3130" s="16">
        <v>150.655</v>
      </c>
      <c r="O3130" s="24">
        <v>16.8</v>
      </c>
      <c r="P3130" s="18">
        <f t="shared" si="1"/>
        <v>305.897</v>
      </c>
    </row>
    <row r="3131" ht="15.75" customHeight="1">
      <c r="A3131" s="19" t="s">
        <v>236</v>
      </c>
      <c r="B3131" s="19" t="s">
        <v>61</v>
      </c>
      <c r="C3131" s="20" t="s">
        <v>68</v>
      </c>
      <c r="D3131" s="14" t="str">
        <f>VLOOKUP(C3131,'State Key'!$A$2:$B$210,2,False)</f>
        <v>Uttar Pradesh</v>
      </c>
      <c r="E3131" s="21">
        <v>1820.0</v>
      </c>
      <c r="F3131" s="22">
        <v>365.74</v>
      </c>
      <c r="G3131" s="22">
        <v>0.0</v>
      </c>
      <c r="H3131" s="22">
        <v>32.02</v>
      </c>
      <c r="I3131" s="22">
        <v>0.0</v>
      </c>
      <c r="J3131" s="22">
        <v>3.82</v>
      </c>
      <c r="K3131" s="22">
        <v>0.0</v>
      </c>
      <c r="L3131" s="22">
        <v>401.58</v>
      </c>
      <c r="M3131" s="22">
        <v>591.048</v>
      </c>
      <c r="N3131" s="22">
        <v>429.227</v>
      </c>
      <c r="O3131" s="24">
        <v>21.8</v>
      </c>
      <c r="P3131" s="18">
        <f t="shared" si="1"/>
        <v>401.58</v>
      </c>
    </row>
    <row r="3132" ht="15.75" customHeight="1">
      <c r="A3132" s="13" t="s">
        <v>236</v>
      </c>
      <c r="B3132" s="13" t="s">
        <v>61</v>
      </c>
      <c r="C3132" s="14" t="s">
        <v>69</v>
      </c>
      <c r="D3132" s="14" t="str">
        <f>VLOOKUP(C3132,'State Key'!$A$2:$B$210,2,False)</f>
        <v>Punjab</v>
      </c>
      <c r="E3132" s="15">
        <v>920.0</v>
      </c>
      <c r="F3132" s="16">
        <v>28.647</v>
      </c>
      <c r="G3132" s="16">
        <v>0.0</v>
      </c>
      <c r="H3132" s="16">
        <v>207.963</v>
      </c>
      <c r="I3132" s="16">
        <v>0.0</v>
      </c>
      <c r="J3132" s="16">
        <v>0.0</v>
      </c>
      <c r="K3132" s="16">
        <v>0.127</v>
      </c>
      <c r="L3132" s="16">
        <v>236.737</v>
      </c>
      <c r="M3132" s="16">
        <v>236.928</v>
      </c>
      <c r="N3132" s="16">
        <v>236.39</v>
      </c>
      <c r="O3132" s="24">
        <v>29.9</v>
      </c>
      <c r="P3132" s="18">
        <f t="shared" si="1"/>
        <v>236.737</v>
      </c>
    </row>
    <row r="3133" ht="15.75" customHeight="1">
      <c r="A3133" s="19" t="s">
        <v>236</v>
      </c>
      <c r="B3133" s="19" t="s">
        <v>61</v>
      </c>
      <c r="C3133" s="20" t="s">
        <v>70</v>
      </c>
      <c r="D3133" s="14" t="str">
        <f>VLOOKUP(C3133,'State Key'!$A$2:$B$210,2,False)</f>
        <v>Punjab</v>
      </c>
      <c r="E3133" s="21">
        <v>540.0</v>
      </c>
      <c r="F3133" s="22">
        <v>0.0</v>
      </c>
      <c r="G3133" s="22">
        <v>0.0</v>
      </c>
      <c r="H3133" s="22">
        <v>169.7</v>
      </c>
      <c r="I3133" s="22">
        <v>0.0</v>
      </c>
      <c r="J3133" s="22">
        <v>0.0</v>
      </c>
      <c r="K3133" s="22">
        <v>0.0</v>
      </c>
      <c r="L3133" s="22">
        <v>169.7</v>
      </c>
      <c r="M3133" s="22">
        <v>174.077</v>
      </c>
      <c r="N3133" s="22">
        <v>118.8</v>
      </c>
      <c r="O3133" s="24">
        <v>20.5</v>
      </c>
      <c r="P3133" s="18">
        <f t="shared" si="1"/>
        <v>169.7</v>
      </c>
    </row>
    <row r="3134" ht="15.75" customHeight="1">
      <c r="A3134" s="13" t="s">
        <v>236</v>
      </c>
      <c r="B3134" s="13" t="s">
        <v>61</v>
      </c>
      <c r="C3134" s="14" t="s">
        <v>71</v>
      </c>
      <c r="D3134" s="14" t="str">
        <f>VLOOKUP(C3134,'State Key'!$A$2:$B$210,2,False)</f>
        <v>Uttar Pradesh</v>
      </c>
      <c r="E3134" s="15">
        <v>1265.0</v>
      </c>
      <c r="F3134" s="16">
        <v>237.138</v>
      </c>
      <c r="G3134" s="16">
        <v>0.0</v>
      </c>
      <c r="H3134" s="16">
        <v>0.0</v>
      </c>
      <c r="I3134" s="16">
        <v>0.0</v>
      </c>
      <c r="J3134" s="16">
        <v>0.0</v>
      </c>
      <c r="K3134" s="16">
        <v>0.0</v>
      </c>
      <c r="L3134" s="16">
        <v>237.138</v>
      </c>
      <c r="M3134" s="16">
        <v>275.79</v>
      </c>
      <c r="N3134" s="16">
        <v>527.79</v>
      </c>
      <c r="O3134" s="24">
        <v>57.4</v>
      </c>
      <c r="P3134" s="18">
        <f t="shared" si="1"/>
        <v>237.138</v>
      </c>
    </row>
    <row r="3135" ht="15.75" customHeight="1">
      <c r="A3135" s="19" t="s">
        <v>236</v>
      </c>
      <c r="B3135" s="19" t="s">
        <v>61</v>
      </c>
      <c r="C3135" s="20" t="s">
        <v>72</v>
      </c>
      <c r="D3135" s="14" t="str">
        <f>VLOOKUP(C3135,'State Key'!$A$2:$B$210,2,False)</f>
        <v>Haryana</v>
      </c>
      <c r="E3135" s="21">
        <v>1500.0</v>
      </c>
      <c r="F3135" s="22">
        <v>525.305</v>
      </c>
      <c r="G3135" s="22">
        <v>0.0</v>
      </c>
      <c r="H3135" s="22">
        <v>0.0</v>
      </c>
      <c r="I3135" s="22">
        <v>0.0</v>
      </c>
      <c r="J3135" s="22">
        <v>0.0</v>
      </c>
      <c r="K3135" s="22">
        <v>0.0</v>
      </c>
      <c r="L3135" s="22">
        <v>525.305</v>
      </c>
      <c r="M3135" s="22">
        <v>544.073</v>
      </c>
      <c r="N3135" s="22">
        <v>760.74</v>
      </c>
      <c r="O3135" s="24">
        <v>41.9</v>
      </c>
      <c r="P3135" s="18">
        <f t="shared" si="1"/>
        <v>525.305</v>
      </c>
    </row>
    <row r="3136" ht="15.75" customHeight="1">
      <c r="A3136" s="13" t="s">
        <v>236</v>
      </c>
      <c r="B3136" s="13" t="s">
        <v>61</v>
      </c>
      <c r="C3136" s="14" t="s">
        <v>226</v>
      </c>
      <c r="D3136" s="14" t="str">
        <f>VLOOKUP(C3136,'State Key'!$A$2:$B$210,2,False)</f>
        <v>Uttar Pradesh</v>
      </c>
      <c r="E3136" s="15">
        <v>660.0</v>
      </c>
      <c r="F3136" s="16">
        <v>149.2956</v>
      </c>
      <c r="G3136" s="16">
        <v>0.0</v>
      </c>
      <c r="H3136" s="16">
        <v>0.0</v>
      </c>
      <c r="I3136" s="16">
        <v>0.0</v>
      </c>
      <c r="J3136" s="16">
        <v>0.0</v>
      </c>
      <c r="K3136" s="16">
        <v>0.0</v>
      </c>
      <c r="L3136" s="16">
        <v>149.2956</v>
      </c>
      <c r="M3136" s="16">
        <v>166.786</v>
      </c>
      <c r="N3136" s="16">
        <v>57.76</v>
      </c>
      <c r="O3136" s="23">
        <v>10.4</v>
      </c>
      <c r="P3136" s="18">
        <f t="shared" si="1"/>
        <v>149.2956</v>
      </c>
    </row>
    <row r="3137" ht="15.75" customHeight="1">
      <c r="A3137" s="19" t="s">
        <v>236</v>
      </c>
      <c r="B3137" s="19" t="s">
        <v>61</v>
      </c>
      <c r="C3137" s="20" t="s">
        <v>73</v>
      </c>
      <c r="D3137" s="14" t="str">
        <f>VLOOKUP(C3137,'State Key'!$A$2:$B$210,2,False)</f>
        <v>Rajasthan</v>
      </c>
      <c r="E3137" s="21">
        <v>1200.0</v>
      </c>
      <c r="F3137" s="22">
        <v>0.0</v>
      </c>
      <c r="G3137" s="22">
        <v>0.0</v>
      </c>
      <c r="H3137" s="22">
        <v>332.381</v>
      </c>
      <c r="I3137" s="22">
        <v>0.0</v>
      </c>
      <c r="J3137" s="22">
        <v>0.0</v>
      </c>
      <c r="K3137" s="22">
        <v>0.0</v>
      </c>
      <c r="L3137" s="22">
        <v>332.381</v>
      </c>
      <c r="M3137" s="22">
        <v>412.161</v>
      </c>
      <c r="N3137" s="22">
        <v>130.09</v>
      </c>
      <c r="O3137" s="23">
        <v>9.5</v>
      </c>
      <c r="P3137" s="18">
        <f t="shared" si="1"/>
        <v>332.381</v>
      </c>
    </row>
    <row r="3138" ht="15.75" customHeight="1">
      <c r="A3138" s="13" t="s">
        <v>236</v>
      </c>
      <c r="B3138" s="13" t="s">
        <v>61</v>
      </c>
      <c r="C3138" s="14" t="s">
        <v>75</v>
      </c>
      <c r="D3138" s="14" t="str">
        <f>VLOOKUP(C3138,'State Key'!$A$2:$B$210,2,False)</f>
        <v>Uttar Pradesh</v>
      </c>
      <c r="E3138" s="15">
        <v>90.0</v>
      </c>
      <c r="F3138" s="16">
        <v>15.596</v>
      </c>
      <c r="G3138" s="16">
        <v>0.0</v>
      </c>
      <c r="H3138" s="16">
        <v>0.0</v>
      </c>
      <c r="I3138" s="16">
        <v>0.0</v>
      </c>
      <c r="J3138" s="16">
        <v>0.0</v>
      </c>
      <c r="K3138" s="16">
        <v>0.0</v>
      </c>
      <c r="L3138" s="16">
        <v>15.596</v>
      </c>
      <c r="M3138" s="16">
        <v>23.965</v>
      </c>
      <c r="N3138" s="16">
        <v>20.66</v>
      </c>
      <c r="O3138" s="24">
        <v>25.9</v>
      </c>
      <c r="P3138" s="18">
        <f t="shared" si="1"/>
        <v>15.596</v>
      </c>
    </row>
    <row r="3139" ht="15.75" customHeight="1">
      <c r="A3139" s="19" t="s">
        <v>236</v>
      </c>
      <c r="B3139" s="19" t="s">
        <v>61</v>
      </c>
      <c r="C3139" s="20" t="s">
        <v>76</v>
      </c>
      <c r="D3139" s="14" t="str">
        <f>VLOOKUP(C3139,'State Key'!$A$2:$B$210,2,False)</f>
        <v>Rajasthan</v>
      </c>
      <c r="E3139" s="21">
        <v>1240.0</v>
      </c>
      <c r="F3139" s="22">
        <v>348.9955</v>
      </c>
      <c r="G3139" s="22">
        <v>0.0</v>
      </c>
      <c r="H3139" s="22">
        <v>0.0</v>
      </c>
      <c r="I3139" s="22">
        <v>0.0</v>
      </c>
      <c r="J3139" s="22">
        <v>0.0</v>
      </c>
      <c r="K3139" s="22">
        <v>119.22208</v>
      </c>
      <c r="L3139" s="22">
        <v>468.21758</v>
      </c>
      <c r="M3139" s="22">
        <v>560.4431</v>
      </c>
      <c r="N3139" s="22">
        <v>77.49</v>
      </c>
      <c r="O3139" s="17">
        <v>4.1</v>
      </c>
      <c r="P3139" s="18">
        <f t="shared" si="1"/>
        <v>468.21758</v>
      </c>
    </row>
    <row r="3140" ht="15.75" customHeight="1">
      <c r="A3140" s="13" t="s">
        <v>236</v>
      </c>
      <c r="B3140" s="13" t="s">
        <v>61</v>
      </c>
      <c r="C3140" s="14" t="s">
        <v>77</v>
      </c>
      <c r="D3140" s="14" t="str">
        <f>VLOOKUP(C3140,'State Key'!$A$2:$B$210,2,False)</f>
        <v>Uttar Pradesh</v>
      </c>
      <c r="E3140" s="15">
        <v>90.0</v>
      </c>
      <c r="F3140" s="16">
        <v>20.144</v>
      </c>
      <c r="G3140" s="16">
        <v>0.0</v>
      </c>
      <c r="H3140" s="16">
        <v>0.0</v>
      </c>
      <c r="I3140" s="16">
        <v>0.0</v>
      </c>
      <c r="J3140" s="16">
        <v>0.0</v>
      </c>
      <c r="K3140" s="16">
        <v>0.0</v>
      </c>
      <c r="L3140" s="16">
        <v>20.144</v>
      </c>
      <c r="M3140" s="16">
        <v>26.049</v>
      </c>
      <c r="N3140" s="16">
        <v>32.38</v>
      </c>
      <c r="O3140" s="24">
        <v>37.3</v>
      </c>
      <c r="P3140" s="18">
        <f t="shared" si="1"/>
        <v>20.144</v>
      </c>
    </row>
    <row r="3141" ht="15.75" customHeight="1">
      <c r="A3141" s="19" t="s">
        <v>236</v>
      </c>
      <c r="B3141" s="19" t="s">
        <v>61</v>
      </c>
      <c r="C3141" s="20" t="s">
        <v>78</v>
      </c>
      <c r="D3141" s="14" t="str">
        <f>VLOOKUP(C3141,'State Key'!$A$2:$B$210,2,False)</f>
        <v>Uttar Pradesh</v>
      </c>
      <c r="E3141" s="21">
        <v>1980.0</v>
      </c>
      <c r="F3141" s="22">
        <v>619.392</v>
      </c>
      <c r="G3141" s="22">
        <v>0.0</v>
      </c>
      <c r="H3141" s="22">
        <v>0.0</v>
      </c>
      <c r="I3141" s="22">
        <v>0.0</v>
      </c>
      <c r="J3141" s="22">
        <v>0.0</v>
      </c>
      <c r="K3141" s="22">
        <v>0.0</v>
      </c>
      <c r="L3141" s="22">
        <v>619.392</v>
      </c>
      <c r="M3141" s="22">
        <v>686.331</v>
      </c>
      <c r="N3141" s="22">
        <v>289.905</v>
      </c>
      <c r="O3141" s="23">
        <v>12.7</v>
      </c>
      <c r="P3141" s="18">
        <f t="shared" si="1"/>
        <v>619.392</v>
      </c>
    </row>
    <row r="3142" ht="15.75" customHeight="1">
      <c r="A3142" s="13" t="s">
        <v>236</v>
      </c>
      <c r="B3142" s="13" t="s">
        <v>61</v>
      </c>
      <c r="C3142" s="14" t="s">
        <v>79</v>
      </c>
      <c r="D3142" s="14" t="str">
        <f>VLOOKUP(C3142,'State Key'!$A$2:$B$210,2,False)</f>
        <v>Haryana</v>
      </c>
      <c r="E3142" s="15">
        <v>1320.0</v>
      </c>
      <c r="F3142" s="16">
        <v>429.857</v>
      </c>
      <c r="G3142" s="16">
        <v>0.0</v>
      </c>
      <c r="H3142" s="16">
        <v>0.0</v>
      </c>
      <c r="I3142" s="16">
        <v>0.0</v>
      </c>
      <c r="J3142" s="16">
        <v>0.0</v>
      </c>
      <c r="K3142" s="16">
        <v>0.0</v>
      </c>
      <c r="L3142" s="16">
        <v>429.857</v>
      </c>
      <c r="M3142" s="16">
        <v>430.574</v>
      </c>
      <c r="N3142" s="16">
        <v>439.51</v>
      </c>
      <c r="O3142" s="24">
        <v>30.6</v>
      </c>
      <c r="P3142" s="18">
        <f t="shared" si="1"/>
        <v>429.857</v>
      </c>
    </row>
    <row r="3143" ht="15.75" customHeight="1">
      <c r="A3143" s="19" t="s">
        <v>236</v>
      </c>
      <c r="B3143" s="19" t="s">
        <v>61</v>
      </c>
      <c r="C3143" s="20" t="s">
        <v>80</v>
      </c>
      <c r="D3143" s="14" t="str">
        <f>VLOOKUP(C3143,'State Key'!$A$2:$B$210,2,False)</f>
        <v>Uttar Pradesh</v>
      </c>
      <c r="E3143" s="21">
        <v>90.0</v>
      </c>
      <c r="F3143" s="22">
        <v>19.97</v>
      </c>
      <c r="G3143" s="22">
        <v>0.0</v>
      </c>
      <c r="H3143" s="22">
        <v>0.0</v>
      </c>
      <c r="I3143" s="22">
        <v>0.0</v>
      </c>
      <c r="J3143" s="22">
        <v>0.0</v>
      </c>
      <c r="K3143" s="22">
        <v>0.0</v>
      </c>
      <c r="L3143" s="22">
        <v>19.97</v>
      </c>
      <c r="M3143" s="22">
        <v>23.307</v>
      </c>
      <c r="N3143" s="22">
        <v>24.14</v>
      </c>
      <c r="O3143" s="24">
        <v>31.1</v>
      </c>
      <c r="P3143" s="18">
        <f t="shared" si="1"/>
        <v>19.97</v>
      </c>
    </row>
    <row r="3144" ht="15.75" customHeight="1">
      <c r="A3144" s="13" t="s">
        <v>236</v>
      </c>
      <c r="B3144" s="13" t="s">
        <v>61</v>
      </c>
      <c r="C3144" s="14" t="s">
        <v>81</v>
      </c>
      <c r="D3144" s="14" t="str">
        <f>VLOOKUP(C3144,'State Key'!$A$2:$B$210,2,False)</f>
        <v>Uttar Pradesh</v>
      </c>
      <c r="E3144" s="15">
        <v>1320.0</v>
      </c>
      <c r="F3144" s="16">
        <v>415.7747</v>
      </c>
      <c r="G3144" s="16">
        <v>0.0</v>
      </c>
      <c r="H3144" s="16">
        <v>0.0</v>
      </c>
      <c r="I3144" s="16">
        <v>0.0</v>
      </c>
      <c r="J3144" s="16">
        <v>0.0</v>
      </c>
      <c r="K3144" s="16">
        <v>0.0</v>
      </c>
      <c r="L3144" s="16">
        <v>415.7747</v>
      </c>
      <c r="M3144" s="16">
        <v>426.784</v>
      </c>
      <c r="N3144" s="16">
        <v>283.16</v>
      </c>
      <c r="O3144" s="24">
        <v>19.9</v>
      </c>
      <c r="P3144" s="18">
        <f t="shared" si="1"/>
        <v>415.7747</v>
      </c>
    </row>
    <row r="3145" ht="15.75" customHeight="1">
      <c r="A3145" s="19" t="s">
        <v>236</v>
      </c>
      <c r="B3145" s="19" t="s">
        <v>61</v>
      </c>
      <c r="C3145" s="20" t="s">
        <v>82</v>
      </c>
      <c r="D3145" s="14" t="str">
        <f>VLOOKUP(C3145,'State Key'!$A$2:$B$210,2,False)</f>
        <v>Uttar Pradesh</v>
      </c>
      <c r="E3145" s="21">
        <v>1660.0</v>
      </c>
      <c r="F3145" s="22">
        <v>422.03</v>
      </c>
      <c r="G3145" s="22">
        <v>0.0</v>
      </c>
      <c r="H3145" s="22">
        <v>0.0</v>
      </c>
      <c r="I3145" s="22">
        <v>0.0</v>
      </c>
      <c r="J3145" s="22">
        <v>0.0</v>
      </c>
      <c r="K3145" s="22">
        <v>0.0</v>
      </c>
      <c r="L3145" s="22">
        <v>422.03</v>
      </c>
      <c r="M3145" s="22">
        <v>448.073</v>
      </c>
      <c r="N3145" s="22">
        <v>283.73</v>
      </c>
      <c r="O3145" s="24">
        <v>19.0</v>
      </c>
      <c r="P3145" s="18">
        <f t="shared" si="1"/>
        <v>422.03</v>
      </c>
    </row>
    <row r="3146" ht="15.75" customHeight="1">
      <c r="A3146" s="13" t="s">
        <v>236</v>
      </c>
      <c r="B3146" s="13" t="s">
        <v>61</v>
      </c>
      <c r="C3146" s="14" t="s">
        <v>83</v>
      </c>
      <c r="D3146" s="14" t="str">
        <f>VLOOKUP(C3146,'State Key'!$A$2:$B$210,2,False)</f>
        <v>Haryana</v>
      </c>
      <c r="E3146" s="15">
        <v>710.0</v>
      </c>
      <c r="F3146" s="16">
        <v>306.425</v>
      </c>
      <c r="G3146" s="16">
        <v>0.0</v>
      </c>
      <c r="H3146" s="16">
        <v>0.0</v>
      </c>
      <c r="I3146" s="16">
        <v>0.0</v>
      </c>
      <c r="J3146" s="16">
        <v>0.0</v>
      </c>
      <c r="K3146" s="16">
        <v>0.0</v>
      </c>
      <c r="L3146" s="16">
        <v>306.425</v>
      </c>
      <c r="M3146" s="16">
        <v>300.284</v>
      </c>
      <c r="N3146" s="16">
        <v>198.12</v>
      </c>
      <c r="O3146" s="24">
        <v>19.8</v>
      </c>
      <c r="P3146" s="18">
        <f t="shared" si="1"/>
        <v>306.425</v>
      </c>
    </row>
    <row r="3147" ht="15.75" customHeight="1">
      <c r="A3147" s="19" t="s">
        <v>236</v>
      </c>
      <c r="B3147" s="19" t="s">
        <v>61</v>
      </c>
      <c r="C3147" s="20" t="s">
        <v>84</v>
      </c>
      <c r="D3147" s="14" t="str">
        <f>VLOOKUP(C3147,'State Key'!$A$2:$B$210,2,False)</f>
        <v>Uttar Pradesh</v>
      </c>
      <c r="E3147" s="21">
        <v>920.0</v>
      </c>
      <c r="F3147" s="22">
        <v>204.267</v>
      </c>
      <c r="G3147" s="22">
        <v>0.0</v>
      </c>
      <c r="H3147" s="22">
        <v>0.0</v>
      </c>
      <c r="I3147" s="22">
        <v>0.0</v>
      </c>
      <c r="J3147" s="22">
        <v>0.0</v>
      </c>
      <c r="K3147" s="22">
        <v>0.0</v>
      </c>
      <c r="L3147" s="22">
        <v>204.267</v>
      </c>
      <c r="M3147" s="22">
        <v>313.751</v>
      </c>
      <c r="N3147" s="22">
        <v>100.293</v>
      </c>
      <c r="O3147" s="23">
        <v>9.6</v>
      </c>
      <c r="P3147" s="18">
        <f t="shared" si="1"/>
        <v>204.267</v>
      </c>
    </row>
    <row r="3148" ht="15.75" customHeight="1">
      <c r="A3148" s="13" t="s">
        <v>236</v>
      </c>
      <c r="B3148" s="13" t="s">
        <v>61</v>
      </c>
      <c r="C3148" s="14" t="s">
        <v>85</v>
      </c>
      <c r="D3148" s="14" t="str">
        <f>VLOOKUP(C3148,'State Key'!$A$2:$B$210,2,False)</f>
        <v>Uttar Pradesh</v>
      </c>
      <c r="E3148" s="15">
        <v>1980.0</v>
      </c>
      <c r="F3148" s="16">
        <v>529.584</v>
      </c>
      <c r="G3148" s="16">
        <v>0.0</v>
      </c>
      <c r="H3148" s="16">
        <v>0.0</v>
      </c>
      <c r="I3148" s="16">
        <v>0.0</v>
      </c>
      <c r="J3148" s="16">
        <v>0.0</v>
      </c>
      <c r="K3148" s="16">
        <v>0.0</v>
      </c>
      <c r="L3148" s="16">
        <v>529.584</v>
      </c>
      <c r="M3148" s="16">
        <v>638.4528</v>
      </c>
      <c r="N3148" s="16">
        <v>401.65</v>
      </c>
      <c r="O3148" s="24">
        <v>18.9</v>
      </c>
      <c r="P3148" s="18">
        <f t="shared" si="1"/>
        <v>529.584</v>
      </c>
    </row>
    <row r="3149" ht="15.75" customHeight="1">
      <c r="A3149" s="19" t="s">
        <v>236</v>
      </c>
      <c r="B3149" s="19" t="s">
        <v>61</v>
      </c>
      <c r="C3149" s="20" t="s">
        <v>86</v>
      </c>
      <c r="D3149" s="14" t="str">
        <f>VLOOKUP(C3149,'State Key'!$A$2:$B$210,2,False)</f>
        <v>Haryana</v>
      </c>
      <c r="E3149" s="21">
        <v>1200.0</v>
      </c>
      <c r="F3149" s="22">
        <v>419.146</v>
      </c>
      <c r="G3149" s="22">
        <v>0.0</v>
      </c>
      <c r="H3149" s="22">
        <v>0.0</v>
      </c>
      <c r="I3149" s="22">
        <v>0.0</v>
      </c>
      <c r="J3149" s="22">
        <v>0.0</v>
      </c>
      <c r="K3149" s="22">
        <v>0.0</v>
      </c>
      <c r="L3149" s="22">
        <v>419.146</v>
      </c>
      <c r="M3149" s="22">
        <v>370.796</v>
      </c>
      <c r="N3149" s="22">
        <v>280.112</v>
      </c>
      <c r="O3149" s="24">
        <v>22.7</v>
      </c>
      <c r="P3149" s="18">
        <f t="shared" si="1"/>
        <v>419.146</v>
      </c>
    </row>
    <row r="3150" ht="15.75" customHeight="1">
      <c r="A3150" s="13" t="s">
        <v>236</v>
      </c>
      <c r="B3150" s="13" t="s">
        <v>61</v>
      </c>
      <c r="C3150" s="14" t="s">
        <v>87</v>
      </c>
      <c r="D3150" s="14" t="str">
        <f>VLOOKUP(C3150,'State Key'!$A$2:$B$210,2,False)</f>
        <v>Punjab</v>
      </c>
      <c r="E3150" s="15">
        <v>1400.0</v>
      </c>
      <c r="F3150" s="16">
        <v>432.9378</v>
      </c>
      <c r="G3150" s="16">
        <v>0.0</v>
      </c>
      <c r="H3150" s="16">
        <v>0.0</v>
      </c>
      <c r="I3150" s="16">
        <v>0.0</v>
      </c>
      <c r="J3150" s="16">
        <v>0.0</v>
      </c>
      <c r="K3150" s="16">
        <v>0.0</v>
      </c>
      <c r="L3150" s="16">
        <v>432.9378</v>
      </c>
      <c r="M3150" s="16">
        <v>497.143</v>
      </c>
      <c r="N3150" s="16">
        <v>194.49</v>
      </c>
      <c r="O3150" s="23">
        <v>11.7</v>
      </c>
      <c r="P3150" s="18">
        <f t="shared" si="1"/>
        <v>432.9378</v>
      </c>
    </row>
    <row r="3151" ht="15.75" customHeight="1">
      <c r="A3151" s="19" t="s">
        <v>236</v>
      </c>
      <c r="B3151" s="19" t="s">
        <v>61</v>
      </c>
      <c r="C3151" s="20" t="s">
        <v>88</v>
      </c>
      <c r="D3151" s="14" t="str">
        <f>VLOOKUP(C3151,'State Key'!$A$2:$B$210,2,False)</f>
        <v>Uttar Pradesh</v>
      </c>
      <c r="E3151" s="21">
        <v>3000.0</v>
      </c>
      <c r="F3151" s="22">
        <v>1006.69</v>
      </c>
      <c r="G3151" s="22">
        <v>0.0</v>
      </c>
      <c r="H3151" s="22">
        <v>0.0</v>
      </c>
      <c r="I3151" s="22">
        <v>0.0</v>
      </c>
      <c r="J3151" s="22">
        <v>0.0</v>
      </c>
      <c r="K3151" s="22">
        <v>0.0</v>
      </c>
      <c r="L3151" s="22">
        <v>1006.69</v>
      </c>
      <c r="M3151" s="22">
        <v>1025.056</v>
      </c>
      <c r="N3151" s="22">
        <v>591.542</v>
      </c>
      <c r="O3151" s="24">
        <v>17.3</v>
      </c>
      <c r="P3151" s="18">
        <f t="shared" si="1"/>
        <v>1006.69</v>
      </c>
    </row>
    <row r="3152" ht="15.75" customHeight="1">
      <c r="A3152" s="13" t="s">
        <v>236</v>
      </c>
      <c r="B3152" s="13" t="s">
        <v>61</v>
      </c>
      <c r="C3152" s="14" t="s">
        <v>89</v>
      </c>
      <c r="D3152" s="14" t="str">
        <f>VLOOKUP(C3152,'State Key'!$A$2:$B$210,2,False)</f>
        <v>Punjab</v>
      </c>
      <c r="E3152" s="15">
        <v>840.0</v>
      </c>
      <c r="F3152" s="16">
        <v>0.0</v>
      </c>
      <c r="G3152" s="16">
        <v>0.0</v>
      </c>
      <c r="H3152" s="16">
        <v>279.39</v>
      </c>
      <c r="I3152" s="16">
        <v>0.0</v>
      </c>
      <c r="J3152" s="16">
        <v>0.0</v>
      </c>
      <c r="K3152" s="16">
        <v>0.0</v>
      </c>
      <c r="L3152" s="16">
        <v>279.39</v>
      </c>
      <c r="M3152" s="16">
        <v>222.332</v>
      </c>
      <c r="N3152" s="16">
        <v>321.41</v>
      </c>
      <c r="O3152" s="24">
        <v>43.4</v>
      </c>
      <c r="P3152" s="18">
        <f t="shared" si="1"/>
        <v>279.39</v>
      </c>
    </row>
    <row r="3153" ht="15.75" customHeight="1">
      <c r="A3153" s="19" t="s">
        <v>236</v>
      </c>
      <c r="B3153" s="19" t="s">
        <v>61</v>
      </c>
      <c r="C3153" s="20" t="s">
        <v>90</v>
      </c>
      <c r="D3153" s="14" t="str">
        <f>VLOOKUP(C3153,'State Key'!$A$2:$B$210,2,False)</f>
        <v>Uttar Pradesh</v>
      </c>
      <c r="E3153" s="21">
        <v>1200.0</v>
      </c>
      <c r="F3153" s="22">
        <v>347.359</v>
      </c>
      <c r="G3153" s="22">
        <v>0.0</v>
      </c>
      <c r="H3153" s="22">
        <v>0.0</v>
      </c>
      <c r="I3153" s="22">
        <v>0.0</v>
      </c>
      <c r="J3153" s="22">
        <v>0.0</v>
      </c>
      <c r="K3153" s="22">
        <v>0.0</v>
      </c>
      <c r="L3153" s="22">
        <v>347.359</v>
      </c>
      <c r="M3153" s="22">
        <v>362.353</v>
      </c>
      <c r="N3153" s="22">
        <v>270.3</v>
      </c>
      <c r="O3153" s="24">
        <v>22.4</v>
      </c>
      <c r="P3153" s="18">
        <f t="shared" si="1"/>
        <v>347.359</v>
      </c>
    </row>
    <row r="3154" ht="15.75" customHeight="1">
      <c r="A3154" s="13" t="s">
        <v>236</v>
      </c>
      <c r="B3154" s="13" t="s">
        <v>61</v>
      </c>
      <c r="C3154" s="14" t="s">
        <v>219</v>
      </c>
      <c r="D3154" s="14" t="str">
        <f>VLOOKUP(C3154,'State Key'!$A$2:$B$210,2,False)</f>
        <v>Rajasthan</v>
      </c>
      <c r="E3154" s="15">
        <v>300.0</v>
      </c>
      <c r="F3154" s="16">
        <v>0.0</v>
      </c>
      <c r="G3154" s="16">
        <v>0.0</v>
      </c>
      <c r="H3154" s="16">
        <v>0.0</v>
      </c>
      <c r="I3154" s="16">
        <v>0.0</v>
      </c>
      <c r="J3154" s="16">
        <v>38.61</v>
      </c>
      <c r="K3154" s="16">
        <v>0.0</v>
      </c>
      <c r="L3154" s="16">
        <v>38.61</v>
      </c>
      <c r="M3154" s="16">
        <v>38.61</v>
      </c>
      <c r="N3154" s="16">
        <v>0.0</v>
      </c>
      <c r="O3154" s="17">
        <v>0.0</v>
      </c>
      <c r="P3154" s="18">
        <f t="shared" si="1"/>
        <v>38.61</v>
      </c>
    </row>
    <row r="3155" ht="15.75" customHeight="1">
      <c r="A3155" s="19" t="s">
        <v>236</v>
      </c>
      <c r="B3155" s="19" t="s">
        <v>61</v>
      </c>
      <c r="C3155" s="20" t="s">
        <v>91</v>
      </c>
      <c r="D3155" s="14" t="str">
        <f>VLOOKUP(C3155,'State Key'!$A$2:$B$210,2,False)</f>
        <v>Uttar Pradesh</v>
      </c>
      <c r="E3155" s="21">
        <v>2000.0</v>
      </c>
      <c r="F3155" s="22">
        <v>841.83</v>
      </c>
      <c r="G3155" s="22">
        <v>0.0</v>
      </c>
      <c r="H3155" s="22">
        <v>0.0</v>
      </c>
      <c r="I3155" s="22">
        <v>0.0</v>
      </c>
      <c r="J3155" s="22">
        <v>0.0</v>
      </c>
      <c r="K3155" s="22">
        <v>0.0</v>
      </c>
      <c r="L3155" s="22">
        <v>841.83</v>
      </c>
      <c r="M3155" s="22">
        <v>823.049</v>
      </c>
      <c r="N3155" s="22">
        <v>223.672</v>
      </c>
      <c r="O3155" s="23">
        <v>8.2</v>
      </c>
      <c r="P3155" s="18">
        <f t="shared" si="1"/>
        <v>841.83</v>
      </c>
    </row>
    <row r="3156" ht="15.75" customHeight="1">
      <c r="A3156" s="13" t="s">
        <v>236</v>
      </c>
      <c r="B3156" s="13" t="s">
        <v>61</v>
      </c>
      <c r="C3156" s="14" t="s">
        <v>92</v>
      </c>
      <c r="D3156" s="14" t="str">
        <f>VLOOKUP(C3156,'State Key'!$A$2:$B$210,2,False)</f>
        <v>Rajasthan</v>
      </c>
      <c r="E3156" s="15">
        <v>1320.0</v>
      </c>
      <c r="F3156" s="16">
        <v>119.1841</v>
      </c>
      <c r="G3156" s="16">
        <v>0.0</v>
      </c>
      <c r="H3156" s="16">
        <v>79.53523</v>
      </c>
      <c r="I3156" s="16">
        <v>0.0</v>
      </c>
      <c r="J3156" s="16">
        <v>0.0</v>
      </c>
      <c r="K3156" s="16">
        <v>0.0</v>
      </c>
      <c r="L3156" s="16">
        <v>198.71933</v>
      </c>
      <c r="M3156" s="16">
        <v>232.244</v>
      </c>
      <c r="N3156" s="16">
        <v>124.07</v>
      </c>
      <c r="O3156" s="24">
        <v>16.0</v>
      </c>
      <c r="P3156" s="18">
        <f t="shared" si="1"/>
        <v>198.71933</v>
      </c>
    </row>
    <row r="3157" ht="15.75" customHeight="1">
      <c r="A3157" s="19" t="s">
        <v>236</v>
      </c>
      <c r="B3157" s="19" t="s">
        <v>61</v>
      </c>
      <c r="C3157" s="20" t="s">
        <v>93</v>
      </c>
      <c r="D3157" s="14" t="str">
        <f>VLOOKUP(C3157,'State Key'!$A$2:$B$210,2,False)</f>
        <v>Rajasthan</v>
      </c>
      <c r="E3157" s="21">
        <v>1500.0</v>
      </c>
      <c r="F3157" s="22">
        <v>543.005</v>
      </c>
      <c r="G3157" s="22">
        <v>0.0</v>
      </c>
      <c r="H3157" s="22">
        <v>23.8</v>
      </c>
      <c r="I3157" s="22">
        <v>0.0</v>
      </c>
      <c r="J3157" s="22">
        <v>0.0</v>
      </c>
      <c r="K3157" s="22">
        <v>0.0</v>
      </c>
      <c r="L3157" s="22">
        <v>566.805</v>
      </c>
      <c r="M3157" s="22">
        <v>550.39</v>
      </c>
      <c r="N3157" s="22">
        <v>65.26</v>
      </c>
      <c r="O3157" s="17">
        <v>3.6</v>
      </c>
      <c r="P3157" s="18">
        <f t="shared" si="1"/>
        <v>566.805</v>
      </c>
    </row>
    <row r="3158" ht="15.75" customHeight="1">
      <c r="A3158" s="13" t="s">
        <v>236</v>
      </c>
      <c r="B3158" s="13" t="s">
        <v>61</v>
      </c>
      <c r="C3158" s="14" t="s">
        <v>94</v>
      </c>
      <c r="D3158" s="14" t="str">
        <f>VLOOKUP(C3158,'State Key'!$A$2:$B$210,2,False)</f>
        <v>Punjab</v>
      </c>
      <c r="E3158" s="15">
        <v>1980.0</v>
      </c>
      <c r="F3158" s="16">
        <v>726.88</v>
      </c>
      <c r="G3158" s="16">
        <v>0.0</v>
      </c>
      <c r="H3158" s="16">
        <v>0.0</v>
      </c>
      <c r="I3158" s="16">
        <v>0.0</v>
      </c>
      <c r="J3158" s="16">
        <v>0.0</v>
      </c>
      <c r="K3158" s="16">
        <v>0.0</v>
      </c>
      <c r="L3158" s="16">
        <v>726.88</v>
      </c>
      <c r="M3158" s="16">
        <v>773.922</v>
      </c>
      <c r="N3158" s="16">
        <v>94.27</v>
      </c>
      <c r="O3158" s="17">
        <v>3.7</v>
      </c>
      <c r="P3158" s="18">
        <f t="shared" si="1"/>
        <v>726.88</v>
      </c>
    </row>
    <row r="3159" ht="15.75" customHeight="1">
      <c r="A3159" s="19" t="s">
        <v>236</v>
      </c>
      <c r="B3159" s="19" t="s">
        <v>61</v>
      </c>
      <c r="C3159" s="20" t="s">
        <v>95</v>
      </c>
      <c r="D3159" s="14" t="str">
        <f>VLOOKUP(C3159,'State Key'!$A$2:$B$210,2,False)</f>
        <v>Uttar Pradesh</v>
      </c>
      <c r="E3159" s="21">
        <v>1760.0</v>
      </c>
      <c r="F3159" s="22">
        <v>333.57</v>
      </c>
      <c r="G3159" s="22">
        <v>0.0</v>
      </c>
      <c r="H3159" s="22">
        <v>189.95441</v>
      </c>
      <c r="I3159" s="22">
        <v>0.0</v>
      </c>
      <c r="J3159" s="22">
        <v>0.0</v>
      </c>
      <c r="K3159" s="22">
        <v>7.38</v>
      </c>
      <c r="L3159" s="22">
        <v>530.90441</v>
      </c>
      <c r="M3159" s="22">
        <v>532.231</v>
      </c>
      <c r="N3159" s="22">
        <v>491.05</v>
      </c>
      <c r="O3159" s="24">
        <v>27.7</v>
      </c>
      <c r="P3159" s="18">
        <f t="shared" si="1"/>
        <v>530.90441</v>
      </c>
    </row>
    <row r="3160" ht="15.75" customHeight="1">
      <c r="A3160" s="13" t="s">
        <v>236</v>
      </c>
      <c r="B3160" s="13" t="s">
        <v>61</v>
      </c>
      <c r="C3160" s="14" t="s">
        <v>96</v>
      </c>
      <c r="D3160" s="14" t="str">
        <f>VLOOKUP(C3160,'State Key'!$A$2:$B$210,2,False)</f>
        <v>Uttar Pradesh</v>
      </c>
      <c r="E3160" s="15">
        <v>1550.0</v>
      </c>
      <c r="F3160" s="16">
        <v>387.35</v>
      </c>
      <c r="G3160" s="16">
        <v>0.0</v>
      </c>
      <c r="H3160" s="16">
        <v>153.16</v>
      </c>
      <c r="I3160" s="16">
        <v>0.0</v>
      </c>
      <c r="J3160" s="16">
        <v>0.0</v>
      </c>
      <c r="K3160" s="16">
        <v>0.0</v>
      </c>
      <c r="L3160" s="16">
        <v>540.51</v>
      </c>
      <c r="M3160" s="16">
        <v>543.84</v>
      </c>
      <c r="N3160" s="16">
        <v>231.872</v>
      </c>
      <c r="O3160" s="23">
        <v>12.8</v>
      </c>
      <c r="P3160" s="18">
        <f t="shared" si="1"/>
        <v>540.51</v>
      </c>
    </row>
    <row r="3161" ht="15.75" customHeight="1">
      <c r="A3161" s="19" t="s">
        <v>236</v>
      </c>
      <c r="B3161" s="19" t="s">
        <v>61</v>
      </c>
      <c r="C3161" s="20" t="s">
        <v>97</v>
      </c>
      <c r="D3161" s="14" t="str">
        <f>VLOOKUP(C3161,'State Key'!$A$2:$B$210,2,False)</f>
        <v>Uttar Pradesh</v>
      </c>
      <c r="E3161" s="21">
        <v>90.0</v>
      </c>
      <c r="F3161" s="22">
        <v>20.197</v>
      </c>
      <c r="G3161" s="22">
        <v>0.0</v>
      </c>
      <c r="H3161" s="22">
        <v>0.0</v>
      </c>
      <c r="I3161" s="22">
        <v>0.0</v>
      </c>
      <c r="J3161" s="22">
        <v>0.0</v>
      </c>
      <c r="K3161" s="22">
        <v>0.0</v>
      </c>
      <c r="L3161" s="22">
        <v>20.197</v>
      </c>
      <c r="M3161" s="22">
        <v>20.502</v>
      </c>
      <c r="N3161" s="22">
        <v>33.59</v>
      </c>
      <c r="O3161" s="24">
        <v>49.2</v>
      </c>
      <c r="P3161" s="18">
        <f t="shared" si="1"/>
        <v>20.197</v>
      </c>
    </row>
    <row r="3162" ht="15.75" customHeight="1">
      <c r="A3162" s="13" t="s">
        <v>236</v>
      </c>
      <c r="B3162" s="13" t="s">
        <v>61</v>
      </c>
      <c r="C3162" s="14" t="s">
        <v>98</v>
      </c>
      <c r="D3162" s="14" t="str">
        <f>VLOOKUP(C3162,'State Key'!$A$2:$B$210,2,False)</f>
        <v>Haryana</v>
      </c>
      <c r="E3162" s="15">
        <v>600.0</v>
      </c>
      <c r="F3162" s="16">
        <v>206.874</v>
      </c>
      <c r="G3162" s="16">
        <v>0.0</v>
      </c>
      <c r="H3162" s="16">
        <v>0.0</v>
      </c>
      <c r="I3162" s="16">
        <v>0.0</v>
      </c>
      <c r="J3162" s="16">
        <v>0.0</v>
      </c>
      <c r="K3162" s="16">
        <v>0.0</v>
      </c>
      <c r="L3162" s="16">
        <v>206.874</v>
      </c>
      <c r="M3162" s="16">
        <v>234.884</v>
      </c>
      <c r="N3162" s="16">
        <v>217.7</v>
      </c>
      <c r="O3162" s="24">
        <v>27.8</v>
      </c>
      <c r="P3162" s="18">
        <f t="shared" si="1"/>
        <v>206.874</v>
      </c>
    </row>
    <row r="3163" ht="15.75" customHeight="1">
      <c r="A3163" s="19" t="s">
        <v>236</v>
      </c>
      <c r="B3163" s="19" t="s">
        <v>99</v>
      </c>
      <c r="C3163" s="20" t="s">
        <v>230</v>
      </c>
      <c r="D3163" s="14" t="str">
        <f>VLOOKUP(C3163,'State Key'!$A$2:$B$210,2,False)</f>
        <v>Karnataka</v>
      </c>
      <c r="E3163" s="21">
        <v>1200.0</v>
      </c>
      <c r="F3163" s="22">
        <v>0.0</v>
      </c>
      <c r="G3163" s="22">
        <v>0.0</v>
      </c>
      <c r="H3163" s="22">
        <v>0.0</v>
      </c>
      <c r="I3163" s="22">
        <v>0.0</v>
      </c>
      <c r="J3163" s="22">
        <v>282.354</v>
      </c>
      <c r="K3163" s="22">
        <v>0.0</v>
      </c>
      <c r="L3163" s="22">
        <v>282.354</v>
      </c>
      <c r="M3163" s="22">
        <v>51.312</v>
      </c>
      <c r="N3163" s="22">
        <v>335.71</v>
      </c>
      <c r="O3163" s="24">
        <v>196.3</v>
      </c>
      <c r="P3163" s="18">
        <f t="shared" si="1"/>
        <v>282.354</v>
      </c>
    </row>
    <row r="3164" ht="15.75" customHeight="1">
      <c r="A3164" s="13" t="s">
        <v>236</v>
      </c>
      <c r="B3164" s="13" t="s">
        <v>99</v>
      </c>
      <c r="C3164" s="14" t="s">
        <v>100</v>
      </c>
      <c r="D3164" s="14" t="str">
        <f>VLOOKUP(C3164,'State Key'!$A$2:$B$210,2,False)</f>
        <v>Karnataka</v>
      </c>
      <c r="E3164" s="15">
        <v>1700.0</v>
      </c>
      <c r="F3164" s="16">
        <v>38.88604</v>
      </c>
      <c r="G3164" s="16">
        <v>81.90714</v>
      </c>
      <c r="H3164" s="16">
        <v>316.40165</v>
      </c>
      <c r="I3164" s="16">
        <v>0.0</v>
      </c>
      <c r="J3164" s="16">
        <v>22.61386</v>
      </c>
      <c r="K3164" s="16">
        <v>0.0</v>
      </c>
      <c r="L3164" s="16">
        <v>459.80869</v>
      </c>
      <c r="M3164" s="16">
        <v>385.785</v>
      </c>
      <c r="N3164" s="16">
        <v>534.908</v>
      </c>
      <c r="O3164" s="24">
        <v>41.6</v>
      </c>
      <c r="P3164" s="18">
        <f t="shared" si="1"/>
        <v>459.80869</v>
      </c>
    </row>
    <row r="3165" ht="15.75" customHeight="1">
      <c r="A3165" s="19" t="s">
        <v>236</v>
      </c>
      <c r="B3165" s="19" t="s">
        <v>99</v>
      </c>
      <c r="C3165" s="20" t="s">
        <v>101</v>
      </c>
      <c r="D3165" s="14" t="str">
        <f>VLOOKUP(C3165,'State Key'!$A$2:$B$210,2,False)</f>
        <v>Telangana</v>
      </c>
      <c r="E3165" s="21">
        <v>1080.0</v>
      </c>
      <c r="F3165" s="22">
        <v>0.0</v>
      </c>
      <c r="G3165" s="22">
        <v>238.663</v>
      </c>
      <c r="H3165" s="22">
        <v>0.0</v>
      </c>
      <c r="I3165" s="22">
        <v>0.0</v>
      </c>
      <c r="J3165" s="22">
        <v>0.0</v>
      </c>
      <c r="K3165" s="22">
        <v>0.0</v>
      </c>
      <c r="L3165" s="22">
        <v>238.663</v>
      </c>
      <c r="M3165" s="22">
        <v>296.896</v>
      </c>
      <c r="N3165" s="22">
        <v>81.003</v>
      </c>
      <c r="O3165" s="23">
        <v>8.2</v>
      </c>
      <c r="P3165" s="18">
        <f t="shared" si="1"/>
        <v>238.663</v>
      </c>
    </row>
    <row r="3166" ht="15.75" customHeight="1">
      <c r="A3166" s="13" t="s">
        <v>236</v>
      </c>
      <c r="B3166" s="13" t="s">
        <v>99</v>
      </c>
      <c r="C3166" s="14" t="s">
        <v>102</v>
      </c>
      <c r="D3166" s="14" t="str">
        <f>VLOOKUP(C3166,'State Key'!$A$2:$B$210,2,False)</f>
        <v>Andhra Pradesh</v>
      </c>
      <c r="E3166" s="15">
        <v>2400.0</v>
      </c>
      <c r="F3166" s="16">
        <v>553.14172</v>
      </c>
      <c r="G3166" s="16">
        <v>0.0</v>
      </c>
      <c r="H3166" s="16">
        <v>0.0</v>
      </c>
      <c r="I3166" s="16">
        <v>0.0</v>
      </c>
      <c r="J3166" s="16">
        <v>0.0</v>
      </c>
      <c r="K3166" s="16">
        <v>0.0</v>
      </c>
      <c r="L3166" s="16">
        <v>553.14172</v>
      </c>
      <c r="M3166" s="16">
        <v>562.259</v>
      </c>
      <c r="N3166" s="16">
        <v>61.77</v>
      </c>
      <c r="O3166" s="17">
        <v>3.3</v>
      </c>
      <c r="P3166" s="18">
        <f t="shared" si="1"/>
        <v>553.14172</v>
      </c>
    </row>
    <row r="3167" ht="15.75" customHeight="1">
      <c r="A3167" s="19" t="s">
        <v>236</v>
      </c>
      <c r="B3167" s="19" t="s">
        <v>99</v>
      </c>
      <c r="C3167" s="20" t="s">
        <v>103</v>
      </c>
      <c r="D3167" s="14" t="str">
        <f>VLOOKUP(C3167,'State Key'!$A$2:$B$210,2,False)</f>
        <v>Andhra Pradesh</v>
      </c>
      <c r="E3167" s="21">
        <v>2560.0</v>
      </c>
      <c r="F3167" s="22">
        <v>496.797</v>
      </c>
      <c r="G3167" s="22">
        <v>47.014</v>
      </c>
      <c r="H3167" s="22">
        <v>0.0</v>
      </c>
      <c r="I3167" s="22">
        <v>0.0</v>
      </c>
      <c r="J3167" s="22">
        <v>0.0</v>
      </c>
      <c r="K3167" s="22">
        <v>0.0</v>
      </c>
      <c r="L3167" s="22">
        <v>543.811</v>
      </c>
      <c r="M3167" s="22">
        <v>471.748</v>
      </c>
      <c r="N3167" s="22">
        <v>266.74</v>
      </c>
      <c r="O3167" s="24">
        <v>17.0</v>
      </c>
      <c r="P3167" s="18">
        <f t="shared" si="1"/>
        <v>543.811</v>
      </c>
    </row>
    <row r="3168" ht="15.75" customHeight="1">
      <c r="A3168" s="13" t="s">
        <v>236</v>
      </c>
      <c r="B3168" s="13" t="s">
        <v>99</v>
      </c>
      <c r="C3168" s="14" t="s">
        <v>104</v>
      </c>
      <c r="D3168" s="14" t="str">
        <f>VLOOKUP(C3168,'State Key'!$A$2:$B$210,2,False)</f>
        <v>Tamil Nadu</v>
      </c>
      <c r="E3168" s="15">
        <v>1200.0</v>
      </c>
      <c r="F3168" s="16">
        <v>0.0</v>
      </c>
      <c r="G3168" s="16">
        <v>0.0</v>
      </c>
      <c r="H3168" s="16">
        <v>0.0</v>
      </c>
      <c r="I3168" s="16">
        <v>0.0</v>
      </c>
      <c r="J3168" s="16">
        <v>421.033</v>
      </c>
      <c r="K3168" s="16">
        <v>0.0</v>
      </c>
      <c r="L3168" s="16">
        <v>421.033</v>
      </c>
      <c r="M3168" s="16">
        <v>424.291</v>
      </c>
      <c r="N3168" s="16">
        <v>502.19</v>
      </c>
      <c r="O3168" s="24">
        <v>35.5</v>
      </c>
      <c r="P3168" s="18">
        <f t="shared" si="1"/>
        <v>421.033</v>
      </c>
    </row>
    <row r="3169" ht="15.75" customHeight="1">
      <c r="A3169" s="19" t="s">
        <v>236</v>
      </c>
      <c r="B3169" s="19" t="s">
        <v>99</v>
      </c>
      <c r="C3169" s="20" t="s">
        <v>105</v>
      </c>
      <c r="D3169" s="14" t="str">
        <f>VLOOKUP(C3169,'State Key'!$A$2:$B$210,2,False)</f>
        <v>Telangana</v>
      </c>
      <c r="E3169" s="21">
        <v>1100.0</v>
      </c>
      <c r="F3169" s="22">
        <v>0.0</v>
      </c>
      <c r="G3169" s="22">
        <v>139.757</v>
      </c>
      <c r="H3169" s="22">
        <v>193.77</v>
      </c>
      <c r="I3169" s="22">
        <v>0.0</v>
      </c>
      <c r="J3169" s="22">
        <v>0.0</v>
      </c>
      <c r="K3169" s="22">
        <v>0.0</v>
      </c>
      <c r="L3169" s="22">
        <v>333.527</v>
      </c>
      <c r="M3169" s="22">
        <v>347.112</v>
      </c>
      <c r="N3169" s="22">
        <v>282.672</v>
      </c>
      <c r="O3169" s="24">
        <v>24.4</v>
      </c>
      <c r="P3169" s="18">
        <f t="shared" si="1"/>
        <v>333.527</v>
      </c>
    </row>
    <row r="3170" ht="15.75" customHeight="1">
      <c r="A3170" s="13" t="s">
        <v>236</v>
      </c>
      <c r="B3170" s="13" t="s">
        <v>99</v>
      </c>
      <c r="C3170" s="14" t="s">
        <v>106</v>
      </c>
      <c r="D3170" s="14" t="str">
        <f>VLOOKUP(C3170,'State Key'!$A$2:$B$210,2,False)</f>
        <v>Telangana</v>
      </c>
      <c r="E3170" s="15">
        <v>1000.0</v>
      </c>
      <c r="F3170" s="16">
        <v>0.0</v>
      </c>
      <c r="G3170" s="16">
        <v>380.612</v>
      </c>
      <c r="H3170" s="16">
        <v>0.0</v>
      </c>
      <c r="I3170" s="16">
        <v>0.0</v>
      </c>
      <c r="J3170" s="16">
        <v>0.0</v>
      </c>
      <c r="K3170" s="16">
        <v>0.0</v>
      </c>
      <c r="L3170" s="16">
        <v>380.612</v>
      </c>
      <c r="M3170" s="16">
        <v>312.4</v>
      </c>
      <c r="N3170" s="16">
        <v>290.255</v>
      </c>
      <c r="O3170" s="24">
        <v>27.9</v>
      </c>
      <c r="P3170" s="18">
        <f t="shared" si="1"/>
        <v>380.612</v>
      </c>
    </row>
    <row r="3171" ht="15.75" customHeight="1">
      <c r="A3171" s="19" t="s">
        <v>236</v>
      </c>
      <c r="B3171" s="19" t="s">
        <v>99</v>
      </c>
      <c r="C3171" s="20" t="s">
        <v>107</v>
      </c>
      <c r="D3171" s="14" t="str">
        <f>VLOOKUP(C3171,'State Key'!$A$2:$B$210,2,False)</f>
        <v>Telangana</v>
      </c>
      <c r="E3171" s="21">
        <v>800.0</v>
      </c>
      <c r="F3171" s="22">
        <v>0.0</v>
      </c>
      <c r="G3171" s="22">
        <v>242.4</v>
      </c>
      <c r="H3171" s="22">
        <v>0.0</v>
      </c>
      <c r="I3171" s="22">
        <v>0.0</v>
      </c>
      <c r="J3171" s="22">
        <v>0.0</v>
      </c>
      <c r="K3171" s="22">
        <v>0.0</v>
      </c>
      <c r="L3171" s="22">
        <v>242.4</v>
      </c>
      <c r="M3171" s="22">
        <v>240.69</v>
      </c>
      <c r="N3171" s="22">
        <v>86.73</v>
      </c>
      <c r="O3171" s="23">
        <v>10.8</v>
      </c>
      <c r="P3171" s="18">
        <f t="shared" si="1"/>
        <v>242.4</v>
      </c>
    </row>
    <row r="3172" ht="15.75" customHeight="1">
      <c r="A3172" s="13" t="s">
        <v>236</v>
      </c>
      <c r="B3172" s="13" t="s">
        <v>99</v>
      </c>
      <c r="C3172" s="14" t="s">
        <v>108</v>
      </c>
      <c r="D3172" s="14" t="str">
        <f>VLOOKUP(C3172,'State Key'!$A$2:$B$210,2,False)</f>
        <v>Karnataka</v>
      </c>
      <c r="E3172" s="15">
        <v>2400.0</v>
      </c>
      <c r="F3172" s="16">
        <v>208.55</v>
      </c>
      <c r="G3172" s="16">
        <v>51.51</v>
      </c>
      <c r="H3172" s="16">
        <v>163.41</v>
      </c>
      <c r="I3172" s="16">
        <v>0.0</v>
      </c>
      <c r="J3172" s="16">
        <v>143.401</v>
      </c>
      <c r="K3172" s="16">
        <v>0.0</v>
      </c>
      <c r="L3172" s="16">
        <v>566.871</v>
      </c>
      <c r="M3172" s="16">
        <v>724.426</v>
      </c>
      <c r="N3172" s="16">
        <v>447.142</v>
      </c>
      <c r="O3172" s="24">
        <v>18.5</v>
      </c>
      <c r="P3172" s="18">
        <f t="shared" si="1"/>
        <v>566.871</v>
      </c>
    </row>
    <row r="3173" ht="15.75" customHeight="1">
      <c r="A3173" s="19" t="s">
        <v>236</v>
      </c>
      <c r="B3173" s="19" t="s">
        <v>99</v>
      </c>
      <c r="C3173" s="20" t="s">
        <v>231</v>
      </c>
      <c r="D3173" s="14" t="str">
        <f>VLOOKUP(C3173,'State Key'!$A$2:$B$210,2,False)</f>
        <v>Karnataka</v>
      </c>
      <c r="E3173" s="21">
        <v>1200.0</v>
      </c>
      <c r="F3173" s="22">
        <v>0.0</v>
      </c>
      <c r="G3173" s="22">
        <v>0.0</v>
      </c>
      <c r="H3173" s="22">
        <v>0.0</v>
      </c>
      <c r="I3173" s="22">
        <v>0.0</v>
      </c>
      <c r="J3173" s="22">
        <v>282.354</v>
      </c>
      <c r="K3173" s="22">
        <v>0.0</v>
      </c>
      <c r="L3173" s="22">
        <v>282.354</v>
      </c>
      <c r="M3173" s="22">
        <v>51.312</v>
      </c>
      <c r="N3173" s="22">
        <v>335.71</v>
      </c>
      <c r="O3173" s="24">
        <v>196.3</v>
      </c>
      <c r="P3173" s="18">
        <f t="shared" si="1"/>
        <v>282.354</v>
      </c>
    </row>
    <row r="3174" ht="15.75" customHeight="1">
      <c r="A3174" s="13" t="s">
        <v>236</v>
      </c>
      <c r="B3174" s="13" t="s">
        <v>99</v>
      </c>
      <c r="C3174" s="14" t="s">
        <v>109</v>
      </c>
      <c r="D3174" s="14" t="str">
        <f>VLOOKUP(C3174,'State Key'!$A$2:$B$210,2,False)</f>
        <v>Tamil Nadu</v>
      </c>
      <c r="E3174" s="15">
        <v>840.0</v>
      </c>
      <c r="F3174" s="16">
        <v>260.8873</v>
      </c>
      <c r="G3174" s="16">
        <v>157.8349</v>
      </c>
      <c r="H3174" s="16">
        <v>0.0</v>
      </c>
      <c r="I3174" s="16">
        <v>0.0</v>
      </c>
      <c r="J3174" s="16">
        <v>0.0</v>
      </c>
      <c r="K3174" s="16">
        <v>0.0</v>
      </c>
      <c r="L3174" s="16">
        <v>418.7222</v>
      </c>
      <c r="M3174" s="16">
        <v>377.5056</v>
      </c>
      <c r="N3174" s="16">
        <v>234.738</v>
      </c>
      <c r="O3174" s="24">
        <v>18.7</v>
      </c>
      <c r="P3174" s="18">
        <f t="shared" si="1"/>
        <v>418.7222</v>
      </c>
    </row>
    <row r="3175" ht="15.75" customHeight="1">
      <c r="A3175" s="19" t="s">
        <v>236</v>
      </c>
      <c r="B3175" s="19" t="s">
        <v>99</v>
      </c>
      <c r="C3175" s="20" t="s">
        <v>110</v>
      </c>
      <c r="D3175" s="14" t="str">
        <f>VLOOKUP(C3175,'State Key'!$A$2:$B$210,2,False)</f>
        <v>Tamil Nadu</v>
      </c>
      <c r="E3175" s="21">
        <v>600.0</v>
      </c>
      <c r="F3175" s="22">
        <v>108.29</v>
      </c>
      <c r="G3175" s="22">
        <v>28.78</v>
      </c>
      <c r="H3175" s="22">
        <v>0.0</v>
      </c>
      <c r="I3175" s="22">
        <v>0.0</v>
      </c>
      <c r="J3175" s="22">
        <v>0.0</v>
      </c>
      <c r="K3175" s="22">
        <v>0.0</v>
      </c>
      <c r="L3175" s="22">
        <v>137.07</v>
      </c>
      <c r="M3175" s="22">
        <v>51.69</v>
      </c>
      <c r="N3175" s="22">
        <v>246.36</v>
      </c>
      <c r="O3175" s="24">
        <v>143.0</v>
      </c>
      <c r="P3175" s="18">
        <f t="shared" si="1"/>
        <v>137.07</v>
      </c>
    </row>
    <row r="3176" ht="15.75" customHeight="1">
      <c r="A3176" s="13" t="s">
        <v>236</v>
      </c>
      <c r="B3176" s="13" t="s">
        <v>99</v>
      </c>
      <c r="C3176" s="14" t="s">
        <v>111</v>
      </c>
      <c r="D3176" s="14" t="str">
        <f>VLOOKUP(C3176,'State Key'!$A$2:$B$210,2,False)</f>
        <v>Tamil Nadu</v>
      </c>
      <c r="E3176" s="15">
        <v>1200.0</v>
      </c>
      <c r="F3176" s="16">
        <v>0.0</v>
      </c>
      <c r="G3176" s="16">
        <v>0.0</v>
      </c>
      <c r="H3176" s="16">
        <v>0.0</v>
      </c>
      <c r="I3176" s="16">
        <v>0.0</v>
      </c>
      <c r="J3176" s="16">
        <v>302.158</v>
      </c>
      <c r="K3176" s="16">
        <v>0.0</v>
      </c>
      <c r="L3176" s="16">
        <v>302.158</v>
      </c>
      <c r="M3176" s="16">
        <v>283.542</v>
      </c>
      <c r="N3176" s="16">
        <v>208.83</v>
      </c>
      <c r="O3176" s="24">
        <v>22.1</v>
      </c>
      <c r="P3176" s="18">
        <f t="shared" si="1"/>
        <v>302.158</v>
      </c>
    </row>
    <row r="3177" ht="15.75" customHeight="1">
      <c r="A3177" s="19" t="s">
        <v>236</v>
      </c>
      <c r="B3177" s="19" t="s">
        <v>99</v>
      </c>
      <c r="C3177" s="20" t="s">
        <v>112</v>
      </c>
      <c r="D3177" s="14" t="str">
        <f>VLOOKUP(C3177,'State Key'!$A$2:$B$210,2,False)</f>
        <v>Tamil Nadu</v>
      </c>
      <c r="E3177" s="21">
        <v>1830.0</v>
      </c>
      <c r="F3177" s="22">
        <v>703.713</v>
      </c>
      <c r="G3177" s="22">
        <v>0.0</v>
      </c>
      <c r="H3177" s="22">
        <v>0.0</v>
      </c>
      <c r="I3177" s="22">
        <v>0.0</v>
      </c>
      <c r="J3177" s="22">
        <v>0.0</v>
      </c>
      <c r="K3177" s="22">
        <v>0.0</v>
      </c>
      <c r="L3177" s="22">
        <v>703.713</v>
      </c>
      <c r="M3177" s="22">
        <v>675.619</v>
      </c>
      <c r="N3177" s="22">
        <v>467.709</v>
      </c>
      <c r="O3177" s="24">
        <v>20.8</v>
      </c>
      <c r="P3177" s="18">
        <f t="shared" si="1"/>
        <v>703.713</v>
      </c>
    </row>
    <row r="3178" ht="15.75" customHeight="1">
      <c r="A3178" s="13" t="s">
        <v>236</v>
      </c>
      <c r="B3178" s="13" t="s">
        <v>99</v>
      </c>
      <c r="C3178" s="14" t="s">
        <v>113</v>
      </c>
      <c r="D3178" s="14" t="str">
        <f>VLOOKUP(C3178,'State Key'!$A$2:$B$210,2,False)</f>
        <v>Tamil Nadu</v>
      </c>
      <c r="E3178" s="15">
        <v>1000.0</v>
      </c>
      <c r="F3178" s="16">
        <v>0.0</v>
      </c>
      <c r="G3178" s="16">
        <v>0.0</v>
      </c>
      <c r="H3178" s="16">
        <v>297.908</v>
      </c>
      <c r="I3178" s="16">
        <v>0.0</v>
      </c>
      <c r="J3178" s="16">
        <v>76.243</v>
      </c>
      <c r="K3178" s="16">
        <v>0.0</v>
      </c>
      <c r="L3178" s="16">
        <v>374.151</v>
      </c>
      <c r="M3178" s="16">
        <v>343.932</v>
      </c>
      <c r="N3178" s="16">
        <v>171.94</v>
      </c>
      <c r="O3178" s="24">
        <v>15.0</v>
      </c>
      <c r="P3178" s="18">
        <f t="shared" si="1"/>
        <v>374.151</v>
      </c>
    </row>
    <row r="3179" ht="15.75" customHeight="1">
      <c r="A3179" s="19" t="s">
        <v>236</v>
      </c>
      <c r="B3179" s="19" t="s">
        <v>99</v>
      </c>
      <c r="C3179" s="20" t="s">
        <v>228</v>
      </c>
      <c r="D3179" s="14" t="str">
        <f>VLOOKUP(C3179,'State Key'!$A$2:$B$210,2,False)</f>
        <v>Tamil Nadu</v>
      </c>
      <c r="E3179" s="21">
        <v>414.0</v>
      </c>
      <c r="F3179" s="22">
        <v>0.0</v>
      </c>
      <c r="G3179" s="22">
        <v>0.0</v>
      </c>
      <c r="H3179" s="22">
        <v>0.0</v>
      </c>
      <c r="I3179" s="22">
        <v>0.0</v>
      </c>
      <c r="J3179" s="22">
        <v>183.195</v>
      </c>
      <c r="K3179" s="22">
        <v>0.0</v>
      </c>
      <c r="L3179" s="22">
        <v>183.195</v>
      </c>
      <c r="M3179" s="22">
        <v>165.518</v>
      </c>
      <c r="N3179" s="22">
        <v>89.77</v>
      </c>
      <c r="O3179" s="24">
        <v>16.3</v>
      </c>
      <c r="P3179" s="18">
        <f t="shared" si="1"/>
        <v>183.195</v>
      </c>
    </row>
    <row r="3180" ht="15.75" customHeight="1">
      <c r="A3180" s="13" t="s">
        <v>236</v>
      </c>
      <c r="B3180" s="13" t="s">
        <v>99</v>
      </c>
      <c r="C3180" s="14" t="s">
        <v>114</v>
      </c>
      <c r="D3180" s="14" t="str">
        <f>VLOOKUP(C3180,'State Key'!$A$2:$B$210,2,False)</f>
        <v>Andhra Pradesh</v>
      </c>
      <c r="E3180" s="15">
        <v>1320.0</v>
      </c>
      <c r="F3180" s="16">
        <v>163.405</v>
      </c>
      <c r="G3180" s="16">
        <v>0.0</v>
      </c>
      <c r="H3180" s="16">
        <v>0.0</v>
      </c>
      <c r="I3180" s="16">
        <v>0.0</v>
      </c>
      <c r="J3180" s="16">
        <v>201.17</v>
      </c>
      <c r="K3180" s="16">
        <v>0.0</v>
      </c>
      <c r="L3180" s="16">
        <v>364.575</v>
      </c>
      <c r="M3180" s="16">
        <v>467.611</v>
      </c>
      <c r="N3180" s="16">
        <v>264.715</v>
      </c>
      <c r="O3180" s="24">
        <v>17.0</v>
      </c>
      <c r="P3180" s="18">
        <f t="shared" si="1"/>
        <v>364.575</v>
      </c>
    </row>
    <row r="3181" ht="15.75" customHeight="1">
      <c r="A3181" s="19" t="s">
        <v>236</v>
      </c>
      <c r="B3181" s="19" t="s">
        <v>99</v>
      </c>
      <c r="C3181" s="20" t="s">
        <v>115</v>
      </c>
      <c r="D3181" s="14" t="str">
        <f>VLOOKUP(C3181,'State Key'!$A$2:$B$210,2,False)</f>
        <v>Karnataka</v>
      </c>
      <c r="E3181" s="21">
        <v>1720.0</v>
      </c>
      <c r="F3181" s="22">
        <v>190.097</v>
      </c>
      <c r="G3181" s="22">
        <v>129.062</v>
      </c>
      <c r="H3181" s="22">
        <v>0.0</v>
      </c>
      <c r="I3181" s="22">
        <v>0.0</v>
      </c>
      <c r="J3181" s="22">
        <v>0.0</v>
      </c>
      <c r="K3181" s="22">
        <v>0.0</v>
      </c>
      <c r="L3181" s="22">
        <v>319.159</v>
      </c>
      <c r="M3181" s="22">
        <v>342.418</v>
      </c>
      <c r="N3181" s="22">
        <v>684.55</v>
      </c>
      <c r="O3181" s="24">
        <v>60.0</v>
      </c>
      <c r="P3181" s="18">
        <f t="shared" si="1"/>
        <v>319.159</v>
      </c>
    </row>
    <row r="3182" ht="15.75" customHeight="1">
      <c r="A3182" s="13" t="s">
        <v>236</v>
      </c>
      <c r="B3182" s="13" t="s">
        <v>99</v>
      </c>
      <c r="C3182" s="14" t="s">
        <v>116</v>
      </c>
      <c r="D3182" s="14" t="str">
        <f>VLOOKUP(C3182,'State Key'!$A$2:$B$210,2,False)</f>
        <v>Telangana</v>
      </c>
      <c r="E3182" s="15">
        <v>2600.0</v>
      </c>
      <c r="F3182" s="16">
        <v>54.21</v>
      </c>
      <c r="G3182" s="16">
        <v>728.12</v>
      </c>
      <c r="H3182" s="16">
        <v>31.56</v>
      </c>
      <c r="I3182" s="16">
        <v>0.0</v>
      </c>
      <c r="J3182" s="16">
        <v>0.0</v>
      </c>
      <c r="K3182" s="16">
        <v>0.0</v>
      </c>
      <c r="L3182" s="16">
        <v>813.89</v>
      </c>
      <c r="M3182" s="16">
        <v>893.787</v>
      </c>
      <c r="N3182" s="16">
        <v>388.01</v>
      </c>
      <c r="O3182" s="23">
        <v>13.0</v>
      </c>
      <c r="P3182" s="18">
        <f t="shared" si="1"/>
        <v>813.89</v>
      </c>
    </row>
    <row r="3183" ht="15.75" customHeight="1">
      <c r="A3183" s="19" t="s">
        <v>236</v>
      </c>
      <c r="B3183" s="19" t="s">
        <v>99</v>
      </c>
      <c r="C3183" s="20" t="s">
        <v>117</v>
      </c>
      <c r="D3183" s="14" t="str">
        <f>VLOOKUP(C3183,'State Key'!$A$2:$B$210,2,False)</f>
        <v>Telangana</v>
      </c>
      <c r="E3183" s="21">
        <v>62.5</v>
      </c>
      <c r="F3183" s="22">
        <v>0.0</v>
      </c>
      <c r="G3183" s="22">
        <v>0.0</v>
      </c>
      <c r="H3183" s="22">
        <v>0.0</v>
      </c>
      <c r="I3183" s="22">
        <v>0.0</v>
      </c>
      <c r="J3183" s="22">
        <v>0.0</v>
      </c>
      <c r="K3183" s="22">
        <v>0.0</v>
      </c>
      <c r="L3183" s="22">
        <v>0.0</v>
      </c>
      <c r="M3183" s="22">
        <v>0.0</v>
      </c>
      <c r="N3183" s="22">
        <v>3.728</v>
      </c>
      <c r="O3183" s="19" t="s">
        <v>58</v>
      </c>
      <c r="P3183" s="18">
        <f t="shared" si="1"/>
        <v>0</v>
      </c>
    </row>
    <row r="3184" ht="15.75" customHeight="1">
      <c r="A3184" s="13" t="s">
        <v>236</v>
      </c>
      <c r="B3184" s="13" t="s">
        <v>99</v>
      </c>
      <c r="C3184" s="14" t="s">
        <v>118</v>
      </c>
      <c r="D3184" s="14" t="str">
        <f>VLOOKUP(C3184,'State Key'!$A$2:$B$210,2,False)</f>
        <v>Andhra Pradesh</v>
      </c>
      <c r="E3184" s="15">
        <v>1650.0</v>
      </c>
      <c r="F3184" s="16">
        <v>527.861</v>
      </c>
      <c r="G3184" s="16">
        <v>73.465</v>
      </c>
      <c r="H3184" s="16">
        <v>0.0</v>
      </c>
      <c r="I3184" s="16">
        <v>0.0</v>
      </c>
      <c r="J3184" s="16">
        <v>0.0</v>
      </c>
      <c r="K3184" s="16">
        <v>0.0</v>
      </c>
      <c r="L3184" s="16">
        <v>601.326</v>
      </c>
      <c r="M3184" s="16">
        <v>666.462</v>
      </c>
      <c r="N3184" s="16">
        <v>92.25</v>
      </c>
      <c r="O3184" s="17">
        <v>4.2</v>
      </c>
      <c r="P3184" s="18">
        <f t="shared" si="1"/>
        <v>601.326</v>
      </c>
    </row>
    <row r="3185" ht="15.75" customHeight="1">
      <c r="A3185" s="19" t="s">
        <v>236</v>
      </c>
      <c r="B3185" s="19" t="s">
        <v>99</v>
      </c>
      <c r="C3185" s="20" t="s">
        <v>119</v>
      </c>
      <c r="D3185" s="14" t="str">
        <f>VLOOKUP(C3185,'State Key'!$A$2:$B$210,2,False)</f>
        <v>Andhra Pradesh</v>
      </c>
      <c r="E3185" s="21">
        <v>1320.0</v>
      </c>
      <c r="F3185" s="22">
        <v>296.065</v>
      </c>
      <c r="G3185" s="22">
        <v>0.0</v>
      </c>
      <c r="H3185" s="22">
        <v>0.0</v>
      </c>
      <c r="I3185" s="22">
        <v>0.0</v>
      </c>
      <c r="J3185" s="22">
        <v>164.51</v>
      </c>
      <c r="K3185" s="22">
        <v>0.0</v>
      </c>
      <c r="L3185" s="22">
        <v>460.575</v>
      </c>
      <c r="M3185" s="22">
        <v>519.411</v>
      </c>
      <c r="N3185" s="22">
        <v>344.05</v>
      </c>
      <c r="O3185" s="24">
        <v>19.9</v>
      </c>
      <c r="P3185" s="18">
        <f t="shared" si="1"/>
        <v>460.575</v>
      </c>
    </row>
    <row r="3186" ht="15.75" customHeight="1">
      <c r="A3186" s="13" t="s">
        <v>236</v>
      </c>
      <c r="B3186" s="13" t="s">
        <v>99</v>
      </c>
      <c r="C3186" s="14" t="s">
        <v>120</v>
      </c>
      <c r="D3186" s="14" t="str">
        <f>VLOOKUP(C3186,'State Key'!$A$2:$B$210,2,False)</f>
        <v>Andhra Pradesh</v>
      </c>
      <c r="E3186" s="15">
        <v>2000.0</v>
      </c>
      <c r="F3186" s="16">
        <v>537.07</v>
      </c>
      <c r="G3186" s="16">
        <v>20.44</v>
      </c>
      <c r="H3186" s="16">
        <v>24.03</v>
      </c>
      <c r="I3186" s="16">
        <v>0.0</v>
      </c>
      <c r="J3186" s="16">
        <v>27.599</v>
      </c>
      <c r="K3186" s="16">
        <v>0.0</v>
      </c>
      <c r="L3186" s="16">
        <v>609.139</v>
      </c>
      <c r="M3186" s="16">
        <v>806.982</v>
      </c>
      <c r="N3186" s="16">
        <v>318.483</v>
      </c>
      <c r="O3186" s="23">
        <v>11.8</v>
      </c>
      <c r="P3186" s="18">
        <f t="shared" si="1"/>
        <v>609.139</v>
      </c>
    </row>
    <row r="3187" ht="15.75" customHeight="1">
      <c r="A3187" s="19" t="s">
        <v>236</v>
      </c>
      <c r="B3187" s="19" t="s">
        <v>99</v>
      </c>
      <c r="C3187" s="20" t="s">
        <v>121</v>
      </c>
      <c r="D3187" s="14" t="str">
        <f>VLOOKUP(C3187,'State Key'!$A$2:$B$210,2,False)</f>
        <v>Andhra Pradesh</v>
      </c>
      <c r="E3187" s="21">
        <v>600.0</v>
      </c>
      <c r="F3187" s="22">
        <v>0.0</v>
      </c>
      <c r="G3187" s="22">
        <v>0.0</v>
      </c>
      <c r="H3187" s="22">
        <v>0.0</v>
      </c>
      <c r="I3187" s="22">
        <v>0.0</v>
      </c>
      <c r="J3187" s="22">
        <v>203.487</v>
      </c>
      <c r="K3187" s="22">
        <v>0.0</v>
      </c>
      <c r="L3187" s="22">
        <v>203.487</v>
      </c>
      <c r="M3187" s="22">
        <v>169.299</v>
      </c>
      <c r="N3187" s="22">
        <v>255.34</v>
      </c>
      <c r="O3187" s="24">
        <v>45.2</v>
      </c>
      <c r="P3187" s="18">
        <f t="shared" si="1"/>
        <v>203.487</v>
      </c>
    </row>
    <row r="3188" ht="15.75" customHeight="1">
      <c r="A3188" s="13" t="s">
        <v>236</v>
      </c>
      <c r="B3188" s="13" t="s">
        <v>99</v>
      </c>
      <c r="C3188" s="14" t="s">
        <v>122</v>
      </c>
      <c r="D3188" s="14" t="str">
        <f>VLOOKUP(C3188,'State Key'!$A$2:$B$210,2,False)</f>
        <v>Telangana</v>
      </c>
      <c r="E3188" s="15">
        <v>1200.0</v>
      </c>
      <c r="F3188" s="16">
        <v>0.0</v>
      </c>
      <c r="G3188" s="16">
        <v>459.259</v>
      </c>
      <c r="H3188" s="16">
        <v>0.0</v>
      </c>
      <c r="I3188" s="16">
        <v>0.0</v>
      </c>
      <c r="J3188" s="16">
        <v>0.0</v>
      </c>
      <c r="K3188" s="16">
        <v>0.0</v>
      </c>
      <c r="L3188" s="16">
        <v>459.259</v>
      </c>
      <c r="M3188" s="16">
        <v>443.762</v>
      </c>
      <c r="N3188" s="16">
        <v>128.37</v>
      </c>
      <c r="O3188" s="23">
        <v>8.7</v>
      </c>
      <c r="P3188" s="18">
        <f t="shared" si="1"/>
        <v>459.259</v>
      </c>
    </row>
    <row r="3189" ht="15.75" customHeight="1">
      <c r="A3189" s="19" t="s">
        <v>236</v>
      </c>
      <c r="B3189" s="19" t="s">
        <v>99</v>
      </c>
      <c r="C3189" s="20" t="s">
        <v>220</v>
      </c>
      <c r="D3189" s="14" t="str">
        <f>VLOOKUP(C3189,'State Key'!$A$2:$B$210,2,False)</f>
        <v>Telangana</v>
      </c>
      <c r="E3189" s="21">
        <v>1600.0</v>
      </c>
      <c r="F3189" s="22">
        <v>132.8</v>
      </c>
      <c r="G3189" s="22">
        <v>229.72</v>
      </c>
      <c r="H3189" s="22">
        <v>242.93</v>
      </c>
      <c r="I3189" s="22">
        <v>0.0</v>
      </c>
      <c r="J3189" s="22">
        <v>0.0</v>
      </c>
      <c r="K3189" s="22">
        <v>0.0</v>
      </c>
      <c r="L3189" s="22">
        <v>605.45</v>
      </c>
      <c r="M3189" s="22">
        <v>537.155</v>
      </c>
      <c r="N3189" s="22">
        <v>377.916</v>
      </c>
      <c r="O3189" s="24">
        <v>21.1</v>
      </c>
      <c r="P3189" s="18">
        <f t="shared" si="1"/>
        <v>605.45</v>
      </c>
    </row>
    <row r="3190" ht="15.75" customHeight="1">
      <c r="A3190" s="13" t="s">
        <v>236</v>
      </c>
      <c r="B3190" s="13" t="s">
        <v>99</v>
      </c>
      <c r="C3190" s="14" t="s">
        <v>123</v>
      </c>
      <c r="D3190" s="14" t="str">
        <f>VLOOKUP(C3190,'State Key'!$A$2:$B$210,2,False)</f>
        <v>Andhra Pradesh</v>
      </c>
      <c r="E3190" s="15">
        <v>300.0</v>
      </c>
      <c r="F3190" s="16">
        <v>0.0</v>
      </c>
      <c r="G3190" s="16">
        <v>0.0</v>
      </c>
      <c r="H3190" s="16">
        <v>0.0</v>
      </c>
      <c r="I3190" s="16">
        <v>0.0</v>
      </c>
      <c r="J3190" s="16">
        <v>0.0</v>
      </c>
      <c r="K3190" s="16">
        <v>0.0</v>
      </c>
      <c r="L3190" s="16">
        <v>0.0</v>
      </c>
      <c r="M3190" s="16">
        <v>0.0</v>
      </c>
      <c r="N3190" s="16">
        <v>0.0</v>
      </c>
      <c r="O3190" s="13" t="s">
        <v>58</v>
      </c>
      <c r="P3190" s="18">
        <f t="shared" si="1"/>
        <v>0</v>
      </c>
    </row>
    <row r="3191" ht="15.75" customHeight="1">
      <c r="A3191" s="19" t="s">
        <v>236</v>
      </c>
      <c r="B3191" s="19" t="s">
        <v>99</v>
      </c>
      <c r="C3191" s="20" t="s">
        <v>124</v>
      </c>
      <c r="D3191" s="14" t="str">
        <f>VLOOKUP(C3191,'State Key'!$A$2:$B$210,2,False)</f>
        <v>Karnataka</v>
      </c>
      <c r="E3191" s="21">
        <v>260.0</v>
      </c>
      <c r="F3191" s="22">
        <v>0.0</v>
      </c>
      <c r="G3191" s="22">
        <v>0.0</v>
      </c>
      <c r="H3191" s="22">
        <v>0.0</v>
      </c>
      <c r="I3191" s="22">
        <v>0.0</v>
      </c>
      <c r="J3191" s="22">
        <v>51.63</v>
      </c>
      <c r="K3191" s="22">
        <v>0.0</v>
      </c>
      <c r="L3191" s="22">
        <v>51.63</v>
      </c>
      <c r="M3191" s="22">
        <v>51.63</v>
      </c>
      <c r="N3191" s="22">
        <v>0.0</v>
      </c>
      <c r="O3191" s="17">
        <v>0.0</v>
      </c>
      <c r="P3191" s="18">
        <f t="shared" si="1"/>
        <v>51.63</v>
      </c>
    </row>
    <row r="3192" ht="15.75" customHeight="1">
      <c r="A3192" s="13" t="s">
        <v>236</v>
      </c>
      <c r="B3192" s="13" t="s">
        <v>99</v>
      </c>
      <c r="C3192" s="14" t="s">
        <v>125</v>
      </c>
      <c r="D3192" s="14" t="str">
        <f>VLOOKUP(C3192,'State Key'!$A$2:$B$210,2,False)</f>
        <v>Karnataka</v>
      </c>
      <c r="E3192" s="15">
        <v>600.0</v>
      </c>
      <c r="F3192" s="16">
        <v>0.0</v>
      </c>
      <c r="G3192" s="16">
        <v>0.0</v>
      </c>
      <c r="H3192" s="16">
        <v>0.0</v>
      </c>
      <c r="I3192" s="16">
        <v>0.0</v>
      </c>
      <c r="J3192" s="16">
        <v>86.73</v>
      </c>
      <c r="K3192" s="16">
        <v>0.0</v>
      </c>
      <c r="L3192" s="16">
        <v>86.73</v>
      </c>
      <c r="M3192" s="16">
        <v>97.5699</v>
      </c>
      <c r="N3192" s="16">
        <v>0.35</v>
      </c>
      <c r="O3192" s="17">
        <v>0.1</v>
      </c>
      <c r="P3192" s="18">
        <f t="shared" si="1"/>
        <v>86.73</v>
      </c>
    </row>
    <row r="3193" ht="15.75" customHeight="1">
      <c r="A3193" s="19" t="s">
        <v>236</v>
      </c>
      <c r="B3193" s="19" t="s">
        <v>99</v>
      </c>
      <c r="C3193" s="20" t="s">
        <v>126</v>
      </c>
      <c r="D3193" s="14" t="str">
        <f>VLOOKUP(C3193,'State Key'!$A$2:$B$210,2,False)</f>
        <v>Tamil Nadu</v>
      </c>
      <c r="E3193" s="21">
        <v>300.0</v>
      </c>
      <c r="F3193" s="22">
        <v>0.0</v>
      </c>
      <c r="G3193" s="22">
        <v>0.0</v>
      </c>
      <c r="H3193" s="22">
        <v>0.0</v>
      </c>
      <c r="I3193" s="22">
        <v>0.0</v>
      </c>
      <c r="J3193" s="22">
        <v>0.0</v>
      </c>
      <c r="K3193" s="22">
        <v>0.0</v>
      </c>
      <c r="L3193" s="22">
        <v>0.0</v>
      </c>
      <c r="M3193" s="22">
        <v>0.0</v>
      </c>
      <c r="N3193" s="22">
        <v>0.0</v>
      </c>
      <c r="O3193" s="19" t="s">
        <v>58</v>
      </c>
      <c r="P3193" s="18">
        <f t="shared" si="1"/>
        <v>0</v>
      </c>
    </row>
    <row r="3194" ht="15.75" customHeight="1">
      <c r="A3194" s="13" t="s">
        <v>236</v>
      </c>
      <c r="B3194" s="13" t="s">
        <v>99</v>
      </c>
      <c r="C3194" s="14" t="s">
        <v>127</v>
      </c>
      <c r="D3194" s="14" t="str">
        <f>VLOOKUP(C3194,'State Key'!$A$2:$B$210,2,False)</f>
        <v>Tamil Nadu</v>
      </c>
      <c r="E3194" s="15">
        <v>525.0</v>
      </c>
      <c r="F3194" s="16">
        <v>0.0</v>
      </c>
      <c r="G3194" s="16">
        <v>0.0</v>
      </c>
      <c r="H3194" s="16">
        <v>0.0</v>
      </c>
      <c r="I3194" s="16">
        <v>0.0</v>
      </c>
      <c r="J3194" s="16">
        <v>121.9</v>
      </c>
      <c r="K3194" s="16">
        <v>0.0</v>
      </c>
      <c r="L3194" s="16">
        <v>121.9</v>
      </c>
      <c r="M3194" s="16">
        <v>141.43</v>
      </c>
      <c r="N3194" s="16">
        <v>6.3</v>
      </c>
      <c r="O3194" s="17">
        <v>1.3</v>
      </c>
      <c r="P3194" s="18">
        <f t="shared" si="1"/>
        <v>121.9</v>
      </c>
    </row>
    <row r="3195" ht="15.75" customHeight="1">
      <c r="A3195" s="19" t="s">
        <v>236</v>
      </c>
      <c r="B3195" s="19" t="s">
        <v>99</v>
      </c>
      <c r="C3195" s="20" t="s">
        <v>128</v>
      </c>
      <c r="D3195" s="14" t="str">
        <f>VLOOKUP(C3195,'State Key'!$A$2:$B$210,2,False)</f>
        <v>Tamil Nadu</v>
      </c>
      <c r="E3195" s="21">
        <v>1050.0</v>
      </c>
      <c r="F3195" s="22">
        <v>481.035</v>
      </c>
      <c r="G3195" s="22">
        <v>0.0</v>
      </c>
      <c r="H3195" s="22">
        <v>0.0</v>
      </c>
      <c r="I3195" s="22">
        <v>0.0</v>
      </c>
      <c r="J3195" s="22">
        <v>0.0</v>
      </c>
      <c r="K3195" s="22">
        <v>0.0</v>
      </c>
      <c r="L3195" s="22">
        <v>481.035</v>
      </c>
      <c r="M3195" s="22">
        <v>447.957</v>
      </c>
      <c r="N3195" s="22">
        <v>416.064</v>
      </c>
      <c r="O3195" s="24">
        <v>27.9</v>
      </c>
      <c r="P3195" s="18">
        <f t="shared" si="1"/>
        <v>481.035</v>
      </c>
    </row>
    <row r="3196" ht="15.75" customHeight="1">
      <c r="A3196" s="13" t="s">
        <v>236</v>
      </c>
      <c r="B3196" s="13" t="s">
        <v>99</v>
      </c>
      <c r="C3196" s="14" t="s">
        <v>130</v>
      </c>
      <c r="D3196" s="14" t="str">
        <f>VLOOKUP(C3196,'State Key'!$A$2:$B$210,2,False)</f>
        <v>Tamil Nadu</v>
      </c>
      <c r="E3196" s="15">
        <v>1500.0</v>
      </c>
      <c r="F3196" s="16">
        <v>492.951</v>
      </c>
      <c r="G3196" s="16">
        <v>0.0</v>
      </c>
      <c r="H3196" s="16">
        <v>0.0</v>
      </c>
      <c r="I3196" s="16">
        <v>0.0</v>
      </c>
      <c r="J3196" s="16">
        <v>0.0</v>
      </c>
      <c r="K3196" s="16">
        <v>0.0</v>
      </c>
      <c r="L3196" s="16">
        <v>492.951</v>
      </c>
      <c r="M3196" s="16">
        <v>546.145</v>
      </c>
      <c r="N3196" s="16">
        <v>170.99</v>
      </c>
      <c r="O3196" s="23">
        <v>9.4</v>
      </c>
      <c r="P3196" s="18">
        <f t="shared" si="1"/>
        <v>492.951</v>
      </c>
    </row>
    <row r="3197" ht="15.75" customHeight="1">
      <c r="A3197" s="19" t="s">
        <v>236</v>
      </c>
      <c r="B3197" s="19" t="s">
        <v>99</v>
      </c>
      <c r="C3197" s="20" t="s">
        <v>131</v>
      </c>
      <c r="D3197" s="14" t="str">
        <f>VLOOKUP(C3197,'State Key'!$A$2:$B$210,2,False)</f>
        <v>Andhra Pradesh</v>
      </c>
      <c r="E3197" s="21">
        <v>1040.0</v>
      </c>
      <c r="F3197" s="22">
        <v>247.75935</v>
      </c>
      <c r="G3197" s="22">
        <v>0.0</v>
      </c>
      <c r="H3197" s="22">
        <v>0.0</v>
      </c>
      <c r="I3197" s="22">
        <v>0.0</v>
      </c>
      <c r="J3197" s="22">
        <v>0.0</v>
      </c>
      <c r="K3197" s="22">
        <v>0.0</v>
      </c>
      <c r="L3197" s="22">
        <v>247.75935</v>
      </c>
      <c r="M3197" s="22">
        <v>234.715</v>
      </c>
      <c r="N3197" s="22">
        <v>76.6789</v>
      </c>
      <c r="O3197" s="23">
        <v>9.8</v>
      </c>
      <c r="P3197" s="18">
        <f t="shared" si="1"/>
        <v>247.75935</v>
      </c>
    </row>
    <row r="3198" ht="15.75" customHeight="1">
      <c r="A3198" s="13" t="s">
        <v>236</v>
      </c>
      <c r="B3198" s="13" t="s">
        <v>99</v>
      </c>
      <c r="C3198" s="14" t="s">
        <v>132</v>
      </c>
      <c r="D3198" s="14" t="str">
        <f>VLOOKUP(C3198,'State Key'!$A$2:$B$210,2,False)</f>
        <v>Karnataka</v>
      </c>
      <c r="E3198" s="15">
        <v>1600.0</v>
      </c>
      <c r="F3198" s="16">
        <v>0.0</v>
      </c>
      <c r="G3198" s="16">
        <v>173.459</v>
      </c>
      <c r="H3198" s="16">
        <v>0.0</v>
      </c>
      <c r="I3198" s="16">
        <v>0.0</v>
      </c>
      <c r="J3198" s="16">
        <v>19.694</v>
      </c>
      <c r="K3198" s="16">
        <v>0.0</v>
      </c>
      <c r="L3198" s="16">
        <v>193.153</v>
      </c>
      <c r="M3198" s="16">
        <v>96.562</v>
      </c>
      <c r="N3198" s="16">
        <v>245.018</v>
      </c>
      <c r="O3198" s="24">
        <v>76.1</v>
      </c>
      <c r="P3198" s="18">
        <f t="shared" si="1"/>
        <v>193.153</v>
      </c>
    </row>
    <row r="3199" ht="15.75" customHeight="1">
      <c r="A3199" s="19" t="s">
        <v>236</v>
      </c>
      <c r="B3199" s="19" t="s">
        <v>133</v>
      </c>
      <c r="C3199" s="20" t="s">
        <v>211</v>
      </c>
      <c r="D3199" s="14" t="str">
        <f>VLOOKUP(C3199,'State Key'!$A$2:$B$210,2,False)</f>
        <v>Gujarat</v>
      </c>
      <c r="E3199" s="21">
        <v>2640.0</v>
      </c>
      <c r="F3199" s="22">
        <v>0.0</v>
      </c>
      <c r="G3199" s="22">
        <v>0.0</v>
      </c>
      <c r="H3199" s="22">
        <v>0.0</v>
      </c>
      <c r="I3199" s="22">
        <v>0.0</v>
      </c>
      <c r="J3199" s="22">
        <v>813.509</v>
      </c>
      <c r="K3199" s="22">
        <v>0.0</v>
      </c>
      <c r="L3199" s="22">
        <v>813.509</v>
      </c>
      <c r="M3199" s="22">
        <v>739.529</v>
      </c>
      <c r="N3199" s="22">
        <v>171.091</v>
      </c>
      <c r="O3199" s="17">
        <v>6.9</v>
      </c>
      <c r="P3199" s="18">
        <f t="shared" si="1"/>
        <v>813.509</v>
      </c>
    </row>
    <row r="3200" ht="15.75" customHeight="1">
      <c r="A3200" s="13" t="s">
        <v>236</v>
      </c>
      <c r="B3200" s="13" t="s">
        <v>133</v>
      </c>
      <c r="C3200" s="14" t="s">
        <v>212</v>
      </c>
      <c r="D3200" s="14" t="str">
        <f>VLOOKUP(C3200,'State Key'!$A$2:$B$210,2,False)</f>
        <v>Gujarat</v>
      </c>
      <c r="E3200" s="15">
        <v>1980.0</v>
      </c>
      <c r="F3200" s="16">
        <v>0.0</v>
      </c>
      <c r="G3200" s="16">
        <v>0.0</v>
      </c>
      <c r="H3200" s="16">
        <v>0.0</v>
      </c>
      <c r="I3200" s="16">
        <v>0.0</v>
      </c>
      <c r="J3200" s="16">
        <v>419.456</v>
      </c>
      <c r="K3200" s="16">
        <v>0.0</v>
      </c>
      <c r="L3200" s="16">
        <v>419.456</v>
      </c>
      <c r="M3200" s="16">
        <v>335.505</v>
      </c>
      <c r="N3200" s="16">
        <v>103.48</v>
      </c>
      <c r="O3200" s="23">
        <v>9.3</v>
      </c>
      <c r="P3200" s="18">
        <f t="shared" si="1"/>
        <v>419.456</v>
      </c>
    </row>
    <row r="3201" ht="15.75" customHeight="1">
      <c r="A3201" s="19" t="s">
        <v>236</v>
      </c>
      <c r="B3201" s="19" t="s">
        <v>133</v>
      </c>
      <c r="C3201" s="20" t="s">
        <v>213</v>
      </c>
      <c r="D3201" s="14" t="str">
        <f>VLOOKUP(C3201,'State Key'!$A$2:$B$210,2,False)</f>
        <v>Chhattisgarh</v>
      </c>
      <c r="E3201" s="21">
        <v>600.0</v>
      </c>
      <c r="F3201" s="22">
        <v>221.027</v>
      </c>
      <c r="G3201" s="22">
        <v>0.0</v>
      </c>
      <c r="H3201" s="22">
        <v>0.0</v>
      </c>
      <c r="I3201" s="22">
        <v>20.267</v>
      </c>
      <c r="J3201" s="22">
        <v>0.0</v>
      </c>
      <c r="K3201" s="22">
        <v>1.184</v>
      </c>
      <c r="L3201" s="22">
        <v>242.478</v>
      </c>
      <c r="M3201" s="22">
        <v>195.274</v>
      </c>
      <c r="N3201" s="22">
        <v>138.74</v>
      </c>
      <c r="O3201" s="24">
        <v>21.3</v>
      </c>
      <c r="P3201" s="18">
        <f t="shared" si="1"/>
        <v>242.478</v>
      </c>
    </row>
    <row r="3202" ht="15.75" customHeight="1">
      <c r="A3202" s="13" t="s">
        <v>236</v>
      </c>
      <c r="B3202" s="13" t="s">
        <v>133</v>
      </c>
      <c r="C3202" s="14" t="s">
        <v>214</v>
      </c>
      <c r="D3202" s="14" t="str">
        <f>VLOOKUP(C3202,'State Key'!$A$2:$B$210,2,False)</f>
        <v>Chhattisgarh</v>
      </c>
      <c r="E3202" s="15">
        <v>1370.0</v>
      </c>
      <c r="F3202" s="16">
        <v>366.078</v>
      </c>
      <c r="G3202" s="16">
        <v>0.0</v>
      </c>
      <c r="H3202" s="16">
        <v>0.0</v>
      </c>
      <c r="I3202" s="16">
        <v>8.219</v>
      </c>
      <c r="J3202" s="16">
        <v>0.0</v>
      </c>
      <c r="K3202" s="16">
        <v>58.733</v>
      </c>
      <c r="L3202" s="16">
        <v>433.03</v>
      </c>
      <c r="M3202" s="16">
        <v>518.69</v>
      </c>
      <c r="N3202" s="16">
        <v>33.91</v>
      </c>
      <c r="O3202" s="17">
        <v>2.0</v>
      </c>
      <c r="P3202" s="18">
        <f t="shared" si="1"/>
        <v>433.03</v>
      </c>
    </row>
    <row r="3203" ht="15.75" customHeight="1">
      <c r="A3203" s="19" t="s">
        <v>236</v>
      </c>
      <c r="B3203" s="19" t="s">
        <v>133</v>
      </c>
      <c r="C3203" s="20" t="s">
        <v>215</v>
      </c>
      <c r="D3203" s="14" t="str">
        <f>VLOOKUP(C3203,'State Key'!$A$2:$B$210,2,False)</f>
        <v>Maharashtra</v>
      </c>
      <c r="E3203" s="21">
        <v>3300.0</v>
      </c>
      <c r="F3203" s="22">
        <v>979.85</v>
      </c>
      <c r="G3203" s="22">
        <v>0.0</v>
      </c>
      <c r="H3203" s="22">
        <v>0.0</v>
      </c>
      <c r="I3203" s="22">
        <v>0.0</v>
      </c>
      <c r="J3203" s="22">
        <v>0.0</v>
      </c>
      <c r="K3203" s="22">
        <v>0.0</v>
      </c>
      <c r="L3203" s="22">
        <v>979.85</v>
      </c>
      <c r="M3203" s="22">
        <v>1179.962</v>
      </c>
      <c r="N3203" s="22">
        <v>38.55</v>
      </c>
      <c r="O3203" s="17">
        <v>1.0</v>
      </c>
      <c r="P3203" s="18">
        <f t="shared" si="1"/>
        <v>979.85</v>
      </c>
    </row>
    <row r="3204" ht="15.75" customHeight="1">
      <c r="A3204" s="13" t="s">
        <v>236</v>
      </c>
      <c r="B3204" s="13" t="s">
        <v>133</v>
      </c>
      <c r="C3204" s="14" t="s">
        <v>134</v>
      </c>
      <c r="D3204" s="14" t="str">
        <f>VLOOKUP(C3204,'State Key'!$A$2:$B$210,2,False)</f>
        <v>Chhattisgarh</v>
      </c>
      <c r="E3204" s="15">
        <v>1800.0</v>
      </c>
      <c r="F3204" s="16">
        <v>416.7327</v>
      </c>
      <c r="G3204" s="16">
        <v>0.0</v>
      </c>
      <c r="H3204" s="16">
        <v>0.0</v>
      </c>
      <c r="I3204" s="16">
        <v>0.0</v>
      </c>
      <c r="J3204" s="16">
        <v>0.0</v>
      </c>
      <c r="K3204" s="16">
        <v>87.8184</v>
      </c>
      <c r="L3204" s="16">
        <v>504.5511</v>
      </c>
      <c r="M3204" s="16">
        <v>421.442</v>
      </c>
      <c r="N3204" s="16">
        <v>238.43</v>
      </c>
      <c r="O3204" s="24">
        <v>17.0</v>
      </c>
      <c r="P3204" s="18">
        <f t="shared" si="1"/>
        <v>504.5511</v>
      </c>
    </row>
    <row r="3205" ht="15.75" customHeight="1">
      <c r="A3205" s="19" t="s">
        <v>236</v>
      </c>
      <c r="B3205" s="19" t="s">
        <v>133</v>
      </c>
      <c r="C3205" s="20" t="s">
        <v>135</v>
      </c>
      <c r="D3205" s="14" t="str">
        <f>VLOOKUP(C3205,'State Key'!$A$2:$B$210,2,False)</f>
        <v>Madhya Pradesh</v>
      </c>
      <c r="E3205" s="21">
        <v>210.0</v>
      </c>
      <c r="F3205" s="22">
        <v>75.512</v>
      </c>
      <c r="G3205" s="22">
        <v>0.0</v>
      </c>
      <c r="H3205" s="22">
        <v>0.0</v>
      </c>
      <c r="I3205" s="22">
        <v>0.0</v>
      </c>
      <c r="J3205" s="22">
        <v>0.0</v>
      </c>
      <c r="K3205" s="22">
        <v>0.0</v>
      </c>
      <c r="L3205" s="22">
        <v>75.512</v>
      </c>
      <c r="M3205" s="22">
        <v>77.853</v>
      </c>
      <c r="N3205" s="22">
        <v>95.13</v>
      </c>
      <c r="O3205" s="24">
        <v>36.7</v>
      </c>
      <c r="P3205" s="18">
        <f t="shared" si="1"/>
        <v>75.512</v>
      </c>
    </row>
    <row r="3206" ht="15.75" customHeight="1">
      <c r="A3206" s="13" t="s">
        <v>236</v>
      </c>
      <c r="B3206" s="13" t="s">
        <v>133</v>
      </c>
      <c r="C3206" s="14" t="s">
        <v>136</v>
      </c>
      <c r="D3206" s="14" t="str">
        <f>VLOOKUP(C3206,'State Key'!$A$2:$B$210,2,False)</f>
        <v>Maharashtra</v>
      </c>
      <c r="E3206" s="15">
        <v>1350.0</v>
      </c>
      <c r="F3206" s="16">
        <v>483.918</v>
      </c>
      <c r="G3206" s="16">
        <v>0.0</v>
      </c>
      <c r="H3206" s="16">
        <v>0.0</v>
      </c>
      <c r="I3206" s="16">
        <v>0.0</v>
      </c>
      <c r="J3206" s="16">
        <v>0.0</v>
      </c>
      <c r="K3206" s="16">
        <v>0.0</v>
      </c>
      <c r="L3206" s="16">
        <v>483.918</v>
      </c>
      <c r="M3206" s="16">
        <v>397.188</v>
      </c>
      <c r="N3206" s="16">
        <v>198.43</v>
      </c>
      <c r="O3206" s="24">
        <v>15.0</v>
      </c>
      <c r="P3206" s="18">
        <f t="shared" si="1"/>
        <v>483.918</v>
      </c>
    </row>
    <row r="3207" ht="15.75" customHeight="1">
      <c r="A3207" s="19" t="s">
        <v>236</v>
      </c>
      <c r="B3207" s="19" t="s">
        <v>133</v>
      </c>
      <c r="C3207" s="20" t="s">
        <v>137</v>
      </c>
      <c r="D3207" s="14" t="str">
        <f>VLOOKUP(C3207,'State Key'!$A$2:$B$210,2,False)</f>
        <v>Madhya Pradesh</v>
      </c>
      <c r="E3207" s="21">
        <v>1250.0</v>
      </c>
      <c r="F3207" s="22">
        <v>359.85</v>
      </c>
      <c r="G3207" s="22">
        <v>0.0</v>
      </c>
      <c r="H3207" s="22">
        <v>0.0</v>
      </c>
      <c r="I3207" s="22">
        <v>83.39</v>
      </c>
      <c r="J3207" s="22">
        <v>0.0</v>
      </c>
      <c r="K3207" s="22">
        <v>0.0</v>
      </c>
      <c r="L3207" s="22">
        <v>443.24</v>
      </c>
      <c r="M3207" s="22">
        <v>460.73</v>
      </c>
      <c r="N3207" s="22">
        <v>156.22</v>
      </c>
      <c r="O3207" s="23">
        <v>10.2</v>
      </c>
      <c r="P3207" s="18">
        <f t="shared" si="1"/>
        <v>443.24</v>
      </c>
    </row>
    <row r="3208" ht="15.75" customHeight="1">
      <c r="A3208" s="13" t="s">
        <v>236</v>
      </c>
      <c r="B3208" s="13" t="s">
        <v>133</v>
      </c>
      <c r="C3208" s="14" t="s">
        <v>139</v>
      </c>
      <c r="D3208" s="14" t="str">
        <f>VLOOKUP(C3208,'State Key'!$A$2:$B$210,2,False)</f>
        <v>Chhattisgarh</v>
      </c>
      <c r="E3208" s="15">
        <v>600.0</v>
      </c>
      <c r="F3208" s="16">
        <v>132.15</v>
      </c>
      <c r="G3208" s="16">
        <v>0.0</v>
      </c>
      <c r="H3208" s="16">
        <v>0.0</v>
      </c>
      <c r="I3208" s="16">
        <v>46.75</v>
      </c>
      <c r="J3208" s="16">
        <v>0.0</v>
      </c>
      <c r="K3208" s="16">
        <v>0.0</v>
      </c>
      <c r="L3208" s="16">
        <v>178.9</v>
      </c>
      <c r="M3208" s="16">
        <v>181.265</v>
      </c>
      <c r="N3208" s="16">
        <v>0.46</v>
      </c>
      <c r="O3208" s="17">
        <v>0.1</v>
      </c>
      <c r="P3208" s="18">
        <f t="shared" si="1"/>
        <v>178.9</v>
      </c>
    </row>
    <row r="3209" ht="15.75" customHeight="1">
      <c r="A3209" s="19" t="s">
        <v>236</v>
      </c>
      <c r="B3209" s="19" t="s">
        <v>133</v>
      </c>
      <c r="C3209" s="20" t="s">
        <v>140</v>
      </c>
      <c r="D3209" s="14" t="str">
        <f>VLOOKUP(C3209,'State Key'!$A$2:$B$210,2,False)</f>
        <v>Chhattisgarh</v>
      </c>
      <c r="E3209" s="21">
        <v>300.0</v>
      </c>
      <c r="F3209" s="22">
        <v>44.278</v>
      </c>
      <c r="G3209" s="22">
        <v>0.0</v>
      </c>
      <c r="H3209" s="22">
        <v>0.0</v>
      </c>
      <c r="I3209" s="22">
        <v>24.332</v>
      </c>
      <c r="J3209" s="22">
        <v>0.0</v>
      </c>
      <c r="K3209" s="22">
        <v>0.0</v>
      </c>
      <c r="L3209" s="22">
        <v>68.61</v>
      </c>
      <c r="M3209" s="22">
        <v>59.569</v>
      </c>
      <c r="N3209" s="22">
        <v>107.57</v>
      </c>
      <c r="O3209" s="24">
        <v>54.2</v>
      </c>
      <c r="P3209" s="18">
        <f t="shared" si="1"/>
        <v>68.61</v>
      </c>
    </row>
    <row r="3210" ht="15.75" customHeight="1">
      <c r="A3210" s="13" t="s">
        <v>236</v>
      </c>
      <c r="B3210" s="13" t="s">
        <v>133</v>
      </c>
      <c r="C3210" s="14" t="s">
        <v>141</v>
      </c>
      <c r="D3210" s="14" t="str">
        <f>VLOOKUP(C3210,'State Key'!$A$2:$B$210,2,False)</f>
        <v>Chhattisgarh</v>
      </c>
      <c r="E3210" s="15">
        <v>1200.0</v>
      </c>
      <c r="F3210" s="16">
        <v>436.509</v>
      </c>
      <c r="G3210" s="16">
        <v>0.0</v>
      </c>
      <c r="H3210" s="16">
        <v>0.0</v>
      </c>
      <c r="I3210" s="16">
        <v>0.0</v>
      </c>
      <c r="J3210" s="16">
        <v>0.0</v>
      </c>
      <c r="K3210" s="16">
        <v>0.0</v>
      </c>
      <c r="L3210" s="16">
        <v>436.509</v>
      </c>
      <c r="M3210" s="16">
        <v>526.725</v>
      </c>
      <c r="N3210" s="16">
        <v>98.98</v>
      </c>
      <c r="O3210" s="17">
        <v>5.6</v>
      </c>
      <c r="P3210" s="18">
        <f t="shared" si="1"/>
        <v>436.509</v>
      </c>
    </row>
    <row r="3211" ht="15.75" customHeight="1">
      <c r="A3211" s="19" t="s">
        <v>236</v>
      </c>
      <c r="B3211" s="19" t="s">
        <v>133</v>
      </c>
      <c r="C3211" s="20" t="s">
        <v>142</v>
      </c>
      <c r="D3211" s="14" t="str">
        <f>VLOOKUP(C3211,'State Key'!$A$2:$B$210,2,False)</f>
        <v>Maharashtra</v>
      </c>
      <c r="E3211" s="21">
        <v>270.0</v>
      </c>
      <c r="F3211" s="22">
        <v>65.622</v>
      </c>
      <c r="G3211" s="22">
        <v>0.0</v>
      </c>
      <c r="H3211" s="22">
        <v>0.0</v>
      </c>
      <c r="I3211" s="22">
        <v>33.567</v>
      </c>
      <c r="J3211" s="22">
        <v>0.0</v>
      </c>
      <c r="K3211" s="22">
        <v>0.0</v>
      </c>
      <c r="L3211" s="22">
        <v>99.189</v>
      </c>
      <c r="M3211" s="22">
        <v>108.45</v>
      </c>
      <c r="N3211" s="22">
        <v>66.6</v>
      </c>
      <c r="O3211" s="24">
        <v>18.4</v>
      </c>
      <c r="P3211" s="18">
        <f t="shared" si="1"/>
        <v>99.189</v>
      </c>
    </row>
    <row r="3212" ht="15.75" customHeight="1">
      <c r="A3212" s="13" t="s">
        <v>236</v>
      </c>
      <c r="B3212" s="13" t="s">
        <v>133</v>
      </c>
      <c r="C3212" s="14" t="s">
        <v>143</v>
      </c>
      <c r="D3212" s="14" t="str">
        <f>VLOOKUP(C3212,'State Key'!$A$2:$B$210,2,False)</f>
        <v>Chhattisgarh</v>
      </c>
      <c r="E3212" s="15">
        <v>500.0</v>
      </c>
      <c r="F3212" s="16">
        <v>194.594</v>
      </c>
      <c r="G3212" s="16">
        <v>24.459</v>
      </c>
      <c r="H3212" s="16">
        <v>0.0</v>
      </c>
      <c r="I3212" s="16">
        <v>0.0</v>
      </c>
      <c r="J3212" s="16">
        <v>8.185</v>
      </c>
      <c r="K3212" s="16">
        <v>0.0</v>
      </c>
      <c r="L3212" s="16">
        <v>227.238</v>
      </c>
      <c r="M3212" s="16">
        <v>185.21</v>
      </c>
      <c r="N3212" s="16">
        <v>156.43</v>
      </c>
      <c r="O3212" s="24">
        <v>25.3</v>
      </c>
      <c r="P3212" s="18">
        <f t="shared" si="1"/>
        <v>227.238</v>
      </c>
    </row>
    <row r="3213" ht="15.75" customHeight="1">
      <c r="A3213" s="19" t="s">
        <v>236</v>
      </c>
      <c r="B3213" s="19" t="s">
        <v>133</v>
      </c>
      <c r="C3213" s="20" t="s">
        <v>144</v>
      </c>
      <c r="D3213" s="14" t="str">
        <f>VLOOKUP(C3213,'State Key'!$A$2:$B$210,2,False)</f>
        <v>Maharashtra</v>
      </c>
      <c r="E3213" s="21">
        <v>1210.0</v>
      </c>
      <c r="F3213" s="22">
        <v>484.687</v>
      </c>
      <c r="G3213" s="22">
        <v>8.16</v>
      </c>
      <c r="H3213" s="22">
        <v>0.0</v>
      </c>
      <c r="I3213" s="22">
        <v>0.0</v>
      </c>
      <c r="J3213" s="22">
        <v>0.0</v>
      </c>
      <c r="K3213" s="22">
        <v>0.0</v>
      </c>
      <c r="L3213" s="22">
        <v>492.847</v>
      </c>
      <c r="M3213" s="22">
        <v>505.104</v>
      </c>
      <c r="N3213" s="22">
        <v>473.761</v>
      </c>
      <c r="O3213" s="24">
        <v>28.1</v>
      </c>
      <c r="P3213" s="18">
        <f t="shared" si="1"/>
        <v>492.847</v>
      </c>
    </row>
    <row r="3214" ht="15.75" customHeight="1">
      <c r="A3214" s="13" t="s">
        <v>236</v>
      </c>
      <c r="B3214" s="13" t="s">
        <v>133</v>
      </c>
      <c r="C3214" s="14" t="s">
        <v>145</v>
      </c>
      <c r="D3214" s="14" t="str">
        <f>VLOOKUP(C3214,'State Key'!$A$2:$B$210,2,False)</f>
        <v>Madhya Pradesh</v>
      </c>
      <c r="E3214" s="15">
        <v>500.0</v>
      </c>
      <c r="F3214" s="16">
        <v>118.24</v>
      </c>
      <c r="G3214" s="16">
        <v>0.0</v>
      </c>
      <c r="H3214" s="16">
        <v>0.0</v>
      </c>
      <c r="I3214" s="16">
        <v>19.54</v>
      </c>
      <c r="J3214" s="16">
        <v>0.0</v>
      </c>
      <c r="K3214" s="16">
        <v>0.0</v>
      </c>
      <c r="L3214" s="16">
        <v>137.78</v>
      </c>
      <c r="M3214" s="16">
        <v>179.56</v>
      </c>
      <c r="N3214" s="16">
        <v>134.75</v>
      </c>
      <c r="O3214" s="24">
        <v>22.5</v>
      </c>
      <c r="P3214" s="18">
        <f t="shared" si="1"/>
        <v>137.78</v>
      </c>
    </row>
    <row r="3215" ht="15.75" customHeight="1">
      <c r="A3215" s="19" t="s">
        <v>236</v>
      </c>
      <c r="B3215" s="19" t="s">
        <v>133</v>
      </c>
      <c r="C3215" s="20" t="s">
        <v>146</v>
      </c>
      <c r="D3215" s="14" t="str">
        <f>VLOOKUP(C3215,'State Key'!$A$2:$B$210,2,False)</f>
        <v>Chhattisgarh</v>
      </c>
      <c r="E3215" s="21">
        <v>600.0</v>
      </c>
      <c r="F3215" s="22">
        <v>19.714</v>
      </c>
      <c r="G3215" s="22">
        <v>0.0</v>
      </c>
      <c r="H3215" s="22">
        <v>0.0</v>
      </c>
      <c r="I3215" s="22">
        <v>87.255</v>
      </c>
      <c r="J3215" s="22">
        <v>0.0</v>
      </c>
      <c r="K3215" s="22">
        <v>0.0</v>
      </c>
      <c r="L3215" s="22">
        <v>106.969</v>
      </c>
      <c r="M3215" s="22">
        <v>116.08</v>
      </c>
      <c r="N3215" s="22">
        <v>65.62</v>
      </c>
      <c r="O3215" s="24">
        <v>17.0</v>
      </c>
      <c r="P3215" s="18">
        <f t="shared" si="1"/>
        <v>106.969</v>
      </c>
    </row>
    <row r="3216" ht="15.75" customHeight="1">
      <c r="A3216" s="13" t="s">
        <v>236</v>
      </c>
      <c r="B3216" s="13" t="s">
        <v>133</v>
      </c>
      <c r="C3216" s="14" t="s">
        <v>147</v>
      </c>
      <c r="D3216" s="14" t="str">
        <f>VLOOKUP(C3216,'State Key'!$A$2:$B$210,2,False)</f>
        <v>Maharashtra</v>
      </c>
      <c r="E3216" s="15">
        <v>600.0</v>
      </c>
      <c r="F3216" s="16">
        <v>0.0</v>
      </c>
      <c r="G3216" s="16">
        <v>0.0</v>
      </c>
      <c r="H3216" s="16">
        <v>0.0</v>
      </c>
      <c r="I3216" s="16">
        <v>0.0</v>
      </c>
      <c r="J3216" s="16">
        <v>0.0</v>
      </c>
      <c r="K3216" s="16">
        <v>0.0</v>
      </c>
      <c r="L3216" s="16">
        <v>0.0</v>
      </c>
      <c r="M3216" s="16">
        <v>0.0</v>
      </c>
      <c r="N3216" s="16">
        <v>0.0</v>
      </c>
      <c r="O3216" s="13" t="s">
        <v>58</v>
      </c>
      <c r="P3216" s="18">
        <f t="shared" si="1"/>
        <v>0</v>
      </c>
    </row>
    <row r="3217" ht="15.75" customHeight="1">
      <c r="A3217" s="19" t="s">
        <v>236</v>
      </c>
      <c r="B3217" s="19" t="s">
        <v>133</v>
      </c>
      <c r="C3217" s="20" t="s">
        <v>148</v>
      </c>
      <c r="D3217" s="14" t="str">
        <f>VLOOKUP(C3217,'State Key'!$A$2:$B$210,2,False)</f>
        <v>Chhattisgarh</v>
      </c>
      <c r="E3217" s="21">
        <v>30.0</v>
      </c>
      <c r="F3217" s="22">
        <v>10.878</v>
      </c>
      <c r="G3217" s="22">
        <v>0.0</v>
      </c>
      <c r="H3217" s="22">
        <v>0.0</v>
      </c>
      <c r="I3217" s="22">
        <v>0.0</v>
      </c>
      <c r="J3217" s="22">
        <v>0.0</v>
      </c>
      <c r="K3217" s="22">
        <v>47.92</v>
      </c>
      <c r="L3217" s="22">
        <v>58.798</v>
      </c>
      <c r="M3217" s="22">
        <v>50.037</v>
      </c>
      <c r="N3217" s="22">
        <v>65.49</v>
      </c>
      <c r="O3217" s="24">
        <v>39.3</v>
      </c>
      <c r="P3217" s="18">
        <f t="shared" si="1"/>
        <v>58.798</v>
      </c>
    </row>
    <row r="3218" ht="15.75" customHeight="1">
      <c r="A3218" s="13" t="s">
        <v>236</v>
      </c>
      <c r="B3218" s="13" t="s">
        <v>133</v>
      </c>
      <c r="C3218" s="14" t="s">
        <v>149</v>
      </c>
      <c r="D3218" s="14" t="str">
        <f>VLOOKUP(C3218,'State Key'!$A$2:$B$210,2,False)</f>
        <v>Maharashtra</v>
      </c>
      <c r="E3218" s="15">
        <v>2920.0</v>
      </c>
      <c r="F3218" s="16">
        <v>683.952</v>
      </c>
      <c r="G3218" s="16">
        <v>128.561</v>
      </c>
      <c r="H3218" s="16">
        <v>0.0</v>
      </c>
      <c r="I3218" s="16">
        <v>0.0</v>
      </c>
      <c r="J3218" s="16">
        <v>0.0</v>
      </c>
      <c r="K3218" s="16">
        <v>0.0</v>
      </c>
      <c r="L3218" s="16">
        <v>812.513</v>
      </c>
      <c r="M3218" s="16">
        <v>904.58</v>
      </c>
      <c r="N3218" s="16">
        <v>443.88</v>
      </c>
      <c r="O3218" s="24">
        <v>14.7</v>
      </c>
      <c r="P3218" s="18">
        <f t="shared" si="1"/>
        <v>812.513</v>
      </c>
    </row>
    <row r="3219" ht="15.75" customHeight="1">
      <c r="A3219" s="19" t="s">
        <v>236</v>
      </c>
      <c r="B3219" s="19" t="s">
        <v>133</v>
      </c>
      <c r="C3219" s="20" t="s">
        <v>150</v>
      </c>
      <c r="D3219" s="14" t="str">
        <f>VLOOKUP(C3219,'State Key'!$A$2:$B$210,2,False)</f>
        <v>Maharashtra</v>
      </c>
      <c r="E3219" s="21">
        <v>500.0</v>
      </c>
      <c r="F3219" s="22">
        <v>206.921</v>
      </c>
      <c r="G3219" s="22">
        <v>0.0</v>
      </c>
      <c r="H3219" s="22">
        <v>0.0</v>
      </c>
      <c r="I3219" s="22">
        <v>0.0</v>
      </c>
      <c r="J3219" s="22">
        <v>19.889</v>
      </c>
      <c r="K3219" s="22">
        <v>0.0</v>
      </c>
      <c r="L3219" s="22">
        <v>226.81</v>
      </c>
      <c r="M3219" s="22">
        <v>204.265</v>
      </c>
      <c r="N3219" s="22">
        <v>39.49</v>
      </c>
      <c r="O3219" s="17">
        <v>5.8</v>
      </c>
      <c r="P3219" s="18">
        <f t="shared" si="1"/>
        <v>226.81</v>
      </c>
    </row>
    <row r="3220" ht="15.75" customHeight="1">
      <c r="A3220" s="13" t="s">
        <v>236</v>
      </c>
      <c r="B3220" s="13" t="s">
        <v>133</v>
      </c>
      <c r="C3220" s="14" t="s">
        <v>151</v>
      </c>
      <c r="D3220" s="14" t="str">
        <f>VLOOKUP(C3220,'State Key'!$A$2:$B$210,2,False)</f>
        <v>Maharashtra</v>
      </c>
      <c r="E3220" s="15">
        <v>600.0</v>
      </c>
      <c r="F3220" s="16">
        <v>233.259</v>
      </c>
      <c r="G3220" s="16">
        <v>0.0</v>
      </c>
      <c r="H3220" s="16">
        <v>0.0</v>
      </c>
      <c r="I3220" s="16">
        <v>41.438</v>
      </c>
      <c r="J3220" s="16">
        <v>0.0</v>
      </c>
      <c r="K3220" s="16">
        <v>0.0</v>
      </c>
      <c r="L3220" s="16">
        <v>274.697</v>
      </c>
      <c r="M3220" s="16">
        <v>293.603</v>
      </c>
      <c r="N3220" s="16">
        <v>87.35</v>
      </c>
      <c r="O3220" s="23">
        <v>8.9</v>
      </c>
      <c r="P3220" s="18">
        <f t="shared" si="1"/>
        <v>274.697</v>
      </c>
    </row>
    <row r="3221" ht="15.75" customHeight="1">
      <c r="A3221" s="19" t="s">
        <v>236</v>
      </c>
      <c r="B3221" s="19" t="s">
        <v>133</v>
      </c>
      <c r="C3221" s="20" t="s">
        <v>152</v>
      </c>
      <c r="D3221" s="14" t="str">
        <f>VLOOKUP(C3221,'State Key'!$A$2:$B$210,2,False)</f>
        <v>Chhattisgarh</v>
      </c>
      <c r="E3221" s="21">
        <v>500.0</v>
      </c>
      <c r="F3221" s="22">
        <v>155.284</v>
      </c>
      <c r="G3221" s="22">
        <v>0.0</v>
      </c>
      <c r="H3221" s="22">
        <v>0.0</v>
      </c>
      <c r="I3221" s="22">
        <v>0.0</v>
      </c>
      <c r="J3221" s="22">
        <v>0.0</v>
      </c>
      <c r="K3221" s="22">
        <v>0.0</v>
      </c>
      <c r="L3221" s="22">
        <v>155.284</v>
      </c>
      <c r="M3221" s="22">
        <v>179.837</v>
      </c>
      <c r="N3221" s="22">
        <v>25.175</v>
      </c>
      <c r="O3221" s="17">
        <v>4.2</v>
      </c>
      <c r="P3221" s="18">
        <f t="shared" si="1"/>
        <v>155.284</v>
      </c>
    </row>
    <row r="3222" ht="15.75" customHeight="1">
      <c r="A3222" s="13" t="s">
        <v>236</v>
      </c>
      <c r="B3222" s="13" t="s">
        <v>133</v>
      </c>
      <c r="C3222" s="14" t="s">
        <v>153</v>
      </c>
      <c r="D3222" s="14" t="str">
        <f>VLOOKUP(C3222,'State Key'!$A$2:$B$210,2,False)</f>
        <v>Madhya Pradesh</v>
      </c>
      <c r="E3222" s="15">
        <v>1600.0</v>
      </c>
      <c r="F3222" s="16">
        <v>177.45</v>
      </c>
      <c r="G3222" s="16">
        <v>36.58</v>
      </c>
      <c r="H3222" s="16">
        <v>106.08</v>
      </c>
      <c r="I3222" s="16">
        <v>0.0</v>
      </c>
      <c r="J3222" s="16">
        <v>0.0</v>
      </c>
      <c r="K3222" s="16">
        <v>34.6</v>
      </c>
      <c r="L3222" s="16">
        <v>354.71</v>
      </c>
      <c r="M3222" s="16">
        <v>347.793</v>
      </c>
      <c r="N3222" s="16">
        <v>366.271</v>
      </c>
      <c r="O3222" s="24">
        <v>31.6</v>
      </c>
      <c r="P3222" s="18">
        <f t="shared" si="1"/>
        <v>354.71</v>
      </c>
    </row>
    <row r="3223" ht="15.75" customHeight="1">
      <c r="A3223" s="19" t="s">
        <v>236</v>
      </c>
      <c r="B3223" s="19" t="s">
        <v>133</v>
      </c>
      <c r="C3223" s="20" t="s">
        <v>154</v>
      </c>
      <c r="D3223" s="14" t="str">
        <f>VLOOKUP(C3223,'State Key'!$A$2:$B$210,2,False)</f>
        <v>Gujarat</v>
      </c>
      <c r="E3223" s="21">
        <v>630.0</v>
      </c>
      <c r="F3223" s="22">
        <v>134.444</v>
      </c>
      <c r="G3223" s="22">
        <v>0.0</v>
      </c>
      <c r="H3223" s="22">
        <v>0.0</v>
      </c>
      <c r="I3223" s="22">
        <v>0.0</v>
      </c>
      <c r="J3223" s="22">
        <v>0.0</v>
      </c>
      <c r="K3223" s="22">
        <v>0.0</v>
      </c>
      <c r="L3223" s="22">
        <v>134.444</v>
      </c>
      <c r="M3223" s="22">
        <v>192.714</v>
      </c>
      <c r="N3223" s="22">
        <v>112.89</v>
      </c>
      <c r="O3223" s="24">
        <v>17.6</v>
      </c>
      <c r="P3223" s="18">
        <f t="shared" si="1"/>
        <v>134.444</v>
      </c>
    </row>
    <row r="3224" ht="15.75" customHeight="1">
      <c r="A3224" s="13" t="s">
        <v>236</v>
      </c>
      <c r="B3224" s="13" t="s">
        <v>133</v>
      </c>
      <c r="C3224" s="14" t="s">
        <v>155</v>
      </c>
      <c r="D3224" s="14" t="str">
        <f>VLOOKUP(C3224,'State Key'!$A$2:$B$210,2,False)</f>
        <v>Maharashtra</v>
      </c>
      <c r="E3224" s="15">
        <v>120.0</v>
      </c>
      <c r="F3224" s="16">
        <v>0.0</v>
      </c>
      <c r="G3224" s="16">
        <v>0.0</v>
      </c>
      <c r="H3224" s="16">
        <v>0.0</v>
      </c>
      <c r="I3224" s="16">
        <v>0.0</v>
      </c>
      <c r="J3224" s="16">
        <v>0.0</v>
      </c>
      <c r="K3224" s="16">
        <v>0.0</v>
      </c>
      <c r="L3224" s="16">
        <v>0.0</v>
      </c>
      <c r="M3224" s="16">
        <v>0.0</v>
      </c>
      <c r="N3224" s="16">
        <v>0.0</v>
      </c>
      <c r="O3224" s="13" t="s">
        <v>58</v>
      </c>
      <c r="P3224" s="18">
        <f t="shared" si="1"/>
        <v>0</v>
      </c>
    </row>
    <row r="3225" ht="15.75" customHeight="1">
      <c r="A3225" s="19" t="s">
        <v>236</v>
      </c>
      <c r="B3225" s="19" t="s">
        <v>133</v>
      </c>
      <c r="C3225" s="20" t="s">
        <v>156</v>
      </c>
      <c r="D3225" s="14" t="str">
        <f>VLOOKUP(C3225,'State Key'!$A$2:$B$210,2,False)</f>
        <v>Maharashtra</v>
      </c>
      <c r="E3225" s="21">
        <v>600.0</v>
      </c>
      <c r="F3225" s="22">
        <v>130.316</v>
      </c>
      <c r="G3225" s="22">
        <v>0.0</v>
      </c>
      <c r="H3225" s="22">
        <v>0.0</v>
      </c>
      <c r="I3225" s="22">
        <v>76.41</v>
      </c>
      <c r="J3225" s="22">
        <v>0.0</v>
      </c>
      <c r="K3225" s="22">
        <v>0.0</v>
      </c>
      <c r="L3225" s="22">
        <v>206.726</v>
      </c>
      <c r="M3225" s="22">
        <v>258.463</v>
      </c>
      <c r="N3225" s="22">
        <v>20.57</v>
      </c>
      <c r="O3225" s="17">
        <v>2.4</v>
      </c>
      <c r="P3225" s="18">
        <f t="shared" si="1"/>
        <v>206.726</v>
      </c>
    </row>
    <row r="3226" ht="15.75" customHeight="1">
      <c r="A3226" s="13" t="s">
        <v>236</v>
      </c>
      <c r="B3226" s="13" t="s">
        <v>133</v>
      </c>
      <c r="C3226" s="14" t="s">
        <v>157</v>
      </c>
      <c r="D3226" s="14" t="str">
        <f>VLOOKUP(C3226,'State Key'!$A$2:$B$210,2,False)</f>
        <v>Maharashtra</v>
      </c>
      <c r="E3226" s="15">
        <v>300.0</v>
      </c>
      <c r="F3226" s="16">
        <v>0.0</v>
      </c>
      <c r="G3226" s="16">
        <v>0.0</v>
      </c>
      <c r="H3226" s="16">
        <v>0.0</v>
      </c>
      <c r="I3226" s="16">
        <v>0.0</v>
      </c>
      <c r="J3226" s="16">
        <v>100.0</v>
      </c>
      <c r="K3226" s="16">
        <v>0.0</v>
      </c>
      <c r="L3226" s="16">
        <v>100.0</v>
      </c>
      <c r="M3226" s="16">
        <v>74.34</v>
      </c>
      <c r="N3226" s="16">
        <v>62.8</v>
      </c>
      <c r="O3226" s="24">
        <v>25.3</v>
      </c>
      <c r="P3226" s="18">
        <f t="shared" si="1"/>
        <v>100</v>
      </c>
    </row>
    <row r="3227" ht="15.75" customHeight="1">
      <c r="A3227" s="19" t="s">
        <v>236</v>
      </c>
      <c r="B3227" s="19" t="s">
        <v>133</v>
      </c>
      <c r="C3227" s="20" t="s">
        <v>158</v>
      </c>
      <c r="D3227" s="14" t="str">
        <f>VLOOKUP(C3227,'State Key'!$A$2:$B$210,2,False)</f>
        <v>Chhattisgarh</v>
      </c>
      <c r="E3227" s="21">
        <v>270.0</v>
      </c>
      <c r="F3227" s="22">
        <v>26.1962</v>
      </c>
      <c r="G3227" s="22">
        <v>0.0</v>
      </c>
      <c r="H3227" s="22">
        <v>0.0</v>
      </c>
      <c r="I3227" s="22">
        <v>0.0</v>
      </c>
      <c r="J3227" s="22">
        <v>0.0</v>
      </c>
      <c r="K3227" s="22">
        <v>32.0245</v>
      </c>
      <c r="L3227" s="22">
        <v>58.2207</v>
      </c>
      <c r="M3227" s="22">
        <v>66.9</v>
      </c>
      <c r="N3227" s="22">
        <v>216.34</v>
      </c>
      <c r="O3227" s="24">
        <v>97.0</v>
      </c>
      <c r="P3227" s="18">
        <f t="shared" si="1"/>
        <v>58.2207</v>
      </c>
    </row>
    <row r="3228" ht="15.75" customHeight="1">
      <c r="A3228" s="13" t="s">
        <v>236</v>
      </c>
      <c r="B3228" s="13" t="s">
        <v>133</v>
      </c>
      <c r="C3228" s="14" t="s">
        <v>159</v>
      </c>
      <c r="D3228" s="14" t="str">
        <f>VLOOKUP(C3228,'State Key'!$A$2:$B$210,2,False)</f>
        <v>Chhattisgarh</v>
      </c>
      <c r="E3228" s="15">
        <v>35.0</v>
      </c>
      <c r="F3228" s="16">
        <v>0.0</v>
      </c>
      <c r="G3228" s="16">
        <v>0.0</v>
      </c>
      <c r="H3228" s="16">
        <v>0.0</v>
      </c>
      <c r="I3228" s="16">
        <v>0.0</v>
      </c>
      <c r="J3228" s="16">
        <v>0.0</v>
      </c>
      <c r="K3228" s="16">
        <v>0.0</v>
      </c>
      <c r="L3228" s="16">
        <v>0.0</v>
      </c>
      <c r="M3228" s="16">
        <v>0.0</v>
      </c>
      <c r="N3228" s="16">
        <v>0.0</v>
      </c>
      <c r="O3228" s="13" t="s">
        <v>58</v>
      </c>
      <c r="P3228" s="18">
        <f t="shared" si="1"/>
        <v>0</v>
      </c>
    </row>
    <row r="3229" ht="15.75" customHeight="1">
      <c r="A3229" s="19" t="s">
        <v>236</v>
      </c>
      <c r="B3229" s="19" t="s">
        <v>133</v>
      </c>
      <c r="C3229" s="20" t="s">
        <v>160</v>
      </c>
      <c r="D3229" s="14" t="str">
        <f>VLOOKUP(C3229,'State Key'!$A$2:$B$210,2,False)</f>
        <v>Maharashtra</v>
      </c>
      <c r="E3229" s="21">
        <v>1340.0</v>
      </c>
      <c r="F3229" s="22">
        <v>617.701</v>
      </c>
      <c r="G3229" s="22">
        <v>0.0</v>
      </c>
      <c r="H3229" s="22">
        <v>0.0</v>
      </c>
      <c r="I3229" s="22">
        <v>0.0</v>
      </c>
      <c r="J3229" s="22">
        <v>0.614</v>
      </c>
      <c r="K3229" s="22">
        <v>0.51</v>
      </c>
      <c r="L3229" s="22">
        <v>618.825</v>
      </c>
      <c r="M3229" s="22">
        <v>628.582</v>
      </c>
      <c r="N3229" s="22">
        <v>199.79</v>
      </c>
      <c r="O3229" s="23">
        <v>9.5</v>
      </c>
      <c r="P3229" s="18">
        <f t="shared" si="1"/>
        <v>618.825</v>
      </c>
    </row>
    <row r="3230" ht="15.75" customHeight="1">
      <c r="A3230" s="13" t="s">
        <v>236</v>
      </c>
      <c r="B3230" s="13" t="s">
        <v>133</v>
      </c>
      <c r="C3230" s="14" t="s">
        <v>161</v>
      </c>
      <c r="D3230" s="14" t="str">
        <f>VLOOKUP(C3230,'State Key'!$A$2:$B$210,2,False)</f>
        <v>Madhya Pradesh</v>
      </c>
      <c r="E3230" s="15">
        <v>1320.0</v>
      </c>
      <c r="F3230" s="16">
        <v>163.01</v>
      </c>
      <c r="G3230" s="16">
        <v>4.07</v>
      </c>
      <c r="H3230" s="16">
        <v>89.02</v>
      </c>
      <c r="I3230" s="16">
        <v>0.0</v>
      </c>
      <c r="J3230" s="16">
        <v>0.0</v>
      </c>
      <c r="K3230" s="16">
        <v>16.21</v>
      </c>
      <c r="L3230" s="16">
        <v>272.31</v>
      </c>
      <c r="M3230" s="16">
        <v>460.232</v>
      </c>
      <c r="N3230" s="16">
        <v>326.801</v>
      </c>
      <c r="O3230" s="24">
        <v>21.3</v>
      </c>
      <c r="P3230" s="18">
        <f t="shared" si="1"/>
        <v>272.31</v>
      </c>
    </row>
    <row r="3231" ht="15.75" customHeight="1">
      <c r="A3231" s="19" t="s">
        <v>236</v>
      </c>
      <c r="B3231" s="19" t="s">
        <v>133</v>
      </c>
      <c r="C3231" s="20" t="s">
        <v>162</v>
      </c>
      <c r="D3231" s="14" t="str">
        <f>VLOOKUP(C3231,'State Key'!$A$2:$B$210,2,False)</f>
        <v>Maharashtra</v>
      </c>
      <c r="E3231" s="21">
        <v>2190.0</v>
      </c>
      <c r="F3231" s="22">
        <v>693.56</v>
      </c>
      <c r="G3231" s="22">
        <v>70.587</v>
      </c>
      <c r="H3231" s="22">
        <v>0.0</v>
      </c>
      <c r="I3231" s="22">
        <v>0.0</v>
      </c>
      <c r="J3231" s="22">
        <v>0.0</v>
      </c>
      <c r="K3231" s="22">
        <v>0.0</v>
      </c>
      <c r="L3231" s="22">
        <v>764.147</v>
      </c>
      <c r="M3231" s="22">
        <v>793.991</v>
      </c>
      <c r="N3231" s="22">
        <v>385.09</v>
      </c>
      <c r="O3231" s="24">
        <v>14.6</v>
      </c>
      <c r="P3231" s="18">
        <f t="shared" si="1"/>
        <v>764.147</v>
      </c>
    </row>
    <row r="3232" ht="15.75" customHeight="1">
      <c r="A3232" s="13" t="s">
        <v>236</v>
      </c>
      <c r="B3232" s="13" t="s">
        <v>133</v>
      </c>
      <c r="C3232" s="14" t="s">
        <v>163</v>
      </c>
      <c r="D3232" s="14" t="str">
        <f>VLOOKUP(C3232,'State Key'!$A$2:$B$210,2,False)</f>
        <v>Chhattisgarh</v>
      </c>
      <c r="E3232" s="15">
        <v>2600.0</v>
      </c>
      <c r="F3232" s="16">
        <v>1040.1</v>
      </c>
      <c r="G3232" s="16">
        <v>0.0</v>
      </c>
      <c r="H3232" s="16">
        <v>0.0</v>
      </c>
      <c r="I3232" s="16">
        <v>0.0</v>
      </c>
      <c r="J3232" s="16">
        <v>0.0</v>
      </c>
      <c r="K3232" s="16">
        <v>0.0</v>
      </c>
      <c r="L3232" s="16">
        <v>1040.1</v>
      </c>
      <c r="M3232" s="16">
        <v>1029.601</v>
      </c>
      <c r="N3232" s="16">
        <v>233.128</v>
      </c>
      <c r="O3232" s="17">
        <v>6.8</v>
      </c>
      <c r="P3232" s="18">
        <f t="shared" si="1"/>
        <v>1040.1</v>
      </c>
    </row>
    <row r="3233" ht="15.75" customHeight="1">
      <c r="A3233" s="19" t="s">
        <v>236</v>
      </c>
      <c r="B3233" s="19" t="s">
        <v>133</v>
      </c>
      <c r="C3233" s="20" t="s">
        <v>164</v>
      </c>
      <c r="D3233" s="14" t="str">
        <f>VLOOKUP(C3233,'State Key'!$A$2:$B$210,2,False)</f>
        <v>Chhattisgarh</v>
      </c>
      <c r="E3233" s="21">
        <v>1340.0</v>
      </c>
      <c r="F3233" s="22">
        <v>539.77</v>
      </c>
      <c r="G3233" s="22">
        <v>0.0</v>
      </c>
      <c r="H3233" s="22">
        <v>0.0</v>
      </c>
      <c r="I3233" s="22">
        <v>0.0</v>
      </c>
      <c r="J3233" s="22">
        <v>0.0</v>
      </c>
      <c r="K3233" s="22">
        <v>0.0</v>
      </c>
      <c r="L3233" s="22">
        <v>539.77</v>
      </c>
      <c r="M3233" s="22">
        <v>521.42</v>
      </c>
      <c r="N3233" s="22">
        <v>129.36</v>
      </c>
      <c r="O3233" s="23">
        <v>7.4</v>
      </c>
      <c r="P3233" s="18">
        <f t="shared" si="1"/>
        <v>539.77</v>
      </c>
    </row>
    <row r="3234" ht="15.75" customHeight="1">
      <c r="A3234" s="13" t="s">
        <v>236</v>
      </c>
      <c r="B3234" s="13" t="s">
        <v>133</v>
      </c>
      <c r="C3234" s="14" t="s">
        <v>165</v>
      </c>
      <c r="D3234" s="14" t="str">
        <f>VLOOKUP(C3234,'State Key'!$A$2:$B$210,2,False)</f>
        <v>Chhattisgarh</v>
      </c>
      <c r="E3234" s="15">
        <v>1600.0</v>
      </c>
      <c r="F3234" s="16">
        <v>0.0</v>
      </c>
      <c r="G3234" s="16">
        <v>0.0</v>
      </c>
      <c r="H3234" s="16">
        <v>608.75</v>
      </c>
      <c r="I3234" s="16">
        <v>0.0</v>
      </c>
      <c r="J3234" s="16">
        <v>0.0</v>
      </c>
      <c r="K3234" s="16">
        <v>0.0</v>
      </c>
      <c r="L3234" s="16">
        <v>608.75</v>
      </c>
      <c r="M3234" s="16">
        <v>568.631</v>
      </c>
      <c r="N3234" s="16">
        <v>344.321</v>
      </c>
      <c r="O3234" s="24">
        <v>18.2</v>
      </c>
      <c r="P3234" s="18">
        <f t="shared" si="1"/>
        <v>608.75</v>
      </c>
    </row>
    <row r="3235" ht="15.75" customHeight="1">
      <c r="A3235" s="19" t="s">
        <v>236</v>
      </c>
      <c r="B3235" s="19" t="s">
        <v>133</v>
      </c>
      <c r="C3235" s="20" t="s">
        <v>166</v>
      </c>
      <c r="D3235" s="14" t="str">
        <f>VLOOKUP(C3235,'State Key'!$A$2:$B$210,2,False)</f>
        <v>Madhya Pradesh</v>
      </c>
      <c r="E3235" s="21">
        <v>1200.0</v>
      </c>
      <c r="F3235" s="22">
        <v>140.121</v>
      </c>
      <c r="G3235" s="22">
        <v>0.0</v>
      </c>
      <c r="H3235" s="22">
        <v>0.0</v>
      </c>
      <c r="I3235" s="22">
        <v>0.0</v>
      </c>
      <c r="J3235" s="22">
        <v>0.0</v>
      </c>
      <c r="K3235" s="22">
        <v>202.273</v>
      </c>
      <c r="L3235" s="22">
        <v>342.394</v>
      </c>
      <c r="M3235" s="22">
        <v>421.497</v>
      </c>
      <c r="N3235" s="22">
        <v>136.52</v>
      </c>
      <c r="O3235" s="23">
        <v>9.7</v>
      </c>
      <c r="P3235" s="18">
        <f t="shared" si="1"/>
        <v>342.394</v>
      </c>
    </row>
    <row r="3236" ht="15.75" customHeight="1">
      <c r="A3236" s="13" t="s">
        <v>236</v>
      </c>
      <c r="B3236" s="13" t="s">
        <v>133</v>
      </c>
      <c r="C3236" s="14" t="s">
        <v>167</v>
      </c>
      <c r="D3236" s="14" t="str">
        <f>VLOOKUP(C3236,'State Key'!$A$2:$B$210,2,False)</f>
        <v>Chhattisgarh</v>
      </c>
      <c r="E3236" s="15">
        <v>1000.0</v>
      </c>
      <c r="F3236" s="16">
        <v>22.074</v>
      </c>
      <c r="G3236" s="16">
        <v>0.0</v>
      </c>
      <c r="H3236" s="16">
        <v>254.525</v>
      </c>
      <c r="I3236" s="16">
        <v>0.0</v>
      </c>
      <c r="J3236" s="16">
        <v>0.0</v>
      </c>
      <c r="K3236" s="16">
        <v>0.0</v>
      </c>
      <c r="L3236" s="16">
        <v>276.599</v>
      </c>
      <c r="M3236" s="16">
        <v>422.642</v>
      </c>
      <c r="N3236" s="16">
        <v>56.76</v>
      </c>
      <c r="O3236" s="17">
        <v>4.0</v>
      </c>
      <c r="P3236" s="18">
        <f t="shared" si="1"/>
        <v>276.599</v>
      </c>
    </row>
    <row r="3237" ht="15.75" customHeight="1">
      <c r="A3237" s="19" t="s">
        <v>236</v>
      </c>
      <c r="B3237" s="19" t="s">
        <v>133</v>
      </c>
      <c r="C3237" s="20" t="s">
        <v>168</v>
      </c>
      <c r="D3237" s="14" t="str">
        <f>VLOOKUP(C3237,'State Key'!$A$2:$B$210,2,False)</f>
        <v>Maharashtra</v>
      </c>
      <c r="E3237" s="21">
        <v>2320.0</v>
      </c>
      <c r="F3237" s="22">
        <v>525.78</v>
      </c>
      <c r="G3237" s="22">
        <v>53.18</v>
      </c>
      <c r="H3237" s="22">
        <v>58.49</v>
      </c>
      <c r="I3237" s="22">
        <v>0.0</v>
      </c>
      <c r="J3237" s="22">
        <v>24.33</v>
      </c>
      <c r="K3237" s="22">
        <v>0.0</v>
      </c>
      <c r="L3237" s="22">
        <v>661.78</v>
      </c>
      <c r="M3237" s="22">
        <v>570.849</v>
      </c>
      <c r="N3237" s="22">
        <v>674.789</v>
      </c>
      <c r="O3237" s="24">
        <v>35.5</v>
      </c>
      <c r="P3237" s="18">
        <f t="shared" si="1"/>
        <v>661.78</v>
      </c>
    </row>
    <row r="3238" ht="15.75" customHeight="1">
      <c r="A3238" s="13" t="s">
        <v>236</v>
      </c>
      <c r="B3238" s="13" t="s">
        <v>133</v>
      </c>
      <c r="C3238" s="14" t="s">
        <v>169</v>
      </c>
      <c r="D3238" s="14" t="str">
        <f>VLOOKUP(C3238,'State Key'!$A$2:$B$210,2,False)</f>
        <v>Madhya Pradesh</v>
      </c>
      <c r="E3238" s="15">
        <v>246.01</v>
      </c>
      <c r="F3238" s="16">
        <v>0.0</v>
      </c>
      <c r="G3238" s="16">
        <v>0.0</v>
      </c>
      <c r="H3238" s="16">
        <v>0.0</v>
      </c>
      <c r="I3238" s="16">
        <v>0.0</v>
      </c>
      <c r="J3238" s="16">
        <v>0.0</v>
      </c>
      <c r="K3238" s="16">
        <v>0.0</v>
      </c>
      <c r="L3238" s="16">
        <v>0.0</v>
      </c>
      <c r="M3238" s="16">
        <v>0.0</v>
      </c>
      <c r="N3238" s="16">
        <v>0.0</v>
      </c>
      <c r="O3238" s="13" t="s">
        <v>58</v>
      </c>
      <c r="P3238" s="18">
        <f t="shared" si="1"/>
        <v>0</v>
      </c>
    </row>
    <row r="3239" ht="15.75" customHeight="1">
      <c r="A3239" s="19" t="s">
        <v>236</v>
      </c>
      <c r="B3239" s="19" t="s">
        <v>133</v>
      </c>
      <c r="C3239" s="20" t="s">
        <v>172</v>
      </c>
      <c r="D3239" s="14" t="str">
        <f>VLOOKUP(C3239,'State Key'!$A$2:$B$210,2,False)</f>
        <v>Gujarat</v>
      </c>
      <c r="E3239" s="21">
        <v>4000.0</v>
      </c>
      <c r="F3239" s="22">
        <v>0.0</v>
      </c>
      <c r="G3239" s="22">
        <v>0.0</v>
      </c>
      <c r="H3239" s="22">
        <v>0.0</v>
      </c>
      <c r="I3239" s="22">
        <v>0.0</v>
      </c>
      <c r="J3239" s="22">
        <v>709.95</v>
      </c>
      <c r="K3239" s="22">
        <v>0.0</v>
      </c>
      <c r="L3239" s="22">
        <v>709.95</v>
      </c>
      <c r="M3239" s="22">
        <v>21.149</v>
      </c>
      <c r="N3239" s="22">
        <v>1370.79</v>
      </c>
      <c r="O3239" s="24">
        <v>1944.5</v>
      </c>
      <c r="P3239" s="18">
        <f t="shared" si="1"/>
        <v>709.95</v>
      </c>
    </row>
    <row r="3240" ht="15.75" customHeight="1">
      <c r="A3240" s="13" t="s">
        <v>236</v>
      </c>
      <c r="B3240" s="13" t="s">
        <v>133</v>
      </c>
      <c r="C3240" s="14" t="s">
        <v>173</v>
      </c>
      <c r="D3240" s="14" t="str">
        <f>VLOOKUP(C3240,'State Key'!$A$2:$B$210,2,False)</f>
        <v>Maharashtra</v>
      </c>
      <c r="E3240" s="15">
        <v>1350.0</v>
      </c>
      <c r="F3240" s="16">
        <v>0.0</v>
      </c>
      <c r="G3240" s="16">
        <v>0.0</v>
      </c>
      <c r="H3240" s="16">
        <v>0.0</v>
      </c>
      <c r="I3240" s="16">
        <v>0.0</v>
      </c>
      <c r="J3240" s="16">
        <v>0.0</v>
      </c>
      <c r="K3240" s="16">
        <v>0.0</v>
      </c>
      <c r="L3240" s="16">
        <v>0.0</v>
      </c>
      <c r="M3240" s="16">
        <v>0.0</v>
      </c>
      <c r="N3240" s="16">
        <v>0.0</v>
      </c>
      <c r="O3240" s="13" t="s">
        <v>58</v>
      </c>
      <c r="P3240" s="18">
        <f t="shared" si="1"/>
        <v>0</v>
      </c>
    </row>
    <row r="3241" ht="15.75" customHeight="1">
      <c r="A3241" s="19" t="s">
        <v>236</v>
      </c>
      <c r="B3241" s="19" t="s">
        <v>133</v>
      </c>
      <c r="C3241" s="20" t="s">
        <v>174</v>
      </c>
      <c r="D3241" s="14" t="str">
        <f>VLOOKUP(C3241,'State Key'!$A$2:$B$210,2,False)</f>
        <v>Maharashtra</v>
      </c>
      <c r="E3241" s="21">
        <v>630.0</v>
      </c>
      <c r="F3241" s="22">
        <v>98.854</v>
      </c>
      <c r="G3241" s="22">
        <v>0.0</v>
      </c>
      <c r="H3241" s="22">
        <v>0.0</v>
      </c>
      <c r="I3241" s="22">
        <v>0.0</v>
      </c>
      <c r="J3241" s="22">
        <v>0.0</v>
      </c>
      <c r="K3241" s="22">
        <v>0.0</v>
      </c>
      <c r="L3241" s="22">
        <v>98.854</v>
      </c>
      <c r="M3241" s="22">
        <v>172.644</v>
      </c>
      <c r="N3241" s="22">
        <v>259.25</v>
      </c>
      <c r="O3241" s="24">
        <v>45.0</v>
      </c>
      <c r="P3241" s="18">
        <f t="shared" si="1"/>
        <v>98.854</v>
      </c>
    </row>
    <row r="3242" ht="15.75" customHeight="1">
      <c r="A3242" s="13" t="s">
        <v>236</v>
      </c>
      <c r="B3242" s="13" t="s">
        <v>133</v>
      </c>
      <c r="C3242" s="14" t="s">
        <v>175</v>
      </c>
      <c r="D3242" s="14" t="str">
        <f>VLOOKUP(C3242,'State Key'!$A$2:$B$210,2,False)</f>
        <v>Chhattisgarh</v>
      </c>
      <c r="E3242" s="15">
        <v>600.0</v>
      </c>
      <c r="F3242" s="16">
        <v>161.893</v>
      </c>
      <c r="G3242" s="16">
        <v>0.0</v>
      </c>
      <c r="H3242" s="16">
        <v>0.0</v>
      </c>
      <c r="I3242" s="16">
        <v>0.0</v>
      </c>
      <c r="J3242" s="16">
        <v>0.0</v>
      </c>
      <c r="K3242" s="16">
        <v>0.0</v>
      </c>
      <c r="L3242" s="16">
        <v>161.893</v>
      </c>
      <c r="M3242" s="16">
        <v>235.681</v>
      </c>
      <c r="N3242" s="16">
        <v>137.03</v>
      </c>
      <c r="O3242" s="24">
        <v>17.4</v>
      </c>
      <c r="P3242" s="18">
        <f t="shared" si="1"/>
        <v>161.893</v>
      </c>
    </row>
    <row r="3243" ht="15.75" customHeight="1">
      <c r="A3243" s="19" t="s">
        <v>236</v>
      </c>
      <c r="B3243" s="19" t="s">
        <v>133</v>
      </c>
      <c r="C3243" s="20" t="s">
        <v>176</v>
      </c>
      <c r="D3243" s="14" t="str">
        <f>VLOOKUP(C3243,'State Key'!$A$2:$B$210,2,False)</f>
        <v>Madhya Pradesh</v>
      </c>
      <c r="E3243" s="21">
        <v>1320.0</v>
      </c>
      <c r="F3243" s="22">
        <v>0.0</v>
      </c>
      <c r="G3243" s="22">
        <v>0.0</v>
      </c>
      <c r="H3243" s="22">
        <v>211.3891</v>
      </c>
      <c r="I3243" s="22">
        <v>138.6434</v>
      </c>
      <c r="J3243" s="22">
        <v>0.0</v>
      </c>
      <c r="K3243" s="22">
        <v>0.0</v>
      </c>
      <c r="L3243" s="22">
        <v>350.0325</v>
      </c>
      <c r="M3243" s="22">
        <v>481.723</v>
      </c>
      <c r="N3243" s="22">
        <v>58.4747</v>
      </c>
      <c r="O3243" s="17">
        <v>3.6</v>
      </c>
      <c r="P3243" s="18">
        <f t="shared" si="1"/>
        <v>350.0325</v>
      </c>
    </row>
    <row r="3244" ht="15.75" customHeight="1">
      <c r="A3244" s="13" t="s">
        <v>236</v>
      </c>
      <c r="B3244" s="13" t="s">
        <v>133</v>
      </c>
      <c r="C3244" s="14" t="s">
        <v>177</v>
      </c>
      <c r="D3244" s="14" t="str">
        <f>VLOOKUP(C3244,'State Key'!$A$2:$B$210,2,False)</f>
        <v>Madhya Pradesh</v>
      </c>
      <c r="E3244" s="15">
        <v>90.0</v>
      </c>
      <c r="F3244" s="16">
        <v>20.084</v>
      </c>
      <c r="G3244" s="16">
        <v>0.0</v>
      </c>
      <c r="H3244" s="16">
        <v>0.0</v>
      </c>
      <c r="I3244" s="16">
        <v>0.0</v>
      </c>
      <c r="J3244" s="16">
        <v>0.0</v>
      </c>
      <c r="K3244" s="16">
        <v>17.535</v>
      </c>
      <c r="L3244" s="16">
        <v>37.619</v>
      </c>
      <c r="M3244" s="16">
        <v>63.747</v>
      </c>
      <c r="N3244" s="16">
        <v>67.0</v>
      </c>
      <c r="O3244" s="24">
        <v>31.5</v>
      </c>
      <c r="P3244" s="18">
        <f t="shared" si="1"/>
        <v>37.619</v>
      </c>
    </row>
    <row r="3245" ht="15.75" customHeight="1">
      <c r="A3245" s="19" t="s">
        <v>236</v>
      </c>
      <c r="B3245" s="19" t="s">
        <v>133</v>
      </c>
      <c r="C3245" s="20" t="s">
        <v>178</v>
      </c>
      <c r="D3245" s="14" t="str">
        <f>VLOOKUP(C3245,'State Key'!$A$2:$B$210,2,False)</f>
        <v>Chhattisgarh</v>
      </c>
      <c r="E3245" s="21">
        <v>1000.0</v>
      </c>
      <c r="F3245" s="22">
        <v>45.52</v>
      </c>
      <c r="G3245" s="22">
        <v>0.0</v>
      </c>
      <c r="H3245" s="22">
        <v>0.0</v>
      </c>
      <c r="I3245" s="22">
        <v>204.248</v>
      </c>
      <c r="J3245" s="22">
        <v>0.0</v>
      </c>
      <c r="K3245" s="22">
        <v>152.091</v>
      </c>
      <c r="L3245" s="22">
        <v>401.859</v>
      </c>
      <c r="M3245" s="22">
        <v>494.443</v>
      </c>
      <c r="N3245" s="22">
        <v>182.723</v>
      </c>
      <c r="O3245" s="23">
        <v>11.1</v>
      </c>
      <c r="P3245" s="18">
        <f t="shared" si="1"/>
        <v>401.859</v>
      </c>
    </row>
    <row r="3246" ht="15.75" customHeight="1">
      <c r="A3246" s="13" t="s">
        <v>236</v>
      </c>
      <c r="B3246" s="13" t="s">
        <v>133</v>
      </c>
      <c r="C3246" s="14" t="s">
        <v>179</v>
      </c>
      <c r="D3246" s="14" t="str">
        <f>VLOOKUP(C3246,'State Key'!$A$2:$B$210,2,False)</f>
        <v>Maharashtra</v>
      </c>
      <c r="E3246" s="15">
        <v>500.0</v>
      </c>
      <c r="F3246" s="16">
        <v>175.181</v>
      </c>
      <c r="G3246" s="16">
        <v>0.0</v>
      </c>
      <c r="H3246" s="16">
        <v>0.0</v>
      </c>
      <c r="I3246" s="16">
        <v>0.0</v>
      </c>
      <c r="J3246" s="16">
        <v>0.0</v>
      </c>
      <c r="K3246" s="16">
        <v>0.0</v>
      </c>
      <c r="L3246" s="16">
        <v>175.181</v>
      </c>
      <c r="M3246" s="16">
        <v>218.673</v>
      </c>
      <c r="N3246" s="16">
        <v>80.31</v>
      </c>
      <c r="O3246" s="23">
        <v>11.0</v>
      </c>
      <c r="P3246" s="18">
        <f t="shared" si="1"/>
        <v>175.181</v>
      </c>
    </row>
    <row r="3247" ht="15.75" customHeight="1">
      <c r="A3247" s="19" t="s">
        <v>236</v>
      </c>
      <c r="B3247" s="19" t="s">
        <v>133</v>
      </c>
      <c r="C3247" s="20" t="s">
        <v>180</v>
      </c>
      <c r="D3247" s="14" t="str">
        <f>VLOOKUP(C3247,'State Key'!$A$2:$B$210,2,False)</f>
        <v>Maharashtra</v>
      </c>
      <c r="E3247" s="21">
        <v>750.0</v>
      </c>
      <c r="F3247" s="22">
        <v>72.144</v>
      </c>
      <c r="G3247" s="22">
        <v>118.614</v>
      </c>
      <c r="H3247" s="22">
        <v>0.0</v>
      </c>
      <c r="I3247" s="22">
        <v>0.0</v>
      </c>
      <c r="J3247" s="22">
        <v>0.0</v>
      </c>
      <c r="K3247" s="22">
        <v>0.0</v>
      </c>
      <c r="L3247" s="22">
        <v>190.758</v>
      </c>
      <c r="M3247" s="22">
        <v>249.942</v>
      </c>
      <c r="N3247" s="22">
        <v>96.0</v>
      </c>
      <c r="O3247" s="23">
        <v>11.5</v>
      </c>
      <c r="P3247" s="18">
        <f t="shared" si="1"/>
        <v>190.758</v>
      </c>
    </row>
    <row r="3248" ht="15.75" customHeight="1">
      <c r="A3248" s="13" t="s">
        <v>236</v>
      </c>
      <c r="B3248" s="13" t="s">
        <v>133</v>
      </c>
      <c r="C3248" s="14" t="s">
        <v>181</v>
      </c>
      <c r="D3248" s="14" t="str">
        <f>VLOOKUP(C3248,'State Key'!$A$2:$B$210,2,False)</f>
        <v>Chhattisgarh</v>
      </c>
      <c r="E3248" s="15">
        <v>600.0</v>
      </c>
      <c r="F3248" s="16">
        <v>172.67</v>
      </c>
      <c r="G3248" s="16">
        <v>0.0</v>
      </c>
      <c r="H3248" s="16">
        <v>0.0</v>
      </c>
      <c r="I3248" s="16">
        <v>0.0</v>
      </c>
      <c r="J3248" s="16">
        <v>0.0</v>
      </c>
      <c r="K3248" s="16">
        <v>0.0</v>
      </c>
      <c r="L3248" s="16">
        <v>172.67</v>
      </c>
      <c r="M3248" s="16">
        <v>204.77</v>
      </c>
      <c r="N3248" s="16">
        <v>107.22</v>
      </c>
      <c r="O3248" s="24">
        <v>15.7</v>
      </c>
      <c r="P3248" s="18">
        <f t="shared" si="1"/>
        <v>172.67</v>
      </c>
    </row>
    <row r="3249" ht="15.75" customHeight="1">
      <c r="A3249" s="19" t="s">
        <v>236</v>
      </c>
      <c r="B3249" s="19" t="s">
        <v>133</v>
      </c>
      <c r="C3249" s="20" t="s">
        <v>183</v>
      </c>
      <c r="D3249" s="14" t="str">
        <f>VLOOKUP(C3249,'State Key'!$A$2:$B$210,2,False)</f>
        <v>Chhattisgarh</v>
      </c>
      <c r="E3249" s="21">
        <v>100.0</v>
      </c>
      <c r="F3249" s="22">
        <v>0.0</v>
      </c>
      <c r="G3249" s="22">
        <v>0.0</v>
      </c>
      <c r="H3249" s="22">
        <v>0.0</v>
      </c>
      <c r="I3249" s="22">
        <v>0.0</v>
      </c>
      <c r="J3249" s="22">
        <v>0.0</v>
      </c>
      <c r="K3249" s="22">
        <v>66.716</v>
      </c>
      <c r="L3249" s="22">
        <v>66.716</v>
      </c>
      <c r="M3249" s="22">
        <v>61.342</v>
      </c>
      <c r="N3249" s="22">
        <v>10.01</v>
      </c>
      <c r="O3249" s="17">
        <v>4.9</v>
      </c>
      <c r="P3249" s="18">
        <f t="shared" si="1"/>
        <v>66.716</v>
      </c>
    </row>
    <row r="3250" ht="15.75" customHeight="1">
      <c r="A3250" s="13" t="s">
        <v>236</v>
      </c>
      <c r="B3250" s="13" t="s">
        <v>133</v>
      </c>
      <c r="C3250" s="14" t="s">
        <v>184</v>
      </c>
      <c r="D3250" s="14" t="str">
        <f>VLOOKUP(C3250,'State Key'!$A$2:$B$210,2,False)</f>
        <v>Gujarat</v>
      </c>
      <c r="E3250" s="15">
        <v>362.0</v>
      </c>
      <c r="F3250" s="16">
        <v>85.201</v>
      </c>
      <c r="G3250" s="16">
        <v>0.0</v>
      </c>
      <c r="H3250" s="16">
        <v>0.0</v>
      </c>
      <c r="I3250" s="16">
        <v>0.0</v>
      </c>
      <c r="J3250" s="16">
        <v>39.676</v>
      </c>
      <c r="K3250" s="16">
        <v>0.0</v>
      </c>
      <c r="L3250" s="16">
        <v>124.877</v>
      </c>
      <c r="M3250" s="16">
        <v>149.173</v>
      </c>
      <c r="N3250" s="16">
        <v>106.96</v>
      </c>
      <c r="O3250" s="24">
        <v>21.5</v>
      </c>
      <c r="P3250" s="18">
        <f t="shared" si="1"/>
        <v>124.877</v>
      </c>
    </row>
    <row r="3251" ht="15.75" customHeight="1">
      <c r="A3251" s="19" t="s">
        <v>236</v>
      </c>
      <c r="B3251" s="19" t="s">
        <v>133</v>
      </c>
      <c r="C3251" s="20" t="s">
        <v>185</v>
      </c>
      <c r="D3251" s="14" t="str">
        <f>VLOOKUP(C3251,'State Key'!$A$2:$B$210,2,False)</f>
        <v>Gujarat</v>
      </c>
      <c r="E3251" s="21">
        <v>1200.0</v>
      </c>
      <c r="F3251" s="22">
        <v>0.0</v>
      </c>
      <c r="G3251" s="22">
        <v>0.0</v>
      </c>
      <c r="H3251" s="22">
        <v>0.0</v>
      </c>
      <c r="I3251" s="22">
        <v>0.0</v>
      </c>
      <c r="J3251" s="22">
        <v>315.35</v>
      </c>
      <c r="K3251" s="22">
        <v>0.0</v>
      </c>
      <c r="L3251" s="22">
        <v>315.35</v>
      </c>
      <c r="M3251" s="22">
        <v>252.2871</v>
      </c>
      <c r="N3251" s="22">
        <v>131.46</v>
      </c>
      <c r="O3251" s="24">
        <v>15.6</v>
      </c>
      <c r="P3251" s="18">
        <f t="shared" si="1"/>
        <v>315.35</v>
      </c>
    </row>
    <row r="3252" ht="15.75" customHeight="1">
      <c r="A3252" s="13" t="s">
        <v>236</v>
      </c>
      <c r="B3252" s="13" t="s">
        <v>133</v>
      </c>
      <c r="C3252" s="14" t="s">
        <v>186</v>
      </c>
      <c r="D3252" s="14" t="str">
        <f>VLOOKUP(C3252,'State Key'!$A$2:$B$210,2,False)</f>
        <v>Chhattisgarh</v>
      </c>
      <c r="E3252" s="15">
        <v>135.0</v>
      </c>
      <c r="F3252" s="16">
        <v>0.0</v>
      </c>
      <c r="G3252" s="16">
        <v>0.0</v>
      </c>
      <c r="H3252" s="16">
        <v>0.0</v>
      </c>
      <c r="I3252" s="16">
        <v>0.0</v>
      </c>
      <c r="J3252" s="16">
        <v>0.0</v>
      </c>
      <c r="K3252" s="16">
        <v>0.0</v>
      </c>
      <c r="L3252" s="16">
        <v>0.0</v>
      </c>
      <c r="M3252" s="16">
        <v>0.0</v>
      </c>
      <c r="N3252" s="16">
        <v>0.0</v>
      </c>
      <c r="O3252" s="13" t="s">
        <v>58</v>
      </c>
      <c r="P3252" s="18">
        <f t="shared" si="1"/>
        <v>0</v>
      </c>
    </row>
    <row r="3253" ht="15.75" customHeight="1">
      <c r="A3253" s="19" t="s">
        <v>236</v>
      </c>
      <c r="B3253" s="19" t="s">
        <v>133</v>
      </c>
      <c r="C3253" s="20" t="s">
        <v>187</v>
      </c>
      <c r="D3253" s="14" t="str">
        <f>VLOOKUP(C3253,'State Key'!$A$2:$B$210,2,False)</f>
        <v>Madhya Pradesh</v>
      </c>
      <c r="E3253" s="21">
        <v>1340.0</v>
      </c>
      <c r="F3253" s="22">
        <v>339.705</v>
      </c>
      <c r="G3253" s="22">
        <v>0.0</v>
      </c>
      <c r="H3253" s="22">
        <v>0.0</v>
      </c>
      <c r="I3253" s="22">
        <v>0.0</v>
      </c>
      <c r="J3253" s="22">
        <v>0.0</v>
      </c>
      <c r="K3253" s="22">
        <v>0.0</v>
      </c>
      <c r="L3253" s="22">
        <v>339.705</v>
      </c>
      <c r="M3253" s="22">
        <v>397.7619</v>
      </c>
      <c r="N3253" s="22">
        <v>48.8</v>
      </c>
      <c r="O3253" s="17">
        <v>3.7</v>
      </c>
      <c r="P3253" s="18">
        <f t="shared" si="1"/>
        <v>339.705</v>
      </c>
    </row>
    <row r="3254" ht="15.75" customHeight="1">
      <c r="A3254" s="13" t="s">
        <v>236</v>
      </c>
      <c r="B3254" s="13" t="s">
        <v>133</v>
      </c>
      <c r="C3254" s="14" t="s">
        <v>188</v>
      </c>
      <c r="D3254" s="14" t="str">
        <f>VLOOKUP(C3254,'State Key'!$A$2:$B$210,2,False)</f>
        <v>Madhya Pradesh</v>
      </c>
      <c r="E3254" s="15">
        <v>3960.0</v>
      </c>
      <c r="F3254" s="16">
        <v>0.0</v>
      </c>
      <c r="G3254" s="16">
        <v>0.0</v>
      </c>
      <c r="H3254" s="16">
        <v>1318.535</v>
      </c>
      <c r="I3254" s="16">
        <v>0.0</v>
      </c>
      <c r="J3254" s="16">
        <v>0.0</v>
      </c>
      <c r="K3254" s="16">
        <v>0.0</v>
      </c>
      <c r="L3254" s="16">
        <v>1318.535</v>
      </c>
      <c r="M3254" s="16">
        <v>1383.371</v>
      </c>
      <c r="N3254" s="16">
        <v>73.73</v>
      </c>
      <c r="O3254" s="17">
        <v>1.6</v>
      </c>
      <c r="P3254" s="18">
        <f t="shared" si="1"/>
        <v>1318.535</v>
      </c>
    </row>
    <row r="3255" ht="15.75" customHeight="1">
      <c r="A3255" s="19" t="s">
        <v>236</v>
      </c>
      <c r="B3255" s="19" t="s">
        <v>133</v>
      </c>
      <c r="C3255" s="20" t="s">
        <v>189</v>
      </c>
      <c r="D3255" s="14" t="str">
        <f>VLOOKUP(C3255,'State Key'!$A$2:$B$210,2,False)</f>
        <v>Madhya Pradesh</v>
      </c>
      <c r="E3255" s="21">
        <v>1330.0</v>
      </c>
      <c r="F3255" s="22">
        <v>141.5796</v>
      </c>
      <c r="G3255" s="22">
        <v>0.0</v>
      </c>
      <c r="H3255" s="22">
        <v>0.0</v>
      </c>
      <c r="I3255" s="22">
        <v>0.0</v>
      </c>
      <c r="J3255" s="22">
        <v>0.0</v>
      </c>
      <c r="K3255" s="22">
        <v>0.0</v>
      </c>
      <c r="L3255" s="22">
        <v>141.5796</v>
      </c>
      <c r="M3255" s="22">
        <v>166.309</v>
      </c>
      <c r="N3255" s="22">
        <v>170.27</v>
      </c>
      <c r="O3255" s="24">
        <v>30.7</v>
      </c>
      <c r="P3255" s="18">
        <f t="shared" si="1"/>
        <v>141.5796</v>
      </c>
    </row>
    <row r="3256" ht="15.75" customHeight="1">
      <c r="A3256" s="13" t="s">
        <v>236</v>
      </c>
      <c r="B3256" s="13" t="s">
        <v>133</v>
      </c>
      <c r="C3256" s="14" t="s">
        <v>190</v>
      </c>
      <c r="D3256" s="14" t="str">
        <f>VLOOKUP(C3256,'State Key'!$A$2:$B$210,2,False)</f>
        <v>Madhya Pradesh</v>
      </c>
      <c r="E3256" s="15">
        <v>600.0</v>
      </c>
      <c r="F3256" s="16">
        <v>31.775</v>
      </c>
      <c r="G3256" s="16">
        <v>0.0</v>
      </c>
      <c r="H3256" s="16">
        <v>0.0</v>
      </c>
      <c r="I3256" s="16">
        <v>182.043</v>
      </c>
      <c r="J3256" s="16">
        <v>0.0</v>
      </c>
      <c r="K3256" s="16">
        <v>0.0</v>
      </c>
      <c r="L3256" s="16">
        <v>213.818</v>
      </c>
      <c r="M3256" s="16">
        <v>275.734</v>
      </c>
      <c r="N3256" s="16">
        <v>89.83</v>
      </c>
      <c r="O3256" s="23">
        <v>9.8</v>
      </c>
      <c r="P3256" s="18">
        <f t="shared" si="1"/>
        <v>213.818</v>
      </c>
    </row>
    <row r="3257" ht="15.75" customHeight="1">
      <c r="A3257" s="19" t="s">
        <v>236</v>
      </c>
      <c r="B3257" s="19" t="s">
        <v>133</v>
      </c>
      <c r="C3257" s="20" t="s">
        <v>191</v>
      </c>
      <c r="D3257" s="14" t="str">
        <f>VLOOKUP(C3257,'State Key'!$A$2:$B$210,2,False)</f>
        <v>Maharashtra</v>
      </c>
      <c r="E3257" s="21">
        <v>300.0</v>
      </c>
      <c r="F3257" s="22">
        <v>12.256</v>
      </c>
      <c r="G3257" s="22">
        <v>0.0</v>
      </c>
      <c r="H3257" s="22">
        <v>0.0</v>
      </c>
      <c r="I3257" s="22">
        <v>0.0</v>
      </c>
      <c r="J3257" s="22">
        <v>0.0</v>
      </c>
      <c r="K3257" s="22">
        <v>79.051</v>
      </c>
      <c r="L3257" s="22">
        <v>91.307</v>
      </c>
      <c r="M3257" s="22">
        <v>110.248</v>
      </c>
      <c r="N3257" s="22">
        <v>50.46</v>
      </c>
      <c r="O3257" s="23">
        <v>13.7</v>
      </c>
      <c r="P3257" s="18">
        <f t="shared" si="1"/>
        <v>91.307</v>
      </c>
    </row>
    <row r="3258" ht="15.75" customHeight="1">
      <c r="A3258" s="13" t="s">
        <v>236</v>
      </c>
      <c r="B3258" s="13" t="s">
        <v>133</v>
      </c>
      <c r="C3258" s="14" t="s">
        <v>192</v>
      </c>
      <c r="D3258" s="14" t="str">
        <f>VLOOKUP(C3258,'State Key'!$A$2:$B$210,2,False)</f>
        <v>Madhya Pradesh</v>
      </c>
      <c r="E3258" s="15">
        <v>2520.0</v>
      </c>
      <c r="F3258" s="16">
        <v>602.226</v>
      </c>
      <c r="G3258" s="16">
        <v>0.0</v>
      </c>
      <c r="H3258" s="16">
        <v>0.0</v>
      </c>
      <c r="I3258" s="16">
        <v>0.0</v>
      </c>
      <c r="J3258" s="16">
        <v>0.0</v>
      </c>
      <c r="K3258" s="16">
        <v>0.0</v>
      </c>
      <c r="L3258" s="16">
        <v>602.226</v>
      </c>
      <c r="M3258" s="16">
        <v>452.649</v>
      </c>
      <c r="N3258" s="16">
        <v>474.39</v>
      </c>
      <c r="O3258" s="24">
        <v>31.4</v>
      </c>
      <c r="P3258" s="18">
        <f t="shared" si="1"/>
        <v>602.226</v>
      </c>
    </row>
    <row r="3259" ht="15.75" customHeight="1">
      <c r="A3259" s="19" t="s">
        <v>236</v>
      </c>
      <c r="B3259" s="19" t="s">
        <v>133</v>
      </c>
      <c r="C3259" s="20" t="s">
        <v>193</v>
      </c>
      <c r="D3259" s="14" t="str">
        <f>VLOOKUP(C3259,'State Key'!$A$2:$B$210,2,False)</f>
        <v>Gujarat</v>
      </c>
      <c r="E3259" s="21">
        <v>500.0</v>
      </c>
      <c r="F3259" s="22">
        <v>0.0</v>
      </c>
      <c r="G3259" s="22">
        <v>0.0</v>
      </c>
      <c r="H3259" s="22">
        <v>0.0</v>
      </c>
      <c r="I3259" s="22">
        <v>0.0</v>
      </c>
      <c r="J3259" s="22">
        <v>80.628</v>
      </c>
      <c r="K3259" s="22">
        <v>0.0</v>
      </c>
      <c r="L3259" s="22">
        <v>80.628</v>
      </c>
      <c r="M3259" s="22">
        <v>61.173</v>
      </c>
      <c r="N3259" s="22">
        <v>78.13</v>
      </c>
      <c r="O3259" s="24">
        <v>38.3</v>
      </c>
      <c r="P3259" s="18">
        <f t="shared" si="1"/>
        <v>80.628</v>
      </c>
    </row>
    <row r="3260" ht="15.75" customHeight="1">
      <c r="A3260" s="13" t="s">
        <v>236</v>
      </c>
      <c r="B3260" s="13" t="s">
        <v>133</v>
      </c>
      <c r="C3260" s="14" t="s">
        <v>194</v>
      </c>
      <c r="D3260" s="14" t="str">
        <f>VLOOKUP(C3260,'State Key'!$A$2:$B$210,2,False)</f>
        <v>Chhattisgarh</v>
      </c>
      <c r="E3260" s="15">
        <v>2980.0</v>
      </c>
      <c r="F3260" s="16">
        <v>1213.13</v>
      </c>
      <c r="G3260" s="16">
        <v>0.0</v>
      </c>
      <c r="H3260" s="16">
        <v>4.05</v>
      </c>
      <c r="I3260" s="16">
        <v>0.0</v>
      </c>
      <c r="J3260" s="16">
        <v>0.0</v>
      </c>
      <c r="K3260" s="16">
        <v>0.0</v>
      </c>
      <c r="L3260" s="16">
        <v>1217.18</v>
      </c>
      <c r="M3260" s="16">
        <v>1439.557</v>
      </c>
      <c r="N3260" s="16">
        <v>253.415</v>
      </c>
      <c r="O3260" s="17">
        <v>5.3</v>
      </c>
      <c r="P3260" s="18">
        <f t="shared" si="1"/>
        <v>1217.18</v>
      </c>
    </row>
    <row r="3261" ht="15.75" customHeight="1">
      <c r="A3261" s="19" t="s">
        <v>236</v>
      </c>
      <c r="B3261" s="19" t="s">
        <v>133</v>
      </c>
      <c r="C3261" s="20" t="s">
        <v>195</v>
      </c>
      <c r="D3261" s="14" t="str">
        <f>VLOOKUP(C3261,'State Key'!$A$2:$B$210,2,False)</f>
        <v>Maharashtra</v>
      </c>
      <c r="E3261" s="21">
        <v>1320.0</v>
      </c>
      <c r="F3261" s="22">
        <v>150.67</v>
      </c>
      <c r="G3261" s="22">
        <v>97.78</v>
      </c>
      <c r="H3261" s="22">
        <v>39.56</v>
      </c>
      <c r="I3261" s="22">
        <v>0.0</v>
      </c>
      <c r="J3261" s="22">
        <v>51.47</v>
      </c>
      <c r="K3261" s="22">
        <v>0.0</v>
      </c>
      <c r="L3261" s="22">
        <v>339.48</v>
      </c>
      <c r="M3261" s="22">
        <v>506.842</v>
      </c>
      <c r="N3261" s="22">
        <v>237.516</v>
      </c>
      <c r="O3261" s="24">
        <v>14.1</v>
      </c>
      <c r="P3261" s="18">
        <f t="shared" si="1"/>
        <v>339.48</v>
      </c>
    </row>
    <row r="3262" ht="15.75" customHeight="1">
      <c r="A3262" s="13" t="s">
        <v>236</v>
      </c>
      <c r="B3262" s="13" t="s">
        <v>133</v>
      </c>
      <c r="C3262" s="14" t="s">
        <v>196</v>
      </c>
      <c r="D3262" s="14" t="str">
        <f>VLOOKUP(C3262,'State Key'!$A$2:$B$210,2,False)</f>
        <v>Chhattisgarh</v>
      </c>
      <c r="E3262" s="15">
        <v>63.0</v>
      </c>
      <c r="F3262" s="16">
        <v>1.785</v>
      </c>
      <c r="G3262" s="16">
        <v>0.0</v>
      </c>
      <c r="H3262" s="16">
        <v>0.0</v>
      </c>
      <c r="I3262" s="16">
        <v>0.0</v>
      </c>
      <c r="J3262" s="16">
        <v>0.0</v>
      </c>
      <c r="K3262" s="16">
        <v>30.781</v>
      </c>
      <c r="L3262" s="16">
        <v>32.566</v>
      </c>
      <c r="M3262" s="16">
        <v>48.608</v>
      </c>
      <c r="N3262" s="16">
        <v>11.06</v>
      </c>
      <c r="O3262" s="17">
        <v>6.8</v>
      </c>
      <c r="P3262" s="18">
        <f t="shared" si="1"/>
        <v>32.566</v>
      </c>
    </row>
    <row r="3263" ht="15.75" customHeight="1">
      <c r="A3263" s="19" t="s">
        <v>236</v>
      </c>
      <c r="B3263" s="19" t="s">
        <v>133</v>
      </c>
      <c r="C3263" s="20" t="s">
        <v>197</v>
      </c>
      <c r="D3263" s="14" t="str">
        <f>VLOOKUP(C3263,'State Key'!$A$2:$B$210,2,False)</f>
        <v>Chhattisgarh</v>
      </c>
      <c r="E3263" s="21">
        <v>25.0</v>
      </c>
      <c r="F3263" s="22">
        <v>0.0</v>
      </c>
      <c r="G3263" s="22">
        <v>0.0</v>
      </c>
      <c r="H3263" s="22">
        <v>0.0</v>
      </c>
      <c r="I3263" s="22">
        <v>0.0</v>
      </c>
      <c r="J3263" s="22">
        <v>0.0</v>
      </c>
      <c r="K3263" s="22">
        <v>0.0</v>
      </c>
      <c r="L3263" s="22">
        <v>0.0</v>
      </c>
      <c r="M3263" s="22">
        <v>0.0</v>
      </c>
      <c r="N3263" s="22">
        <v>0.0</v>
      </c>
      <c r="O3263" s="19" t="s">
        <v>58</v>
      </c>
      <c r="P3263" s="18">
        <f t="shared" si="1"/>
        <v>0</v>
      </c>
    </row>
    <row r="3264" ht="15.75" customHeight="1">
      <c r="A3264" s="13" t="s">
        <v>236</v>
      </c>
      <c r="B3264" s="13" t="s">
        <v>133</v>
      </c>
      <c r="C3264" s="14" t="s">
        <v>198</v>
      </c>
      <c r="D3264" s="14" t="str">
        <f>VLOOKUP(C3264,'State Key'!$A$2:$B$210,2,False)</f>
        <v>Chhattisgarh</v>
      </c>
      <c r="E3264" s="15">
        <v>2400.0</v>
      </c>
      <c r="F3264" s="16">
        <v>470.736</v>
      </c>
      <c r="G3264" s="16">
        <v>0.0</v>
      </c>
      <c r="H3264" s="16">
        <v>0.0</v>
      </c>
      <c r="I3264" s="16">
        <v>661.8</v>
      </c>
      <c r="J3264" s="16">
        <v>0.0</v>
      </c>
      <c r="K3264" s="16">
        <v>0.0</v>
      </c>
      <c r="L3264" s="16">
        <v>1132.536</v>
      </c>
      <c r="M3264" s="16">
        <v>1046.188</v>
      </c>
      <c r="N3264" s="16">
        <v>332.304</v>
      </c>
      <c r="O3264" s="23">
        <v>9.5</v>
      </c>
      <c r="P3264" s="18">
        <f t="shared" si="1"/>
        <v>1132.536</v>
      </c>
    </row>
    <row r="3265" ht="15.75" customHeight="1">
      <c r="A3265" s="19" t="s">
        <v>236</v>
      </c>
      <c r="B3265" s="19" t="s">
        <v>133</v>
      </c>
      <c r="C3265" s="20" t="s">
        <v>200</v>
      </c>
      <c r="D3265" s="14" t="str">
        <f>VLOOKUP(C3265,'State Key'!$A$2:$B$210,2,False)</f>
        <v>Maharashtra</v>
      </c>
      <c r="E3265" s="21">
        <v>750.0</v>
      </c>
      <c r="F3265" s="22">
        <v>0.0</v>
      </c>
      <c r="G3265" s="22">
        <v>0.0</v>
      </c>
      <c r="H3265" s="22">
        <v>0.0</v>
      </c>
      <c r="I3265" s="22">
        <v>0.0</v>
      </c>
      <c r="J3265" s="22">
        <v>161.803</v>
      </c>
      <c r="K3265" s="22">
        <v>0.0</v>
      </c>
      <c r="L3265" s="22">
        <v>161.803</v>
      </c>
      <c r="M3265" s="22">
        <v>177.572</v>
      </c>
      <c r="N3265" s="22">
        <v>212.655</v>
      </c>
      <c r="O3265" s="24">
        <v>35.9</v>
      </c>
      <c r="P3265" s="18">
        <f t="shared" si="1"/>
        <v>161.803</v>
      </c>
    </row>
    <row r="3266" ht="15.75" customHeight="1">
      <c r="A3266" s="13" t="s">
        <v>236</v>
      </c>
      <c r="B3266" s="13" t="s">
        <v>133</v>
      </c>
      <c r="C3266" s="14" t="s">
        <v>201</v>
      </c>
      <c r="D3266" s="14" t="str">
        <f>VLOOKUP(C3266,'State Key'!$A$2:$B$210,2,False)</f>
        <v>Chhattisgarh</v>
      </c>
      <c r="E3266" s="15">
        <v>1440.0</v>
      </c>
      <c r="F3266" s="16">
        <v>135.192</v>
      </c>
      <c r="G3266" s="16">
        <v>0.0</v>
      </c>
      <c r="H3266" s="16">
        <v>0.0</v>
      </c>
      <c r="I3266" s="16">
        <v>158.865</v>
      </c>
      <c r="J3266" s="16">
        <v>0.0</v>
      </c>
      <c r="K3266" s="16">
        <v>152.915</v>
      </c>
      <c r="L3266" s="16">
        <v>446.972</v>
      </c>
      <c r="M3266" s="16">
        <v>327.142</v>
      </c>
      <c r="N3266" s="16">
        <v>261.04</v>
      </c>
      <c r="O3266" s="24">
        <v>23.9</v>
      </c>
      <c r="P3266" s="18">
        <f t="shared" si="1"/>
        <v>446.972</v>
      </c>
    </row>
    <row r="3267" ht="15.75" customHeight="1">
      <c r="A3267" s="19" t="s">
        <v>236</v>
      </c>
      <c r="B3267" s="19" t="s">
        <v>133</v>
      </c>
      <c r="C3267" s="20" t="s">
        <v>202</v>
      </c>
      <c r="D3267" s="14" t="str">
        <f>VLOOKUP(C3267,'State Key'!$A$2:$B$210,2,False)</f>
        <v>Gujarat</v>
      </c>
      <c r="E3267" s="21">
        <v>1110.0</v>
      </c>
      <c r="F3267" s="22">
        <v>285.781</v>
      </c>
      <c r="G3267" s="22">
        <v>0.0</v>
      </c>
      <c r="H3267" s="22">
        <v>0.0</v>
      </c>
      <c r="I3267" s="22">
        <v>0.0</v>
      </c>
      <c r="J3267" s="22">
        <v>0.0</v>
      </c>
      <c r="K3267" s="22">
        <v>0.0</v>
      </c>
      <c r="L3267" s="22">
        <v>285.781</v>
      </c>
      <c r="M3267" s="22">
        <v>285.565</v>
      </c>
      <c r="N3267" s="22">
        <v>305.68</v>
      </c>
      <c r="O3267" s="24">
        <v>32.1</v>
      </c>
      <c r="P3267" s="18">
        <f t="shared" si="1"/>
        <v>285.781</v>
      </c>
    </row>
    <row r="3268" ht="15.75" customHeight="1">
      <c r="A3268" s="13" t="s">
        <v>236</v>
      </c>
      <c r="B3268" s="13" t="s">
        <v>133</v>
      </c>
      <c r="C3268" s="14" t="s">
        <v>203</v>
      </c>
      <c r="D3268" s="14" t="str">
        <f>VLOOKUP(C3268,'State Key'!$A$2:$B$210,2,False)</f>
        <v>Madhya Pradesh</v>
      </c>
      <c r="E3268" s="15">
        <v>4760.0</v>
      </c>
      <c r="F3268" s="16">
        <v>1432.33</v>
      </c>
      <c r="G3268" s="16">
        <v>0.0</v>
      </c>
      <c r="H3268" s="16">
        <v>173.68</v>
      </c>
      <c r="I3268" s="16">
        <v>0.0</v>
      </c>
      <c r="J3268" s="16">
        <v>0.0</v>
      </c>
      <c r="K3268" s="16">
        <v>0.0</v>
      </c>
      <c r="L3268" s="16">
        <v>1606.01</v>
      </c>
      <c r="M3268" s="16">
        <v>1836.639</v>
      </c>
      <c r="N3268" s="16">
        <v>640.087</v>
      </c>
      <c r="O3268" s="23">
        <v>10.5</v>
      </c>
      <c r="P3268" s="18">
        <f t="shared" si="1"/>
        <v>1606.01</v>
      </c>
    </row>
    <row r="3269" ht="15.75" customHeight="1">
      <c r="A3269" s="19" t="s">
        <v>236</v>
      </c>
      <c r="B3269" s="19" t="s">
        <v>133</v>
      </c>
      <c r="C3269" s="20" t="s">
        <v>204</v>
      </c>
      <c r="D3269" s="14" t="str">
        <f>VLOOKUP(C3269,'State Key'!$A$2:$B$210,2,False)</f>
        <v>Gujarat</v>
      </c>
      <c r="E3269" s="21">
        <v>2270.0</v>
      </c>
      <c r="F3269" s="22">
        <v>524.408</v>
      </c>
      <c r="G3269" s="22">
        <v>0.0</v>
      </c>
      <c r="H3269" s="22">
        <v>0.0</v>
      </c>
      <c r="I3269" s="22">
        <v>0.0</v>
      </c>
      <c r="J3269" s="22">
        <v>12.035</v>
      </c>
      <c r="K3269" s="22">
        <v>0.0</v>
      </c>
      <c r="L3269" s="22">
        <v>536.443</v>
      </c>
      <c r="M3269" s="22">
        <v>658.648</v>
      </c>
      <c r="N3269" s="22">
        <v>473.66</v>
      </c>
      <c r="O3269" s="24">
        <v>21.6</v>
      </c>
      <c r="P3269" s="18">
        <f t="shared" si="1"/>
        <v>536.443</v>
      </c>
    </row>
    <row r="3270" ht="15.75" customHeight="1">
      <c r="A3270" s="13" t="s">
        <v>236</v>
      </c>
      <c r="B3270" s="13" t="s">
        <v>133</v>
      </c>
      <c r="C3270" s="14" t="s">
        <v>205</v>
      </c>
      <c r="D3270" s="14" t="str">
        <f>VLOOKUP(C3270,'State Key'!$A$2:$B$210,2,False)</f>
        <v>Maharashtra</v>
      </c>
      <c r="E3270" s="15">
        <v>540.0</v>
      </c>
      <c r="F3270" s="16">
        <v>200.11</v>
      </c>
      <c r="G3270" s="16">
        <v>0.0</v>
      </c>
      <c r="H3270" s="16">
        <v>0.0</v>
      </c>
      <c r="I3270" s="16">
        <v>0.0</v>
      </c>
      <c r="J3270" s="16">
        <v>0.0</v>
      </c>
      <c r="K3270" s="16">
        <v>17.52</v>
      </c>
      <c r="L3270" s="16">
        <v>217.63</v>
      </c>
      <c r="M3270" s="16">
        <v>217.043</v>
      </c>
      <c r="N3270" s="16">
        <v>42.06</v>
      </c>
      <c r="O3270" s="17">
        <v>5.8</v>
      </c>
      <c r="P3270" s="18">
        <f t="shared" si="1"/>
        <v>217.63</v>
      </c>
    </row>
    <row r="3271" ht="15.75" customHeight="1">
      <c r="A3271" s="19" t="s">
        <v>237</v>
      </c>
      <c r="B3271" s="19" t="s">
        <v>22</v>
      </c>
      <c r="C3271" s="20" t="s">
        <v>23</v>
      </c>
      <c r="D3271" s="14" t="str">
        <f>VLOOKUP(C3271,'State Key'!$A$2:$B$210,2,False)</f>
        <v>West Bengal</v>
      </c>
      <c r="E3271" s="21">
        <v>1050.0</v>
      </c>
      <c r="F3271" s="22">
        <v>0.0</v>
      </c>
      <c r="G3271" s="22">
        <v>0.0</v>
      </c>
      <c r="H3271" s="22">
        <v>436.619</v>
      </c>
      <c r="I3271" s="22">
        <v>0.0</v>
      </c>
      <c r="J3271" s="22">
        <v>0.0</v>
      </c>
      <c r="K3271" s="22">
        <v>0.0</v>
      </c>
      <c r="L3271" s="22">
        <v>436.619</v>
      </c>
      <c r="M3271" s="22">
        <v>500.097</v>
      </c>
      <c r="N3271" s="22">
        <v>70.032</v>
      </c>
      <c r="O3271" s="17">
        <v>4.2</v>
      </c>
      <c r="P3271" s="18">
        <f t="shared" si="1"/>
        <v>436.619</v>
      </c>
    </row>
    <row r="3272" ht="15.75" customHeight="1">
      <c r="A3272" s="13" t="s">
        <v>237</v>
      </c>
      <c r="B3272" s="13" t="s">
        <v>22</v>
      </c>
      <c r="C3272" s="14" t="s">
        <v>24</v>
      </c>
      <c r="D3272" s="14" t="str">
        <f>VLOOKUP(C3272,'State Key'!$A$2:$B$210,2,False)</f>
        <v>West Bengal</v>
      </c>
      <c r="E3272" s="15">
        <v>270.0</v>
      </c>
      <c r="F3272" s="16">
        <v>0.0</v>
      </c>
      <c r="G3272" s="16">
        <v>0.0</v>
      </c>
      <c r="H3272" s="16">
        <v>63.587</v>
      </c>
      <c r="I3272" s="16">
        <v>0.0</v>
      </c>
      <c r="J3272" s="16">
        <v>0.0</v>
      </c>
      <c r="K3272" s="16">
        <v>0.0</v>
      </c>
      <c r="L3272" s="16">
        <v>63.587</v>
      </c>
      <c r="M3272" s="16">
        <v>129.356</v>
      </c>
      <c r="N3272" s="16">
        <v>20.47</v>
      </c>
      <c r="O3272" s="17">
        <v>4.7</v>
      </c>
      <c r="P3272" s="18">
        <f t="shared" si="1"/>
        <v>63.587</v>
      </c>
    </row>
    <row r="3273" ht="15.75" customHeight="1">
      <c r="A3273" s="19" t="s">
        <v>237</v>
      </c>
      <c r="B3273" s="19" t="s">
        <v>22</v>
      </c>
      <c r="C3273" s="20" t="s">
        <v>25</v>
      </c>
      <c r="D3273" s="14" t="str">
        <f>VLOOKUP(C3273,'State Key'!$A$2:$B$210,2,False)</f>
        <v>Bihar</v>
      </c>
      <c r="E3273" s="21">
        <v>710.0</v>
      </c>
      <c r="F3273" s="22">
        <v>0.0</v>
      </c>
      <c r="G3273" s="22">
        <v>0.0</v>
      </c>
      <c r="H3273" s="22">
        <v>137.07</v>
      </c>
      <c r="I3273" s="22">
        <v>0.0</v>
      </c>
      <c r="J3273" s="22">
        <v>0.0</v>
      </c>
      <c r="K3273" s="22">
        <v>7.12</v>
      </c>
      <c r="L3273" s="22">
        <v>144.19</v>
      </c>
      <c r="M3273" s="22">
        <v>210.582</v>
      </c>
      <c r="N3273" s="22">
        <v>47.878</v>
      </c>
      <c r="O3273" s="17">
        <v>6.8</v>
      </c>
      <c r="P3273" s="18">
        <f t="shared" si="1"/>
        <v>144.19</v>
      </c>
    </row>
    <row r="3274" ht="15.75" customHeight="1">
      <c r="A3274" s="13" t="s">
        <v>237</v>
      </c>
      <c r="B3274" s="13" t="s">
        <v>22</v>
      </c>
      <c r="C3274" s="14" t="s">
        <v>26</v>
      </c>
      <c r="D3274" s="14" t="str">
        <f>VLOOKUP(C3274,'State Key'!$A$2:$B$210,2,False)</f>
        <v>Bihar</v>
      </c>
      <c r="E3274" s="15">
        <v>2640.0</v>
      </c>
      <c r="F3274" s="16">
        <v>408.06</v>
      </c>
      <c r="G3274" s="16">
        <v>0.0</v>
      </c>
      <c r="H3274" s="16">
        <v>750.3</v>
      </c>
      <c r="I3274" s="16">
        <v>0.0</v>
      </c>
      <c r="J3274" s="16">
        <v>0.0</v>
      </c>
      <c r="K3274" s="16">
        <v>23.77</v>
      </c>
      <c r="L3274" s="16">
        <v>1182.13</v>
      </c>
      <c r="M3274" s="16">
        <v>1206.921</v>
      </c>
      <c r="N3274" s="16">
        <v>334.832</v>
      </c>
      <c r="O3274" s="23">
        <v>8.3</v>
      </c>
      <c r="P3274" s="18">
        <f t="shared" si="1"/>
        <v>1182.13</v>
      </c>
    </row>
    <row r="3275" ht="15.75" customHeight="1">
      <c r="A3275" s="19" t="s">
        <v>237</v>
      </c>
      <c r="B3275" s="19" t="s">
        <v>22</v>
      </c>
      <c r="C3275" s="20" t="s">
        <v>27</v>
      </c>
      <c r="D3275" s="14" t="str">
        <f>VLOOKUP(C3275,'State Key'!$A$2:$B$210,2,False)</f>
        <v>Jharkhand</v>
      </c>
      <c r="E3275" s="21">
        <v>500.0</v>
      </c>
      <c r="F3275" s="22">
        <v>172.618</v>
      </c>
      <c r="G3275" s="22">
        <v>0.0</v>
      </c>
      <c r="H3275" s="22">
        <v>0.0</v>
      </c>
      <c r="I3275" s="22">
        <v>0.0</v>
      </c>
      <c r="J3275" s="22">
        <v>0.0</v>
      </c>
      <c r="K3275" s="22">
        <v>0.0</v>
      </c>
      <c r="L3275" s="22">
        <v>172.618</v>
      </c>
      <c r="M3275" s="22">
        <v>144.161</v>
      </c>
      <c r="N3275" s="22">
        <v>116.84</v>
      </c>
      <c r="O3275" s="24">
        <v>24.3</v>
      </c>
      <c r="P3275" s="18">
        <f t="shared" si="1"/>
        <v>172.618</v>
      </c>
    </row>
    <row r="3276" ht="15.75" customHeight="1">
      <c r="A3276" s="13" t="s">
        <v>237</v>
      </c>
      <c r="B3276" s="13" t="s">
        <v>22</v>
      </c>
      <c r="C3276" s="14" t="s">
        <v>28</v>
      </c>
      <c r="D3276" s="14" t="str">
        <f>VLOOKUP(C3276,'State Key'!$A$2:$B$210,2,False)</f>
        <v>West Bengal</v>
      </c>
      <c r="E3276" s="15">
        <v>750.0</v>
      </c>
      <c r="F3276" s="16">
        <v>95.848</v>
      </c>
      <c r="G3276" s="16">
        <v>0.0</v>
      </c>
      <c r="H3276" s="16">
        <v>87.954</v>
      </c>
      <c r="I3276" s="16">
        <v>60.962</v>
      </c>
      <c r="J3276" s="16">
        <v>0.0</v>
      </c>
      <c r="K3276" s="16">
        <v>0.0</v>
      </c>
      <c r="L3276" s="16">
        <v>244.764</v>
      </c>
      <c r="M3276" s="16">
        <v>285.074</v>
      </c>
      <c r="N3276" s="16">
        <v>105.9</v>
      </c>
      <c r="O3276" s="23">
        <v>11.1</v>
      </c>
      <c r="P3276" s="18">
        <f t="shared" si="1"/>
        <v>244.764</v>
      </c>
    </row>
    <row r="3277" ht="15.75" customHeight="1">
      <c r="A3277" s="19" t="s">
        <v>237</v>
      </c>
      <c r="B3277" s="19" t="s">
        <v>22</v>
      </c>
      <c r="C3277" s="20" t="s">
        <v>29</v>
      </c>
      <c r="D3277" s="14" t="str">
        <f>VLOOKUP(C3277,'State Key'!$A$2:$B$210,2,False)</f>
        <v>Jharkhand</v>
      </c>
      <c r="E3277" s="21">
        <v>500.0</v>
      </c>
      <c r="F3277" s="22">
        <v>118.678</v>
      </c>
      <c r="G3277" s="22">
        <v>0.0</v>
      </c>
      <c r="H3277" s="22">
        <v>138.011</v>
      </c>
      <c r="I3277" s="22">
        <v>0.0</v>
      </c>
      <c r="J3277" s="22">
        <v>0.0</v>
      </c>
      <c r="K3277" s="22">
        <v>0.0</v>
      </c>
      <c r="L3277" s="22">
        <v>256.689</v>
      </c>
      <c r="M3277" s="22">
        <v>227.262</v>
      </c>
      <c r="N3277" s="22">
        <v>109.51</v>
      </c>
      <c r="O3277" s="24">
        <v>14.5</v>
      </c>
      <c r="P3277" s="18">
        <f t="shared" si="1"/>
        <v>256.689</v>
      </c>
    </row>
    <row r="3278" ht="15.75" customHeight="1">
      <c r="A3278" s="13" t="s">
        <v>237</v>
      </c>
      <c r="B3278" s="13" t="s">
        <v>22</v>
      </c>
      <c r="C3278" s="14" t="s">
        <v>30</v>
      </c>
      <c r="D3278" s="14" t="str">
        <f>VLOOKUP(C3278,'State Key'!$A$2:$B$210,2,False)</f>
        <v>West Bengal</v>
      </c>
      <c r="E3278" s="15">
        <v>550.0</v>
      </c>
      <c r="F3278" s="16">
        <v>102.0</v>
      </c>
      <c r="G3278" s="16">
        <v>0.0</v>
      </c>
      <c r="H3278" s="16">
        <v>113.0</v>
      </c>
      <c r="I3278" s="16">
        <v>0.0</v>
      </c>
      <c r="J3278" s="16">
        <v>0.0</v>
      </c>
      <c r="K3278" s="16">
        <v>0.0</v>
      </c>
      <c r="L3278" s="16">
        <v>215.0</v>
      </c>
      <c r="M3278" s="16">
        <v>233.0</v>
      </c>
      <c r="N3278" s="16">
        <v>38.49</v>
      </c>
      <c r="O3278" s="17">
        <v>5.0</v>
      </c>
      <c r="P3278" s="18">
        <f t="shared" si="1"/>
        <v>215</v>
      </c>
    </row>
    <row r="3279" ht="15.75" customHeight="1">
      <c r="A3279" s="19" t="s">
        <v>237</v>
      </c>
      <c r="B3279" s="19" t="s">
        <v>22</v>
      </c>
      <c r="C3279" s="20" t="s">
        <v>31</v>
      </c>
      <c r="D3279" s="14" t="str">
        <f>VLOOKUP(C3279,'State Key'!$A$2:$B$210,2,False)</f>
        <v>Odisha</v>
      </c>
      <c r="E3279" s="21">
        <v>1600.0</v>
      </c>
      <c r="F3279" s="22">
        <v>0.0</v>
      </c>
      <c r="G3279" s="22">
        <v>0.0</v>
      </c>
      <c r="H3279" s="22">
        <v>768.73</v>
      </c>
      <c r="I3279" s="22">
        <v>0.0</v>
      </c>
      <c r="J3279" s="22">
        <v>0.0</v>
      </c>
      <c r="K3279" s="22">
        <v>0.0</v>
      </c>
      <c r="L3279" s="22">
        <v>768.73</v>
      </c>
      <c r="M3279" s="22">
        <v>794.223</v>
      </c>
      <c r="N3279" s="22">
        <v>411.44</v>
      </c>
      <c r="O3279" s="24">
        <v>15.5</v>
      </c>
      <c r="P3279" s="18">
        <f t="shared" si="1"/>
        <v>768.73</v>
      </c>
    </row>
    <row r="3280" ht="15.75" customHeight="1">
      <c r="A3280" s="13" t="s">
        <v>237</v>
      </c>
      <c r="B3280" s="13" t="s">
        <v>22</v>
      </c>
      <c r="C3280" s="14" t="s">
        <v>32</v>
      </c>
      <c r="D3280" s="14" t="str">
        <f>VLOOKUP(C3280,'State Key'!$A$2:$B$210,2,False)</f>
        <v>Odisha</v>
      </c>
      <c r="E3280" s="15">
        <v>1200.0</v>
      </c>
      <c r="F3280" s="16">
        <v>357.162</v>
      </c>
      <c r="G3280" s="16">
        <v>0.0</v>
      </c>
      <c r="H3280" s="16">
        <v>0.0</v>
      </c>
      <c r="I3280" s="16">
        <v>143.591</v>
      </c>
      <c r="J3280" s="16">
        <v>0.0</v>
      </c>
      <c r="K3280" s="16">
        <v>0.0</v>
      </c>
      <c r="L3280" s="16">
        <v>500.753</v>
      </c>
      <c r="M3280" s="16">
        <v>627.442</v>
      </c>
      <c r="N3280" s="16">
        <v>881.24</v>
      </c>
      <c r="O3280" s="24">
        <v>42.1</v>
      </c>
      <c r="P3280" s="18">
        <f t="shared" si="1"/>
        <v>500.753</v>
      </c>
    </row>
    <row r="3281" ht="15.75" customHeight="1">
      <c r="A3281" s="19" t="s">
        <v>237</v>
      </c>
      <c r="B3281" s="19" t="s">
        <v>22</v>
      </c>
      <c r="C3281" s="20" t="s">
        <v>33</v>
      </c>
      <c r="D3281" s="14" t="str">
        <f>VLOOKUP(C3281,'State Key'!$A$2:$B$210,2,False)</f>
        <v>West Bengal</v>
      </c>
      <c r="E3281" s="21">
        <v>12.0</v>
      </c>
      <c r="F3281" s="22">
        <v>8.187</v>
      </c>
      <c r="G3281" s="22">
        <v>0.0</v>
      </c>
      <c r="H3281" s="22">
        <v>0.0</v>
      </c>
      <c r="I3281" s="22">
        <v>0.0</v>
      </c>
      <c r="J3281" s="22">
        <v>0.0</v>
      </c>
      <c r="K3281" s="22">
        <v>0.0</v>
      </c>
      <c r="L3281" s="22">
        <v>8.187</v>
      </c>
      <c r="M3281" s="22">
        <v>4.832</v>
      </c>
      <c r="N3281" s="22">
        <v>4.75</v>
      </c>
      <c r="O3281" s="24">
        <v>29.5</v>
      </c>
      <c r="P3281" s="18">
        <f t="shared" si="1"/>
        <v>8.187</v>
      </c>
    </row>
    <row r="3282" ht="15.75" customHeight="1">
      <c r="A3282" s="13" t="s">
        <v>237</v>
      </c>
      <c r="B3282" s="13" t="s">
        <v>22</v>
      </c>
      <c r="C3282" s="14" t="s">
        <v>34</v>
      </c>
      <c r="D3282" s="14" t="str">
        <f>VLOOKUP(C3282,'State Key'!$A$2:$B$210,2,False)</f>
        <v>West Bengal</v>
      </c>
      <c r="E3282" s="15">
        <v>1000.0</v>
      </c>
      <c r="F3282" s="16">
        <v>329.769</v>
      </c>
      <c r="G3282" s="16">
        <v>0.0</v>
      </c>
      <c r="H3282" s="16">
        <v>3.814</v>
      </c>
      <c r="I3282" s="16">
        <v>0.0</v>
      </c>
      <c r="J3282" s="16">
        <v>0.0</v>
      </c>
      <c r="K3282" s="16">
        <v>0.0</v>
      </c>
      <c r="L3282" s="16">
        <v>333.583</v>
      </c>
      <c r="M3282" s="16">
        <v>422.668</v>
      </c>
      <c r="N3282" s="16">
        <v>143.03</v>
      </c>
      <c r="O3282" s="23">
        <v>10.2</v>
      </c>
      <c r="P3282" s="18">
        <f t="shared" si="1"/>
        <v>333.583</v>
      </c>
    </row>
    <row r="3283" ht="15.75" customHeight="1">
      <c r="A3283" s="19" t="s">
        <v>237</v>
      </c>
      <c r="B3283" s="19" t="s">
        <v>22</v>
      </c>
      <c r="C3283" s="20" t="s">
        <v>35</v>
      </c>
      <c r="D3283" s="14" t="str">
        <f>VLOOKUP(C3283,'State Key'!$A$2:$B$210,2,False)</f>
        <v>West Bengal</v>
      </c>
      <c r="E3283" s="21">
        <v>2100.0</v>
      </c>
      <c r="F3283" s="22">
        <v>580.19</v>
      </c>
      <c r="G3283" s="22">
        <v>24.4</v>
      </c>
      <c r="H3283" s="22">
        <v>66.07</v>
      </c>
      <c r="I3283" s="22">
        <v>0.0</v>
      </c>
      <c r="J3283" s="22">
        <v>0.0</v>
      </c>
      <c r="K3283" s="22">
        <v>0.0</v>
      </c>
      <c r="L3283" s="22">
        <v>670.66</v>
      </c>
      <c r="M3283" s="22">
        <v>903.313</v>
      </c>
      <c r="N3283" s="22">
        <v>102.76</v>
      </c>
      <c r="O3283" s="17">
        <v>3.4</v>
      </c>
      <c r="P3283" s="18">
        <f t="shared" si="1"/>
        <v>670.66</v>
      </c>
    </row>
    <row r="3284" ht="15.75" customHeight="1">
      <c r="A3284" s="13" t="s">
        <v>237</v>
      </c>
      <c r="B3284" s="13" t="s">
        <v>22</v>
      </c>
      <c r="C3284" s="14" t="s">
        <v>36</v>
      </c>
      <c r="D3284" s="14" t="str">
        <f>VLOOKUP(C3284,'State Key'!$A$2:$B$210,2,False)</f>
        <v>West Bengal</v>
      </c>
      <c r="E3284" s="15">
        <v>600.0</v>
      </c>
      <c r="F3284" s="16">
        <v>287.563</v>
      </c>
      <c r="G3284" s="16">
        <v>0.0</v>
      </c>
      <c r="H3284" s="16">
        <v>0.0</v>
      </c>
      <c r="I3284" s="16">
        <v>0.0</v>
      </c>
      <c r="J3284" s="16">
        <v>0.0</v>
      </c>
      <c r="K3284" s="16">
        <v>0.0</v>
      </c>
      <c r="L3284" s="16">
        <v>287.563</v>
      </c>
      <c r="M3284" s="16">
        <v>269.779</v>
      </c>
      <c r="N3284" s="16">
        <v>178.36</v>
      </c>
      <c r="O3284" s="24">
        <v>19.8</v>
      </c>
      <c r="P3284" s="18">
        <f t="shared" si="1"/>
        <v>287.563</v>
      </c>
    </row>
    <row r="3285" ht="15.75" customHeight="1">
      <c r="A3285" s="19" t="s">
        <v>237</v>
      </c>
      <c r="B3285" s="19" t="s">
        <v>22</v>
      </c>
      <c r="C3285" s="20" t="s">
        <v>37</v>
      </c>
      <c r="D3285" s="14" t="str">
        <f>VLOOKUP(C3285,'State Key'!$A$2:$B$210,2,False)</f>
        <v>West Bengal</v>
      </c>
      <c r="E3285" s="21">
        <v>300.0</v>
      </c>
      <c r="F3285" s="22">
        <v>116.357</v>
      </c>
      <c r="G3285" s="22">
        <v>0.0</v>
      </c>
      <c r="H3285" s="22">
        <v>0.0</v>
      </c>
      <c r="I3285" s="22">
        <v>0.0</v>
      </c>
      <c r="J3285" s="22">
        <v>0.0</v>
      </c>
      <c r="K3285" s="22">
        <v>0.0</v>
      </c>
      <c r="L3285" s="22">
        <v>116.357</v>
      </c>
      <c r="M3285" s="22">
        <v>139.732</v>
      </c>
      <c r="N3285" s="22">
        <v>9.46</v>
      </c>
      <c r="O3285" s="17">
        <v>2.0</v>
      </c>
      <c r="P3285" s="18">
        <f t="shared" si="1"/>
        <v>116.357</v>
      </c>
    </row>
    <row r="3286" ht="15.75" customHeight="1">
      <c r="A3286" s="13" t="s">
        <v>237</v>
      </c>
      <c r="B3286" s="13" t="s">
        <v>22</v>
      </c>
      <c r="C3286" s="14" t="s">
        <v>38</v>
      </c>
      <c r="D3286" s="14" t="str">
        <f>VLOOKUP(C3286,'State Key'!$A$2:$B$210,2,False)</f>
        <v>Odisha</v>
      </c>
      <c r="E3286" s="15">
        <v>1740.0</v>
      </c>
      <c r="F3286" s="16">
        <v>213.785</v>
      </c>
      <c r="G3286" s="16">
        <v>0.0</v>
      </c>
      <c r="H3286" s="16">
        <v>585.008</v>
      </c>
      <c r="I3286" s="16">
        <v>0.0</v>
      </c>
      <c r="J3286" s="16">
        <v>0.0</v>
      </c>
      <c r="K3286" s="16">
        <v>0.0</v>
      </c>
      <c r="L3286" s="16">
        <v>798.793</v>
      </c>
      <c r="M3286" s="16">
        <v>832.887</v>
      </c>
      <c r="N3286" s="16">
        <v>358.03</v>
      </c>
      <c r="O3286" s="23">
        <v>12.9</v>
      </c>
      <c r="P3286" s="18">
        <f t="shared" si="1"/>
        <v>798.793</v>
      </c>
    </row>
    <row r="3287" ht="15.75" customHeight="1">
      <c r="A3287" s="19" t="s">
        <v>237</v>
      </c>
      <c r="B3287" s="19" t="s">
        <v>22</v>
      </c>
      <c r="C3287" s="20" t="s">
        <v>39</v>
      </c>
      <c r="D3287" s="14" t="str">
        <f>VLOOKUP(C3287,'State Key'!$A$2:$B$210,2,False)</f>
        <v>Jharkhand</v>
      </c>
      <c r="E3287" s="21">
        <v>240.0</v>
      </c>
      <c r="F3287" s="22">
        <v>59.731</v>
      </c>
      <c r="G3287" s="22">
        <v>0.0</v>
      </c>
      <c r="H3287" s="22">
        <v>0.0</v>
      </c>
      <c r="I3287" s="22">
        <v>0.0</v>
      </c>
      <c r="J3287" s="22">
        <v>0.0</v>
      </c>
      <c r="K3287" s="22">
        <v>34.977</v>
      </c>
      <c r="L3287" s="22">
        <v>94.708</v>
      </c>
      <c r="M3287" s="22">
        <v>108.25</v>
      </c>
      <c r="N3287" s="22">
        <v>111.26</v>
      </c>
      <c r="O3287" s="24">
        <v>30.8</v>
      </c>
      <c r="P3287" s="18">
        <f t="shared" si="1"/>
        <v>94.708</v>
      </c>
    </row>
    <row r="3288" ht="15.75" customHeight="1">
      <c r="A3288" s="13" t="s">
        <v>237</v>
      </c>
      <c r="B3288" s="13" t="s">
        <v>22</v>
      </c>
      <c r="C3288" s="14" t="s">
        <v>40</v>
      </c>
      <c r="D3288" s="14" t="str">
        <f>VLOOKUP(C3288,'State Key'!$A$2:$B$210,2,False)</f>
        <v>Bihar</v>
      </c>
      <c r="E3288" s="15">
        <v>2340.0</v>
      </c>
      <c r="F3288" s="16">
        <v>980.49</v>
      </c>
      <c r="G3288" s="16">
        <v>0.0</v>
      </c>
      <c r="H3288" s="16">
        <v>43.61</v>
      </c>
      <c r="I3288" s="16">
        <v>0.0</v>
      </c>
      <c r="J3288" s="16">
        <v>0.0</v>
      </c>
      <c r="K3288" s="16">
        <v>0.0</v>
      </c>
      <c r="L3288" s="16">
        <v>1024.1</v>
      </c>
      <c r="M3288" s="16">
        <v>1235.358</v>
      </c>
      <c r="N3288" s="16">
        <v>269.48</v>
      </c>
      <c r="O3288" s="17">
        <v>6.5</v>
      </c>
      <c r="P3288" s="18">
        <f t="shared" si="1"/>
        <v>1024.1</v>
      </c>
    </row>
    <row r="3289" ht="15.75" customHeight="1">
      <c r="A3289" s="19" t="s">
        <v>237</v>
      </c>
      <c r="B3289" s="19" t="s">
        <v>22</v>
      </c>
      <c r="C3289" s="20" t="s">
        <v>41</v>
      </c>
      <c r="D3289" s="14" t="str">
        <f>VLOOKUP(C3289,'State Key'!$A$2:$B$210,2,False)</f>
        <v>Odisha</v>
      </c>
      <c r="E3289" s="21">
        <v>1050.0</v>
      </c>
      <c r="F3289" s="22">
        <v>318.1014</v>
      </c>
      <c r="G3289" s="22">
        <v>0.0</v>
      </c>
      <c r="H3289" s="22">
        <v>0.0</v>
      </c>
      <c r="I3289" s="22">
        <v>172.86952</v>
      </c>
      <c r="J3289" s="22">
        <v>0.0</v>
      </c>
      <c r="K3289" s="22">
        <v>0.0</v>
      </c>
      <c r="L3289" s="22">
        <v>490.97092</v>
      </c>
      <c r="M3289" s="22">
        <v>378.967</v>
      </c>
      <c r="N3289" s="22">
        <v>240.33</v>
      </c>
      <c r="O3289" s="24">
        <v>19.0</v>
      </c>
      <c r="P3289" s="18">
        <f t="shared" si="1"/>
        <v>490.97092</v>
      </c>
    </row>
    <row r="3290" ht="15.75" customHeight="1">
      <c r="A3290" s="13" t="s">
        <v>237</v>
      </c>
      <c r="B3290" s="13" t="s">
        <v>22</v>
      </c>
      <c r="C3290" s="14" t="s">
        <v>42</v>
      </c>
      <c r="D3290" s="14" t="str">
        <f>VLOOKUP(C3290,'State Key'!$A$2:$B$210,2,False)</f>
        <v>Jharkhand</v>
      </c>
      <c r="E3290" s="15">
        <v>1000.0</v>
      </c>
      <c r="F3290" s="16">
        <v>356.228</v>
      </c>
      <c r="G3290" s="16">
        <v>0.0</v>
      </c>
      <c r="H3290" s="16">
        <v>93.374</v>
      </c>
      <c r="I3290" s="16">
        <v>0.0</v>
      </c>
      <c r="J3290" s="16">
        <v>0.0</v>
      </c>
      <c r="K3290" s="16">
        <v>0.0</v>
      </c>
      <c r="L3290" s="16">
        <v>449.602</v>
      </c>
      <c r="M3290" s="16">
        <v>434.034</v>
      </c>
      <c r="N3290" s="16">
        <v>192.15</v>
      </c>
      <c r="O3290" s="23">
        <v>13.3</v>
      </c>
      <c r="P3290" s="18">
        <f t="shared" si="1"/>
        <v>449.602</v>
      </c>
    </row>
    <row r="3291" ht="15.75" customHeight="1">
      <c r="A3291" s="19" t="s">
        <v>237</v>
      </c>
      <c r="B3291" s="19" t="s">
        <v>22</v>
      </c>
      <c r="C3291" s="20" t="s">
        <v>43</v>
      </c>
      <c r="D3291" s="14" t="str">
        <f>VLOOKUP(C3291,'State Key'!$A$2:$B$210,2,False)</f>
        <v>West Bengal</v>
      </c>
      <c r="E3291" s="21">
        <v>840.0</v>
      </c>
      <c r="F3291" s="22">
        <v>0.0</v>
      </c>
      <c r="G3291" s="22">
        <v>0.0</v>
      </c>
      <c r="H3291" s="22">
        <v>309.745</v>
      </c>
      <c r="I3291" s="22">
        <v>0.0</v>
      </c>
      <c r="J3291" s="22">
        <v>0.0</v>
      </c>
      <c r="K3291" s="22">
        <v>0.0</v>
      </c>
      <c r="L3291" s="22">
        <v>309.745</v>
      </c>
      <c r="M3291" s="22">
        <v>399.66</v>
      </c>
      <c r="N3291" s="22">
        <v>28.46</v>
      </c>
      <c r="O3291" s="17">
        <v>2.1</v>
      </c>
      <c r="P3291" s="18">
        <f t="shared" si="1"/>
        <v>309.745</v>
      </c>
    </row>
    <row r="3292" ht="15.75" customHeight="1">
      <c r="A3292" s="13" t="s">
        <v>237</v>
      </c>
      <c r="B3292" s="13" t="s">
        <v>22</v>
      </c>
      <c r="C3292" s="14" t="s">
        <v>44</v>
      </c>
      <c r="D3292" s="14" t="str">
        <f>VLOOKUP(C3292,'State Key'!$A$2:$B$210,2,False)</f>
        <v>Jharkhand</v>
      </c>
      <c r="E3292" s="15">
        <v>540.0</v>
      </c>
      <c r="F3292" s="16">
        <v>158.427</v>
      </c>
      <c r="G3292" s="16">
        <v>0.0</v>
      </c>
      <c r="H3292" s="16">
        <v>0.0</v>
      </c>
      <c r="I3292" s="16">
        <v>0.0</v>
      </c>
      <c r="J3292" s="16">
        <v>0.0</v>
      </c>
      <c r="K3292" s="16">
        <v>92.655</v>
      </c>
      <c r="L3292" s="16">
        <v>251.082</v>
      </c>
      <c r="M3292" s="16">
        <v>252.832</v>
      </c>
      <c r="N3292" s="16">
        <v>53.02</v>
      </c>
      <c r="O3292" s="17">
        <v>6.3</v>
      </c>
      <c r="P3292" s="18">
        <f t="shared" si="1"/>
        <v>251.082</v>
      </c>
    </row>
    <row r="3293" ht="15.75" customHeight="1">
      <c r="A3293" s="19" t="s">
        <v>237</v>
      </c>
      <c r="B3293" s="19" t="s">
        <v>22</v>
      </c>
      <c r="C3293" s="20" t="s">
        <v>45</v>
      </c>
      <c r="D3293" s="14" t="str">
        <f>VLOOKUP(C3293,'State Key'!$A$2:$B$210,2,False)</f>
        <v>Jharkhand</v>
      </c>
      <c r="E3293" s="21">
        <v>1050.0</v>
      </c>
      <c r="F3293" s="22">
        <v>313.6673</v>
      </c>
      <c r="G3293" s="22">
        <v>0.0</v>
      </c>
      <c r="H3293" s="22">
        <v>0.0</v>
      </c>
      <c r="I3293" s="22">
        <v>0.0</v>
      </c>
      <c r="J3293" s="22">
        <v>0.0</v>
      </c>
      <c r="K3293" s="22">
        <v>0.0</v>
      </c>
      <c r="L3293" s="22">
        <v>313.6673</v>
      </c>
      <c r="M3293" s="22">
        <v>392.841</v>
      </c>
      <c r="N3293" s="22">
        <v>264.77</v>
      </c>
      <c r="O3293" s="24">
        <v>20.2</v>
      </c>
      <c r="P3293" s="18">
        <f t="shared" si="1"/>
        <v>313.6673</v>
      </c>
    </row>
    <row r="3294" ht="15.75" customHeight="1">
      <c r="A3294" s="13" t="s">
        <v>237</v>
      </c>
      <c r="B3294" s="13" t="s">
        <v>22</v>
      </c>
      <c r="C3294" s="14" t="s">
        <v>46</v>
      </c>
      <c r="D3294" s="14" t="str">
        <f>VLOOKUP(C3294,'State Key'!$A$2:$B$210,2,False)</f>
        <v>West Bengal</v>
      </c>
      <c r="E3294" s="15">
        <v>2340.0</v>
      </c>
      <c r="F3294" s="16">
        <v>568.926</v>
      </c>
      <c r="G3294" s="16">
        <v>0.0</v>
      </c>
      <c r="H3294" s="16">
        <v>157.628</v>
      </c>
      <c r="I3294" s="16">
        <v>0.0</v>
      </c>
      <c r="J3294" s="16">
        <v>0.0</v>
      </c>
      <c r="K3294" s="16">
        <v>130.281</v>
      </c>
      <c r="L3294" s="16">
        <v>856.835</v>
      </c>
      <c r="M3294" s="16">
        <v>850.932</v>
      </c>
      <c r="N3294" s="16">
        <v>406.38</v>
      </c>
      <c r="O3294" s="24">
        <v>14.3</v>
      </c>
      <c r="P3294" s="18">
        <f t="shared" si="1"/>
        <v>856.835</v>
      </c>
    </row>
    <row r="3295" ht="15.75" customHeight="1">
      <c r="A3295" s="19" t="s">
        <v>237</v>
      </c>
      <c r="B3295" s="19" t="s">
        <v>22</v>
      </c>
      <c r="C3295" s="20" t="s">
        <v>47</v>
      </c>
      <c r="D3295" s="14" t="str">
        <f>VLOOKUP(C3295,'State Key'!$A$2:$B$210,2,False)</f>
        <v>Bihar</v>
      </c>
      <c r="E3295" s="21">
        <v>390.0</v>
      </c>
      <c r="F3295" s="22">
        <v>0.0</v>
      </c>
      <c r="G3295" s="22">
        <v>0.0</v>
      </c>
      <c r="H3295" s="22">
        <v>162.464</v>
      </c>
      <c r="I3295" s="22">
        <v>0.0</v>
      </c>
      <c r="J3295" s="22">
        <v>0.0</v>
      </c>
      <c r="K3295" s="22">
        <v>0.0</v>
      </c>
      <c r="L3295" s="22">
        <v>162.464</v>
      </c>
      <c r="M3295" s="22">
        <v>170.844</v>
      </c>
      <c r="N3295" s="22">
        <v>104.98</v>
      </c>
      <c r="O3295" s="24">
        <v>18.4</v>
      </c>
      <c r="P3295" s="18">
        <f t="shared" si="1"/>
        <v>162.464</v>
      </c>
    </row>
    <row r="3296" ht="15.75" customHeight="1">
      <c r="A3296" s="13" t="s">
        <v>237</v>
      </c>
      <c r="B3296" s="13" t="s">
        <v>22</v>
      </c>
      <c r="C3296" s="14" t="s">
        <v>48</v>
      </c>
      <c r="D3296" s="14" t="str">
        <f>VLOOKUP(C3296,'State Key'!$A$2:$B$210,2,False)</f>
        <v>Bihar</v>
      </c>
      <c r="E3296" s="15">
        <v>1980.0</v>
      </c>
      <c r="F3296" s="16">
        <v>649.26</v>
      </c>
      <c r="G3296" s="16">
        <v>0.0</v>
      </c>
      <c r="H3296" s="16">
        <v>96.003</v>
      </c>
      <c r="I3296" s="16">
        <v>0.0</v>
      </c>
      <c r="J3296" s="16">
        <v>0.0</v>
      </c>
      <c r="K3296" s="16">
        <v>0.0</v>
      </c>
      <c r="L3296" s="16">
        <v>745.263</v>
      </c>
      <c r="M3296" s="16">
        <v>896.064</v>
      </c>
      <c r="N3296" s="16">
        <v>162.17</v>
      </c>
      <c r="O3296" s="17">
        <v>5.4</v>
      </c>
      <c r="P3296" s="18">
        <f t="shared" si="1"/>
        <v>745.263</v>
      </c>
    </row>
    <row r="3297" ht="15.75" customHeight="1">
      <c r="A3297" s="19" t="s">
        <v>237</v>
      </c>
      <c r="B3297" s="19" t="s">
        <v>22</v>
      </c>
      <c r="C3297" s="20" t="s">
        <v>49</v>
      </c>
      <c r="D3297" s="14" t="str">
        <f>VLOOKUP(C3297,'State Key'!$A$2:$B$210,2,False)</f>
        <v>Bihar</v>
      </c>
      <c r="E3297" s="21">
        <v>1000.0</v>
      </c>
      <c r="F3297" s="22">
        <v>376.9342</v>
      </c>
      <c r="G3297" s="22">
        <v>0.0</v>
      </c>
      <c r="H3297" s="22">
        <v>0.0</v>
      </c>
      <c r="I3297" s="22">
        <v>0.0</v>
      </c>
      <c r="J3297" s="22">
        <v>0.0</v>
      </c>
      <c r="K3297" s="22">
        <v>0.0</v>
      </c>
      <c r="L3297" s="22">
        <v>376.9342</v>
      </c>
      <c r="M3297" s="22">
        <v>382.443</v>
      </c>
      <c r="N3297" s="22">
        <v>234.16</v>
      </c>
      <c r="O3297" s="24">
        <v>18.4</v>
      </c>
      <c r="P3297" s="18">
        <f t="shared" si="1"/>
        <v>376.9342</v>
      </c>
    </row>
    <row r="3298" ht="15.75" customHeight="1">
      <c r="A3298" s="13" t="s">
        <v>237</v>
      </c>
      <c r="B3298" s="13" t="s">
        <v>22</v>
      </c>
      <c r="C3298" s="14" t="s">
        <v>50</v>
      </c>
      <c r="D3298" s="14" t="str">
        <f>VLOOKUP(C3298,'State Key'!$A$2:$B$210,2,False)</f>
        <v>Jharkhand</v>
      </c>
      <c r="E3298" s="15">
        <v>1320.0</v>
      </c>
      <c r="F3298" s="16">
        <v>463.87</v>
      </c>
      <c r="G3298" s="16">
        <v>0.0</v>
      </c>
      <c r="H3298" s="16">
        <v>240.52</v>
      </c>
      <c r="I3298" s="16">
        <v>0.0</v>
      </c>
      <c r="J3298" s="16">
        <v>0.0</v>
      </c>
      <c r="K3298" s="16">
        <v>0.0</v>
      </c>
      <c r="L3298" s="16">
        <v>704.39</v>
      </c>
      <c r="M3298" s="16">
        <v>585.35</v>
      </c>
      <c r="N3298" s="16">
        <v>421.056</v>
      </c>
      <c r="O3298" s="24">
        <v>21.6</v>
      </c>
      <c r="P3298" s="18">
        <f t="shared" si="1"/>
        <v>704.39</v>
      </c>
    </row>
    <row r="3299" ht="15.75" customHeight="1">
      <c r="A3299" s="19" t="s">
        <v>237</v>
      </c>
      <c r="B3299" s="19" t="s">
        <v>22</v>
      </c>
      <c r="C3299" s="20" t="s">
        <v>51</v>
      </c>
      <c r="D3299" s="14" t="str">
        <f>VLOOKUP(C3299,'State Key'!$A$2:$B$210,2,False)</f>
        <v>West Bengal</v>
      </c>
      <c r="E3299" s="21">
        <v>1200.0</v>
      </c>
      <c r="F3299" s="22">
        <v>488.337</v>
      </c>
      <c r="G3299" s="22">
        <v>0.0</v>
      </c>
      <c r="H3299" s="22">
        <v>0.0</v>
      </c>
      <c r="I3299" s="22">
        <v>0.0</v>
      </c>
      <c r="J3299" s="22">
        <v>0.0</v>
      </c>
      <c r="K3299" s="22">
        <v>0.0</v>
      </c>
      <c r="L3299" s="22">
        <v>488.337</v>
      </c>
      <c r="M3299" s="22">
        <v>436.801</v>
      </c>
      <c r="N3299" s="22">
        <v>178.4</v>
      </c>
      <c r="O3299" s="23">
        <v>12.3</v>
      </c>
      <c r="P3299" s="18">
        <f t="shared" si="1"/>
        <v>488.337</v>
      </c>
    </row>
    <row r="3300" ht="15.75" customHeight="1">
      <c r="A3300" s="13" t="s">
        <v>237</v>
      </c>
      <c r="B3300" s="13" t="s">
        <v>22</v>
      </c>
      <c r="C3300" s="14" t="s">
        <v>52</v>
      </c>
      <c r="D3300" s="14" t="str">
        <f>VLOOKUP(C3300,'State Key'!$A$2:$B$210,2,False)</f>
        <v>West Bengal</v>
      </c>
      <c r="E3300" s="15">
        <v>1600.0</v>
      </c>
      <c r="F3300" s="16">
        <v>0.0</v>
      </c>
      <c r="G3300" s="16">
        <v>0.0</v>
      </c>
      <c r="H3300" s="16">
        <v>639.541</v>
      </c>
      <c r="I3300" s="16">
        <v>0.0</v>
      </c>
      <c r="J3300" s="16">
        <v>0.0</v>
      </c>
      <c r="K3300" s="16">
        <v>0.0</v>
      </c>
      <c r="L3300" s="16">
        <v>639.541</v>
      </c>
      <c r="M3300" s="16">
        <v>791.98</v>
      </c>
      <c r="N3300" s="16">
        <v>105.65</v>
      </c>
      <c r="O3300" s="17">
        <v>4.0</v>
      </c>
      <c r="P3300" s="18">
        <f t="shared" si="1"/>
        <v>639.541</v>
      </c>
    </row>
    <row r="3301" ht="15.75" customHeight="1">
      <c r="A3301" s="19" t="s">
        <v>237</v>
      </c>
      <c r="B3301" s="19" t="s">
        <v>22</v>
      </c>
      <c r="C3301" s="20" t="s">
        <v>53</v>
      </c>
      <c r="D3301" s="14" t="str">
        <f>VLOOKUP(C3301,'State Key'!$A$2:$B$210,2,False)</f>
        <v>West Bengal</v>
      </c>
      <c r="E3301" s="21">
        <v>500.0</v>
      </c>
      <c r="F3301" s="22">
        <v>0.0</v>
      </c>
      <c r="G3301" s="22">
        <v>0.0</v>
      </c>
      <c r="H3301" s="22">
        <v>261.408</v>
      </c>
      <c r="I3301" s="22">
        <v>0.0</v>
      </c>
      <c r="J3301" s="22">
        <v>0.0</v>
      </c>
      <c r="K3301" s="22">
        <v>0.0</v>
      </c>
      <c r="L3301" s="22">
        <v>261.408</v>
      </c>
      <c r="M3301" s="22">
        <v>256.438</v>
      </c>
      <c r="N3301" s="22">
        <v>57.1</v>
      </c>
      <c r="O3301" s="17">
        <v>6.7</v>
      </c>
      <c r="P3301" s="18">
        <f t="shared" si="1"/>
        <v>261.408</v>
      </c>
    </row>
    <row r="3302" ht="15.75" customHeight="1">
      <c r="A3302" s="13" t="s">
        <v>237</v>
      </c>
      <c r="B3302" s="13" t="s">
        <v>22</v>
      </c>
      <c r="C3302" s="14" t="s">
        <v>54</v>
      </c>
      <c r="D3302" s="14" t="str">
        <f>VLOOKUP(C3302,'State Key'!$A$2:$B$210,2,False)</f>
        <v>West Bengal</v>
      </c>
      <c r="E3302" s="15">
        <v>135.0</v>
      </c>
      <c r="F3302" s="16">
        <v>51.683</v>
      </c>
      <c r="G3302" s="16">
        <v>0.0</v>
      </c>
      <c r="H3302" s="16">
        <v>0.0</v>
      </c>
      <c r="I3302" s="16">
        <v>0.0</v>
      </c>
      <c r="J3302" s="16">
        <v>0.0</v>
      </c>
      <c r="K3302" s="16">
        <v>0.0</v>
      </c>
      <c r="L3302" s="16">
        <v>51.683</v>
      </c>
      <c r="M3302" s="16">
        <v>42.327</v>
      </c>
      <c r="N3302" s="16">
        <v>42.3</v>
      </c>
      <c r="O3302" s="24">
        <v>30.0</v>
      </c>
      <c r="P3302" s="18">
        <f t="shared" si="1"/>
        <v>51.683</v>
      </c>
    </row>
    <row r="3303" ht="15.75" customHeight="1">
      <c r="A3303" s="19" t="s">
        <v>237</v>
      </c>
      <c r="B3303" s="19" t="s">
        <v>22</v>
      </c>
      <c r="C3303" s="20" t="s">
        <v>55</v>
      </c>
      <c r="D3303" s="14" t="str">
        <f>VLOOKUP(C3303,'State Key'!$A$2:$B$210,2,False)</f>
        <v>Odisha</v>
      </c>
      <c r="E3303" s="21">
        <v>3000.0</v>
      </c>
      <c r="F3303" s="22">
        <v>1227.74</v>
      </c>
      <c r="G3303" s="22">
        <v>0.0</v>
      </c>
      <c r="H3303" s="22">
        <v>102.98</v>
      </c>
      <c r="I3303" s="22">
        <v>0.0</v>
      </c>
      <c r="J3303" s="22">
        <v>0.0</v>
      </c>
      <c r="K3303" s="22">
        <v>0.0</v>
      </c>
      <c r="L3303" s="22">
        <v>1330.72</v>
      </c>
      <c r="M3303" s="22">
        <v>1432.279</v>
      </c>
      <c r="N3303" s="22">
        <v>340.28</v>
      </c>
      <c r="O3303" s="23">
        <v>7.1</v>
      </c>
      <c r="P3303" s="18">
        <f t="shared" si="1"/>
        <v>1330.72</v>
      </c>
    </row>
    <row r="3304" ht="15.75" customHeight="1">
      <c r="A3304" s="13" t="s">
        <v>237</v>
      </c>
      <c r="B3304" s="13" t="s">
        <v>22</v>
      </c>
      <c r="C3304" s="14" t="s">
        <v>56</v>
      </c>
      <c r="D3304" s="14" t="str">
        <f>VLOOKUP(C3304,'State Key'!$A$2:$B$210,2,False)</f>
        <v>Jharkhand</v>
      </c>
      <c r="E3304" s="15">
        <v>420.0</v>
      </c>
      <c r="F3304" s="16">
        <v>129.78</v>
      </c>
      <c r="G3304" s="16">
        <v>0.0</v>
      </c>
      <c r="H3304" s="16">
        <v>0.0</v>
      </c>
      <c r="I3304" s="16">
        <v>0.0</v>
      </c>
      <c r="J3304" s="16">
        <v>0.0</v>
      </c>
      <c r="K3304" s="16">
        <v>0.0</v>
      </c>
      <c r="L3304" s="16">
        <v>129.78</v>
      </c>
      <c r="M3304" s="16">
        <v>141.33</v>
      </c>
      <c r="N3304" s="16">
        <v>102.94</v>
      </c>
      <c r="O3304" s="24">
        <v>21.9</v>
      </c>
      <c r="P3304" s="18">
        <f t="shared" si="1"/>
        <v>129.78</v>
      </c>
    </row>
    <row r="3305" ht="15.75" customHeight="1">
      <c r="A3305" s="19" t="s">
        <v>237</v>
      </c>
      <c r="B3305" s="19" t="s">
        <v>22</v>
      </c>
      <c r="C3305" s="20" t="s">
        <v>57</v>
      </c>
      <c r="D3305" s="14" t="str">
        <f>VLOOKUP(C3305,'State Key'!$A$2:$B$210,2,False)</f>
        <v>West Bengal</v>
      </c>
      <c r="E3305" s="21">
        <v>240.0</v>
      </c>
      <c r="F3305" s="22">
        <v>0.0</v>
      </c>
      <c r="G3305" s="22">
        <v>0.0</v>
      </c>
      <c r="H3305" s="22">
        <v>0.0</v>
      </c>
      <c r="I3305" s="22">
        <v>0.0</v>
      </c>
      <c r="J3305" s="22">
        <v>0.0</v>
      </c>
      <c r="K3305" s="22">
        <v>0.0</v>
      </c>
      <c r="L3305" s="22">
        <v>0.0</v>
      </c>
      <c r="M3305" s="22">
        <v>0.0</v>
      </c>
      <c r="N3305" s="22">
        <v>0.0</v>
      </c>
      <c r="O3305" s="19" t="s">
        <v>58</v>
      </c>
      <c r="P3305" s="18">
        <f t="shared" si="1"/>
        <v>0</v>
      </c>
    </row>
    <row r="3306" ht="15.75" customHeight="1">
      <c r="A3306" s="13" t="s">
        <v>237</v>
      </c>
      <c r="B3306" s="13" t="s">
        <v>22</v>
      </c>
      <c r="C3306" s="14" t="s">
        <v>59</v>
      </c>
      <c r="D3306" s="14" t="str">
        <f>VLOOKUP(C3306,'State Key'!$A$2:$B$210,2,False)</f>
        <v>Odisha</v>
      </c>
      <c r="E3306" s="15">
        <v>350.0</v>
      </c>
      <c r="F3306" s="16">
        <v>18.14</v>
      </c>
      <c r="G3306" s="16">
        <v>0.0</v>
      </c>
      <c r="H3306" s="16">
        <v>0.0</v>
      </c>
      <c r="I3306" s="16">
        <v>0.0</v>
      </c>
      <c r="J3306" s="16">
        <v>0.0</v>
      </c>
      <c r="K3306" s="16">
        <v>0.0</v>
      </c>
      <c r="L3306" s="16">
        <v>18.14</v>
      </c>
      <c r="M3306" s="16">
        <v>19.49</v>
      </c>
      <c r="N3306" s="16">
        <v>0.0</v>
      </c>
      <c r="O3306" s="17">
        <v>0.0</v>
      </c>
      <c r="P3306" s="18">
        <f t="shared" si="1"/>
        <v>18.14</v>
      </c>
    </row>
    <row r="3307" ht="15.75" customHeight="1">
      <c r="A3307" s="19" t="s">
        <v>237</v>
      </c>
      <c r="B3307" s="19" t="s">
        <v>22</v>
      </c>
      <c r="C3307" s="20" t="s">
        <v>60</v>
      </c>
      <c r="D3307" s="14" t="str">
        <f>VLOOKUP(C3307,'State Key'!$A$2:$B$210,2,False)</f>
        <v>Odisha</v>
      </c>
      <c r="E3307" s="21">
        <v>600.0</v>
      </c>
      <c r="F3307" s="22">
        <v>106.9</v>
      </c>
      <c r="G3307" s="22">
        <v>0.0</v>
      </c>
      <c r="H3307" s="22">
        <v>0.0</v>
      </c>
      <c r="I3307" s="22">
        <v>0.0</v>
      </c>
      <c r="J3307" s="22">
        <v>0.0</v>
      </c>
      <c r="K3307" s="22">
        <v>0.0</v>
      </c>
      <c r="L3307" s="22">
        <v>106.9</v>
      </c>
      <c r="M3307" s="22">
        <v>83.49</v>
      </c>
      <c r="N3307" s="22">
        <v>190.88</v>
      </c>
      <c r="O3307" s="24">
        <v>68.6</v>
      </c>
      <c r="P3307" s="18">
        <f t="shared" si="1"/>
        <v>106.9</v>
      </c>
    </row>
    <row r="3308" ht="15.75" customHeight="1">
      <c r="A3308" s="13" t="s">
        <v>237</v>
      </c>
      <c r="B3308" s="13" t="s">
        <v>61</v>
      </c>
      <c r="C3308" s="14" t="s">
        <v>209</v>
      </c>
      <c r="D3308" s="14" t="str">
        <f>VLOOKUP(C3308,'State Key'!$A$2:$B$210,2,False)</f>
        <v>Rajasthan</v>
      </c>
      <c r="E3308" s="15">
        <v>1320.0</v>
      </c>
      <c r="F3308" s="16">
        <v>345.78</v>
      </c>
      <c r="G3308" s="16">
        <v>0.0</v>
      </c>
      <c r="H3308" s="16">
        <v>0.0</v>
      </c>
      <c r="I3308" s="16">
        <v>0.0</v>
      </c>
      <c r="J3308" s="16">
        <v>190.967</v>
      </c>
      <c r="K3308" s="16">
        <v>0.0</v>
      </c>
      <c r="L3308" s="16">
        <v>536.747</v>
      </c>
      <c r="M3308" s="16">
        <v>293.978</v>
      </c>
      <c r="N3308" s="16">
        <v>380.97</v>
      </c>
      <c r="O3308" s="24">
        <v>38.9</v>
      </c>
      <c r="P3308" s="18">
        <f t="shared" si="1"/>
        <v>536.747</v>
      </c>
    </row>
    <row r="3309" ht="15.75" customHeight="1">
      <c r="A3309" s="19" t="s">
        <v>237</v>
      </c>
      <c r="B3309" s="19" t="s">
        <v>61</v>
      </c>
      <c r="C3309" s="20" t="s">
        <v>62</v>
      </c>
      <c r="D3309" s="14" t="str">
        <f>VLOOKUP(C3309,'State Key'!$A$2:$B$210,2,False)</f>
        <v>Uttar Pradesh</v>
      </c>
      <c r="E3309" s="21">
        <v>1200.0</v>
      </c>
      <c r="F3309" s="22">
        <v>445.296</v>
      </c>
      <c r="G3309" s="22">
        <v>0.0</v>
      </c>
      <c r="H3309" s="22">
        <v>0.0</v>
      </c>
      <c r="I3309" s="22">
        <v>0.0</v>
      </c>
      <c r="J3309" s="22">
        <v>0.0</v>
      </c>
      <c r="K3309" s="22">
        <v>0.0</v>
      </c>
      <c r="L3309" s="22">
        <v>445.296</v>
      </c>
      <c r="M3309" s="22">
        <v>483.586</v>
      </c>
      <c r="N3309" s="22">
        <v>131.58</v>
      </c>
      <c r="O3309" s="23">
        <v>8.2</v>
      </c>
      <c r="P3309" s="18">
        <f t="shared" si="1"/>
        <v>445.296</v>
      </c>
    </row>
    <row r="3310" ht="15.75" customHeight="1">
      <c r="A3310" s="13" t="s">
        <v>237</v>
      </c>
      <c r="B3310" s="13" t="s">
        <v>61</v>
      </c>
      <c r="C3310" s="14" t="s">
        <v>63</v>
      </c>
      <c r="D3310" s="14" t="str">
        <f>VLOOKUP(C3310,'State Key'!$A$2:$B$210,2,False)</f>
        <v>Uttar Pradesh</v>
      </c>
      <c r="E3310" s="15">
        <v>2630.0</v>
      </c>
      <c r="F3310" s="16">
        <v>1196.739</v>
      </c>
      <c r="G3310" s="16">
        <v>0.0</v>
      </c>
      <c r="H3310" s="16">
        <v>0.0</v>
      </c>
      <c r="I3310" s="16">
        <v>0.0</v>
      </c>
      <c r="J3310" s="16">
        <v>0.0</v>
      </c>
      <c r="K3310" s="16">
        <v>0.0</v>
      </c>
      <c r="L3310" s="16">
        <v>1196.739</v>
      </c>
      <c r="M3310" s="16">
        <v>1143.298</v>
      </c>
      <c r="N3310" s="16">
        <v>263.33</v>
      </c>
      <c r="O3310" s="17">
        <v>6.9</v>
      </c>
      <c r="P3310" s="18">
        <f t="shared" si="1"/>
        <v>1196.739</v>
      </c>
    </row>
    <row r="3311" ht="15.75" customHeight="1">
      <c r="A3311" s="19" t="s">
        <v>237</v>
      </c>
      <c r="B3311" s="19" t="s">
        <v>61</v>
      </c>
      <c r="C3311" s="20" t="s">
        <v>64</v>
      </c>
      <c r="D3311" s="14" t="str">
        <f>VLOOKUP(C3311,'State Key'!$A$2:$B$210,2,False)</f>
        <v>Uttar Pradesh</v>
      </c>
      <c r="E3311" s="21">
        <v>90.0</v>
      </c>
      <c r="F3311" s="22">
        <v>24.122</v>
      </c>
      <c r="G3311" s="22">
        <v>0.0</v>
      </c>
      <c r="H3311" s="22">
        <v>0.0</v>
      </c>
      <c r="I3311" s="22">
        <v>0.0</v>
      </c>
      <c r="J3311" s="22">
        <v>0.0</v>
      </c>
      <c r="K3311" s="22">
        <v>0.0</v>
      </c>
      <c r="L3311" s="22">
        <v>24.122</v>
      </c>
      <c r="M3311" s="22">
        <v>32.023</v>
      </c>
      <c r="N3311" s="22">
        <v>11.16</v>
      </c>
      <c r="O3311" s="23">
        <v>10.5</v>
      </c>
      <c r="P3311" s="18">
        <f t="shared" si="1"/>
        <v>24.122</v>
      </c>
    </row>
    <row r="3312" ht="15.75" customHeight="1">
      <c r="A3312" s="13" t="s">
        <v>237</v>
      </c>
      <c r="B3312" s="13" t="s">
        <v>61</v>
      </c>
      <c r="C3312" s="14" t="s">
        <v>65</v>
      </c>
      <c r="D3312" s="14" t="str">
        <f>VLOOKUP(C3312,'State Key'!$A$2:$B$210,2,False)</f>
        <v>Rajasthan</v>
      </c>
      <c r="E3312" s="15">
        <v>500.0</v>
      </c>
      <c r="F3312" s="16">
        <v>82.2599</v>
      </c>
      <c r="G3312" s="16">
        <v>0.0</v>
      </c>
      <c r="H3312" s="16">
        <v>0.0</v>
      </c>
      <c r="I3312" s="16">
        <v>0.0</v>
      </c>
      <c r="J3312" s="16">
        <v>0.0</v>
      </c>
      <c r="K3312" s="16">
        <v>0.0</v>
      </c>
      <c r="L3312" s="16">
        <v>82.2599</v>
      </c>
      <c r="M3312" s="16">
        <v>234.438</v>
      </c>
      <c r="N3312" s="16">
        <v>59.9064</v>
      </c>
      <c r="O3312" s="23">
        <v>7.7</v>
      </c>
      <c r="P3312" s="18">
        <f t="shared" si="1"/>
        <v>82.2599</v>
      </c>
    </row>
    <row r="3313" ht="15.75" customHeight="1">
      <c r="A3313" s="19" t="s">
        <v>237</v>
      </c>
      <c r="B3313" s="19" t="s">
        <v>61</v>
      </c>
      <c r="C3313" s="20" t="s">
        <v>66</v>
      </c>
      <c r="D3313" s="14" t="str">
        <f>VLOOKUP(C3313,'State Key'!$A$2:$B$210,2,False)</f>
        <v>Rajasthan</v>
      </c>
      <c r="E3313" s="21">
        <v>500.0</v>
      </c>
      <c r="F3313" s="22">
        <v>405.5247</v>
      </c>
      <c r="G3313" s="22">
        <v>0.0</v>
      </c>
      <c r="H3313" s="22">
        <v>8.1675</v>
      </c>
      <c r="I3313" s="22">
        <v>0.0</v>
      </c>
      <c r="J3313" s="22">
        <v>0.0</v>
      </c>
      <c r="K3313" s="22">
        <v>0.0</v>
      </c>
      <c r="L3313" s="22">
        <v>413.6922</v>
      </c>
      <c r="M3313" s="22">
        <v>229.4051</v>
      </c>
      <c r="N3313" s="22">
        <v>67.3476</v>
      </c>
      <c r="O3313" s="23">
        <v>8.8</v>
      </c>
      <c r="P3313" s="18">
        <f t="shared" si="1"/>
        <v>413.6922</v>
      </c>
    </row>
    <row r="3314" ht="15.75" customHeight="1">
      <c r="A3314" s="13" t="s">
        <v>237</v>
      </c>
      <c r="B3314" s="13" t="s">
        <v>61</v>
      </c>
      <c r="C3314" s="14" t="s">
        <v>67</v>
      </c>
      <c r="D3314" s="14" t="str">
        <f>VLOOKUP(C3314,'State Key'!$A$2:$B$210,2,False)</f>
        <v>Rajasthan</v>
      </c>
      <c r="E3314" s="15">
        <v>1320.0</v>
      </c>
      <c r="F3314" s="16">
        <v>58.70463</v>
      </c>
      <c r="G3314" s="16">
        <v>0.0</v>
      </c>
      <c r="H3314" s="16">
        <v>318.09192</v>
      </c>
      <c r="I3314" s="16">
        <v>0.0</v>
      </c>
      <c r="J3314" s="16">
        <v>0.0</v>
      </c>
      <c r="K3314" s="16">
        <v>0.0</v>
      </c>
      <c r="L3314" s="16">
        <v>376.79655</v>
      </c>
      <c r="M3314" s="16">
        <v>440.396</v>
      </c>
      <c r="N3314" s="16">
        <v>87.0564</v>
      </c>
      <c r="O3314" s="17">
        <v>5.9</v>
      </c>
      <c r="P3314" s="18">
        <f t="shared" si="1"/>
        <v>376.79655</v>
      </c>
    </row>
    <row r="3315" ht="15.75" customHeight="1">
      <c r="A3315" s="19" t="s">
        <v>237</v>
      </c>
      <c r="B3315" s="19" t="s">
        <v>61</v>
      </c>
      <c r="C3315" s="20" t="s">
        <v>68</v>
      </c>
      <c r="D3315" s="14" t="str">
        <f>VLOOKUP(C3315,'State Key'!$A$2:$B$210,2,False)</f>
        <v>Uttar Pradesh</v>
      </c>
      <c r="E3315" s="21">
        <v>1820.0</v>
      </c>
      <c r="F3315" s="22">
        <v>230.06</v>
      </c>
      <c r="G3315" s="22">
        <v>0.0</v>
      </c>
      <c r="H3315" s="22">
        <v>0.0</v>
      </c>
      <c r="I3315" s="22">
        <v>0.0</v>
      </c>
      <c r="J3315" s="22">
        <v>75.22</v>
      </c>
      <c r="K3315" s="22">
        <v>4.06</v>
      </c>
      <c r="L3315" s="22">
        <v>309.34</v>
      </c>
      <c r="M3315" s="22">
        <v>446.14</v>
      </c>
      <c r="N3315" s="22">
        <v>262.666</v>
      </c>
      <c r="O3315" s="24">
        <v>17.7</v>
      </c>
      <c r="P3315" s="18">
        <f t="shared" si="1"/>
        <v>309.34</v>
      </c>
    </row>
    <row r="3316" ht="15.75" customHeight="1">
      <c r="A3316" s="13" t="s">
        <v>237</v>
      </c>
      <c r="B3316" s="13" t="s">
        <v>61</v>
      </c>
      <c r="C3316" s="14" t="s">
        <v>69</v>
      </c>
      <c r="D3316" s="14" t="str">
        <f>VLOOKUP(C3316,'State Key'!$A$2:$B$210,2,False)</f>
        <v>Punjab</v>
      </c>
      <c r="E3316" s="15">
        <v>920.0</v>
      </c>
      <c r="F3316" s="16">
        <v>28.581</v>
      </c>
      <c r="G3316" s="16">
        <v>0.0</v>
      </c>
      <c r="H3316" s="16">
        <v>233.863</v>
      </c>
      <c r="I3316" s="16">
        <v>0.0</v>
      </c>
      <c r="J3316" s="16">
        <v>0.0</v>
      </c>
      <c r="K3316" s="16">
        <v>0.0</v>
      </c>
      <c r="L3316" s="16">
        <v>262.444</v>
      </c>
      <c r="M3316" s="16">
        <v>254.694</v>
      </c>
      <c r="N3316" s="16">
        <v>246.24</v>
      </c>
      <c r="O3316" s="24">
        <v>29.0</v>
      </c>
      <c r="P3316" s="18">
        <f t="shared" si="1"/>
        <v>262.444</v>
      </c>
    </row>
    <row r="3317" ht="15.75" customHeight="1">
      <c r="A3317" s="19" t="s">
        <v>237</v>
      </c>
      <c r="B3317" s="19" t="s">
        <v>61</v>
      </c>
      <c r="C3317" s="20" t="s">
        <v>70</v>
      </c>
      <c r="D3317" s="14" t="str">
        <f>VLOOKUP(C3317,'State Key'!$A$2:$B$210,2,False)</f>
        <v>Punjab</v>
      </c>
      <c r="E3317" s="21">
        <v>540.0</v>
      </c>
      <c r="F3317" s="22">
        <v>0.0</v>
      </c>
      <c r="G3317" s="22">
        <v>0.0</v>
      </c>
      <c r="H3317" s="22">
        <v>173.092</v>
      </c>
      <c r="I3317" s="22">
        <v>0.0</v>
      </c>
      <c r="J3317" s="22">
        <v>0.0</v>
      </c>
      <c r="K3317" s="22">
        <v>0.0</v>
      </c>
      <c r="L3317" s="22">
        <v>173.092</v>
      </c>
      <c r="M3317" s="22">
        <v>158.598</v>
      </c>
      <c r="N3317" s="22">
        <v>133.29</v>
      </c>
      <c r="O3317" s="24">
        <v>25.2</v>
      </c>
      <c r="P3317" s="18">
        <f t="shared" si="1"/>
        <v>173.092</v>
      </c>
    </row>
    <row r="3318" ht="15.75" customHeight="1">
      <c r="A3318" s="13" t="s">
        <v>237</v>
      </c>
      <c r="B3318" s="13" t="s">
        <v>61</v>
      </c>
      <c r="C3318" s="14" t="s">
        <v>71</v>
      </c>
      <c r="D3318" s="14" t="str">
        <f>VLOOKUP(C3318,'State Key'!$A$2:$B$210,2,False)</f>
        <v>Uttar Pradesh</v>
      </c>
      <c r="E3318" s="15">
        <v>1265.0</v>
      </c>
      <c r="F3318" s="16">
        <v>220.974</v>
      </c>
      <c r="G3318" s="16">
        <v>0.0</v>
      </c>
      <c r="H3318" s="16">
        <v>0.0</v>
      </c>
      <c r="I3318" s="16">
        <v>0.0</v>
      </c>
      <c r="J3318" s="16">
        <v>0.0</v>
      </c>
      <c r="K3318" s="16">
        <v>0.0</v>
      </c>
      <c r="L3318" s="16">
        <v>220.974</v>
      </c>
      <c r="M3318" s="16">
        <v>417.341</v>
      </c>
      <c r="N3318" s="16">
        <v>331.42</v>
      </c>
      <c r="O3318" s="24">
        <v>23.8</v>
      </c>
      <c r="P3318" s="18">
        <f t="shared" si="1"/>
        <v>220.974</v>
      </c>
    </row>
    <row r="3319" ht="15.75" customHeight="1">
      <c r="A3319" s="19" t="s">
        <v>237</v>
      </c>
      <c r="B3319" s="19" t="s">
        <v>61</v>
      </c>
      <c r="C3319" s="20" t="s">
        <v>72</v>
      </c>
      <c r="D3319" s="14" t="str">
        <f>VLOOKUP(C3319,'State Key'!$A$2:$B$210,2,False)</f>
        <v>Haryana</v>
      </c>
      <c r="E3319" s="21">
        <v>1500.0</v>
      </c>
      <c r="F3319" s="22">
        <v>378.809</v>
      </c>
      <c r="G3319" s="22">
        <v>0.0</v>
      </c>
      <c r="H3319" s="22">
        <v>0.0</v>
      </c>
      <c r="I3319" s="22">
        <v>0.0</v>
      </c>
      <c r="J3319" s="22">
        <v>0.0</v>
      </c>
      <c r="K3319" s="22">
        <v>0.0</v>
      </c>
      <c r="L3319" s="22">
        <v>378.809</v>
      </c>
      <c r="M3319" s="22">
        <v>554.559</v>
      </c>
      <c r="N3319" s="22">
        <v>582.2</v>
      </c>
      <c r="O3319" s="24">
        <v>31.5</v>
      </c>
      <c r="P3319" s="18">
        <f t="shared" si="1"/>
        <v>378.809</v>
      </c>
    </row>
    <row r="3320" ht="15.75" customHeight="1">
      <c r="A3320" s="13" t="s">
        <v>237</v>
      </c>
      <c r="B3320" s="13" t="s">
        <v>61</v>
      </c>
      <c r="C3320" s="14" t="s">
        <v>226</v>
      </c>
      <c r="D3320" s="14" t="str">
        <f>VLOOKUP(C3320,'State Key'!$A$2:$B$210,2,False)</f>
        <v>Uttar Pradesh</v>
      </c>
      <c r="E3320" s="15">
        <v>660.0</v>
      </c>
      <c r="F3320" s="16">
        <v>218.181</v>
      </c>
      <c r="G3320" s="16">
        <v>0.0</v>
      </c>
      <c r="H3320" s="16">
        <v>0.0</v>
      </c>
      <c r="I3320" s="16">
        <v>0.0</v>
      </c>
      <c r="J3320" s="16">
        <v>0.0</v>
      </c>
      <c r="K3320" s="16">
        <v>0.0</v>
      </c>
      <c r="L3320" s="16">
        <v>218.181</v>
      </c>
      <c r="M3320" s="16">
        <v>193.08</v>
      </c>
      <c r="N3320" s="16">
        <v>82.86</v>
      </c>
      <c r="O3320" s="23">
        <v>12.9</v>
      </c>
      <c r="P3320" s="18">
        <f t="shared" si="1"/>
        <v>218.181</v>
      </c>
    </row>
    <row r="3321" ht="15.75" customHeight="1">
      <c r="A3321" s="19" t="s">
        <v>237</v>
      </c>
      <c r="B3321" s="19" t="s">
        <v>61</v>
      </c>
      <c r="C3321" s="20" t="s">
        <v>73</v>
      </c>
      <c r="D3321" s="14" t="str">
        <f>VLOOKUP(C3321,'State Key'!$A$2:$B$210,2,False)</f>
        <v>Rajasthan</v>
      </c>
      <c r="E3321" s="21">
        <v>1200.0</v>
      </c>
      <c r="F3321" s="22">
        <v>0.0</v>
      </c>
      <c r="G3321" s="22">
        <v>0.0</v>
      </c>
      <c r="H3321" s="22">
        <v>243.826</v>
      </c>
      <c r="I3321" s="22">
        <v>0.0</v>
      </c>
      <c r="J3321" s="22">
        <v>0.0</v>
      </c>
      <c r="K3321" s="22">
        <v>0.0</v>
      </c>
      <c r="L3321" s="22">
        <v>243.826</v>
      </c>
      <c r="M3321" s="22">
        <v>207.868</v>
      </c>
      <c r="N3321" s="22">
        <v>166.05</v>
      </c>
      <c r="O3321" s="24">
        <v>24.0</v>
      </c>
      <c r="P3321" s="18">
        <f t="shared" si="1"/>
        <v>243.826</v>
      </c>
    </row>
    <row r="3322" ht="15.75" customHeight="1">
      <c r="A3322" s="13" t="s">
        <v>237</v>
      </c>
      <c r="B3322" s="13" t="s">
        <v>61</v>
      </c>
      <c r="C3322" s="14" t="s">
        <v>75</v>
      </c>
      <c r="D3322" s="14" t="str">
        <f>VLOOKUP(C3322,'State Key'!$A$2:$B$210,2,False)</f>
        <v>Uttar Pradesh</v>
      </c>
      <c r="E3322" s="15">
        <v>90.0</v>
      </c>
      <c r="F3322" s="16">
        <v>35.412</v>
      </c>
      <c r="G3322" s="16">
        <v>0.0</v>
      </c>
      <c r="H3322" s="16">
        <v>0.0</v>
      </c>
      <c r="I3322" s="16">
        <v>0.0</v>
      </c>
      <c r="J3322" s="16">
        <v>0.0</v>
      </c>
      <c r="K3322" s="16">
        <v>0.0</v>
      </c>
      <c r="L3322" s="16">
        <v>35.412</v>
      </c>
      <c r="M3322" s="16">
        <v>33.25</v>
      </c>
      <c r="N3322" s="16">
        <v>22.54</v>
      </c>
      <c r="O3322" s="24">
        <v>20.3</v>
      </c>
      <c r="P3322" s="18">
        <f t="shared" si="1"/>
        <v>35.412</v>
      </c>
    </row>
    <row r="3323" ht="15.75" customHeight="1">
      <c r="A3323" s="19" t="s">
        <v>237</v>
      </c>
      <c r="B3323" s="19" t="s">
        <v>61</v>
      </c>
      <c r="C3323" s="20" t="s">
        <v>76</v>
      </c>
      <c r="D3323" s="14" t="str">
        <f>VLOOKUP(C3323,'State Key'!$A$2:$B$210,2,False)</f>
        <v>Rajasthan</v>
      </c>
      <c r="E3323" s="21">
        <v>1240.0</v>
      </c>
      <c r="F3323" s="22">
        <v>615.55392</v>
      </c>
      <c r="G3323" s="22">
        <v>0.0</v>
      </c>
      <c r="H3323" s="22">
        <v>0.0</v>
      </c>
      <c r="I3323" s="22">
        <v>0.0</v>
      </c>
      <c r="J3323" s="22">
        <v>0.0</v>
      </c>
      <c r="K3323" s="22">
        <v>66.2607</v>
      </c>
      <c r="L3323" s="22">
        <v>681.81462</v>
      </c>
      <c r="M3323" s="22">
        <v>537.626</v>
      </c>
      <c r="N3323" s="22">
        <v>219.19</v>
      </c>
      <c r="O3323" s="23">
        <v>12.2</v>
      </c>
      <c r="P3323" s="18">
        <f t="shared" si="1"/>
        <v>681.81462</v>
      </c>
    </row>
    <row r="3324" ht="15.75" customHeight="1">
      <c r="A3324" s="13" t="s">
        <v>237</v>
      </c>
      <c r="B3324" s="13" t="s">
        <v>61</v>
      </c>
      <c r="C3324" s="14" t="s">
        <v>77</v>
      </c>
      <c r="D3324" s="14" t="str">
        <f>VLOOKUP(C3324,'State Key'!$A$2:$B$210,2,False)</f>
        <v>Uttar Pradesh</v>
      </c>
      <c r="E3324" s="15">
        <v>90.0</v>
      </c>
      <c r="F3324" s="16">
        <v>24.173</v>
      </c>
      <c r="G3324" s="16">
        <v>0.0</v>
      </c>
      <c r="H3324" s="16">
        <v>0.0</v>
      </c>
      <c r="I3324" s="16">
        <v>0.0</v>
      </c>
      <c r="J3324" s="16">
        <v>0.0</v>
      </c>
      <c r="K3324" s="16">
        <v>0.0</v>
      </c>
      <c r="L3324" s="16">
        <v>24.173</v>
      </c>
      <c r="M3324" s="16">
        <v>33.98</v>
      </c>
      <c r="N3324" s="16">
        <v>22.384</v>
      </c>
      <c r="O3324" s="24">
        <v>19.8</v>
      </c>
      <c r="P3324" s="18">
        <f t="shared" si="1"/>
        <v>24.173</v>
      </c>
    </row>
    <row r="3325" ht="15.75" customHeight="1">
      <c r="A3325" s="19" t="s">
        <v>237</v>
      </c>
      <c r="B3325" s="19" t="s">
        <v>61</v>
      </c>
      <c r="C3325" s="20" t="s">
        <v>78</v>
      </c>
      <c r="D3325" s="14" t="str">
        <f>VLOOKUP(C3325,'State Key'!$A$2:$B$210,2,False)</f>
        <v>Uttar Pradesh</v>
      </c>
      <c r="E3325" s="21">
        <v>1980.0</v>
      </c>
      <c r="F3325" s="22">
        <v>710.927</v>
      </c>
      <c r="G3325" s="22">
        <v>0.0</v>
      </c>
      <c r="H3325" s="22">
        <v>0.0</v>
      </c>
      <c r="I3325" s="22">
        <v>0.0</v>
      </c>
      <c r="J3325" s="22">
        <v>0.0</v>
      </c>
      <c r="K3325" s="22">
        <v>0.0</v>
      </c>
      <c r="L3325" s="22">
        <v>710.927</v>
      </c>
      <c r="M3325" s="22">
        <v>755.07</v>
      </c>
      <c r="N3325" s="22">
        <v>240.07</v>
      </c>
      <c r="O3325" s="23">
        <v>9.5</v>
      </c>
      <c r="P3325" s="18">
        <f t="shared" si="1"/>
        <v>710.927</v>
      </c>
    </row>
    <row r="3326" ht="15.75" customHeight="1">
      <c r="A3326" s="13" t="s">
        <v>237</v>
      </c>
      <c r="B3326" s="13" t="s">
        <v>61</v>
      </c>
      <c r="C3326" s="14" t="s">
        <v>79</v>
      </c>
      <c r="D3326" s="14" t="str">
        <f>VLOOKUP(C3326,'State Key'!$A$2:$B$210,2,False)</f>
        <v>Haryana</v>
      </c>
      <c r="E3326" s="15">
        <v>1320.0</v>
      </c>
      <c r="F3326" s="16">
        <v>433.1672</v>
      </c>
      <c r="G3326" s="16">
        <v>0.0</v>
      </c>
      <c r="H3326" s="16">
        <v>0.0</v>
      </c>
      <c r="I3326" s="16">
        <v>0.0</v>
      </c>
      <c r="J3326" s="16">
        <v>0.0</v>
      </c>
      <c r="K3326" s="16">
        <v>0.0</v>
      </c>
      <c r="L3326" s="16">
        <v>433.1672</v>
      </c>
      <c r="M3326" s="16">
        <v>431.092</v>
      </c>
      <c r="N3326" s="16">
        <v>441.59</v>
      </c>
      <c r="O3326" s="24">
        <v>30.7</v>
      </c>
      <c r="P3326" s="18">
        <f t="shared" si="1"/>
        <v>433.1672</v>
      </c>
    </row>
    <row r="3327" ht="15.75" customHeight="1">
      <c r="A3327" s="19" t="s">
        <v>237</v>
      </c>
      <c r="B3327" s="19" t="s">
        <v>61</v>
      </c>
      <c r="C3327" s="20" t="s">
        <v>80</v>
      </c>
      <c r="D3327" s="14" t="str">
        <f>VLOOKUP(C3327,'State Key'!$A$2:$B$210,2,False)</f>
        <v>Uttar Pradesh</v>
      </c>
      <c r="E3327" s="21">
        <v>90.0</v>
      </c>
      <c r="F3327" s="22">
        <v>24.119</v>
      </c>
      <c r="G3327" s="22">
        <v>0.0</v>
      </c>
      <c r="H3327" s="22">
        <v>0.0</v>
      </c>
      <c r="I3327" s="22">
        <v>0.0</v>
      </c>
      <c r="J3327" s="22">
        <v>0.0</v>
      </c>
      <c r="K3327" s="22">
        <v>0.0</v>
      </c>
      <c r="L3327" s="22">
        <v>24.119</v>
      </c>
      <c r="M3327" s="22">
        <v>32.271</v>
      </c>
      <c r="N3327" s="22">
        <v>15.8</v>
      </c>
      <c r="O3327" s="24">
        <v>14.7</v>
      </c>
      <c r="P3327" s="18">
        <f t="shared" si="1"/>
        <v>24.119</v>
      </c>
    </row>
    <row r="3328" ht="15.75" customHeight="1">
      <c r="A3328" s="13" t="s">
        <v>237</v>
      </c>
      <c r="B3328" s="13" t="s">
        <v>61</v>
      </c>
      <c r="C3328" s="14" t="s">
        <v>81</v>
      </c>
      <c r="D3328" s="14" t="str">
        <f>VLOOKUP(C3328,'State Key'!$A$2:$B$210,2,False)</f>
        <v>Uttar Pradesh</v>
      </c>
      <c r="E3328" s="15">
        <v>1320.0</v>
      </c>
      <c r="F3328" s="16">
        <v>462.9458</v>
      </c>
      <c r="G3328" s="16">
        <v>0.0</v>
      </c>
      <c r="H3328" s="16">
        <v>0.0</v>
      </c>
      <c r="I3328" s="16">
        <v>0.0</v>
      </c>
      <c r="J3328" s="16">
        <v>0.0</v>
      </c>
      <c r="K3328" s="16">
        <v>0.0</v>
      </c>
      <c r="L3328" s="16">
        <v>462.9458</v>
      </c>
      <c r="M3328" s="16">
        <v>540.369</v>
      </c>
      <c r="N3328" s="16">
        <v>202.17</v>
      </c>
      <c r="O3328" s="23">
        <v>11.2</v>
      </c>
      <c r="P3328" s="18">
        <f t="shared" si="1"/>
        <v>462.9458</v>
      </c>
    </row>
    <row r="3329" ht="15.75" customHeight="1">
      <c r="A3329" s="19" t="s">
        <v>237</v>
      </c>
      <c r="B3329" s="19" t="s">
        <v>61</v>
      </c>
      <c r="C3329" s="20" t="s">
        <v>82</v>
      </c>
      <c r="D3329" s="14" t="str">
        <f>VLOOKUP(C3329,'State Key'!$A$2:$B$210,2,False)</f>
        <v>Uttar Pradesh</v>
      </c>
      <c r="E3329" s="21">
        <v>1660.0</v>
      </c>
      <c r="F3329" s="22">
        <v>451.08</v>
      </c>
      <c r="G3329" s="22">
        <v>0.0</v>
      </c>
      <c r="H3329" s="22">
        <v>0.0</v>
      </c>
      <c r="I3329" s="22">
        <v>0.0</v>
      </c>
      <c r="J3329" s="22">
        <v>0.0</v>
      </c>
      <c r="K3329" s="22">
        <v>0.0</v>
      </c>
      <c r="L3329" s="22">
        <v>451.08</v>
      </c>
      <c r="M3329" s="22">
        <v>542.399</v>
      </c>
      <c r="N3329" s="22">
        <v>192.41</v>
      </c>
      <c r="O3329" s="23">
        <v>10.6</v>
      </c>
      <c r="P3329" s="18">
        <f t="shared" si="1"/>
        <v>451.08</v>
      </c>
    </row>
    <row r="3330" ht="15.75" customHeight="1">
      <c r="A3330" s="13" t="s">
        <v>237</v>
      </c>
      <c r="B3330" s="13" t="s">
        <v>61</v>
      </c>
      <c r="C3330" s="14" t="s">
        <v>83</v>
      </c>
      <c r="D3330" s="14" t="str">
        <f>VLOOKUP(C3330,'State Key'!$A$2:$B$210,2,False)</f>
        <v>Haryana</v>
      </c>
      <c r="E3330" s="15">
        <v>710.0</v>
      </c>
      <c r="F3330" s="16">
        <v>343.77</v>
      </c>
      <c r="G3330" s="16">
        <v>0.0</v>
      </c>
      <c r="H3330" s="16">
        <v>0.0</v>
      </c>
      <c r="I3330" s="16">
        <v>0.0</v>
      </c>
      <c r="J3330" s="16">
        <v>0.0</v>
      </c>
      <c r="K3330" s="16">
        <v>0.0</v>
      </c>
      <c r="L3330" s="16">
        <v>343.77</v>
      </c>
      <c r="M3330" s="16">
        <v>274.516</v>
      </c>
      <c r="N3330" s="16">
        <v>267.37</v>
      </c>
      <c r="O3330" s="24">
        <v>29.2</v>
      </c>
      <c r="P3330" s="18">
        <f t="shared" si="1"/>
        <v>343.77</v>
      </c>
    </row>
    <row r="3331" ht="15.75" customHeight="1">
      <c r="A3331" s="19" t="s">
        <v>237</v>
      </c>
      <c r="B3331" s="19" t="s">
        <v>61</v>
      </c>
      <c r="C3331" s="20" t="s">
        <v>84</v>
      </c>
      <c r="D3331" s="14" t="str">
        <f>VLOOKUP(C3331,'State Key'!$A$2:$B$210,2,False)</f>
        <v>Uttar Pradesh</v>
      </c>
      <c r="E3331" s="21">
        <v>920.0</v>
      </c>
      <c r="F3331" s="22">
        <v>371.969</v>
      </c>
      <c r="G3331" s="22">
        <v>0.0</v>
      </c>
      <c r="H3331" s="22">
        <v>0.0</v>
      </c>
      <c r="I3331" s="22">
        <v>0.0</v>
      </c>
      <c r="J3331" s="22">
        <v>0.0</v>
      </c>
      <c r="K3331" s="22">
        <v>0.0</v>
      </c>
      <c r="L3331" s="22">
        <v>371.969</v>
      </c>
      <c r="M3331" s="22">
        <v>320.418</v>
      </c>
      <c r="N3331" s="22">
        <v>151.844</v>
      </c>
      <c r="O3331" s="24">
        <v>14.2</v>
      </c>
      <c r="P3331" s="18">
        <f t="shared" si="1"/>
        <v>371.969</v>
      </c>
    </row>
    <row r="3332" ht="15.75" customHeight="1">
      <c r="A3332" s="13" t="s">
        <v>237</v>
      </c>
      <c r="B3332" s="13" t="s">
        <v>61</v>
      </c>
      <c r="C3332" s="14" t="s">
        <v>85</v>
      </c>
      <c r="D3332" s="14" t="str">
        <f>VLOOKUP(C3332,'State Key'!$A$2:$B$210,2,False)</f>
        <v>Uttar Pradesh</v>
      </c>
      <c r="E3332" s="15">
        <v>1980.0</v>
      </c>
      <c r="F3332" s="16">
        <v>684.023</v>
      </c>
      <c r="G3332" s="16">
        <v>0.0</v>
      </c>
      <c r="H3332" s="16">
        <v>0.0</v>
      </c>
      <c r="I3332" s="16">
        <v>0.0</v>
      </c>
      <c r="J3332" s="16">
        <v>0.0</v>
      </c>
      <c r="K3332" s="16">
        <v>0.0</v>
      </c>
      <c r="L3332" s="16">
        <v>684.023</v>
      </c>
      <c r="M3332" s="16">
        <v>745.575</v>
      </c>
      <c r="N3332" s="16">
        <v>340.1</v>
      </c>
      <c r="O3332" s="23">
        <v>13.7</v>
      </c>
      <c r="P3332" s="18">
        <f t="shared" si="1"/>
        <v>684.023</v>
      </c>
    </row>
    <row r="3333" ht="15.75" customHeight="1">
      <c r="A3333" s="19" t="s">
        <v>237</v>
      </c>
      <c r="B3333" s="19" t="s">
        <v>61</v>
      </c>
      <c r="C3333" s="20" t="s">
        <v>86</v>
      </c>
      <c r="D3333" s="14" t="str">
        <f>VLOOKUP(C3333,'State Key'!$A$2:$B$210,2,False)</f>
        <v>Haryana</v>
      </c>
      <c r="E3333" s="21">
        <v>1200.0</v>
      </c>
      <c r="F3333" s="22">
        <v>529.907</v>
      </c>
      <c r="G3333" s="22">
        <v>0.0</v>
      </c>
      <c r="H3333" s="22">
        <v>0.0</v>
      </c>
      <c r="I3333" s="22">
        <v>0.0</v>
      </c>
      <c r="J3333" s="22">
        <v>0.0</v>
      </c>
      <c r="K3333" s="22">
        <v>0.0</v>
      </c>
      <c r="L3333" s="22">
        <v>529.907</v>
      </c>
      <c r="M3333" s="22">
        <v>386.655</v>
      </c>
      <c r="N3333" s="22">
        <v>423.36</v>
      </c>
      <c r="O3333" s="24">
        <v>32.8</v>
      </c>
      <c r="P3333" s="18">
        <f t="shared" si="1"/>
        <v>529.907</v>
      </c>
    </row>
    <row r="3334" ht="15.75" customHeight="1">
      <c r="A3334" s="13" t="s">
        <v>237</v>
      </c>
      <c r="B3334" s="13" t="s">
        <v>61</v>
      </c>
      <c r="C3334" s="14" t="s">
        <v>87</v>
      </c>
      <c r="D3334" s="14" t="str">
        <f>VLOOKUP(C3334,'State Key'!$A$2:$B$210,2,False)</f>
        <v>Punjab</v>
      </c>
      <c r="E3334" s="15">
        <v>1400.0</v>
      </c>
      <c r="F3334" s="16">
        <v>489.7809</v>
      </c>
      <c r="G3334" s="16">
        <v>0.0</v>
      </c>
      <c r="H3334" s="16">
        <v>0.0</v>
      </c>
      <c r="I3334" s="16">
        <v>0.0</v>
      </c>
      <c r="J3334" s="16">
        <v>0.0</v>
      </c>
      <c r="K3334" s="16">
        <v>0.0</v>
      </c>
      <c r="L3334" s="16">
        <v>489.7809</v>
      </c>
      <c r="M3334" s="16">
        <v>500.8332</v>
      </c>
      <c r="N3334" s="16">
        <v>183.44</v>
      </c>
      <c r="O3334" s="23">
        <v>11.0</v>
      </c>
      <c r="P3334" s="18">
        <f t="shared" si="1"/>
        <v>489.7809</v>
      </c>
    </row>
    <row r="3335" ht="15.75" customHeight="1">
      <c r="A3335" s="19" t="s">
        <v>237</v>
      </c>
      <c r="B3335" s="19" t="s">
        <v>61</v>
      </c>
      <c r="C3335" s="20" t="s">
        <v>88</v>
      </c>
      <c r="D3335" s="14" t="str">
        <f>VLOOKUP(C3335,'State Key'!$A$2:$B$210,2,False)</f>
        <v>Uttar Pradesh</v>
      </c>
      <c r="E3335" s="21">
        <v>3000.0</v>
      </c>
      <c r="F3335" s="22">
        <v>1044.69</v>
      </c>
      <c r="G3335" s="22">
        <v>0.0</v>
      </c>
      <c r="H3335" s="22">
        <v>0.0</v>
      </c>
      <c r="I3335" s="22">
        <v>0.0</v>
      </c>
      <c r="J3335" s="22">
        <v>0.0</v>
      </c>
      <c r="K3335" s="22">
        <v>0.0</v>
      </c>
      <c r="L3335" s="22">
        <v>1044.69</v>
      </c>
      <c r="M3335" s="22">
        <v>1220.114</v>
      </c>
      <c r="N3335" s="22">
        <v>413.83</v>
      </c>
      <c r="O3335" s="23">
        <v>10.2</v>
      </c>
      <c r="P3335" s="18">
        <f t="shared" si="1"/>
        <v>1044.69</v>
      </c>
    </row>
    <row r="3336" ht="15.75" customHeight="1">
      <c r="A3336" s="13" t="s">
        <v>237</v>
      </c>
      <c r="B3336" s="13" t="s">
        <v>61</v>
      </c>
      <c r="C3336" s="14" t="s">
        <v>89</v>
      </c>
      <c r="D3336" s="14" t="str">
        <f>VLOOKUP(C3336,'State Key'!$A$2:$B$210,2,False)</f>
        <v>Punjab</v>
      </c>
      <c r="E3336" s="15">
        <v>840.0</v>
      </c>
      <c r="F3336" s="16">
        <v>240.453</v>
      </c>
      <c r="G3336" s="16">
        <v>0.0</v>
      </c>
      <c r="H3336" s="16">
        <v>20.408</v>
      </c>
      <c r="I3336" s="16">
        <v>0.0</v>
      </c>
      <c r="J3336" s="16">
        <v>0.0</v>
      </c>
      <c r="K3336" s="16">
        <v>0.0</v>
      </c>
      <c r="L3336" s="16">
        <v>260.861</v>
      </c>
      <c r="M3336" s="16">
        <v>260.146</v>
      </c>
      <c r="N3336" s="16">
        <v>322.12</v>
      </c>
      <c r="O3336" s="24">
        <v>37.1</v>
      </c>
      <c r="P3336" s="18">
        <f t="shared" si="1"/>
        <v>260.861</v>
      </c>
    </row>
    <row r="3337" ht="15.75" customHeight="1">
      <c r="A3337" s="19" t="s">
        <v>237</v>
      </c>
      <c r="B3337" s="19" t="s">
        <v>61</v>
      </c>
      <c r="C3337" s="20" t="s">
        <v>90</v>
      </c>
      <c r="D3337" s="14" t="str">
        <f>VLOOKUP(C3337,'State Key'!$A$2:$B$210,2,False)</f>
        <v>Uttar Pradesh</v>
      </c>
      <c r="E3337" s="21">
        <v>1200.0</v>
      </c>
      <c r="F3337" s="22">
        <v>379.356</v>
      </c>
      <c r="G3337" s="22">
        <v>0.0</v>
      </c>
      <c r="H3337" s="22">
        <v>0.0</v>
      </c>
      <c r="I3337" s="22">
        <v>0.0</v>
      </c>
      <c r="J3337" s="22">
        <v>0.0</v>
      </c>
      <c r="K3337" s="22">
        <v>0.0</v>
      </c>
      <c r="L3337" s="22">
        <v>379.356</v>
      </c>
      <c r="M3337" s="22">
        <v>429.434</v>
      </c>
      <c r="N3337" s="22">
        <v>220.22</v>
      </c>
      <c r="O3337" s="24">
        <v>15.4</v>
      </c>
      <c r="P3337" s="18">
        <f t="shared" si="1"/>
        <v>379.356</v>
      </c>
    </row>
    <row r="3338" ht="15.75" customHeight="1">
      <c r="A3338" s="13" t="s">
        <v>237</v>
      </c>
      <c r="B3338" s="13" t="s">
        <v>61</v>
      </c>
      <c r="C3338" s="14" t="s">
        <v>219</v>
      </c>
      <c r="D3338" s="14" t="str">
        <f>VLOOKUP(C3338,'State Key'!$A$2:$B$210,2,False)</f>
        <v>Rajasthan</v>
      </c>
      <c r="E3338" s="15">
        <v>300.0</v>
      </c>
      <c r="F3338" s="16">
        <v>0.0</v>
      </c>
      <c r="G3338" s="16">
        <v>0.0</v>
      </c>
      <c r="H3338" s="16">
        <v>0.0</v>
      </c>
      <c r="I3338" s="16">
        <v>0.0</v>
      </c>
      <c r="J3338" s="16">
        <v>58.73</v>
      </c>
      <c r="K3338" s="16">
        <v>0.0</v>
      </c>
      <c r="L3338" s="16">
        <v>58.73</v>
      </c>
      <c r="M3338" s="16">
        <v>58.73</v>
      </c>
      <c r="N3338" s="16">
        <v>0.0</v>
      </c>
      <c r="O3338" s="17">
        <v>0.0</v>
      </c>
      <c r="P3338" s="18">
        <f t="shared" si="1"/>
        <v>58.73</v>
      </c>
    </row>
    <row r="3339" ht="15.75" customHeight="1">
      <c r="A3339" s="19" t="s">
        <v>237</v>
      </c>
      <c r="B3339" s="19" t="s">
        <v>61</v>
      </c>
      <c r="C3339" s="20" t="s">
        <v>91</v>
      </c>
      <c r="D3339" s="14" t="str">
        <f>VLOOKUP(C3339,'State Key'!$A$2:$B$210,2,False)</f>
        <v>Uttar Pradesh</v>
      </c>
      <c r="E3339" s="21">
        <v>2000.0</v>
      </c>
      <c r="F3339" s="22">
        <v>928.06</v>
      </c>
      <c r="G3339" s="22">
        <v>0.0</v>
      </c>
      <c r="H3339" s="22">
        <v>0.0</v>
      </c>
      <c r="I3339" s="22">
        <v>0.0</v>
      </c>
      <c r="J3339" s="22">
        <v>0.0</v>
      </c>
      <c r="K3339" s="22">
        <v>0.0</v>
      </c>
      <c r="L3339" s="22">
        <v>928.06</v>
      </c>
      <c r="M3339" s="22">
        <v>900.567</v>
      </c>
      <c r="N3339" s="22">
        <v>226.558</v>
      </c>
      <c r="O3339" s="23">
        <v>7.5</v>
      </c>
      <c r="P3339" s="18">
        <f t="shared" si="1"/>
        <v>928.06</v>
      </c>
    </row>
    <row r="3340" ht="15.75" customHeight="1">
      <c r="A3340" s="13" t="s">
        <v>237</v>
      </c>
      <c r="B3340" s="13" t="s">
        <v>61</v>
      </c>
      <c r="C3340" s="14" t="s">
        <v>92</v>
      </c>
      <c r="D3340" s="14" t="str">
        <f>VLOOKUP(C3340,'State Key'!$A$2:$B$210,2,False)</f>
        <v>Rajasthan</v>
      </c>
      <c r="E3340" s="15">
        <v>1320.0</v>
      </c>
      <c r="F3340" s="16">
        <v>169.226</v>
      </c>
      <c r="G3340" s="16">
        <v>0.0</v>
      </c>
      <c r="H3340" s="16">
        <v>240.171</v>
      </c>
      <c r="I3340" s="16">
        <v>0.0</v>
      </c>
      <c r="J3340" s="16">
        <v>0.0</v>
      </c>
      <c r="K3340" s="16">
        <v>0.0</v>
      </c>
      <c r="L3340" s="16">
        <v>409.397</v>
      </c>
      <c r="M3340" s="16">
        <v>430.103</v>
      </c>
      <c r="N3340" s="16">
        <v>103.36</v>
      </c>
      <c r="O3340" s="23">
        <v>7.2</v>
      </c>
      <c r="P3340" s="18">
        <f t="shared" si="1"/>
        <v>409.397</v>
      </c>
    </row>
    <row r="3341" ht="15.75" customHeight="1">
      <c r="A3341" s="19" t="s">
        <v>237</v>
      </c>
      <c r="B3341" s="19" t="s">
        <v>61</v>
      </c>
      <c r="C3341" s="20" t="s">
        <v>93</v>
      </c>
      <c r="D3341" s="14" t="str">
        <f>VLOOKUP(C3341,'State Key'!$A$2:$B$210,2,False)</f>
        <v>Rajasthan</v>
      </c>
      <c r="E3341" s="21">
        <v>1500.0</v>
      </c>
      <c r="F3341" s="22">
        <v>449.539</v>
      </c>
      <c r="G3341" s="22">
        <v>0.0</v>
      </c>
      <c r="H3341" s="22">
        <v>0.0</v>
      </c>
      <c r="I3341" s="22">
        <v>0.0</v>
      </c>
      <c r="J3341" s="22">
        <v>0.0</v>
      </c>
      <c r="K3341" s="22">
        <v>11.84</v>
      </c>
      <c r="L3341" s="22">
        <v>461.379</v>
      </c>
      <c r="M3341" s="22">
        <v>330.693</v>
      </c>
      <c r="N3341" s="22">
        <v>195.95</v>
      </c>
      <c r="O3341" s="24">
        <v>17.8</v>
      </c>
      <c r="P3341" s="18">
        <f t="shared" si="1"/>
        <v>461.379</v>
      </c>
    </row>
    <row r="3342" ht="15.75" customHeight="1">
      <c r="A3342" s="13" t="s">
        <v>237</v>
      </c>
      <c r="B3342" s="13" t="s">
        <v>61</v>
      </c>
      <c r="C3342" s="14" t="s">
        <v>94</v>
      </c>
      <c r="D3342" s="14" t="str">
        <f>VLOOKUP(C3342,'State Key'!$A$2:$B$210,2,False)</f>
        <v>Punjab</v>
      </c>
      <c r="E3342" s="15">
        <v>1980.0</v>
      </c>
      <c r="F3342" s="16">
        <v>731.175</v>
      </c>
      <c r="G3342" s="16">
        <v>0.0</v>
      </c>
      <c r="H3342" s="16">
        <v>0.0</v>
      </c>
      <c r="I3342" s="16">
        <v>0.0</v>
      </c>
      <c r="J3342" s="16">
        <v>0.0</v>
      </c>
      <c r="K3342" s="16">
        <v>0.0</v>
      </c>
      <c r="L3342" s="16">
        <v>731.175</v>
      </c>
      <c r="M3342" s="16">
        <v>589.025</v>
      </c>
      <c r="N3342" s="16">
        <v>229.4</v>
      </c>
      <c r="O3342" s="23">
        <v>11.7</v>
      </c>
      <c r="P3342" s="18">
        <f t="shared" si="1"/>
        <v>731.175</v>
      </c>
    </row>
    <row r="3343" ht="15.75" customHeight="1">
      <c r="A3343" s="19" t="s">
        <v>237</v>
      </c>
      <c r="B3343" s="19" t="s">
        <v>61</v>
      </c>
      <c r="C3343" s="20" t="s">
        <v>95</v>
      </c>
      <c r="D3343" s="14" t="str">
        <f>VLOOKUP(C3343,'State Key'!$A$2:$B$210,2,False)</f>
        <v>Uttar Pradesh</v>
      </c>
      <c r="E3343" s="21">
        <v>1760.0</v>
      </c>
      <c r="F3343" s="22">
        <v>203.75</v>
      </c>
      <c r="G3343" s="22">
        <v>0.0</v>
      </c>
      <c r="H3343" s="22">
        <v>183.23</v>
      </c>
      <c r="I3343" s="22">
        <v>0.0</v>
      </c>
      <c r="J3343" s="22">
        <v>38.61</v>
      </c>
      <c r="K3343" s="22">
        <v>31.81</v>
      </c>
      <c r="L3343" s="22">
        <v>457.4</v>
      </c>
      <c r="M3343" s="22">
        <v>662.851</v>
      </c>
      <c r="N3343" s="22">
        <v>284.45</v>
      </c>
      <c r="O3343" s="23">
        <v>12.9</v>
      </c>
      <c r="P3343" s="18">
        <f t="shared" si="1"/>
        <v>457.4</v>
      </c>
    </row>
    <row r="3344" ht="15.75" customHeight="1">
      <c r="A3344" s="13" t="s">
        <v>237</v>
      </c>
      <c r="B3344" s="13" t="s">
        <v>61</v>
      </c>
      <c r="C3344" s="14" t="s">
        <v>96</v>
      </c>
      <c r="D3344" s="14" t="str">
        <f>VLOOKUP(C3344,'State Key'!$A$2:$B$210,2,False)</f>
        <v>Uttar Pradesh</v>
      </c>
      <c r="E3344" s="15">
        <v>1550.0</v>
      </c>
      <c r="F3344" s="16">
        <v>390.59</v>
      </c>
      <c r="G3344" s="16">
        <v>0.0</v>
      </c>
      <c r="H3344" s="16">
        <v>94.59</v>
      </c>
      <c r="I3344" s="16">
        <v>0.0</v>
      </c>
      <c r="J3344" s="16">
        <v>35.464</v>
      </c>
      <c r="K3344" s="16">
        <v>0.0</v>
      </c>
      <c r="L3344" s="16">
        <v>520.644</v>
      </c>
      <c r="M3344" s="16">
        <v>556.607</v>
      </c>
      <c r="N3344" s="16">
        <v>156.21</v>
      </c>
      <c r="O3344" s="23">
        <v>8.4</v>
      </c>
      <c r="P3344" s="18">
        <f t="shared" si="1"/>
        <v>520.644</v>
      </c>
    </row>
    <row r="3345" ht="15.75" customHeight="1">
      <c r="A3345" s="19" t="s">
        <v>237</v>
      </c>
      <c r="B3345" s="19" t="s">
        <v>61</v>
      </c>
      <c r="C3345" s="20" t="s">
        <v>97</v>
      </c>
      <c r="D3345" s="14" t="str">
        <f>VLOOKUP(C3345,'State Key'!$A$2:$B$210,2,False)</f>
        <v>Uttar Pradesh</v>
      </c>
      <c r="E3345" s="21">
        <v>90.0</v>
      </c>
      <c r="F3345" s="22">
        <v>23.77</v>
      </c>
      <c r="G3345" s="22">
        <v>0.0</v>
      </c>
      <c r="H3345" s="22">
        <v>0.0</v>
      </c>
      <c r="I3345" s="22">
        <v>0.0</v>
      </c>
      <c r="J3345" s="22">
        <v>0.0</v>
      </c>
      <c r="K3345" s="22">
        <v>0.0</v>
      </c>
      <c r="L3345" s="22">
        <v>23.77</v>
      </c>
      <c r="M3345" s="22">
        <v>34.139</v>
      </c>
      <c r="N3345" s="22">
        <v>23.03</v>
      </c>
      <c r="O3345" s="24">
        <v>20.2</v>
      </c>
      <c r="P3345" s="18">
        <f t="shared" si="1"/>
        <v>23.77</v>
      </c>
    </row>
    <row r="3346" ht="15.75" customHeight="1">
      <c r="A3346" s="13" t="s">
        <v>237</v>
      </c>
      <c r="B3346" s="13" t="s">
        <v>61</v>
      </c>
      <c r="C3346" s="14" t="s">
        <v>98</v>
      </c>
      <c r="D3346" s="14" t="str">
        <f>VLOOKUP(C3346,'State Key'!$A$2:$B$210,2,False)</f>
        <v>Haryana</v>
      </c>
      <c r="E3346" s="15">
        <v>600.0</v>
      </c>
      <c r="F3346" s="16">
        <v>139.172</v>
      </c>
      <c r="G3346" s="16">
        <v>0.0</v>
      </c>
      <c r="H3346" s="16">
        <v>0.0</v>
      </c>
      <c r="I3346" s="16">
        <v>0.0</v>
      </c>
      <c r="J3346" s="16">
        <v>0.0</v>
      </c>
      <c r="K3346" s="16">
        <v>0.0</v>
      </c>
      <c r="L3346" s="16">
        <v>139.172</v>
      </c>
      <c r="M3346" s="16">
        <v>240.207</v>
      </c>
      <c r="N3346" s="16">
        <v>116.66</v>
      </c>
      <c r="O3346" s="24">
        <v>14.6</v>
      </c>
      <c r="P3346" s="18">
        <f t="shared" si="1"/>
        <v>139.172</v>
      </c>
    </row>
    <row r="3347" ht="15.75" customHeight="1">
      <c r="A3347" s="19" t="s">
        <v>237</v>
      </c>
      <c r="B3347" s="19" t="s">
        <v>99</v>
      </c>
      <c r="C3347" s="20" t="s">
        <v>230</v>
      </c>
      <c r="D3347" s="14" t="str">
        <f>VLOOKUP(C3347,'State Key'!$A$2:$B$210,2,False)</f>
        <v>Karnataka</v>
      </c>
      <c r="E3347" s="21">
        <v>1200.0</v>
      </c>
      <c r="F3347" s="22">
        <v>0.0</v>
      </c>
      <c r="G3347" s="22">
        <v>0.0</v>
      </c>
      <c r="H3347" s="22">
        <v>0.0</v>
      </c>
      <c r="I3347" s="22">
        <v>0.0</v>
      </c>
      <c r="J3347" s="22">
        <v>146.722</v>
      </c>
      <c r="K3347" s="22">
        <v>0.0</v>
      </c>
      <c r="L3347" s="22">
        <v>146.722</v>
      </c>
      <c r="M3347" s="22">
        <v>25.738</v>
      </c>
      <c r="N3347" s="22">
        <v>456.69</v>
      </c>
      <c r="O3347" s="24">
        <v>532.3</v>
      </c>
      <c r="P3347" s="18">
        <f t="shared" si="1"/>
        <v>146.722</v>
      </c>
    </row>
    <row r="3348" ht="15.75" customHeight="1">
      <c r="A3348" s="13" t="s">
        <v>237</v>
      </c>
      <c r="B3348" s="13" t="s">
        <v>99</v>
      </c>
      <c r="C3348" s="14" t="s">
        <v>100</v>
      </c>
      <c r="D3348" s="14" t="str">
        <f>VLOOKUP(C3348,'State Key'!$A$2:$B$210,2,False)</f>
        <v>Karnataka</v>
      </c>
      <c r="E3348" s="15">
        <v>1700.0</v>
      </c>
      <c r="F3348" s="16">
        <v>7.97506</v>
      </c>
      <c r="G3348" s="16">
        <v>105.14005</v>
      </c>
      <c r="H3348" s="16">
        <v>327.48077</v>
      </c>
      <c r="I3348" s="16">
        <v>0.0</v>
      </c>
      <c r="J3348" s="16">
        <v>0.0</v>
      </c>
      <c r="K3348" s="16">
        <v>0.0</v>
      </c>
      <c r="L3348" s="16">
        <v>440.59588</v>
      </c>
      <c r="M3348" s="16">
        <v>643.807</v>
      </c>
      <c r="N3348" s="16">
        <v>328.1721</v>
      </c>
      <c r="O3348" s="24">
        <v>15.3</v>
      </c>
      <c r="P3348" s="18">
        <f t="shared" si="1"/>
        <v>440.59588</v>
      </c>
    </row>
    <row r="3349" ht="15.75" customHeight="1">
      <c r="A3349" s="19" t="s">
        <v>237</v>
      </c>
      <c r="B3349" s="19" t="s">
        <v>99</v>
      </c>
      <c r="C3349" s="20" t="s">
        <v>101</v>
      </c>
      <c r="D3349" s="14" t="str">
        <f>VLOOKUP(C3349,'State Key'!$A$2:$B$210,2,False)</f>
        <v>Telangana</v>
      </c>
      <c r="E3349" s="21">
        <v>1080.0</v>
      </c>
      <c r="F3349" s="22">
        <v>0.0</v>
      </c>
      <c r="G3349" s="22">
        <v>459.613</v>
      </c>
      <c r="H3349" s="22">
        <v>0.0</v>
      </c>
      <c r="I3349" s="22">
        <v>0.0</v>
      </c>
      <c r="J3349" s="22">
        <v>0.0</v>
      </c>
      <c r="K3349" s="22">
        <v>0.0</v>
      </c>
      <c r="L3349" s="22">
        <v>459.613</v>
      </c>
      <c r="M3349" s="22">
        <v>312.703</v>
      </c>
      <c r="N3349" s="22">
        <v>227.913</v>
      </c>
      <c r="O3349" s="24">
        <v>21.9</v>
      </c>
      <c r="P3349" s="18">
        <f t="shared" si="1"/>
        <v>459.613</v>
      </c>
    </row>
    <row r="3350" ht="15.75" customHeight="1">
      <c r="A3350" s="13" t="s">
        <v>237</v>
      </c>
      <c r="B3350" s="13" t="s">
        <v>99</v>
      </c>
      <c r="C3350" s="14" t="s">
        <v>102</v>
      </c>
      <c r="D3350" s="14" t="str">
        <f>VLOOKUP(C3350,'State Key'!$A$2:$B$210,2,False)</f>
        <v>Andhra Pradesh</v>
      </c>
      <c r="E3350" s="15">
        <v>2400.0</v>
      </c>
      <c r="F3350" s="16">
        <v>710.82167</v>
      </c>
      <c r="G3350" s="16">
        <v>0.0</v>
      </c>
      <c r="H3350" s="16">
        <v>0.0</v>
      </c>
      <c r="I3350" s="16">
        <v>0.0</v>
      </c>
      <c r="J3350" s="16">
        <v>0.0</v>
      </c>
      <c r="K3350" s="16">
        <v>0.0</v>
      </c>
      <c r="L3350" s="16">
        <v>710.82167</v>
      </c>
      <c r="M3350" s="16">
        <v>647.189</v>
      </c>
      <c r="N3350" s="16">
        <v>118.97</v>
      </c>
      <c r="O3350" s="17">
        <v>5.5</v>
      </c>
      <c r="P3350" s="18">
        <f t="shared" si="1"/>
        <v>710.82167</v>
      </c>
    </row>
    <row r="3351" ht="15.75" customHeight="1">
      <c r="A3351" s="19" t="s">
        <v>237</v>
      </c>
      <c r="B3351" s="19" t="s">
        <v>99</v>
      </c>
      <c r="C3351" s="20" t="s">
        <v>103</v>
      </c>
      <c r="D3351" s="14" t="str">
        <f>VLOOKUP(C3351,'State Key'!$A$2:$B$210,2,False)</f>
        <v>Andhra Pradesh</v>
      </c>
      <c r="E3351" s="21">
        <v>2560.0</v>
      </c>
      <c r="F3351" s="22">
        <v>814.488</v>
      </c>
      <c r="G3351" s="22">
        <v>152.391</v>
      </c>
      <c r="H3351" s="22">
        <v>0.0</v>
      </c>
      <c r="I3351" s="22">
        <v>0.0</v>
      </c>
      <c r="J3351" s="22">
        <v>0.0</v>
      </c>
      <c r="K3351" s="22">
        <v>0.0</v>
      </c>
      <c r="L3351" s="22">
        <v>966.879</v>
      </c>
      <c r="M3351" s="22">
        <v>990.162</v>
      </c>
      <c r="N3351" s="22">
        <v>240.119</v>
      </c>
      <c r="O3351" s="23">
        <v>7.3</v>
      </c>
      <c r="P3351" s="18">
        <f t="shared" si="1"/>
        <v>966.879</v>
      </c>
    </row>
    <row r="3352" ht="15.75" customHeight="1">
      <c r="A3352" s="13" t="s">
        <v>237</v>
      </c>
      <c r="B3352" s="13" t="s">
        <v>99</v>
      </c>
      <c r="C3352" s="14" t="s">
        <v>104</v>
      </c>
      <c r="D3352" s="14" t="str">
        <f>VLOOKUP(C3352,'State Key'!$A$2:$B$210,2,False)</f>
        <v>Tamil Nadu</v>
      </c>
      <c r="E3352" s="15">
        <v>1200.0</v>
      </c>
      <c r="F3352" s="16">
        <v>0.0</v>
      </c>
      <c r="G3352" s="16">
        <v>0.0</v>
      </c>
      <c r="H3352" s="16">
        <v>0.0</v>
      </c>
      <c r="I3352" s="16">
        <v>0.0</v>
      </c>
      <c r="J3352" s="16">
        <v>408.1513</v>
      </c>
      <c r="K3352" s="16">
        <v>0.0</v>
      </c>
      <c r="L3352" s="16">
        <v>408.1513</v>
      </c>
      <c r="M3352" s="16">
        <v>437.8529</v>
      </c>
      <c r="N3352" s="16">
        <v>472.49</v>
      </c>
      <c r="O3352" s="24">
        <v>32.4</v>
      </c>
      <c r="P3352" s="18">
        <f t="shared" si="1"/>
        <v>408.1513</v>
      </c>
    </row>
    <row r="3353" ht="15.75" customHeight="1">
      <c r="A3353" s="19" t="s">
        <v>237</v>
      </c>
      <c r="B3353" s="19" t="s">
        <v>99</v>
      </c>
      <c r="C3353" s="20" t="s">
        <v>105</v>
      </c>
      <c r="D3353" s="14" t="str">
        <f>VLOOKUP(C3353,'State Key'!$A$2:$B$210,2,False)</f>
        <v>Telangana</v>
      </c>
      <c r="E3353" s="21">
        <v>1100.0</v>
      </c>
      <c r="F3353" s="22">
        <v>0.0</v>
      </c>
      <c r="G3353" s="22">
        <v>171.171</v>
      </c>
      <c r="H3353" s="22">
        <v>207.843</v>
      </c>
      <c r="I3353" s="22">
        <v>0.0</v>
      </c>
      <c r="J3353" s="22">
        <v>0.0</v>
      </c>
      <c r="K3353" s="22">
        <v>0.0</v>
      </c>
      <c r="L3353" s="22">
        <v>379.014</v>
      </c>
      <c r="M3353" s="22">
        <v>349.908</v>
      </c>
      <c r="N3353" s="22">
        <v>311.778</v>
      </c>
      <c r="O3353" s="24">
        <v>26.7</v>
      </c>
      <c r="P3353" s="18">
        <f t="shared" si="1"/>
        <v>379.014</v>
      </c>
    </row>
    <row r="3354" ht="15.75" customHeight="1">
      <c r="A3354" s="13" t="s">
        <v>237</v>
      </c>
      <c r="B3354" s="13" t="s">
        <v>99</v>
      </c>
      <c r="C3354" s="14" t="s">
        <v>106</v>
      </c>
      <c r="D3354" s="14" t="str">
        <f>VLOOKUP(C3354,'State Key'!$A$2:$B$210,2,False)</f>
        <v>Telangana</v>
      </c>
      <c r="E3354" s="15">
        <v>1000.0</v>
      </c>
      <c r="F3354" s="16">
        <v>0.0</v>
      </c>
      <c r="G3354" s="16">
        <v>381.596</v>
      </c>
      <c r="H3354" s="16">
        <v>0.0</v>
      </c>
      <c r="I3354" s="16">
        <v>0.0</v>
      </c>
      <c r="J3354" s="16">
        <v>0.0</v>
      </c>
      <c r="K3354" s="16">
        <v>0.0</v>
      </c>
      <c r="L3354" s="16">
        <v>381.596</v>
      </c>
      <c r="M3354" s="16">
        <v>410.82</v>
      </c>
      <c r="N3354" s="16">
        <v>261.031</v>
      </c>
      <c r="O3354" s="24">
        <v>19.1</v>
      </c>
      <c r="P3354" s="18">
        <f t="shared" si="1"/>
        <v>381.596</v>
      </c>
    </row>
    <row r="3355" ht="15.75" customHeight="1">
      <c r="A3355" s="19" t="s">
        <v>237</v>
      </c>
      <c r="B3355" s="19" t="s">
        <v>99</v>
      </c>
      <c r="C3355" s="20" t="s">
        <v>107</v>
      </c>
      <c r="D3355" s="14" t="str">
        <f>VLOOKUP(C3355,'State Key'!$A$2:$B$210,2,False)</f>
        <v>Telangana</v>
      </c>
      <c r="E3355" s="21">
        <v>800.0</v>
      </c>
      <c r="F3355" s="22">
        <v>0.0</v>
      </c>
      <c r="G3355" s="22">
        <v>266.592</v>
      </c>
      <c r="H3355" s="22">
        <v>0.0</v>
      </c>
      <c r="I3355" s="22">
        <v>0.0</v>
      </c>
      <c r="J3355" s="22">
        <v>0.0</v>
      </c>
      <c r="K3355" s="22">
        <v>0.0</v>
      </c>
      <c r="L3355" s="22">
        <v>266.592</v>
      </c>
      <c r="M3355" s="22">
        <v>244.999</v>
      </c>
      <c r="N3355" s="22">
        <v>103.346</v>
      </c>
      <c r="O3355" s="23">
        <v>12.7</v>
      </c>
      <c r="P3355" s="18">
        <f t="shared" si="1"/>
        <v>266.592</v>
      </c>
    </row>
    <row r="3356" ht="15.75" customHeight="1">
      <c r="A3356" s="13" t="s">
        <v>237</v>
      </c>
      <c r="B3356" s="13" t="s">
        <v>99</v>
      </c>
      <c r="C3356" s="14" t="s">
        <v>108</v>
      </c>
      <c r="D3356" s="14" t="str">
        <f>VLOOKUP(C3356,'State Key'!$A$2:$B$210,2,False)</f>
        <v>Karnataka</v>
      </c>
      <c r="E3356" s="15">
        <v>2400.0</v>
      </c>
      <c r="F3356" s="16">
        <v>289.81</v>
      </c>
      <c r="G3356" s="16">
        <v>149.4</v>
      </c>
      <c r="H3356" s="16">
        <v>203.97</v>
      </c>
      <c r="I3356" s="16">
        <v>0.0</v>
      </c>
      <c r="J3356" s="16">
        <v>75.694</v>
      </c>
      <c r="K3356" s="16">
        <v>0.0</v>
      </c>
      <c r="L3356" s="16">
        <v>718.874</v>
      </c>
      <c r="M3356" s="16">
        <v>803.829</v>
      </c>
      <c r="N3356" s="16">
        <v>360.858</v>
      </c>
      <c r="O3356" s="23">
        <v>13.5</v>
      </c>
      <c r="P3356" s="18">
        <f t="shared" si="1"/>
        <v>718.874</v>
      </c>
    </row>
    <row r="3357" ht="15.75" customHeight="1">
      <c r="A3357" s="19" t="s">
        <v>237</v>
      </c>
      <c r="B3357" s="19" t="s">
        <v>99</v>
      </c>
      <c r="C3357" s="20" t="s">
        <v>231</v>
      </c>
      <c r="D3357" s="14" t="str">
        <f>VLOOKUP(C3357,'State Key'!$A$2:$B$210,2,False)</f>
        <v>Karnataka</v>
      </c>
      <c r="E3357" s="21">
        <v>1200.0</v>
      </c>
      <c r="F3357" s="22">
        <v>0.0</v>
      </c>
      <c r="G3357" s="22">
        <v>0.0</v>
      </c>
      <c r="H3357" s="22">
        <v>0.0</v>
      </c>
      <c r="I3357" s="22">
        <v>0.0</v>
      </c>
      <c r="J3357" s="22">
        <v>146.722</v>
      </c>
      <c r="K3357" s="22">
        <v>0.0</v>
      </c>
      <c r="L3357" s="22">
        <v>146.722</v>
      </c>
      <c r="M3357" s="22">
        <v>25.738</v>
      </c>
      <c r="N3357" s="22">
        <v>456.69</v>
      </c>
      <c r="O3357" s="24">
        <v>532.3</v>
      </c>
      <c r="P3357" s="18">
        <f t="shared" si="1"/>
        <v>146.722</v>
      </c>
    </row>
    <row r="3358" ht="15.75" customHeight="1">
      <c r="A3358" s="13" t="s">
        <v>237</v>
      </c>
      <c r="B3358" s="13" t="s">
        <v>99</v>
      </c>
      <c r="C3358" s="14" t="s">
        <v>109</v>
      </c>
      <c r="D3358" s="14" t="str">
        <f>VLOOKUP(C3358,'State Key'!$A$2:$B$210,2,False)</f>
        <v>Tamil Nadu</v>
      </c>
      <c r="E3358" s="15">
        <v>840.0</v>
      </c>
      <c r="F3358" s="16">
        <v>286.3159</v>
      </c>
      <c r="G3358" s="16">
        <v>41.3728</v>
      </c>
      <c r="H3358" s="16">
        <v>0.0</v>
      </c>
      <c r="I3358" s="16">
        <v>0.0</v>
      </c>
      <c r="J3358" s="16">
        <v>0.0</v>
      </c>
      <c r="K3358" s="16">
        <v>0.0</v>
      </c>
      <c r="L3358" s="16">
        <v>327.6887</v>
      </c>
      <c r="M3358" s="16">
        <v>404.8866</v>
      </c>
      <c r="N3358" s="16">
        <v>157.447</v>
      </c>
      <c r="O3358" s="23">
        <v>11.7</v>
      </c>
      <c r="P3358" s="18">
        <f t="shared" si="1"/>
        <v>327.6887</v>
      </c>
    </row>
    <row r="3359" ht="15.75" customHeight="1">
      <c r="A3359" s="19" t="s">
        <v>237</v>
      </c>
      <c r="B3359" s="19" t="s">
        <v>99</v>
      </c>
      <c r="C3359" s="20" t="s">
        <v>110</v>
      </c>
      <c r="D3359" s="14" t="str">
        <f>VLOOKUP(C3359,'State Key'!$A$2:$B$210,2,False)</f>
        <v>Tamil Nadu</v>
      </c>
      <c r="E3359" s="21">
        <v>600.0</v>
      </c>
      <c r="F3359" s="22">
        <v>196.84</v>
      </c>
      <c r="G3359" s="22">
        <v>15.48</v>
      </c>
      <c r="H3359" s="22">
        <v>0.0</v>
      </c>
      <c r="I3359" s="22">
        <v>0.0</v>
      </c>
      <c r="J3359" s="22">
        <v>0.0</v>
      </c>
      <c r="K3359" s="22">
        <v>0.0</v>
      </c>
      <c r="L3359" s="22">
        <v>212.32</v>
      </c>
      <c r="M3359" s="22">
        <v>232.56</v>
      </c>
      <c r="N3359" s="22">
        <v>226.28</v>
      </c>
      <c r="O3359" s="24">
        <v>29.2</v>
      </c>
      <c r="P3359" s="18">
        <f t="shared" si="1"/>
        <v>212.32</v>
      </c>
    </row>
    <row r="3360" ht="15.75" customHeight="1">
      <c r="A3360" s="13" t="s">
        <v>237</v>
      </c>
      <c r="B3360" s="13" t="s">
        <v>99</v>
      </c>
      <c r="C3360" s="14" t="s">
        <v>111</v>
      </c>
      <c r="D3360" s="14" t="str">
        <f>VLOOKUP(C3360,'State Key'!$A$2:$B$210,2,False)</f>
        <v>Tamil Nadu</v>
      </c>
      <c r="E3360" s="15">
        <v>1200.0</v>
      </c>
      <c r="F3360" s="16">
        <v>0.0</v>
      </c>
      <c r="G3360" s="16">
        <v>0.0</v>
      </c>
      <c r="H3360" s="16">
        <v>0.0</v>
      </c>
      <c r="I3360" s="16">
        <v>0.0</v>
      </c>
      <c r="J3360" s="16">
        <v>229.069</v>
      </c>
      <c r="K3360" s="16">
        <v>0.0</v>
      </c>
      <c r="L3360" s="16">
        <v>229.069</v>
      </c>
      <c r="M3360" s="16">
        <v>192.985</v>
      </c>
      <c r="N3360" s="16">
        <v>244.91</v>
      </c>
      <c r="O3360" s="24">
        <v>38.1</v>
      </c>
      <c r="P3360" s="18">
        <f t="shared" si="1"/>
        <v>229.069</v>
      </c>
    </row>
    <row r="3361" ht="15.75" customHeight="1">
      <c r="A3361" s="19" t="s">
        <v>237</v>
      </c>
      <c r="B3361" s="19" t="s">
        <v>99</v>
      </c>
      <c r="C3361" s="20" t="s">
        <v>112</v>
      </c>
      <c r="D3361" s="14" t="str">
        <f>VLOOKUP(C3361,'State Key'!$A$2:$B$210,2,False)</f>
        <v>Tamil Nadu</v>
      </c>
      <c r="E3361" s="21">
        <v>1830.0</v>
      </c>
      <c r="F3361" s="22">
        <v>832.243</v>
      </c>
      <c r="G3361" s="22">
        <v>0.0</v>
      </c>
      <c r="H3361" s="22">
        <v>0.0</v>
      </c>
      <c r="I3361" s="22">
        <v>0.0</v>
      </c>
      <c r="J3361" s="22">
        <v>0.0</v>
      </c>
      <c r="K3361" s="22">
        <v>0.0</v>
      </c>
      <c r="L3361" s="22">
        <v>832.243</v>
      </c>
      <c r="M3361" s="22">
        <v>630.654</v>
      </c>
      <c r="N3361" s="22">
        <v>663.498</v>
      </c>
      <c r="O3361" s="24">
        <v>31.6</v>
      </c>
      <c r="P3361" s="18">
        <f t="shared" si="1"/>
        <v>832.243</v>
      </c>
    </row>
    <row r="3362" ht="15.75" customHeight="1">
      <c r="A3362" s="13" t="s">
        <v>237</v>
      </c>
      <c r="B3362" s="13" t="s">
        <v>99</v>
      </c>
      <c r="C3362" s="14" t="s">
        <v>113</v>
      </c>
      <c r="D3362" s="14" t="str">
        <f>VLOOKUP(C3362,'State Key'!$A$2:$B$210,2,False)</f>
        <v>Tamil Nadu</v>
      </c>
      <c r="E3362" s="15">
        <v>1000.0</v>
      </c>
      <c r="F3362" s="16">
        <v>0.0</v>
      </c>
      <c r="G3362" s="16">
        <v>0.0</v>
      </c>
      <c r="H3362" s="16">
        <v>298.936</v>
      </c>
      <c r="I3362" s="16">
        <v>0.0</v>
      </c>
      <c r="J3362" s="16">
        <v>75.827</v>
      </c>
      <c r="K3362" s="16">
        <v>0.0</v>
      </c>
      <c r="L3362" s="16">
        <v>374.763</v>
      </c>
      <c r="M3362" s="16">
        <v>389.338</v>
      </c>
      <c r="N3362" s="16">
        <v>167.5</v>
      </c>
      <c r="O3362" s="23">
        <v>12.9</v>
      </c>
      <c r="P3362" s="18">
        <f t="shared" si="1"/>
        <v>374.763</v>
      </c>
    </row>
    <row r="3363" ht="15.75" customHeight="1">
      <c r="A3363" s="19" t="s">
        <v>237</v>
      </c>
      <c r="B3363" s="19" t="s">
        <v>99</v>
      </c>
      <c r="C3363" s="20" t="s">
        <v>228</v>
      </c>
      <c r="D3363" s="14" t="str">
        <f>VLOOKUP(C3363,'State Key'!$A$2:$B$210,2,False)</f>
        <v>Tamil Nadu</v>
      </c>
      <c r="E3363" s="21">
        <v>414.0</v>
      </c>
      <c r="F3363" s="22">
        <v>0.0</v>
      </c>
      <c r="G3363" s="22">
        <v>0.0</v>
      </c>
      <c r="H3363" s="22">
        <v>0.0</v>
      </c>
      <c r="I3363" s="22">
        <v>0.0</v>
      </c>
      <c r="J3363" s="22">
        <v>170.0024</v>
      </c>
      <c r="K3363" s="22">
        <v>0.0</v>
      </c>
      <c r="L3363" s="22">
        <v>170.0024</v>
      </c>
      <c r="M3363" s="22">
        <v>152.65</v>
      </c>
      <c r="N3363" s="22">
        <v>107.12</v>
      </c>
      <c r="O3363" s="24">
        <v>21.1</v>
      </c>
      <c r="P3363" s="18">
        <f t="shared" si="1"/>
        <v>170.0024</v>
      </c>
    </row>
    <row r="3364" ht="15.75" customHeight="1">
      <c r="A3364" s="13" t="s">
        <v>237</v>
      </c>
      <c r="B3364" s="13" t="s">
        <v>99</v>
      </c>
      <c r="C3364" s="14" t="s">
        <v>114</v>
      </c>
      <c r="D3364" s="14" t="str">
        <f>VLOOKUP(C3364,'State Key'!$A$2:$B$210,2,False)</f>
        <v>Andhra Pradesh</v>
      </c>
      <c r="E3364" s="15">
        <v>1320.0</v>
      </c>
      <c r="F3364" s="16">
        <v>250.382</v>
      </c>
      <c r="G3364" s="16">
        <v>0.0</v>
      </c>
      <c r="H3364" s="16">
        <v>0.0</v>
      </c>
      <c r="I3364" s="16">
        <v>0.0</v>
      </c>
      <c r="J3364" s="16">
        <v>263.922</v>
      </c>
      <c r="K3364" s="16">
        <v>0.0</v>
      </c>
      <c r="L3364" s="16">
        <v>514.304</v>
      </c>
      <c r="M3364" s="16">
        <v>418.913</v>
      </c>
      <c r="N3364" s="16">
        <v>360.1</v>
      </c>
      <c r="O3364" s="24">
        <v>25.8</v>
      </c>
      <c r="P3364" s="18">
        <f t="shared" si="1"/>
        <v>514.304</v>
      </c>
    </row>
    <row r="3365" ht="15.75" customHeight="1">
      <c r="A3365" s="19" t="s">
        <v>237</v>
      </c>
      <c r="B3365" s="19" t="s">
        <v>99</v>
      </c>
      <c r="C3365" s="20" t="s">
        <v>115</v>
      </c>
      <c r="D3365" s="14" t="str">
        <f>VLOOKUP(C3365,'State Key'!$A$2:$B$210,2,False)</f>
        <v>Karnataka</v>
      </c>
      <c r="E3365" s="21">
        <v>1720.0</v>
      </c>
      <c r="F3365" s="22">
        <v>131.581</v>
      </c>
      <c r="G3365" s="22">
        <v>140.622</v>
      </c>
      <c r="H3365" s="22">
        <v>0.0</v>
      </c>
      <c r="I3365" s="22">
        <v>0.0</v>
      </c>
      <c r="J3365" s="22">
        <v>0.0</v>
      </c>
      <c r="K3365" s="22">
        <v>0.0</v>
      </c>
      <c r="L3365" s="22">
        <v>272.203</v>
      </c>
      <c r="M3365" s="22">
        <v>525.721</v>
      </c>
      <c r="N3365" s="22">
        <v>427.1</v>
      </c>
      <c r="O3365" s="24">
        <v>24.4</v>
      </c>
      <c r="P3365" s="18">
        <f t="shared" si="1"/>
        <v>272.203</v>
      </c>
    </row>
    <row r="3366" ht="15.75" customHeight="1">
      <c r="A3366" s="13" t="s">
        <v>237</v>
      </c>
      <c r="B3366" s="13" t="s">
        <v>99</v>
      </c>
      <c r="C3366" s="14" t="s">
        <v>116</v>
      </c>
      <c r="D3366" s="14" t="str">
        <f>VLOOKUP(C3366,'State Key'!$A$2:$B$210,2,False)</f>
        <v>Telangana</v>
      </c>
      <c r="E3366" s="15">
        <v>2600.0</v>
      </c>
      <c r="F3366" s="16">
        <v>90.9</v>
      </c>
      <c r="G3366" s="16">
        <v>865.76</v>
      </c>
      <c r="H3366" s="16">
        <v>20.38</v>
      </c>
      <c r="I3366" s="16">
        <v>0.0</v>
      </c>
      <c r="J3366" s="16">
        <v>0.0</v>
      </c>
      <c r="K3366" s="16">
        <v>0.0</v>
      </c>
      <c r="L3366" s="16">
        <v>977.04</v>
      </c>
      <c r="M3366" s="16">
        <v>895.792</v>
      </c>
      <c r="N3366" s="16">
        <v>462.66</v>
      </c>
      <c r="O3366" s="24">
        <v>15.5</v>
      </c>
      <c r="P3366" s="18">
        <f t="shared" si="1"/>
        <v>977.04</v>
      </c>
    </row>
    <row r="3367" ht="15.75" customHeight="1">
      <c r="A3367" s="19" t="s">
        <v>237</v>
      </c>
      <c r="B3367" s="19" t="s">
        <v>99</v>
      </c>
      <c r="C3367" s="20" t="s">
        <v>117</v>
      </c>
      <c r="D3367" s="14" t="str">
        <f>VLOOKUP(C3367,'State Key'!$A$2:$B$210,2,False)</f>
        <v>Telangana</v>
      </c>
      <c r="E3367" s="21">
        <v>62.5</v>
      </c>
      <c r="F3367" s="22">
        <v>0.0</v>
      </c>
      <c r="G3367" s="22">
        <v>0.0</v>
      </c>
      <c r="H3367" s="22">
        <v>0.0</v>
      </c>
      <c r="I3367" s="22">
        <v>0.0</v>
      </c>
      <c r="J3367" s="22">
        <v>0.0</v>
      </c>
      <c r="K3367" s="22">
        <v>0.0</v>
      </c>
      <c r="L3367" s="22">
        <v>0.0</v>
      </c>
      <c r="M3367" s="22">
        <v>0.0</v>
      </c>
      <c r="N3367" s="22">
        <v>3.728</v>
      </c>
      <c r="O3367" s="19" t="s">
        <v>58</v>
      </c>
      <c r="P3367" s="18">
        <f t="shared" si="1"/>
        <v>0</v>
      </c>
    </row>
    <row r="3368" ht="15.75" customHeight="1">
      <c r="A3368" s="13" t="s">
        <v>237</v>
      </c>
      <c r="B3368" s="13" t="s">
        <v>99</v>
      </c>
      <c r="C3368" s="14" t="s">
        <v>118</v>
      </c>
      <c r="D3368" s="14" t="str">
        <f>VLOOKUP(C3368,'State Key'!$A$2:$B$210,2,False)</f>
        <v>Andhra Pradesh</v>
      </c>
      <c r="E3368" s="15">
        <v>1650.0</v>
      </c>
      <c r="F3368" s="16">
        <v>475.945</v>
      </c>
      <c r="G3368" s="16">
        <v>110.17</v>
      </c>
      <c r="H3368" s="16">
        <v>0.0</v>
      </c>
      <c r="I3368" s="16">
        <v>0.0</v>
      </c>
      <c r="J3368" s="16">
        <v>0.0</v>
      </c>
      <c r="K3368" s="16">
        <v>0.0</v>
      </c>
      <c r="L3368" s="16">
        <v>586.115</v>
      </c>
      <c r="M3368" s="16">
        <v>625.943</v>
      </c>
      <c r="N3368" s="16">
        <v>41.219</v>
      </c>
      <c r="O3368" s="17">
        <v>2.0</v>
      </c>
      <c r="P3368" s="18">
        <f t="shared" si="1"/>
        <v>586.115</v>
      </c>
    </row>
    <row r="3369" ht="15.75" customHeight="1">
      <c r="A3369" s="19" t="s">
        <v>237</v>
      </c>
      <c r="B3369" s="19" t="s">
        <v>99</v>
      </c>
      <c r="C3369" s="20" t="s">
        <v>119</v>
      </c>
      <c r="D3369" s="14" t="str">
        <f>VLOOKUP(C3369,'State Key'!$A$2:$B$210,2,False)</f>
        <v>Andhra Pradesh</v>
      </c>
      <c r="E3369" s="21">
        <v>1320.0</v>
      </c>
      <c r="F3369" s="22">
        <v>249.74</v>
      </c>
      <c r="G3369" s="22">
        <v>0.0</v>
      </c>
      <c r="H3369" s="22">
        <v>0.0</v>
      </c>
      <c r="I3369" s="22">
        <v>0.0</v>
      </c>
      <c r="J3369" s="22">
        <v>338.243</v>
      </c>
      <c r="K3369" s="22">
        <v>0.0</v>
      </c>
      <c r="L3369" s="22">
        <v>587.983</v>
      </c>
      <c r="M3369" s="22">
        <v>476.805</v>
      </c>
      <c r="N3369" s="22">
        <v>455.23</v>
      </c>
      <c r="O3369" s="24">
        <v>28.6</v>
      </c>
      <c r="P3369" s="18">
        <f t="shared" si="1"/>
        <v>587.983</v>
      </c>
    </row>
    <row r="3370" ht="15.75" customHeight="1">
      <c r="A3370" s="13" t="s">
        <v>237</v>
      </c>
      <c r="B3370" s="13" t="s">
        <v>99</v>
      </c>
      <c r="C3370" s="14" t="s">
        <v>120</v>
      </c>
      <c r="D3370" s="14" t="str">
        <f>VLOOKUP(C3370,'State Key'!$A$2:$B$210,2,False)</f>
        <v>Andhra Pradesh</v>
      </c>
      <c r="E3370" s="15">
        <v>2000.0</v>
      </c>
      <c r="F3370" s="16">
        <v>636.76</v>
      </c>
      <c r="G3370" s="16">
        <v>104.69</v>
      </c>
      <c r="H3370" s="16">
        <v>30.25</v>
      </c>
      <c r="I3370" s="16">
        <v>0.0</v>
      </c>
      <c r="J3370" s="16">
        <v>0.0</v>
      </c>
      <c r="K3370" s="16">
        <v>0.0</v>
      </c>
      <c r="L3370" s="16">
        <v>771.7</v>
      </c>
      <c r="M3370" s="16">
        <v>823.251</v>
      </c>
      <c r="N3370" s="16">
        <v>255.08</v>
      </c>
      <c r="O3370" s="23">
        <v>9.3</v>
      </c>
      <c r="P3370" s="18">
        <f t="shared" si="1"/>
        <v>771.7</v>
      </c>
    </row>
    <row r="3371" ht="15.75" customHeight="1">
      <c r="A3371" s="19" t="s">
        <v>237</v>
      </c>
      <c r="B3371" s="19" t="s">
        <v>99</v>
      </c>
      <c r="C3371" s="20" t="s">
        <v>121</v>
      </c>
      <c r="D3371" s="14" t="str">
        <f>VLOOKUP(C3371,'State Key'!$A$2:$B$210,2,False)</f>
        <v>Andhra Pradesh</v>
      </c>
      <c r="E3371" s="21">
        <v>600.0</v>
      </c>
      <c r="F3371" s="22">
        <v>0.0</v>
      </c>
      <c r="G3371" s="22">
        <v>0.0</v>
      </c>
      <c r="H3371" s="22">
        <v>0.0</v>
      </c>
      <c r="I3371" s="22">
        <v>0.0</v>
      </c>
      <c r="J3371" s="22">
        <v>175.028</v>
      </c>
      <c r="K3371" s="22">
        <v>0.0</v>
      </c>
      <c r="L3371" s="22">
        <v>175.028</v>
      </c>
      <c r="M3371" s="22">
        <v>135.744</v>
      </c>
      <c r="N3371" s="22">
        <v>294.62</v>
      </c>
      <c r="O3371" s="24">
        <v>65.1</v>
      </c>
      <c r="P3371" s="18">
        <f t="shared" si="1"/>
        <v>175.028</v>
      </c>
    </row>
    <row r="3372" ht="15.75" customHeight="1">
      <c r="A3372" s="13" t="s">
        <v>237</v>
      </c>
      <c r="B3372" s="13" t="s">
        <v>99</v>
      </c>
      <c r="C3372" s="14" t="s">
        <v>122</v>
      </c>
      <c r="D3372" s="14" t="str">
        <f>VLOOKUP(C3372,'State Key'!$A$2:$B$210,2,False)</f>
        <v>Telangana</v>
      </c>
      <c r="E3372" s="15">
        <v>1200.0</v>
      </c>
      <c r="F3372" s="16">
        <v>0.0</v>
      </c>
      <c r="G3372" s="16">
        <v>502.775</v>
      </c>
      <c r="H3372" s="16">
        <v>0.0</v>
      </c>
      <c r="I3372" s="16">
        <v>0.0</v>
      </c>
      <c r="J3372" s="16">
        <v>0.0</v>
      </c>
      <c r="K3372" s="16">
        <v>0.0</v>
      </c>
      <c r="L3372" s="16">
        <v>502.775</v>
      </c>
      <c r="M3372" s="16">
        <v>476.576</v>
      </c>
      <c r="N3372" s="16">
        <v>154.57</v>
      </c>
      <c r="O3372" s="23">
        <v>9.7</v>
      </c>
      <c r="P3372" s="18">
        <f t="shared" si="1"/>
        <v>502.775</v>
      </c>
    </row>
    <row r="3373" ht="15.75" customHeight="1">
      <c r="A3373" s="19" t="s">
        <v>237</v>
      </c>
      <c r="B3373" s="19" t="s">
        <v>99</v>
      </c>
      <c r="C3373" s="20" t="s">
        <v>220</v>
      </c>
      <c r="D3373" s="14" t="str">
        <f>VLOOKUP(C3373,'State Key'!$A$2:$B$210,2,False)</f>
        <v>Telangana</v>
      </c>
      <c r="E3373" s="21">
        <v>1600.0</v>
      </c>
      <c r="F3373" s="22">
        <v>97.68</v>
      </c>
      <c r="G3373" s="22">
        <v>282.63</v>
      </c>
      <c r="H3373" s="22">
        <v>121.37</v>
      </c>
      <c r="I3373" s="22">
        <v>0.0</v>
      </c>
      <c r="J3373" s="22">
        <v>0.0</v>
      </c>
      <c r="K3373" s="22">
        <v>0.0</v>
      </c>
      <c r="L3373" s="22">
        <v>501.68</v>
      </c>
      <c r="M3373" s="22">
        <v>585.783</v>
      </c>
      <c r="N3373" s="22">
        <v>293.916</v>
      </c>
      <c r="O3373" s="24">
        <v>15.1</v>
      </c>
      <c r="P3373" s="18">
        <f t="shared" si="1"/>
        <v>501.68</v>
      </c>
    </row>
    <row r="3374" ht="15.75" customHeight="1">
      <c r="A3374" s="13" t="s">
        <v>237</v>
      </c>
      <c r="B3374" s="13" t="s">
        <v>99</v>
      </c>
      <c r="C3374" s="14" t="s">
        <v>123</v>
      </c>
      <c r="D3374" s="14" t="str">
        <f>VLOOKUP(C3374,'State Key'!$A$2:$B$210,2,False)</f>
        <v>Andhra Pradesh</v>
      </c>
      <c r="E3374" s="15">
        <v>300.0</v>
      </c>
      <c r="F3374" s="16">
        <v>0.0</v>
      </c>
      <c r="G3374" s="16">
        <v>0.0</v>
      </c>
      <c r="H3374" s="16">
        <v>0.0</v>
      </c>
      <c r="I3374" s="16">
        <v>0.0</v>
      </c>
      <c r="J3374" s="16">
        <v>0.0</v>
      </c>
      <c r="K3374" s="16">
        <v>0.0</v>
      </c>
      <c r="L3374" s="16">
        <v>0.0</v>
      </c>
      <c r="M3374" s="16">
        <v>0.0</v>
      </c>
      <c r="N3374" s="16">
        <v>0.0</v>
      </c>
      <c r="O3374" s="13" t="s">
        <v>58</v>
      </c>
      <c r="P3374" s="18">
        <f t="shared" si="1"/>
        <v>0</v>
      </c>
    </row>
    <row r="3375" ht="15.75" customHeight="1">
      <c r="A3375" s="19" t="s">
        <v>237</v>
      </c>
      <c r="B3375" s="19" t="s">
        <v>99</v>
      </c>
      <c r="C3375" s="20" t="s">
        <v>124</v>
      </c>
      <c r="D3375" s="14" t="str">
        <f>VLOOKUP(C3375,'State Key'!$A$2:$B$210,2,False)</f>
        <v>Karnataka</v>
      </c>
      <c r="E3375" s="21">
        <v>260.0</v>
      </c>
      <c r="F3375" s="22">
        <v>0.0</v>
      </c>
      <c r="G3375" s="22">
        <v>0.0</v>
      </c>
      <c r="H3375" s="22">
        <v>0.0</v>
      </c>
      <c r="I3375" s="22">
        <v>0.0</v>
      </c>
      <c r="J3375" s="22">
        <v>46.9</v>
      </c>
      <c r="K3375" s="22">
        <v>0.0</v>
      </c>
      <c r="L3375" s="22">
        <v>46.9</v>
      </c>
      <c r="M3375" s="22">
        <v>46.9</v>
      </c>
      <c r="N3375" s="22">
        <v>0.0</v>
      </c>
      <c r="O3375" s="17">
        <v>0.0</v>
      </c>
      <c r="P3375" s="18">
        <f t="shared" si="1"/>
        <v>46.9</v>
      </c>
    </row>
    <row r="3376" ht="15.75" customHeight="1">
      <c r="A3376" s="13" t="s">
        <v>237</v>
      </c>
      <c r="B3376" s="13" t="s">
        <v>99</v>
      </c>
      <c r="C3376" s="14" t="s">
        <v>125</v>
      </c>
      <c r="D3376" s="14" t="str">
        <f>VLOOKUP(C3376,'State Key'!$A$2:$B$210,2,False)</f>
        <v>Karnataka</v>
      </c>
      <c r="E3376" s="15">
        <v>600.0</v>
      </c>
      <c r="F3376" s="16">
        <v>0.0</v>
      </c>
      <c r="G3376" s="16">
        <v>0.0</v>
      </c>
      <c r="H3376" s="16">
        <v>0.0</v>
      </c>
      <c r="I3376" s="16">
        <v>0.0</v>
      </c>
      <c r="J3376" s="16">
        <v>127.08</v>
      </c>
      <c r="K3376" s="16">
        <v>0.0</v>
      </c>
      <c r="L3376" s="16">
        <v>127.08</v>
      </c>
      <c r="M3376" s="16">
        <v>110.79</v>
      </c>
      <c r="N3376" s="16">
        <v>16.64</v>
      </c>
      <c r="O3376" s="17">
        <v>4.5</v>
      </c>
      <c r="P3376" s="18">
        <f t="shared" si="1"/>
        <v>127.08</v>
      </c>
    </row>
    <row r="3377" ht="15.75" customHeight="1">
      <c r="A3377" s="19" t="s">
        <v>237</v>
      </c>
      <c r="B3377" s="19" t="s">
        <v>99</v>
      </c>
      <c r="C3377" s="20" t="s">
        <v>126</v>
      </c>
      <c r="D3377" s="14" t="str">
        <f>VLOOKUP(C3377,'State Key'!$A$2:$B$210,2,False)</f>
        <v>Tamil Nadu</v>
      </c>
      <c r="E3377" s="21">
        <v>300.0</v>
      </c>
      <c r="F3377" s="22">
        <v>0.0</v>
      </c>
      <c r="G3377" s="22">
        <v>0.0</v>
      </c>
      <c r="H3377" s="22">
        <v>0.0</v>
      </c>
      <c r="I3377" s="22">
        <v>0.0</v>
      </c>
      <c r="J3377" s="22">
        <v>0.0</v>
      </c>
      <c r="K3377" s="22">
        <v>0.0</v>
      </c>
      <c r="L3377" s="22">
        <v>0.0</v>
      </c>
      <c r="M3377" s="22">
        <v>0.0</v>
      </c>
      <c r="N3377" s="22">
        <v>0.0</v>
      </c>
      <c r="O3377" s="19" t="s">
        <v>58</v>
      </c>
      <c r="P3377" s="18">
        <f t="shared" si="1"/>
        <v>0</v>
      </c>
    </row>
    <row r="3378" ht="15.75" customHeight="1">
      <c r="A3378" s="13" t="s">
        <v>237</v>
      </c>
      <c r="B3378" s="13" t="s">
        <v>99</v>
      </c>
      <c r="C3378" s="14" t="s">
        <v>127</v>
      </c>
      <c r="D3378" s="14" t="str">
        <f>VLOOKUP(C3378,'State Key'!$A$2:$B$210,2,False)</f>
        <v>Tamil Nadu</v>
      </c>
      <c r="E3378" s="15">
        <v>525.0</v>
      </c>
      <c r="F3378" s="16">
        <v>0.0</v>
      </c>
      <c r="G3378" s="16">
        <v>0.0</v>
      </c>
      <c r="H3378" s="16">
        <v>0.0</v>
      </c>
      <c r="I3378" s="16">
        <v>0.0</v>
      </c>
      <c r="J3378" s="16">
        <v>148.02</v>
      </c>
      <c r="K3378" s="16">
        <v>0.0</v>
      </c>
      <c r="L3378" s="16">
        <v>148.02</v>
      </c>
      <c r="M3378" s="16">
        <v>141.5</v>
      </c>
      <c r="N3378" s="16">
        <v>12.82</v>
      </c>
      <c r="O3378" s="17">
        <v>2.7</v>
      </c>
      <c r="P3378" s="18">
        <f t="shared" si="1"/>
        <v>148.02</v>
      </c>
    </row>
    <row r="3379" ht="15.75" customHeight="1">
      <c r="A3379" s="19" t="s">
        <v>237</v>
      </c>
      <c r="B3379" s="19" t="s">
        <v>99</v>
      </c>
      <c r="C3379" s="20" t="s">
        <v>128</v>
      </c>
      <c r="D3379" s="14" t="str">
        <f>VLOOKUP(C3379,'State Key'!$A$2:$B$210,2,False)</f>
        <v>Tamil Nadu</v>
      </c>
      <c r="E3379" s="21">
        <v>1050.0</v>
      </c>
      <c r="F3379" s="22">
        <v>547.345</v>
      </c>
      <c r="G3379" s="22">
        <v>0.0</v>
      </c>
      <c r="H3379" s="22">
        <v>0.0</v>
      </c>
      <c r="I3379" s="22">
        <v>0.0</v>
      </c>
      <c r="J3379" s="22">
        <v>0.0</v>
      </c>
      <c r="K3379" s="22">
        <v>0.0</v>
      </c>
      <c r="L3379" s="22">
        <v>547.345</v>
      </c>
      <c r="M3379" s="22">
        <v>522.726</v>
      </c>
      <c r="N3379" s="22">
        <v>436.79</v>
      </c>
      <c r="O3379" s="24">
        <v>25.1</v>
      </c>
      <c r="P3379" s="18">
        <f t="shared" si="1"/>
        <v>547.345</v>
      </c>
    </row>
    <row r="3380" ht="15.75" customHeight="1">
      <c r="A3380" s="13" t="s">
        <v>237</v>
      </c>
      <c r="B3380" s="13" t="s">
        <v>99</v>
      </c>
      <c r="C3380" s="14" t="s">
        <v>130</v>
      </c>
      <c r="D3380" s="14" t="str">
        <f>VLOOKUP(C3380,'State Key'!$A$2:$B$210,2,False)</f>
        <v>Tamil Nadu</v>
      </c>
      <c r="E3380" s="15">
        <v>1500.0</v>
      </c>
      <c r="F3380" s="16">
        <v>567.395</v>
      </c>
      <c r="G3380" s="16">
        <v>0.0</v>
      </c>
      <c r="H3380" s="16">
        <v>0.0</v>
      </c>
      <c r="I3380" s="16">
        <v>0.0</v>
      </c>
      <c r="J3380" s="16">
        <v>0.0</v>
      </c>
      <c r="K3380" s="16">
        <v>0.0</v>
      </c>
      <c r="L3380" s="16">
        <v>567.395</v>
      </c>
      <c r="M3380" s="16">
        <v>605.323</v>
      </c>
      <c r="N3380" s="16">
        <v>133.06</v>
      </c>
      <c r="O3380" s="17">
        <v>6.6</v>
      </c>
      <c r="P3380" s="18">
        <f t="shared" si="1"/>
        <v>567.395</v>
      </c>
    </row>
    <row r="3381" ht="15.75" customHeight="1">
      <c r="A3381" s="19" t="s">
        <v>237</v>
      </c>
      <c r="B3381" s="19" t="s">
        <v>99</v>
      </c>
      <c r="C3381" s="20" t="s">
        <v>131</v>
      </c>
      <c r="D3381" s="14" t="str">
        <f>VLOOKUP(C3381,'State Key'!$A$2:$B$210,2,False)</f>
        <v>Andhra Pradesh</v>
      </c>
      <c r="E3381" s="21">
        <v>1040.0</v>
      </c>
      <c r="F3381" s="22">
        <v>385.77542</v>
      </c>
      <c r="G3381" s="22">
        <v>0.0</v>
      </c>
      <c r="H3381" s="22">
        <v>0.0</v>
      </c>
      <c r="I3381" s="22">
        <v>0.0</v>
      </c>
      <c r="J3381" s="22">
        <v>0.0</v>
      </c>
      <c r="K3381" s="22">
        <v>0.0</v>
      </c>
      <c r="L3381" s="22">
        <v>385.77542</v>
      </c>
      <c r="M3381" s="22">
        <v>382.739</v>
      </c>
      <c r="N3381" s="22">
        <v>79.528</v>
      </c>
      <c r="O3381" s="17">
        <v>6.2</v>
      </c>
      <c r="P3381" s="18">
        <f t="shared" si="1"/>
        <v>385.77542</v>
      </c>
    </row>
    <row r="3382" ht="15.75" customHeight="1">
      <c r="A3382" s="13" t="s">
        <v>237</v>
      </c>
      <c r="B3382" s="13" t="s">
        <v>99</v>
      </c>
      <c r="C3382" s="14" t="s">
        <v>132</v>
      </c>
      <c r="D3382" s="14" t="str">
        <f>VLOOKUP(C3382,'State Key'!$A$2:$B$210,2,False)</f>
        <v>Karnataka</v>
      </c>
      <c r="E3382" s="15">
        <v>1600.0</v>
      </c>
      <c r="F3382" s="16">
        <v>0.0</v>
      </c>
      <c r="G3382" s="16">
        <v>262.314</v>
      </c>
      <c r="H3382" s="16">
        <v>0.0</v>
      </c>
      <c r="I3382" s="16">
        <v>0.0</v>
      </c>
      <c r="J3382" s="16">
        <v>0.0</v>
      </c>
      <c r="K3382" s="16">
        <v>0.0</v>
      </c>
      <c r="L3382" s="16">
        <v>262.314</v>
      </c>
      <c r="M3382" s="16">
        <v>114.136</v>
      </c>
      <c r="N3382" s="16">
        <v>391.958</v>
      </c>
      <c r="O3382" s="24">
        <v>103.0</v>
      </c>
      <c r="P3382" s="18">
        <f t="shared" si="1"/>
        <v>262.314</v>
      </c>
    </row>
    <row r="3383" ht="15.75" customHeight="1">
      <c r="A3383" s="19" t="s">
        <v>237</v>
      </c>
      <c r="B3383" s="19" t="s">
        <v>133</v>
      </c>
      <c r="C3383" s="20" t="s">
        <v>211</v>
      </c>
      <c r="D3383" s="14" t="str">
        <f>VLOOKUP(C3383,'State Key'!$A$2:$B$210,2,False)</f>
        <v>Gujarat</v>
      </c>
      <c r="E3383" s="21">
        <v>2640.0</v>
      </c>
      <c r="F3383" s="22">
        <v>0.0</v>
      </c>
      <c r="G3383" s="22">
        <v>0.0</v>
      </c>
      <c r="H3383" s="22">
        <v>0.0</v>
      </c>
      <c r="I3383" s="22">
        <v>0.0</v>
      </c>
      <c r="J3383" s="22">
        <v>826.063</v>
      </c>
      <c r="K3383" s="22">
        <v>0.0</v>
      </c>
      <c r="L3383" s="22">
        <v>826.063</v>
      </c>
      <c r="M3383" s="22">
        <v>847.584</v>
      </c>
      <c r="N3383" s="22">
        <v>146.795</v>
      </c>
      <c r="O3383" s="17">
        <v>5.2</v>
      </c>
      <c r="P3383" s="18">
        <f t="shared" si="1"/>
        <v>826.063</v>
      </c>
    </row>
    <row r="3384" ht="15.75" customHeight="1">
      <c r="A3384" s="13" t="s">
        <v>237</v>
      </c>
      <c r="B3384" s="13" t="s">
        <v>133</v>
      </c>
      <c r="C3384" s="14" t="s">
        <v>212</v>
      </c>
      <c r="D3384" s="14" t="str">
        <f>VLOOKUP(C3384,'State Key'!$A$2:$B$210,2,False)</f>
        <v>Gujarat</v>
      </c>
      <c r="E3384" s="15">
        <v>1980.0</v>
      </c>
      <c r="F3384" s="16">
        <v>0.0</v>
      </c>
      <c r="G3384" s="16">
        <v>0.0</v>
      </c>
      <c r="H3384" s="16">
        <v>0.0</v>
      </c>
      <c r="I3384" s="16">
        <v>0.0</v>
      </c>
      <c r="J3384" s="16">
        <v>585.785</v>
      </c>
      <c r="K3384" s="16">
        <v>0.0</v>
      </c>
      <c r="L3384" s="16">
        <v>585.785</v>
      </c>
      <c r="M3384" s="16">
        <v>590.383</v>
      </c>
      <c r="N3384" s="16">
        <v>96.759</v>
      </c>
      <c r="O3384" s="17">
        <v>4.9</v>
      </c>
      <c r="P3384" s="18">
        <f t="shared" si="1"/>
        <v>585.785</v>
      </c>
    </row>
    <row r="3385" ht="15.75" customHeight="1">
      <c r="A3385" s="19" t="s">
        <v>237</v>
      </c>
      <c r="B3385" s="19" t="s">
        <v>133</v>
      </c>
      <c r="C3385" s="20" t="s">
        <v>213</v>
      </c>
      <c r="D3385" s="14" t="str">
        <f>VLOOKUP(C3385,'State Key'!$A$2:$B$210,2,False)</f>
        <v>Chhattisgarh</v>
      </c>
      <c r="E3385" s="21">
        <v>600.0</v>
      </c>
      <c r="F3385" s="22">
        <v>187.775</v>
      </c>
      <c r="G3385" s="22">
        <v>0.0</v>
      </c>
      <c r="H3385" s="22">
        <v>0.0</v>
      </c>
      <c r="I3385" s="22">
        <v>39.733</v>
      </c>
      <c r="J3385" s="22">
        <v>0.0</v>
      </c>
      <c r="K3385" s="22">
        <v>0.233</v>
      </c>
      <c r="L3385" s="22">
        <v>227.741</v>
      </c>
      <c r="M3385" s="22">
        <v>232.899</v>
      </c>
      <c r="N3385" s="22">
        <v>133.58</v>
      </c>
      <c r="O3385" s="24">
        <v>17.2</v>
      </c>
      <c r="P3385" s="18">
        <f t="shared" si="1"/>
        <v>227.741</v>
      </c>
    </row>
    <row r="3386" ht="15.75" customHeight="1">
      <c r="A3386" s="13" t="s">
        <v>237</v>
      </c>
      <c r="B3386" s="13" t="s">
        <v>133</v>
      </c>
      <c r="C3386" s="14" t="s">
        <v>214</v>
      </c>
      <c r="D3386" s="14" t="str">
        <f>VLOOKUP(C3386,'State Key'!$A$2:$B$210,2,False)</f>
        <v>Chhattisgarh</v>
      </c>
      <c r="E3386" s="15">
        <v>1370.0</v>
      </c>
      <c r="F3386" s="16">
        <v>492.546</v>
      </c>
      <c r="G3386" s="16">
        <v>0.0</v>
      </c>
      <c r="H3386" s="16">
        <v>0.0</v>
      </c>
      <c r="I3386" s="16">
        <v>0.0</v>
      </c>
      <c r="J3386" s="16">
        <v>3.982</v>
      </c>
      <c r="K3386" s="16">
        <v>68.309</v>
      </c>
      <c r="L3386" s="16">
        <v>564.837</v>
      </c>
      <c r="M3386" s="16">
        <v>550.184</v>
      </c>
      <c r="N3386" s="16">
        <v>48.56</v>
      </c>
      <c r="O3386" s="17">
        <v>2.6</v>
      </c>
      <c r="P3386" s="18">
        <f t="shared" si="1"/>
        <v>564.837</v>
      </c>
    </row>
    <row r="3387" ht="15.75" customHeight="1">
      <c r="A3387" s="19" t="s">
        <v>237</v>
      </c>
      <c r="B3387" s="19" t="s">
        <v>133</v>
      </c>
      <c r="C3387" s="20" t="s">
        <v>215</v>
      </c>
      <c r="D3387" s="14" t="str">
        <f>VLOOKUP(C3387,'State Key'!$A$2:$B$210,2,False)</f>
        <v>Maharashtra</v>
      </c>
      <c r="E3387" s="21">
        <v>3300.0</v>
      </c>
      <c r="F3387" s="22">
        <v>1250.711</v>
      </c>
      <c r="G3387" s="22">
        <v>0.0</v>
      </c>
      <c r="H3387" s="22">
        <v>0.0</v>
      </c>
      <c r="I3387" s="22">
        <v>0.0</v>
      </c>
      <c r="J3387" s="22">
        <v>0.0</v>
      </c>
      <c r="K3387" s="22">
        <v>0.0</v>
      </c>
      <c r="L3387" s="22">
        <v>1250.711</v>
      </c>
      <c r="M3387" s="22">
        <v>1111.384</v>
      </c>
      <c r="N3387" s="22">
        <v>177.88</v>
      </c>
      <c r="O3387" s="17">
        <v>4.8</v>
      </c>
      <c r="P3387" s="18">
        <f t="shared" si="1"/>
        <v>1250.711</v>
      </c>
    </row>
    <row r="3388" ht="15.75" customHeight="1">
      <c r="A3388" s="13" t="s">
        <v>237</v>
      </c>
      <c r="B3388" s="13" t="s">
        <v>133</v>
      </c>
      <c r="C3388" s="14" t="s">
        <v>134</v>
      </c>
      <c r="D3388" s="14" t="str">
        <f>VLOOKUP(C3388,'State Key'!$A$2:$B$210,2,False)</f>
        <v>Chhattisgarh</v>
      </c>
      <c r="E3388" s="15">
        <v>1800.0</v>
      </c>
      <c r="F3388" s="16">
        <v>528.601</v>
      </c>
      <c r="G3388" s="16">
        <v>0.0</v>
      </c>
      <c r="H3388" s="16">
        <v>0.0</v>
      </c>
      <c r="I3388" s="16">
        <v>2.9474</v>
      </c>
      <c r="J3388" s="16">
        <v>0.0</v>
      </c>
      <c r="K3388" s="16">
        <v>0.0</v>
      </c>
      <c r="L3388" s="16">
        <v>531.5484</v>
      </c>
      <c r="M3388" s="16">
        <v>599.446</v>
      </c>
      <c r="N3388" s="16">
        <v>164.82</v>
      </c>
      <c r="O3388" s="23">
        <v>8.2</v>
      </c>
      <c r="P3388" s="18">
        <f t="shared" si="1"/>
        <v>531.5484</v>
      </c>
    </row>
    <row r="3389" ht="15.75" customHeight="1">
      <c r="A3389" s="19" t="s">
        <v>237</v>
      </c>
      <c r="B3389" s="19" t="s">
        <v>133</v>
      </c>
      <c r="C3389" s="20" t="s">
        <v>135</v>
      </c>
      <c r="D3389" s="14" t="str">
        <f>VLOOKUP(C3389,'State Key'!$A$2:$B$210,2,False)</f>
        <v>Madhya Pradesh</v>
      </c>
      <c r="E3389" s="21">
        <v>210.0</v>
      </c>
      <c r="F3389" s="22">
        <v>55.855</v>
      </c>
      <c r="G3389" s="22">
        <v>0.0</v>
      </c>
      <c r="H3389" s="22">
        <v>0.0</v>
      </c>
      <c r="I3389" s="22">
        <v>0.0</v>
      </c>
      <c r="J3389" s="22">
        <v>0.0</v>
      </c>
      <c r="K3389" s="22">
        <v>0.0</v>
      </c>
      <c r="L3389" s="22">
        <v>55.855</v>
      </c>
      <c r="M3389" s="22">
        <v>94.825</v>
      </c>
      <c r="N3389" s="22">
        <v>55.72</v>
      </c>
      <c r="O3389" s="24">
        <v>17.6</v>
      </c>
      <c r="P3389" s="18">
        <f t="shared" si="1"/>
        <v>55.855</v>
      </c>
    </row>
    <row r="3390" ht="15.75" customHeight="1">
      <c r="A3390" s="13" t="s">
        <v>237</v>
      </c>
      <c r="B3390" s="13" t="s">
        <v>133</v>
      </c>
      <c r="C3390" s="14" t="s">
        <v>136</v>
      </c>
      <c r="D3390" s="14" t="str">
        <f>VLOOKUP(C3390,'State Key'!$A$2:$B$210,2,False)</f>
        <v>Maharashtra</v>
      </c>
      <c r="E3390" s="15">
        <v>1350.0</v>
      </c>
      <c r="F3390" s="16">
        <v>463.45</v>
      </c>
      <c r="G3390" s="16">
        <v>0.0</v>
      </c>
      <c r="H3390" s="16">
        <v>0.0</v>
      </c>
      <c r="I3390" s="16">
        <v>0.0</v>
      </c>
      <c r="J3390" s="16">
        <v>0.0</v>
      </c>
      <c r="K3390" s="16">
        <v>0.0</v>
      </c>
      <c r="L3390" s="16">
        <v>463.45</v>
      </c>
      <c r="M3390" s="16">
        <v>436.219</v>
      </c>
      <c r="N3390" s="16">
        <v>225.66</v>
      </c>
      <c r="O3390" s="24">
        <v>15.5</v>
      </c>
      <c r="P3390" s="18">
        <f t="shared" si="1"/>
        <v>463.45</v>
      </c>
    </row>
    <row r="3391" ht="15.75" customHeight="1">
      <c r="A3391" s="19" t="s">
        <v>237</v>
      </c>
      <c r="B3391" s="19" t="s">
        <v>133</v>
      </c>
      <c r="C3391" s="20" t="s">
        <v>137</v>
      </c>
      <c r="D3391" s="14" t="str">
        <f>VLOOKUP(C3391,'State Key'!$A$2:$B$210,2,False)</f>
        <v>Madhya Pradesh</v>
      </c>
      <c r="E3391" s="21">
        <v>1250.0</v>
      </c>
      <c r="F3391" s="22">
        <v>333.13</v>
      </c>
      <c r="G3391" s="22">
        <v>0.0</v>
      </c>
      <c r="H3391" s="22">
        <v>0.0</v>
      </c>
      <c r="I3391" s="22">
        <v>127.49</v>
      </c>
      <c r="J3391" s="22">
        <v>0.0</v>
      </c>
      <c r="K3391" s="22">
        <v>0.0</v>
      </c>
      <c r="L3391" s="22">
        <v>460.62</v>
      </c>
      <c r="M3391" s="22">
        <v>536.07</v>
      </c>
      <c r="N3391" s="22">
        <v>80.77</v>
      </c>
      <c r="O3391" s="17">
        <v>4.5</v>
      </c>
      <c r="P3391" s="18">
        <f t="shared" si="1"/>
        <v>460.62</v>
      </c>
    </row>
    <row r="3392" ht="15.75" customHeight="1">
      <c r="A3392" s="13" t="s">
        <v>237</v>
      </c>
      <c r="B3392" s="13" t="s">
        <v>133</v>
      </c>
      <c r="C3392" s="14" t="s">
        <v>139</v>
      </c>
      <c r="D3392" s="14" t="str">
        <f>VLOOKUP(C3392,'State Key'!$A$2:$B$210,2,False)</f>
        <v>Chhattisgarh</v>
      </c>
      <c r="E3392" s="15">
        <v>600.0</v>
      </c>
      <c r="F3392" s="16">
        <v>142.184</v>
      </c>
      <c r="G3392" s="16">
        <v>0.0</v>
      </c>
      <c r="H3392" s="16">
        <v>0.0</v>
      </c>
      <c r="I3392" s="16">
        <v>72.529</v>
      </c>
      <c r="J3392" s="16">
        <v>0.0</v>
      </c>
      <c r="K3392" s="16">
        <v>0.0</v>
      </c>
      <c r="L3392" s="16">
        <v>214.713</v>
      </c>
      <c r="M3392" s="16">
        <v>209.791</v>
      </c>
      <c r="N3392" s="16">
        <v>5.38</v>
      </c>
      <c r="O3392" s="17">
        <v>0.8</v>
      </c>
      <c r="P3392" s="18">
        <f t="shared" si="1"/>
        <v>214.713</v>
      </c>
    </row>
    <row r="3393" ht="15.75" customHeight="1">
      <c r="A3393" s="19" t="s">
        <v>237</v>
      </c>
      <c r="B3393" s="19" t="s">
        <v>133</v>
      </c>
      <c r="C3393" s="20" t="s">
        <v>140</v>
      </c>
      <c r="D3393" s="14" t="str">
        <f>VLOOKUP(C3393,'State Key'!$A$2:$B$210,2,False)</f>
        <v>Chhattisgarh</v>
      </c>
      <c r="E3393" s="21">
        <v>300.0</v>
      </c>
      <c r="F3393" s="22">
        <v>94.812</v>
      </c>
      <c r="G3393" s="22">
        <v>0.0</v>
      </c>
      <c r="H3393" s="22">
        <v>0.0</v>
      </c>
      <c r="I3393" s="22">
        <v>51.19</v>
      </c>
      <c r="J3393" s="22">
        <v>0.0</v>
      </c>
      <c r="K3393" s="22">
        <v>0.0</v>
      </c>
      <c r="L3393" s="22">
        <v>146.002</v>
      </c>
      <c r="M3393" s="22">
        <v>87.5501</v>
      </c>
      <c r="N3393" s="22">
        <v>166.02</v>
      </c>
      <c r="O3393" s="24">
        <v>56.9</v>
      </c>
      <c r="P3393" s="18">
        <f t="shared" si="1"/>
        <v>146.002</v>
      </c>
    </row>
    <row r="3394" ht="15.75" customHeight="1">
      <c r="A3394" s="13" t="s">
        <v>237</v>
      </c>
      <c r="B3394" s="13" t="s">
        <v>133</v>
      </c>
      <c r="C3394" s="14" t="s">
        <v>141</v>
      </c>
      <c r="D3394" s="14" t="str">
        <f>VLOOKUP(C3394,'State Key'!$A$2:$B$210,2,False)</f>
        <v>Chhattisgarh</v>
      </c>
      <c r="E3394" s="15">
        <v>1200.0</v>
      </c>
      <c r="F3394" s="16">
        <v>631.026</v>
      </c>
      <c r="G3394" s="16">
        <v>0.0</v>
      </c>
      <c r="H3394" s="16">
        <v>0.0</v>
      </c>
      <c r="I3394" s="16">
        <v>0.0</v>
      </c>
      <c r="J3394" s="16">
        <v>0.0</v>
      </c>
      <c r="K3394" s="16">
        <v>0.0</v>
      </c>
      <c r="L3394" s="16">
        <v>631.026</v>
      </c>
      <c r="M3394" s="16">
        <v>553.001</v>
      </c>
      <c r="N3394" s="16">
        <v>177.01</v>
      </c>
      <c r="O3394" s="23">
        <v>9.6</v>
      </c>
      <c r="P3394" s="18">
        <f t="shared" si="1"/>
        <v>631.026</v>
      </c>
    </row>
    <row r="3395" ht="15.75" customHeight="1">
      <c r="A3395" s="19" t="s">
        <v>237</v>
      </c>
      <c r="B3395" s="19" t="s">
        <v>133</v>
      </c>
      <c r="C3395" s="20" t="s">
        <v>142</v>
      </c>
      <c r="D3395" s="14" t="str">
        <f>VLOOKUP(C3395,'State Key'!$A$2:$B$210,2,False)</f>
        <v>Maharashtra</v>
      </c>
      <c r="E3395" s="21">
        <v>270.0</v>
      </c>
      <c r="F3395" s="22">
        <v>120.048</v>
      </c>
      <c r="G3395" s="22">
        <v>0.0</v>
      </c>
      <c r="H3395" s="22">
        <v>0.0</v>
      </c>
      <c r="I3395" s="22">
        <v>21.989</v>
      </c>
      <c r="J3395" s="22">
        <v>0.0</v>
      </c>
      <c r="K3395" s="22">
        <v>0.0</v>
      </c>
      <c r="L3395" s="22">
        <v>142.037</v>
      </c>
      <c r="M3395" s="22">
        <v>125.21</v>
      </c>
      <c r="N3395" s="22">
        <v>83.43</v>
      </c>
      <c r="O3395" s="24">
        <v>20.0</v>
      </c>
      <c r="P3395" s="18">
        <f t="shared" si="1"/>
        <v>142.037</v>
      </c>
    </row>
    <row r="3396" ht="15.75" customHeight="1">
      <c r="A3396" s="13" t="s">
        <v>237</v>
      </c>
      <c r="B3396" s="13" t="s">
        <v>133</v>
      </c>
      <c r="C3396" s="14" t="s">
        <v>143</v>
      </c>
      <c r="D3396" s="14" t="str">
        <f>VLOOKUP(C3396,'State Key'!$A$2:$B$210,2,False)</f>
        <v>Chhattisgarh</v>
      </c>
      <c r="E3396" s="15">
        <v>500.0</v>
      </c>
      <c r="F3396" s="16">
        <v>222.122</v>
      </c>
      <c r="G3396" s="16">
        <v>0.0</v>
      </c>
      <c r="H3396" s="16">
        <v>0.0</v>
      </c>
      <c r="I3396" s="16">
        <v>0.0</v>
      </c>
      <c r="J3396" s="16">
        <v>0.0</v>
      </c>
      <c r="K3396" s="16">
        <v>0.0</v>
      </c>
      <c r="L3396" s="16">
        <v>222.122</v>
      </c>
      <c r="M3396" s="16">
        <v>235.856</v>
      </c>
      <c r="N3396" s="16">
        <v>142.7</v>
      </c>
      <c r="O3396" s="24">
        <v>18.2</v>
      </c>
      <c r="P3396" s="18">
        <f t="shared" si="1"/>
        <v>222.122</v>
      </c>
    </row>
    <row r="3397" ht="15.75" customHeight="1">
      <c r="A3397" s="19" t="s">
        <v>237</v>
      </c>
      <c r="B3397" s="19" t="s">
        <v>133</v>
      </c>
      <c r="C3397" s="20" t="s">
        <v>144</v>
      </c>
      <c r="D3397" s="14" t="str">
        <f>VLOOKUP(C3397,'State Key'!$A$2:$B$210,2,False)</f>
        <v>Maharashtra</v>
      </c>
      <c r="E3397" s="21">
        <v>1210.0</v>
      </c>
      <c r="F3397" s="22">
        <v>452.313</v>
      </c>
      <c r="G3397" s="22">
        <v>16.141</v>
      </c>
      <c r="H3397" s="22">
        <v>0.0</v>
      </c>
      <c r="I3397" s="22">
        <v>0.0</v>
      </c>
      <c r="J3397" s="22">
        <v>0.0</v>
      </c>
      <c r="K3397" s="22">
        <v>0.0</v>
      </c>
      <c r="L3397" s="22">
        <v>468.454</v>
      </c>
      <c r="M3397" s="22">
        <v>492.953</v>
      </c>
      <c r="N3397" s="22">
        <v>445.788</v>
      </c>
      <c r="O3397" s="24">
        <v>27.1</v>
      </c>
      <c r="P3397" s="18">
        <f t="shared" si="1"/>
        <v>468.454</v>
      </c>
    </row>
    <row r="3398" ht="15.75" customHeight="1">
      <c r="A3398" s="13" t="s">
        <v>237</v>
      </c>
      <c r="B3398" s="13" t="s">
        <v>133</v>
      </c>
      <c r="C3398" s="14" t="s">
        <v>145</v>
      </c>
      <c r="D3398" s="14" t="str">
        <f>VLOOKUP(C3398,'State Key'!$A$2:$B$210,2,False)</f>
        <v>Madhya Pradesh</v>
      </c>
      <c r="E3398" s="15">
        <v>500.0</v>
      </c>
      <c r="F3398" s="16">
        <v>134.15</v>
      </c>
      <c r="G3398" s="16">
        <v>0.0</v>
      </c>
      <c r="H3398" s="16">
        <v>0.0</v>
      </c>
      <c r="I3398" s="16">
        <v>31.86</v>
      </c>
      <c r="J3398" s="16">
        <v>0.0</v>
      </c>
      <c r="K3398" s="16">
        <v>0.0</v>
      </c>
      <c r="L3398" s="16">
        <v>166.01</v>
      </c>
      <c r="M3398" s="16">
        <v>192.65</v>
      </c>
      <c r="N3398" s="16">
        <v>108.11</v>
      </c>
      <c r="O3398" s="24">
        <v>16.8</v>
      </c>
      <c r="P3398" s="18">
        <f t="shared" si="1"/>
        <v>166.01</v>
      </c>
    </row>
    <row r="3399" ht="15.75" customHeight="1">
      <c r="A3399" s="19" t="s">
        <v>237</v>
      </c>
      <c r="B3399" s="19" t="s">
        <v>133</v>
      </c>
      <c r="C3399" s="20" t="s">
        <v>146</v>
      </c>
      <c r="D3399" s="14" t="str">
        <f>VLOOKUP(C3399,'State Key'!$A$2:$B$210,2,False)</f>
        <v>Chhattisgarh</v>
      </c>
      <c r="E3399" s="21">
        <v>600.0</v>
      </c>
      <c r="F3399" s="22">
        <v>25.061</v>
      </c>
      <c r="G3399" s="22">
        <v>0.0</v>
      </c>
      <c r="H3399" s="22">
        <v>0.0</v>
      </c>
      <c r="I3399" s="22">
        <v>178.828</v>
      </c>
      <c r="J3399" s="22">
        <v>0.0</v>
      </c>
      <c r="K3399" s="22">
        <v>21.303</v>
      </c>
      <c r="L3399" s="22">
        <v>225.192</v>
      </c>
      <c r="M3399" s="22">
        <v>221.129</v>
      </c>
      <c r="N3399" s="22">
        <v>60.04</v>
      </c>
      <c r="O3399" s="23">
        <v>8.1</v>
      </c>
      <c r="P3399" s="18">
        <f t="shared" si="1"/>
        <v>225.192</v>
      </c>
    </row>
    <row r="3400" ht="15.75" customHeight="1">
      <c r="A3400" s="13" t="s">
        <v>237</v>
      </c>
      <c r="B3400" s="13" t="s">
        <v>133</v>
      </c>
      <c r="C3400" s="14" t="s">
        <v>147</v>
      </c>
      <c r="D3400" s="14" t="str">
        <f>VLOOKUP(C3400,'State Key'!$A$2:$B$210,2,False)</f>
        <v>Maharashtra</v>
      </c>
      <c r="E3400" s="15">
        <v>600.0</v>
      </c>
      <c r="F3400" s="16">
        <v>0.0</v>
      </c>
      <c r="G3400" s="16">
        <v>0.0</v>
      </c>
      <c r="H3400" s="16">
        <v>0.0</v>
      </c>
      <c r="I3400" s="16">
        <v>0.0</v>
      </c>
      <c r="J3400" s="16">
        <v>0.0</v>
      </c>
      <c r="K3400" s="16">
        <v>0.0</v>
      </c>
      <c r="L3400" s="16">
        <v>0.0</v>
      </c>
      <c r="M3400" s="16">
        <v>0.0</v>
      </c>
      <c r="N3400" s="16">
        <v>0.0</v>
      </c>
      <c r="O3400" s="13" t="s">
        <v>58</v>
      </c>
      <c r="P3400" s="18">
        <f t="shared" si="1"/>
        <v>0</v>
      </c>
    </row>
    <row r="3401" ht="15.75" customHeight="1">
      <c r="A3401" s="19" t="s">
        <v>237</v>
      </c>
      <c r="B3401" s="19" t="s">
        <v>133</v>
      </c>
      <c r="C3401" s="20" t="s">
        <v>148</v>
      </c>
      <c r="D3401" s="14" t="str">
        <f>VLOOKUP(C3401,'State Key'!$A$2:$B$210,2,False)</f>
        <v>Chhattisgarh</v>
      </c>
      <c r="E3401" s="21">
        <v>30.0</v>
      </c>
      <c r="F3401" s="22">
        <v>36.5556</v>
      </c>
      <c r="G3401" s="22">
        <v>0.0</v>
      </c>
      <c r="H3401" s="22">
        <v>0.0</v>
      </c>
      <c r="I3401" s="22">
        <v>0.0</v>
      </c>
      <c r="J3401" s="22">
        <v>0.0</v>
      </c>
      <c r="K3401" s="22">
        <v>9.3698</v>
      </c>
      <c r="L3401" s="22">
        <v>45.9254</v>
      </c>
      <c r="M3401" s="22">
        <v>48.502</v>
      </c>
      <c r="N3401" s="22">
        <v>62.92</v>
      </c>
      <c r="O3401" s="24">
        <v>38.9</v>
      </c>
      <c r="P3401" s="18">
        <f t="shared" si="1"/>
        <v>45.9254</v>
      </c>
    </row>
    <row r="3402" ht="15.75" customHeight="1">
      <c r="A3402" s="13" t="s">
        <v>237</v>
      </c>
      <c r="B3402" s="13" t="s">
        <v>133</v>
      </c>
      <c r="C3402" s="14" t="s">
        <v>149</v>
      </c>
      <c r="D3402" s="14" t="str">
        <f>VLOOKUP(C3402,'State Key'!$A$2:$B$210,2,False)</f>
        <v>Maharashtra</v>
      </c>
      <c r="E3402" s="15">
        <v>2920.0</v>
      </c>
      <c r="F3402" s="16">
        <v>848.625</v>
      </c>
      <c r="G3402" s="16">
        <v>183.06</v>
      </c>
      <c r="H3402" s="16">
        <v>0.0</v>
      </c>
      <c r="I3402" s="16">
        <v>0.0</v>
      </c>
      <c r="J3402" s="16">
        <v>0.0</v>
      </c>
      <c r="K3402" s="16">
        <v>0.0</v>
      </c>
      <c r="L3402" s="16">
        <v>1031.685</v>
      </c>
      <c r="M3402" s="16">
        <v>1097.48</v>
      </c>
      <c r="N3402" s="16">
        <v>378.08</v>
      </c>
      <c r="O3402" s="23">
        <v>10.3</v>
      </c>
      <c r="P3402" s="18">
        <f t="shared" si="1"/>
        <v>1031.685</v>
      </c>
    </row>
    <row r="3403" ht="15.75" customHeight="1">
      <c r="A3403" s="19" t="s">
        <v>237</v>
      </c>
      <c r="B3403" s="19" t="s">
        <v>133</v>
      </c>
      <c r="C3403" s="20" t="s">
        <v>150</v>
      </c>
      <c r="D3403" s="14" t="str">
        <f>VLOOKUP(C3403,'State Key'!$A$2:$B$210,2,False)</f>
        <v>Maharashtra</v>
      </c>
      <c r="E3403" s="21">
        <v>500.0</v>
      </c>
      <c r="F3403" s="22">
        <v>192.306</v>
      </c>
      <c r="G3403" s="22">
        <v>0.0</v>
      </c>
      <c r="H3403" s="22">
        <v>0.0</v>
      </c>
      <c r="I3403" s="22">
        <v>0.0</v>
      </c>
      <c r="J3403" s="22">
        <v>3.97</v>
      </c>
      <c r="K3403" s="22">
        <v>0.0</v>
      </c>
      <c r="L3403" s="22">
        <v>196.276</v>
      </c>
      <c r="M3403" s="22">
        <v>204.167</v>
      </c>
      <c r="N3403" s="22">
        <v>31.6</v>
      </c>
      <c r="O3403" s="17">
        <v>4.6</v>
      </c>
      <c r="P3403" s="18">
        <f t="shared" si="1"/>
        <v>196.276</v>
      </c>
    </row>
    <row r="3404" ht="15.75" customHeight="1">
      <c r="A3404" s="13" t="s">
        <v>237</v>
      </c>
      <c r="B3404" s="13" t="s">
        <v>133</v>
      </c>
      <c r="C3404" s="14" t="s">
        <v>151</v>
      </c>
      <c r="D3404" s="14" t="str">
        <f>VLOOKUP(C3404,'State Key'!$A$2:$B$210,2,False)</f>
        <v>Maharashtra</v>
      </c>
      <c r="E3404" s="15">
        <v>600.0</v>
      </c>
      <c r="F3404" s="16">
        <v>234.24</v>
      </c>
      <c r="G3404" s="16">
        <v>0.0</v>
      </c>
      <c r="H3404" s="16">
        <v>0.0</v>
      </c>
      <c r="I3404" s="16">
        <v>52.103</v>
      </c>
      <c r="J3404" s="16">
        <v>0.0</v>
      </c>
      <c r="K3404" s="16">
        <v>0.0</v>
      </c>
      <c r="L3404" s="16">
        <v>286.343</v>
      </c>
      <c r="M3404" s="16">
        <v>286.901</v>
      </c>
      <c r="N3404" s="16">
        <v>86.79</v>
      </c>
      <c r="O3404" s="23">
        <v>9.1</v>
      </c>
      <c r="P3404" s="18">
        <f t="shared" si="1"/>
        <v>286.343</v>
      </c>
    </row>
    <row r="3405" ht="15.75" customHeight="1">
      <c r="A3405" s="19" t="s">
        <v>237</v>
      </c>
      <c r="B3405" s="19" t="s">
        <v>133</v>
      </c>
      <c r="C3405" s="20" t="s">
        <v>152</v>
      </c>
      <c r="D3405" s="14" t="str">
        <f>VLOOKUP(C3405,'State Key'!$A$2:$B$210,2,False)</f>
        <v>Chhattisgarh</v>
      </c>
      <c r="E3405" s="21">
        <v>500.0</v>
      </c>
      <c r="F3405" s="22">
        <v>299.607</v>
      </c>
      <c r="G3405" s="22">
        <v>0.0</v>
      </c>
      <c r="H3405" s="22">
        <v>0.0</v>
      </c>
      <c r="I3405" s="22">
        <v>0.0</v>
      </c>
      <c r="J3405" s="22">
        <v>0.0</v>
      </c>
      <c r="K3405" s="22">
        <v>0.0</v>
      </c>
      <c r="L3405" s="22">
        <v>299.607</v>
      </c>
      <c r="M3405" s="22">
        <v>197.654</v>
      </c>
      <c r="N3405" s="22">
        <v>126.671</v>
      </c>
      <c r="O3405" s="24">
        <v>19.2</v>
      </c>
      <c r="P3405" s="18">
        <f t="shared" si="1"/>
        <v>299.607</v>
      </c>
    </row>
    <row r="3406" ht="15.75" customHeight="1">
      <c r="A3406" s="13" t="s">
        <v>237</v>
      </c>
      <c r="B3406" s="13" t="s">
        <v>133</v>
      </c>
      <c r="C3406" s="14" t="s">
        <v>153</v>
      </c>
      <c r="D3406" s="14" t="str">
        <f>VLOOKUP(C3406,'State Key'!$A$2:$B$210,2,False)</f>
        <v>Madhya Pradesh</v>
      </c>
      <c r="E3406" s="15">
        <v>1600.0</v>
      </c>
      <c r="F3406" s="16">
        <v>152.29</v>
      </c>
      <c r="G3406" s="16">
        <v>45.31</v>
      </c>
      <c r="H3406" s="16">
        <v>186.95</v>
      </c>
      <c r="I3406" s="16">
        <v>0.0</v>
      </c>
      <c r="J3406" s="16">
        <v>0.0</v>
      </c>
      <c r="K3406" s="16">
        <v>36.17</v>
      </c>
      <c r="L3406" s="16">
        <v>420.72</v>
      </c>
      <c r="M3406" s="16">
        <v>453.942</v>
      </c>
      <c r="N3406" s="16">
        <v>333.17</v>
      </c>
      <c r="O3406" s="24">
        <v>22.0</v>
      </c>
      <c r="P3406" s="18">
        <f t="shared" si="1"/>
        <v>420.72</v>
      </c>
    </row>
    <row r="3407" ht="15.75" customHeight="1">
      <c r="A3407" s="19" t="s">
        <v>237</v>
      </c>
      <c r="B3407" s="19" t="s">
        <v>133</v>
      </c>
      <c r="C3407" s="20" t="s">
        <v>154</v>
      </c>
      <c r="D3407" s="14" t="str">
        <f>VLOOKUP(C3407,'State Key'!$A$2:$B$210,2,False)</f>
        <v>Gujarat</v>
      </c>
      <c r="E3407" s="21">
        <v>630.0</v>
      </c>
      <c r="F3407" s="22">
        <v>220.79262</v>
      </c>
      <c r="G3407" s="22">
        <v>0.0</v>
      </c>
      <c r="H3407" s="22">
        <v>0.0</v>
      </c>
      <c r="I3407" s="22">
        <v>0.0</v>
      </c>
      <c r="J3407" s="22">
        <v>0.0</v>
      </c>
      <c r="K3407" s="22">
        <v>0.0</v>
      </c>
      <c r="L3407" s="22">
        <v>220.79262</v>
      </c>
      <c r="M3407" s="22">
        <v>202.264</v>
      </c>
      <c r="N3407" s="22">
        <v>131.42</v>
      </c>
      <c r="O3407" s="24">
        <v>19.5</v>
      </c>
      <c r="P3407" s="18">
        <f t="shared" si="1"/>
        <v>220.79262</v>
      </c>
    </row>
    <row r="3408" ht="15.75" customHeight="1">
      <c r="A3408" s="13" t="s">
        <v>237</v>
      </c>
      <c r="B3408" s="13" t="s">
        <v>133</v>
      </c>
      <c r="C3408" s="14" t="s">
        <v>155</v>
      </c>
      <c r="D3408" s="14" t="str">
        <f>VLOOKUP(C3408,'State Key'!$A$2:$B$210,2,False)</f>
        <v>Maharashtra</v>
      </c>
      <c r="E3408" s="15">
        <v>120.0</v>
      </c>
      <c r="F3408" s="16">
        <v>0.0</v>
      </c>
      <c r="G3408" s="16">
        <v>0.0</v>
      </c>
      <c r="H3408" s="16">
        <v>0.0</v>
      </c>
      <c r="I3408" s="16">
        <v>0.0</v>
      </c>
      <c r="J3408" s="16">
        <v>0.0</v>
      </c>
      <c r="K3408" s="16">
        <v>0.0</v>
      </c>
      <c r="L3408" s="16">
        <v>0.0</v>
      </c>
      <c r="M3408" s="16">
        <v>0.0</v>
      </c>
      <c r="N3408" s="16">
        <v>0.0</v>
      </c>
      <c r="O3408" s="13" t="s">
        <v>58</v>
      </c>
      <c r="P3408" s="18">
        <f t="shared" si="1"/>
        <v>0</v>
      </c>
    </row>
    <row r="3409" ht="15.75" customHeight="1">
      <c r="A3409" s="19" t="s">
        <v>237</v>
      </c>
      <c r="B3409" s="19" t="s">
        <v>133</v>
      </c>
      <c r="C3409" s="20" t="s">
        <v>156</v>
      </c>
      <c r="D3409" s="14" t="str">
        <f>VLOOKUP(C3409,'State Key'!$A$2:$B$210,2,False)</f>
        <v>Maharashtra</v>
      </c>
      <c r="E3409" s="21">
        <v>600.0</v>
      </c>
      <c r="F3409" s="22">
        <v>180.708</v>
      </c>
      <c r="G3409" s="22">
        <v>0.0</v>
      </c>
      <c r="H3409" s="22">
        <v>0.0</v>
      </c>
      <c r="I3409" s="22">
        <v>84.852</v>
      </c>
      <c r="J3409" s="22">
        <v>0.0</v>
      </c>
      <c r="K3409" s="22">
        <v>0.0</v>
      </c>
      <c r="L3409" s="22">
        <v>265.56</v>
      </c>
      <c r="M3409" s="22">
        <v>275.025</v>
      </c>
      <c r="N3409" s="22">
        <v>11.11</v>
      </c>
      <c r="O3409" s="17">
        <v>1.2</v>
      </c>
      <c r="P3409" s="18">
        <f t="shared" si="1"/>
        <v>265.56</v>
      </c>
    </row>
    <row r="3410" ht="15.75" customHeight="1">
      <c r="A3410" s="13" t="s">
        <v>237</v>
      </c>
      <c r="B3410" s="13" t="s">
        <v>133</v>
      </c>
      <c r="C3410" s="14" t="s">
        <v>157</v>
      </c>
      <c r="D3410" s="14" t="str">
        <f>VLOOKUP(C3410,'State Key'!$A$2:$B$210,2,False)</f>
        <v>Maharashtra</v>
      </c>
      <c r="E3410" s="15">
        <v>300.0</v>
      </c>
      <c r="F3410" s="16">
        <v>0.0</v>
      </c>
      <c r="G3410" s="16">
        <v>0.0</v>
      </c>
      <c r="H3410" s="16">
        <v>0.0</v>
      </c>
      <c r="I3410" s="16">
        <v>0.0</v>
      </c>
      <c r="J3410" s="16">
        <v>50.0</v>
      </c>
      <c r="K3410" s="16">
        <v>0.0</v>
      </c>
      <c r="L3410" s="16">
        <v>50.0</v>
      </c>
      <c r="M3410" s="16">
        <v>73.84</v>
      </c>
      <c r="N3410" s="16">
        <v>38.96</v>
      </c>
      <c r="O3410" s="24">
        <v>15.8</v>
      </c>
      <c r="P3410" s="18">
        <f t="shared" si="1"/>
        <v>50</v>
      </c>
    </row>
    <row r="3411" ht="15.75" customHeight="1">
      <c r="A3411" s="19" t="s">
        <v>237</v>
      </c>
      <c r="B3411" s="19" t="s">
        <v>133</v>
      </c>
      <c r="C3411" s="20" t="s">
        <v>158</v>
      </c>
      <c r="D3411" s="14" t="str">
        <f>VLOOKUP(C3411,'State Key'!$A$2:$B$210,2,False)</f>
        <v>Chhattisgarh</v>
      </c>
      <c r="E3411" s="21">
        <v>270.0</v>
      </c>
      <c r="F3411" s="22">
        <v>47.8352</v>
      </c>
      <c r="G3411" s="22">
        <v>0.0</v>
      </c>
      <c r="H3411" s="22">
        <v>0.0</v>
      </c>
      <c r="I3411" s="22">
        <v>0.0</v>
      </c>
      <c r="J3411" s="22">
        <v>0.0</v>
      </c>
      <c r="K3411" s="22">
        <v>11.4795</v>
      </c>
      <c r="L3411" s="22">
        <v>59.3147</v>
      </c>
      <c r="M3411" s="22">
        <v>162.99</v>
      </c>
      <c r="N3411" s="22">
        <v>112.6686</v>
      </c>
      <c r="O3411" s="24">
        <v>20.7</v>
      </c>
      <c r="P3411" s="18">
        <f t="shared" si="1"/>
        <v>59.3147</v>
      </c>
    </row>
    <row r="3412" ht="15.75" customHeight="1">
      <c r="A3412" s="13" t="s">
        <v>237</v>
      </c>
      <c r="B3412" s="13" t="s">
        <v>133</v>
      </c>
      <c r="C3412" s="14" t="s">
        <v>159</v>
      </c>
      <c r="D3412" s="14" t="str">
        <f>VLOOKUP(C3412,'State Key'!$A$2:$B$210,2,False)</f>
        <v>Chhattisgarh</v>
      </c>
      <c r="E3412" s="15">
        <v>35.0</v>
      </c>
      <c r="F3412" s="16">
        <v>0.0</v>
      </c>
      <c r="G3412" s="16">
        <v>0.0</v>
      </c>
      <c r="H3412" s="16">
        <v>0.0</v>
      </c>
      <c r="I3412" s="16">
        <v>0.0</v>
      </c>
      <c r="J3412" s="16">
        <v>0.0</v>
      </c>
      <c r="K3412" s="16">
        <v>0.0</v>
      </c>
      <c r="L3412" s="16">
        <v>0.0</v>
      </c>
      <c r="M3412" s="16">
        <v>0.0</v>
      </c>
      <c r="N3412" s="16">
        <v>0.0</v>
      </c>
      <c r="O3412" s="13" t="s">
        <v>58</v>
      </c>
      <c r="P3412" s="18">
        <f t="shared" si="1"/>
        <v>0</v>
      </c>
    </row>
    <row r="3413" ht="15.75" customHeight="1">
      <c r="A3413" s="19" t="s">
        <v>237</v>
      </c>
      <c r="B3413" s="19" t="s">
        <v>133</v>
      </c>
      <c r="C3413" s="20" t="s">
        <v>160</v>
      </c>
      <c r="D3413" s="14" t="str">
        <f>VLOOKUP(C3413,'State Key'!$A$2:$B$210,2,False)</f>
        <v>Maharashtra</v>
      </c>
      <c r="E3413" s="21">
        <v>1340.0</v>
      </c>
      <c r="F3413" s="22">
        <v>605.03</v>
      </c>
      <c r="G3413" s="22">
        <v>0.0</v>
      </c>
      <c r="H3413" s="22">
        <v>0.0</v>
      </c>
      <c r="I3413" s="22">
        <v>0.0</v>
      </c>
      <c r="J3413" s="22">
        <v>0.067</v>
      </c>
      <c r="K3413" s="22">
        <v>0.388</v>
      </c>
      <c r="L3413" s="22">
        <v>605.485</v>
      </c>
      <c r="M3413" s="22">
        <v>655.285</v>
      </c>
      <c r="N3413" s="22">
        <v>149.99</v>
      </c>
      <c r="O3413" s="17">
        <v>6.9</v>
      </c>
      <c r="P3413" s="18">
        <f t="shared" si="1"/>
        <v>605.485</v>
      </c>
    </row>
    <row r="3414" ht="15.75" customHeight="1">
      <c r="A3414" s="13" t="s">
        <v>237</v>
      </c>
      <c r="B3414" s="13" t="s">
        <v>133</v>
      </c>
      <c r="C3414" s="14" t="s">
        <v>161</v>
      </c>
      <c r="D3414" s="14" t="str">
        <f>VLOOKUP(C3414,'State Key'!$A$2:$B$210,2,False)</f>
        <v>Madhya Pradesh</v>
      </c>
      <c r="E3414" s="15">
        <v>1320.0</v>
      </c>
      <c r="F3414" s="16">
        <v>137.64</v>
      </c>
      <c r="G3414" s="16">
        <v>12.27</v>
      </c>
      <c r="H3414" s="16">
        <v>158.3</v>
      </c>
      <c r="I3414" s="16">
        <v>0.0</v>
      </c>
      <c r="J3414" s="16">
        <v>0.0</v>
      </c>
      <c r="K3414" s="16">
        <v>7.82</v>
      </c>
      <c r="L3414" s="16">
        <v>316.03</v>
      </c>
      <c r="M3414" s="16">
        <v>481.657</v>
      </c>
      <c r="N3414" s="16">
        <v>158.764</v>
      </c>
      <c r="O3414" s="23">
        <v>9.9</v>
      </c>
      <c r="P3414" s="18">
        <f t="shared" si="1"/>
        <v>316.03</v>
      </c>
    </row>
    <row r="3415" ht="15.75" customHeight="1">
      <c r="A3415" s="19" t="s">
        <v>237</v>
      </c>
      <c r="B3415" s="19" t="s">
        <v>133</v>
      </c>
      <c r="C3415" s="20" t="s">
        <v>162</v>
      </c>
      <c r="D3415" s="14" t="str">
        <f>VLOOKUP(C3415,'State Key'!$A$2:$B$210,2,False)</f>
        <v>Maharashtra</v>
      </c>
      <c r="E3415" s="21">
        <v>2190.0</v>
      </c>
      <c r="F3415" s="22">
        <v>699.272</v>
      </c>
      <c r="G3415" s="22">
        <v>56.892</v>
      </c>
      <c r="H3415" s="22">
        <v>0.0</v>
      </c>
      <c r="I3415" s="22">
        <v>0.0</v>
      </c>
      <c r="J3415" s="22">
        <v>0.0</v>
      </c>
      <c r="K3415" s="22">
        <v>0.0</v>
      </c>
      <c r="L3415" s="22">
        <v>756.164</v>
      </c>
      <c r="M3415" s="22">
        <v>906.473</v>
      </c>
      <c r="N3415" s="22">
        <v>234.772</v>
      </c>
      <c r="O3415" s="23">
        <v>7.8</v>
      </c>
      <c r="P3415" s="18">
        <f t="shared" si="1"/>
        <v>756.164</v>
      </c>
    </row>
    <row r="3416" ht="15.75" customHeight="1">
      <c r="A3416" s="13" t="s">
        <v>237</v>
      </c>
      <c r="B3416" s="13" t="s">
        <v>133</v>
      </c>
      <c r="C3416" s="14" t="s">
        <v>163</v>
      </c>
      <c r="D3416" s="14" t="str">
        <f>VLOOKUP(C3416,'State Key'!$A$2:$B$210,2,False)</f>
        <v>Chhattisgarh</v>
      </c>
      <c r="E3416" s="15">
        <v>2600.0</v>
      </c>
      <c r="F3416" s="16">
        <v>1243.05</v>
      </c>
      <c r="G3416" s="16">
        <v>0.0</v>
      </c>
      <c r="H3416" s="16">
        <v>0.0</v>
      </c>
      <c r="I3416" s="16">
        <v>0.0</v>
      </c>
      <c r="J3416" s="16">
        <v>0.0</v>
      </c>
      <c r="K3416" s="16">
        <v>0.0</v>
      </c>
      <c r="L3416" s="16">
        <v>1243.05</v>
      </c>
      <c r="M3416" s="16">
        <v>1152.016</v>
      </c>
      <c r="N3416" s="16">
        <v>335.105</v>
      </c>
      <c r="O3416" s="23">
        <v>8.7</v>
      </c>
      <c r="P3416" s="18">
        <f t="shared" si="1"/>
        <v>1243.05</v>
      </c>
    </row>
    <row r="3417" ht="15.75" customHeight="1">
      <c r="A3417" s="19" t="s">
        <v>237</v>
      </c>
      <c r="B3417" s="19" t="s">
        <v>133</v>
      </c>
      <c r="C3417" s="20" t="s">
        <v>164</v>
      </c>
      <c r="D3417" s="14" t="str">
        <f>VLOOKUP(C3417,'State Key'!$A$2:$B$210,2,False)</f>
        <v>Chhattisgarh</v>
      </c>
      <c r="E3417" s="21">
        <v>1340.0</v>
      </c>
      <c r="F3417" s="22">
        <v>566.432</v>
      </c>
      <c r="G3417" s="22">
        <v>0.0</v>
      </c>
      <c r="H3417" s="22">
        <v>0.0</v>
      </c>
      <c r="I3417" s="22">
        <v>0.0</v>
      </c>
      <c r="J3417" s="22">
        <v>0.0</v>
      </c>
      <c r="K3417" s="22">
        <v>0.0</v>
      </c>
      <c r="L3417" s="22">
        <v>566.432</v>
      </c>
      <c r="M3417" s="22">
        <v>541.29</v>
      </c>
      <c r="N3417" s="22">
        <v>154.5</v>
      </c>
      <c r="O3417" s="23">
        <v>8.6</v>
      </c>
      <c r="P3417" s="18">
        <f t="shared" si="1"/>
        <v>566.432</v>
      </c>
    </row>
    <row r="3418" ht="15.75" customHeight="1">
      <c r="A3418" s="13" t="s">
        <v>237</v>
      </c>
      <c r="B3418" s="13" t="s">
        <v>133</v>
      </c>
      <c r="C3418" s="14" t="s">
        <v>165</v>
      </c>
      <c r="D3418" s="14" t="str">
        <f>VLOOKUP(C3418,'State Key'!$A$2:$B$210,2,False)</f>
        <v>Chhattisgarh</v>
      </c>
      <c r="E3418" s="15">
        <v>1600.0</v>
      </c>
      <c r="F3418" s="16">
        <v>630.1</v>
      </c>
      <c r="G3418" s="16">
        <v>0.0</v>
      </c>
      <c r="H3418" s="16">
        <v>0.0</v>
      </c>
      <c r="I3418" s="16">
        <v>0.0</v>
      </c>
      <c r="J3418" s="16">
        <v>0.0</v>
      </c>
      <c r="K3418" s="16">
        <v>0.0</v>
      </c>
      <c r="L3418" s="16">
        <v>630.1</v>
      </c>
      <c r="M3418" s="16">
        <v>389.233</v>
      </c>
      <c r="N3418" s="16">
        <v>586.04</v>
      </c>
      <c r="O3418" s="24">
        <v>45.2</v>
      </c>
      <c r="P3418" s="18">
        <f t="shared" si="1"/>
        <v>630.1</v>
      </c>
    </row>
    <row r="3419" ht="15.75" customHeight="1">
      <c r="A3419" s="19" t="s">
        <v>237</v>
      </c>
      <c r="B3419" s="19" t="s">
        <v>133</v>
      </c>
      <c r="C3419" s="20" t="s">
        <v>166</v>
      </c>
      <c r="D3419" s="14" t="str">
        <f>VLOOKUP(C3419,'State Key'!$A$2:$B$210,2,False)</f>
        <v>Madhya Pradesh</v>
      </c>
      <c r="E3419" s="21">
        <v>1200.0</v>
      </c>
      <c r="F3419" s="22">
        <v>220.545</v>
      </c>
      <c r="G3419" s="22">
        <v>0.0</v>
      </c>
      <c r="H3419" s="22">
        <v>0.0</v>
      </c>
      <c r="I3419" s="22">
        <v>0.0</v>
      </c>
      <c r="J3419" s="22">
        <v>0.0</v>
      </c>
      <c r="K3419" s="22">
        <v>267.878</v>
      </c>
      <c r="L3419" s="22">
        <v>488.423</v>
      </c>
      <c r="M3419" s="22">
        <v>467.556</v>
      </c>
      <c r="N3419" s="22">
        <v>157.39</v>
      </c>
      <c r="O3419" s="23">
        <v>10.1</v>
      </c>
      <c r="P3419" s="18">
        <f t="shared" si="1"/>
        <v>488.423</v>
      </c>
    </row>
    <row r="3420" ht="15.75" customHeight="1">
      <c r="A3420" s="13" t="s">
        <v>237</v>
      </c>
      <c r="B3420" s="13" t="s">
        <v>133</v>
      </c>
      <c r="C3420" s="14" t="s">
        <v>167</v>
      </c>
      <c r="D3420" s="14" t="str">
        <f>VLOOKUP(C3420,'State Key'!$A$2:$B$210,2,False)</f>
        <v>Chhattisgarh</v>
      </c>
      <c r="E3420" s="15">
        <v>1000.0</v>
      </c>
      <c r="F3420" s="16">
        <v>40.713</v>
      </c>
      <c r="G3420" s="16">
        <v>0.0</v>
      </c>
      <c r="H3420" s="16">
        <v>371.936</v>
      </c>
      <c r="I3420" s="16">
        <v>0.0</v>
      </c>
      <c r="J3420" s="16">
        <v>0.0</v>
      </c>
      <c r="K3420" s="16">
        <v>0.0</v>
      </c>
      <c r="L3420" s="16">
        <v>412.649</v>
      </c>
      <c r="M3420" s="16">
        <v>388.919</v>
      </c>
      <c r="N3420" s="16">
        <v>80.49</v>
      </c>
      <c r="O3420" s="17">
        <v>6.2</v>
      </c>
      <c r="P3420" s="18">
        <f t="shared" si="1"/>
        <v>412.649</v>
      </c>
    </row>
    <row r="3421" ht="15.75" customHeight="1">
      <c r="A3421" s="19" t="s">
        <v>237</v>
      </c>
      <c r="B3421" s="19" t="s">
        <v>133</v>
      </c>
      <c r="C3421" s="20" t="s">
        <v>168</v>
      </c>
      <c r="D3421" s="14" t="str">
        <f>VLOOKUP(C3421,'State Key'!$A$2:$B$210,2,False)</f>
        <v>Maharashtra</v>
      </c>
      <c r="E3421" s="21">
        <v>2320.0</v>
      </c>
      <c r="F3421" s="22">
        <v>482.04</v>
      </c>
      <c r="G3421" s="22">
        <v>73.72</v>
      </c>
      <c r="H3421" s="22">
        <v>82.82</v>
      </c>
      <c r="I3421" s="22">
        <v>0.0</v>
      </c>
      <c r="J3421" s="22">
        <v>0.12</v>
      </c>
      <c r="K3421" s="22">
        <v>0.0</v>
      </c>
      <c r="L3421" s="22">
        <v>638.7</v>
      </c>
      <c r="M3421" s="22">
        <v>760.932</v>
      </c>
      <c r="N3421" s="22">
        <v>551.88</v>
      </c>
      <c r="O3421" s="24">
        <v>21.8</v>
      </c>
      <c r="P3421" s="18">
        <f t="shared" si="1"/>
        <v>638.7</v>
      </c>
    </row>
    <row r="3422" ht="15.75" customHeight="1">
      <c r="A3422" s="13" t="s">
        <v>237</v>
      </c>
      <c r="B3422" s="13" t="s">
        <v>133</v>
      </c>
      <c r="C3422" s="14" t="s">
        <v>169</v>
      </c>
      <c r="D3422" s="14" t="str">
        <f>VLOOKUP(C3422,'State Key'!$A$2:$B$210,2,False)</f>
        <v>Madhya Pradesh</v>
      </c>
      <c r="E3422" s="15">
        <v>246.01</v>
      </c>
      <c r="F3422" s="16">
        <v>0.0</v>
      </c>
      <c r="G3422" s="16">
        <v>0.0</v>
      </c>
      <c r="H3422" s="16">
        <v>0.0</v>
      </c>
      <c r="I3422" s="16">
        <v>0.0</v>
      </c>
      <c r="J3422" s="16">
        <v>0.0</v>
      </c>
      <c r="K3422" s="16">
        <v>0.0</v>
      </c>
      <c r="L3422" s="16">
        <v>0.0</v>
      </c>
      <c r="M3422" s="16">
        <v>0.0</v>
      </c>
      <c r="N3422" s="16">
        <v>0.0</v>
      </c>
      <c r="O3422" s="13" t="s">
        <v>58</v>
      </c>
      <c r="P3422" s="18">
        <f t="shared" si="1"/>
        <v>0</v>
      </c>
    </row>
    <row r="3423" ht="15.75" customHeight="1">
      <c r="A3423" s="19" t="s">
        <v>237</v>
      </c>
      <c r="B3423" s="19" t="s">
        <v>133</v>
      </c>
      <c r="C3423" s="20" t="s">
        <v>172</v>
      </c>
      <c r="D3423" s="14" t="str">
        <f>VLOOKUP(C3423,'State Key'!$A$2:$B$210,2,False)</f>
        <v>Gujarat</v>
      </c>
      <c r="E3423" s="21">
        <v>4000.0</v>
      </c>
      <c r="F3423" s="22">
        <v>0.0</v>
      </c>
      <c r="G3423" s="22">
        <v>0.0</v>
      </c>
      <c r="H3423" s="22">
        <v>0.0</v>
      </c>
      <c r="I3423" s="22">
        <v>0.0</v>
      </c>
      <c r="J3423" s="22">
        <v>552.815</v>
      </c>
      <c r="K3423" s="22">
        <v>0.0</v>
      </c>
      <c r="L3423" s="22">
        <v>552.815</v>
      </c>
      <c r="M3423" s="22">
        <v>871.937</v>
      </c>
      <c r="N3423" s="22">
        <v>1051.671</v>
      </c>
      <c r="O3423" s="24">
        <v>36.2</v>
      </c>
      <c r="P3423" s="18">
        <f t="shared" si="1"/>
        <v>552.815</v>
      </c>
    </row>
    <row r="3424" ht="15.75" customHeight="1">
      <c r="A3424" s="13" t="s">
        <v>237</v>
      </c>
      <c r="B3424" s="13" t="s">
        <v>133</v>
      </c>
      <c r="C3424" s="14" t="s">
        <v>173</v>
      </c>
      <c r="D3424" s="14" t="str">
        <f>VLOOKUP(C3424,'State Key'!$A$2:$B$210,2,False)</f>
        <v>Maharashtra</v>
      </c>
      <c r="E3424" s="15">
        <v>1350.0</v>
      </c>
      <c r="F3424" s="16">
        <v>0.0</v>
      </c>
      <c r="G3424" s="16">
        <v>0.0</v>
      </c>
      <c r="H3424" s="16">
        <v>0.0</v>
      </c>
      <c r="I3424" s="16">
        <v>0.0</v>
      </c>
      <c r="J3424" s="16">
        <v>0.0</v>
      </c>
      <c r="K3424" s="16">
        <v>0.0</v>
      </c>
      <c r="L3424" s="16">
        <v>0.0</v>
      </c>
      <c r="M3424" s="16">
        <v>0.0</v>
      </c>
      <c r="N3424" s="16">
        <v>0.0</v>
      </c>
      <c r="O3424" s="13" t="s">
        <v>58</v>
      </c>
      <c r="P3424" s="18">
        <f t="shared" si="1"/>
        <v>0</v>
      </c>
    </row>
    <row r="3425" ht="15.75" customHeight="1">
      <c r="A3425" s="19" t="s">
        <v>237</v>
      </c>
      <c r="B3425" s="19" t="s">
        <v>133</v>
      </c>
      <c r="C3425" s="20" t="s">
        <v>174</v>
      </c>
      <c r="D3425" s="14" t="str">
        <f>VLOOKUP(C3425,'State Key'!$A$2:$B$210,2,False)</f>
        <v>Maharashtra</v>
      </c>
      <c r="E3425" s="21">
        <v>630.0</v>
      </c>
      <c r="F3425" s="22">
        <v>168.168</v>
      </c>
      <c r="G3425" s="22">
        <v>0.0</v>
      </c>
      <c r="H3425" s="22">
        <v>0.0</v>
      </c>
      <c r="I3425" s="22">
        <v>0.0</v>
      </c>
      <c r="J3425" s="22">
        <v>0.0</v>
      </c>
      <c r="K3425" s="22">
        <v>0.0</v>
      </c>
      <c r="L3425" s="22">
        <v>168.168</v>
      </c>
      <c r="M3425" s="22">
        <v>218.963</v>
      </c>
      <c r="N3425" s="22">
        <v>205.228</v>
      </c>
      <c r="O3425" s="24">
        <v>28.1</v>
      </c>
      <c r="P3425" s="18">
        <f t="shared" si="1"/>
        <v>168.168</v>
      </c>
    </row>
    <row r="3426" ht="15.75" customHeight="1">
      <c r="A3426" s="13" t="s">
        <v>237</v>
      </c>
      <c r="B3426" s="13" t="s">
        <v>133</v>
      </c>
      <c r="C3426" s="14" t="s">
        <v>175</v>
      </c>
      <c r="D3426" s="14" t="str">
        <f>VLOOKUP(C3426,'State Key'!$A$2:$B$210,2,False)</f>
        <v>Chhattisgarh</v>
      </c>
      <c r="E3426" s="15">
        <v>600.0</v>
      </c>
      <c r="F3426" s="16">
        <v>238.562</v>
      </c>
      <c r="G3426" s="16">
        <v>0.0</v>
      </c>
      <c r="H3426" s="16">
        <v>0.0</v>
      </c>
      <c r="I3426" s="16">
        <v>25.35</v>
      </c>
      <c r="J3426" s="16">
        <v>0.0</v>
      </c>
      <c r="K3426" s="16">
        <v>0.0</v>
      </c>
      <c r="L3426" s="16">
        <v>263.912</v>
      </c>
      <c r="M3426" s="16">
        <v>265.284</v>
      </c>
      <c r="N3426" s="16">
        <v>135.66</v>
      </c>
      <c r="O3426" s="24">
        <v>15.3</v>
      </c>
      <c r="P3426" s="18">
        <f t="shared" si="1"/>
        <v>263.912</v>
      </c>
    </row>
    <row r="3427" ht="15.75" customHeight="1">
      <c r="A3427" s="19" t="s">
        <v>237</v>
      </c>
      <c r="B3427" s="19" t="s">
        <v>133</v>
      </c>
      <c r="C3427" s="20" t="s">
        <v>176</v>
      </c>
      <c r="D3427" s="14" t="str">
        <f>VLOOKUP(C3427,'State Key'!$A$2:$B$210,2,False)</f>
        <v>Madhya Pradesh</v>
      </c>
      <c r="E3427" s="21">
        <v>1320.0</v>
      </c>
      <c r="F3427" s="22">
        <v>0.0</v>
      </c>
      <c r="G3427" s="22">
        <v>0.0</v>
      </c>
      <c r="H3427" s="22">
        <v>336.415</v>
      </c>
      <c r="I3427" s="22">
        <v>211.457</v>
      </c>
      <c r="J3427" s="22">
        <v>0.0</v>
      </c>
      <c r="K3427" s="22">
        <v>0.0</v>
      </c>
      <c r="L3427" s="22">
        <v>547.872</v>
      </c>
      <c r="M3427" s="22">
        <v>471.602</v>
      </c>
      <c r="N3427" s="22">
        <v>130.3617</v>
      </c>
      <c r="O3427" s="23">
        <v>8.3</v>
      </c>
      <c r="P3427" s="18">
        <f t="shared" si="1"/>
        <v>547.872</v>
      </c>
    </row>
    <row r="3428" ht="15.75" customHeight="1">
      <c r="A3428" s="13" t="s">
        <v>237</v>
      </c>
      <c r="B3428" s="13" t="s">
        <v>133</v>
      </c>
      <c r="C3428" s="14" t="s">
        <v>177</v>
      </c>
      <c r="D3428" s="14" t="str">
        <f>VLOOKUP(C3428,'State Key'!$A$2:$B$210,2,False)</f>
        <v>Madhya Pradesh</v>
      </c>
      <c r="E3428" s="15">
        <v>90.0</v>
      </c>
      <c r="F3428" s="16">
        <v>31.858</v>
      </c>
      <c r="G3428" s="16">
        <v>0.0</v>
      </c>
      <c r="H3428" s="16">
        <v>0.0</v>
      </c>
      <c r="I3428" s="16">
        <v>0.0</v>
      </c>
      <c r="J3428" s="16">
        <v>0.0</v>
      </c>
      <c r="K3428" s="16">
        <v>14.96</v>
      </c>
      <c r="L3428" s="16">
        <v>46.818</v>
      </c>
      <c r="M3428" s="16">
        <v>48.56</v>
      </c>
      <c r="N3428" s="16">
        <v>65.26</v>
      </c>
      <c r="O3428" s="24">
        <v>40.3</v>
      </c>
      <c r="P3428" s="18">
        <f t="shared" si="1"/>
        <v>46.818</v>
      </c>
    </row>
    <row r="3429" ht="15.75" customHeight="1">
      <c r="A3429" s="19" t="s">
        <v>237</v>
      </c>
      <c r="B3429" s="19" t="s">
        <v>133</v>
      </c>
      <c r="C3429" s="20" t="s">
        <v>178</v>
      </c>
      <c r="D3429" s="14" t="str">
        <f>VLOOKUP(C3429,'State Key'!$A$2:$B$210,2,False)</f>
        <v>Chhattisgarh</v>
      </c>
      <c r="E3429" s="21">
        <v>1000.0</v>
      </c>
      <c r="F3429" s="22">
        <v>41.636</v>
      </c>
      <c r="G3429" s="22">
        <v>0.0</v>
      </c>
      <c r="H3429" s="22">
        <v>650.646</v>
      </c>
      <c r="I3429" s="22">
        <v>113.321</v>
      </c>
      <c r="J3429" s="22">
        <v>0.0</v>
      </c>
      <c r="K3429" s="22">
        <v>80.395</v>
      </c>
      <c r="L3429" s="22">
        <v>885.998</v>
      </c>
      <c r="M3429" s="22">
        <v>519.258</v>
      </c>
      <c r="N3429" s="22">
        <v>549.46</v>
      </c>
      <c r="O3429" s="24">
        <v>31.7</v>
      </c>
      <c r="P3429" s="18">
        <f t="shared" si="1"/>
        <v>885.998</v>
      </c>
    </row>
    <row r="3430" ht="15.75" customHeight="1">
      <c r="A3430" s="13" t="s">
        <v>237</v>
      </c>
      <c r="B3430" s="13" t="s">
        <v>133</v>
      </c>
      <c r="C3430" s="14" t="s">
        <v>179</v>
      </c>
      <c r="D3430" s="14" t="str">
        <f>VLOOKUP(C3430,'State Key'!$A$2:$B$210,2,False)</f>
        <v>Maharashtra</v>
      </c>
      <c r="E3430" s="15">
        <v>500.0</v>
      </c>
      <c r="F3430" s="16">
        <v>177.399</v>
      </c>
      <c r="G3430" s="16">
        <v>0.0</v>
      </c>
      <c r="H3430" s="16">
        <v>0.0</v>
      </c>
      <c r="I3430" s="16">
        <v>0.0</v>
      </c>
      <c r="J3430" s="16">
        <v>0.0</v>
      </c>
      <c r="K3430" s="16">
        <v>0.0</v>
      </c>
      <c r="L3430" s="16">
        <v>177.399</v>
      </c>
      <c r="M3430" s="16">
        <v>218.215</v>
      </c>
      <c r="N3430" s="16">
        <v>39.49</v>
      </c>
      <c r="O3430" s="17">
        <v>5.4</v>
      </c>
      <c r="P3430" s="18">
        <f t="shared" si="1"/>
        <v>177.399</v>
      </c>
    </row>
    <row r="3431" ht="15.75" customHeight="1">
      <c r="A3431" s="19" t="s">
        <v>237</v>
      </c>
      <c r="B3431" s="19" t="s">
        <v>133</v>
      </c>
      <c r="C3431" s="20" t="s">
        <v>180</v>
      </c>
      <c r="D3431" s="14" t="str">
        <f>VLOOKUP(C3431,'State Key'!$A$2:$B$210,2,False)</f>
        <v>Maharashtra</v>
      </c>
      <c r="E3431" s="21">
        <v>750.0</v>
      </c>
      <c r="F3431" s="22">
        <v>103.78</v>
      </c>
      <c r="G3431" s="22">
        <v>205.415</v>
      </c>
      <c r="H3431" s="22">
        <v>0.0</v>
      </c>
      <c r="I3431" s="22">
        <v>0.0</v>
      </c>
      <c r="J3431" s="22">
        <v>0.0</v>
      </c>
      <c r="K3431" s="22">
        <v>0.0</v>
      </c>
      <c r="L3431" s="22">
        <v>309.195</v>
      </c>
      <c r="M3431" s="22">
        <v>269.442</v>
      </c>
      <c r="N3431" s="22">
        <v>135.75</v>
      </c>
      <c r="O3431" s="24">
        <v>15.1</v>
      </c>
      <c r="P3431" s="18">
        <f t="shared" si="1"/>
        <v>309.195</v>
      </c>
    </row>
    <row r="3432" ht="15.75" customHeight="1">
      <c r="A3432" s="13" t="s">
        <v>237</v>
      </c>
      <c r="B3432" s="13" t="s">
        <v>133</v>
      </c>
      <c r="C3432" s="14" t="s">
        <v>181</v>
      </c>
      <c r="D3432" s="14" t="str">
        <f>VLOOKUP(C3432,'State Key'!$A$2:$B$210,2,False)</f>
        <v>Chhattisgarh</v>
      </c>
      <c r="E3432" s="15">
        <v>600.0</v>
      </c>
      <c r="F3432" s="16">
        <v>292.02</v>
      </c>
      <c r="G3432" s="16">
        <v>0.0</v>
      </c>
      <c r="H3432" s="16">
        <v>0.0</v>
      </c>
      <c r="I3432" s="16">
        <v>0.0</v>
      </c>
      <c r="J3432" s="16">
        <v>0.0</v>
      </c>
      <c r="K3432" s="16">
        <v>0.0</v>
      </c>
      <c r="L3432" s="16">
        <v>292.02</v>
      </c>
      <c r="M3432" s="16">
        <v>303.1</v>
      </c>
      <c r="N3432" s="16">
        <v>96.14</v>
      </c>
      <c r="O3432" s="23">
        <v>9.5</v>
      </c>
      <c r="P3432" s="18">
        <f t="shared" si="1"/>
        <v>292.02</v>
      </c>
    </row>
    <row r="3433" ht="15.75" customHeight="1">
      <c r="A3433" s="19" t="s">
        <v>237</v>
      </c>
      <c r="B3433" s="19" t="s">
        <v>133</v>
      </c>
      <c r="C3433" s="20" t="s">
        <v>183</v>
      </c>
      <c r="D3433" s="14" t="str">
        <f>VLOOKUP(C3433,'State Key'!$A$2:$B$210,2,False)</f>
        <v>Chhattisgarh</v>
      </c>
      <c r="E3433" s="21">
        <v>100.0</v>
      </c>
      <c r="F3433" s="22">
        <v>0.0</v>
      </c>
      <c r="G3433" s="22">
        <v>0.0</v>
      </c>
      <c r="H3433" s="22">
        <v>0.0</v>
      </c>
      <c r="I3433" s="22">
        <v>0.0</v>
      </c>
      <c r="J3433" s="22">
        <v>0.0</v>
      </c>
      <c r="K3433" s="22">
        <v>87.34</v>
      </c>
      <c r="L3433" s="22">
        <v>87.34</v>
      </c>
      <c r="M3433" s="22">
        <v>79.31</v>
      </c>
      <c r="N3433" s="22">
        <v>18.04</v>
      </c>
      <c r="O3433" s="17">
        <v>6.8</v>
      </c>
      <c r="P3433" s="18">
        <f t="shared" si="1"/>
        <v>87.34</v>
      </c>
    </row>
    <row r="3434" ht="15.75" customHeight="1">
      <c r="A3434" s="13" t="s">
        <v>237</v>
      </c>
      <c r="B3434" s="13" t="s">
        <v>133</v>
      </c>
      <c r="C3434" s="14" t="s">
        <v>184</v>
      </c>
      <c r="D3434" s="14" t="str">
        <f>VLOOKUP(C3434,'State Key'!$A$2:$B$210,2,False)</f>
        <v>Gujarat</v>
      </c>
      <c r="E3434" s="15">
        <v>362.0</v>
      </c>
      <c r="F3434" s="16">
        <v>96.066</v>
      </c>
      <c r="G3434" s="16">
        <v>0.0</v>
      </c>
      <c r="H3434" s="16">
        <v>0.0</v>
      </c>
      <c r="I3434" s="16">
        <v>0.0</v>
      </c>
      <c r="J3434" s="16">
        <v>15.942</v>
      </c>
      <c r="K3434" s="16">
        <v>0.0</v>
      </c>
      <c r="L3434" s="16">
        <v>112.008</v>
      </c>
      <c r="M3434" s="16">
        <v>159.822</v>
      </c>
      <c r="N3434" s="16">
        <v>59.15</v>
      </c>
      <c r="O3434" s="23">
        <v>11.1</v>
      </c>
      <c r="P3434" s="18">
        <f t="shared" si="1"/>
        <v>112.008</v>
      </c>
    </row>
    <row r="3435" ht="15.75" customHeight="1">
      <c r="A3435" s="19" t="s">
        <v>237</v>
      </c>
      <c r="B3435" s="19" t="s">
        <v>133</v>
      </c>
      <c r="C3435" s="20" t="s">
        <v>185</v>
      </c>
      <c r="D3435" s="14" t="str">
        <f>VLOOKUP(C3435,'State Key'!$A$2:$B$210,2,False)</f>
        <v>Gujarat</v>
      </c>
      <c r="E3435" s="21">
        <v>1200.0</v>
      </c>
      <c r="F3435" s="22">
        <v>0.0</v>
      </c>
      <c r="G3435" s="22">
        <v>0.0</v>
      </c>
      <c r="H3435" s="22">
        <v>0.0</v>
      </c>
      <c r="I3435" s="22">
        <v>0.0</v>
      </c>
      <c r="J3435" s="22">
        <v>241.365</v>
      </c>
      <c r="K3435" s="22">
        <v>0.0</v>
      </c>
      <c r="L3435" s="22">
        <v>241.365</v>
      </c>
      <c r="M3435" s="22">
        <v>232.229</v>
      </c>
      <c r="N3435" s="22">
        <v>140.267</v>
      </c>
      <c r="O3435" s="24">
        <v>18.1</v>
      </c>
      <c r="P3435" s="18">
        <f t="shared" si="1"/>
        <v>241.365</v>
      </c>
    </row>
    <row r="3436" ht="15.75" customHeight="1">
      <c r="A3436" s="13" t="s">
        <v>237</v>
      </c>
      <c r="B3436" s="13" t="s">
        <v>133</v>
      </c>
      <c r="C3436" s="14" t="s">
        <v>186</v>
      </c>
      <c r="D3436" s="14" t="str">
        <f>VLOOKUP(C3436,'State Key'!$A$2:$B$210,2,False)</f>
        <v>Chhattisgarh</v>
      </c>
      <c r="E3436" s="15">
        <v>135.0</v>
      </c>
      <c r="F3436" s="16">
        <v>0.0</v>
      </c>
      <c r="G3436" s="16">
        <v>0.0</v>
      </c>
      <c r="H3436" s="16">
        <v>0.0</v>
      </c>
      <c r="I3436" s="16">
        <v>0.0</v>
      </c>
      <c r="J3436" s="16">
        <v>0.0</v>
      </c>
      <c r="K3436" s="16">
        <v>0.0</v>
      </c>
      <c r="L3436" s="16">
        <v>0.0</v>
      </c>
      <c r="M3436" s="16">
        <v>0.0</v>
      </c>
      <c r="N3436" s="16">
        <v>0.0</v>
      </c>
      <c r="O3436" s="13" t="s">
        <v>58</v>
      </c>
      <c r="P3436" s="18">
        <f t="shared" si="1"/>
        <v>0</v>
      </c>
    </row>
    <row r="3437" ht="15.75" customHeight="1">
      <c r="A3437" s="19" t="s">
        <v>237</v>
      </c>
      <c r="B3437" s="19" t="s">
        <v>133</v>
      </c>
      <c r="C3437" s="20" t="s">
        <v>187</v>
      </c>
      <c r="D3437" s="14" t="str">
        <f>VLOOKUP(C3437,'State Key'!$A$2:$B$210,2,False)</f>
        <v>Madhya Pradesh</v>
      </c>
      <c r="E3437" s="21">
        <v>1340.0</v>
      </c>
      <c r="F3437" s="22">
        <v>519.09</v>
      </c>
      <c r="G3437" s="22">
        <v>0.0</v>
      </c>
      <c r="H3437" s="22">
        <v>0.0</v>
      </c>
      <c r="I3437" s="22">
        <v>0.0</v>
      </c>
      <c r="J3437" s="22">
        <v>0.0</v>
      </c>
      <c r="K3437" s="22">
        <v>0.0</v>
      </c>
      <c r="L3437" s="22">
        <v>519.09</v>
      </c>
      <c r="M3437" s="22">
        <v>391.518</v>
      </c>
      <c r="N3437" s="22">
        <v>171.612</v>
      </c>
      <c r="O3437" s="23">
        <v>13.1</v>
      </c>
      <c r="P3437" s="18">
        <f t="shared" si="1"/>
        <v>519.09</v>
      </c>
    </row>
    <row r="3438" ht="15.75" customHeight="1">
      <c r="A3438" s="13" t="s">
        <v>237</v>
      </c>
      <c r="B3438" s="13" t="s">
        <v>133</v>
      </c>
      <c r="C3438" s="14" t="s">
        <v>188</v>
      </c>
      <c r="D3438" s="14" t="str">
        <f>VLOOKUP(C3438,'State Key'!$A$2:$B$210,2,False)</f>
        <v>Madhya Pradesh</v>
      </c>
      <c r="E3438" s="15">
        <v>3960.0</v>
      </c>
      <c r="F3438" s="16">
        <v>0.0</v>
      </c>
      <c r="G3438" s="16">
        <v>0.0</v>
      </c>
      <c r="H3438" s="16">
        <v>1581.974</v>
      </c>
      <c r="I3438" s="16">
        <v>0.0</v>
      </c>
      <c r="J3438" s="16">
        <v>0.0</v>
      </c>
      <c r="K3438" s="16">
        <v>0.0</v>
      </c>
      <c r="L3438" s="16">
        <v>1581.974</v>
      </c>
      <c r="M3438" s="16">
        <v>1609.728</v>
      </c>
      <c r="N3438" s="16">
        <v>55.071</v>
      </c>
      <c r="O3438" s="17">
        <v>1.0</v>
      </c>
      <c r="P3438" s="18">
        <f t="shared" si="1"/>
        <v>1581.974</v>
      </c>
    </row>
    <row r="3439" ht="15.75" customHeight="1">
      <c r="A3439" s="19" t="s">
        <v>237</v>
      </c>
      <c r="B3439" s="19" t="s">
        <v>133</v>
      </c>
      <c r="C3439" s="20" t="s">
        <v>189</v>
      </c>
      <c r="D3439" s="14" t="str">
        <f>VLOOKUP(C3439,'State Key'!$A$2:$B$210,2,False)</f>
        <v>Madhya Pradesh</v>
      </c>
      <c r="E3439" s="21">
        <v>1330.0</v>
      </c>
      <c r="F3439" s="22">
        <v>155.7903</v>
      </c>
      <c r="G3439" s="22">
        <v>0.0</v>
      </c>
      <c r="H3439" s="22">
        <v>0.0</v>
      </c>
      <c r="I3439" s="22">
        <v>0.0</v>
      </c>
      <c r="J3439" s="22">
        <v>0.0</v>
      </c>
      <c r="K3439" s="22">
        <v>0.0</v>
      </c>
      <c r="L3439" s="22">
        <v>155.7903</v>
      </c>
      <c r="M3439" s="22">
        <v>224.675</v>
      </c>
      <c r="N3439" s="22">
        <v>101.39</v>
      </c>
      <c r="O3439" s="23">
        <v>13.5</v>
      </c>
      <c r="P3439" s="18">
        <f t="shared" si="1"/>
        <v>155.7903</v>
      </c>
    </row>
    <row r="3440" ht="15.75" customHeight="1">
      <c r="A3440" s="13" t="s">
        <v>237</v>
      </c>
      <c r="B3440" s="13" t="s">
        <v>133</v>
      </c>
      <c r="C3440" s="14" t="s">
        <v>190</v>
      </c>
      <c r="D3440" s="14" t="str">
        <f>VLOOKUP(C3440,'State Key'!$A$2:$B$210,2,False)</f>
        <v>Madhya Pradesh</v>
      </c>
      <c r="E3440" s="15">
        <v>600.0</v>
      </c>
      <c r="F3440" s="16">
        <v>63.757</v>
      </c>
      <c r="G3440" s="16">
        <v>0.0</v>
      </c>
      <c r="H3440" s="16">
        <v>0.0</v>
      </c>
      <c r="I3440" s="16">
        <v>147.03</v>
      </c>
      <c r="J3440" s="16">
        <v>0.0</v>
      </c>
      <c r="K3440" s="16">
        <v>0.0</v>
      </c>
      <c r="L3440" s="16">
        <v>210.787</v>
      </c>
      <c r="M3440" s="16">
        <v>250.758</v>
      </c>
      <c r="N3440" s="16">
        <v>49.86</v>
      </c>
      <c r="O3440" s="17">
        <v>6.0</v>
      </c>
      <c r="P3440" s="18">
        <f t="shared" si="1"/>
        <v>210.787</v>
      </c>
    </row>
    <row r="3441" ht="15.75" customHeight="1">
      <c r="A3441" s="19" t="s">
        <v>237</v>
      </c>
      <c r="B3441" s="19" t="s">
        <v>133</v>
      </c>
      <c r="C3441" s="20" t="s">
        <v>191</v>
      </c>
      <c r="D3441" s="14" t="str">
        <f>VLOOKUP(C3441,'State Key'!$A$2:$B$210,2,False)</f>
        <v>Maharashtra</v>
      </c>
      <c r="E3441" s="21">
        <v>300.0</v>
      </c>
      <c r="F3441" s="22">
        <v>3.781</v>
      </c>
      <c r="G3441" s="22">
        <v>0.0</v>
      </c>
      <c r="H3441" s="22">
        <v>0.0</v>
      </c>
      <c r="I3441" s="22">
        <v>0.0</v>
      </c>
      <c r="J3441" s="22">
        <v>0.0</v>
      </c>
      <c r="K3441" s="22">
        <v>78.206</v>
      </c>
      <c r="L3441" s="22">
        <v>81.987</v>
      </c>
      <c r="M3441" s="22">
        <v>108.441</v>
      </c>
      <c r="N3441" s="22">
        <v>24.01</v>
      </c>
      <c r="O3441" s="17">
        <v>6.6</v>
      </c>
      <c r="P3441" s="18">
        <f t="shared" si="1"/>
        <v>81.987</v>
      </c>
    </row>
    <row r="3442" ht="15.75" customHeight="1">
      <c r="A3442" s="13" t="s">
        <v>237</v>
      </c>
      <c r="B3442" s="13" t="s">
        <v>133</v>
      </c>
      <c r="C3442" s="14" t="s">
        <v>192</v>
      </c>
      <c r="D3442" s="14" t="str">
        <f>VLOOKUP(C3442,'State Key'!$A$2:$B$210,2,False)</f>
        <v>Madhya Pradesh</v>
      </c>
      <c r="E3442" s="15">
        <v>2520.0</v>
      </c>
      <c r="F3442" s="16">
        <v>712.992</v>
      </c>
      <c r="G3442" s="16">
        <v>0.0</v>
      </c>
      <c r="H3442" s="16">
        <v>0.0</v>
      </c>
      <c r="I3442" s="16">
        <v>0.0</v>
      </c>
      <c r="J3442" s="16">
        <v>0.0</v>
      </c>
      <c r="K3442" s="16">
        <v>0.0</v>
      </c>
      <c r="L3442" s="16">
        <v>712.992</v>
      </c>
      <c r="M3442" s="16">
        <v>673.647</v>
      </c>
      <c r="N3442" s="16">
        <v>513.39</v>
      </c>
      <c r="O3442" s="24">
        <v>22.9</v>
      </c>
      <c r="P3442" s="18">
        <f t="shared" si="1"/>
        <v>712.992</v>
      </c>
    </row>
    <row r="3443" ht="15.75" customHeight="1">
      <c r="A3443" s="19" t="s">
        <v>237</v>
      </c>
      <c r="B3443" s="19" t="s">
        <v>133</v>
      </c>
      <c r="C3443" s="20" t="s">
        <v>193</v>
      </c>
      <c r="D3443" s="14" t="str">
        <f>VLOOKUP(C3443,'State Key'!$A$2:$B$210,2,False)</f>
        <v>Gujarat</v>
      </c>
      <c r="E3443" s="21">
        <v>500.0</v>
      </c>
      <c r="F3443" s="22">
        <v>0.0</v>
      </c>
      <c r="G3443" s="22">
        <v>0.0</v>
      </c>
      <c r="H3443" s="22">
        <v>0.0</v>
      </c>
      <c r="I3443" s="22">
        <v>0.0</v>
      </c>
      <c r="J3443" s="22">
        <v>24.047</v>
      </c>
      <c r="K3443" s="22">
        <v>0.0</v>
      </c>
      <c r="L3443" s="22">
        <v>24.047</v>
      </c>
      <c r="M3443" s="22">
        <v>8.693</v>
      </c>
      <c r="N3443" s="22">
        <v>93.48</v>
      </c>
      <c r="O3443" s="24">
        <v>322.6</v>
      </c>
      <c r="P3443" s="18">
        <f t="shared" si="1"/>
        <v>24.047</v>
      </c>
    </row>
    <row r="3444" ht="15.75" customHeight="1">
      <c r="A3444" s="13" t="s">
        <v>237</v>
      </c>
      <c r="B3444" s="13" t="s">
        <v>133</v>
      </c>
      <c r="C3444" s="14" t="s">
        <v>194</v>
      </c>
      <c r="D3444" s="14" t="str">
        <f>VLOOKUP(C3444,'State Key'!$A$2:$B$210,2,False)</f>
        <v>Chhattisgarh</v>
      </c>
      <c r="E3444" s="15">
        <v>2980.0</v>
      </c>
      <c r="F3444" s="16">
        <v>1430.85</v>
      </c>
      <c r="G3444" s="16">
        <v>0.0</v>
      </c>
      <c r="H3444" s="16">
        <v>8.2</v>
      </c>
      <c r="I3444" s="16">
        <v>0.0</v>
      </c>
      <c r="J3444" s="16">
        <v>0.0</v>
      </c>
      <c r="K3444" s="16">
        <v>0.0</v>
      </c>
      <c r="L3444" s="16">
        <v>1439.05</v>
      </c>
      <c r="M3444" s="16">
        <v>1491.171</v>
      </c>
      <c r="N3444" s="16">
        <v>207.53</v>
      </c>
      <c r="O3444" s="17">
        <v>4.2</v>
      </c>
      <c r="P3444" s="18">
        <f t="shared" si="1"/>
        <v>1439.05</v>
      </c>
    </row>
    <row r="3445" ht="15.75" customHeight="1">
      <c r="A3445" s="19" t="s">
        <v>237</v>
      </c>
      <c r="B3445" s="19" t="s">
        <v>133</v>
      </c>
      <c r="C3445" s="20" t="s">
        <v>195</v>
      </c>
      <c r="D3445" s="14" t="str">
        <f>VLOOKUP(C3445,'State Key'!$A$2:$B$210,2,False)</f>
        <v>Maharashtra</v>
      </c>
      <c r="E3445" s="21">
        <v>1320.0</v>
      </c>
      <c r="F3445" s="22">
        <v>178.99</v>
      </c>
      <c r="G3445" s="22">
        <v>88.97</v>
      </c>
      <c r="H3445" s="22">
        <v>54.9</v>
      </c>
      <c r="I3445" s="22">
        <v>0.0</v>
      </c>
      <c r="J3445" s="22">
        <v>11.43</v>
      </c>
      <c r="K3445" s="22">
        <v>0.0</v>
      </c>
      <c r="L3445" s="22">
        <v>334.29</v>
      </c>
      <c r="M3445" s="22">
        <v>459.4</v>
      </c>
      <c r="N3445" s="22">
        <v>207.37</v>
      </c>
      <c r="O3445" s="23">
        <v>13.5</v>
      </c>
      <c r="P3445" s="18">
        <f t="shared" si="1"/>
        <v>334.29</v>
      </c>
    </row>
    <row r="3446" ht="15.75" customHeight="1">
      <c r="A3446" s="13" t="s">
        <v>237</v>
      </c>
      <c r="B3446" s="13" t="s">
        <v>133</v>
      </c>
      <c r="C3446" s="14" t="s">
        <v>196</v>
      </c>
      <c r="D3446" s="14" t="str">
        <f>VLOOKUP(C3446,'State Key'!$A$2:$B$210,2,False)</f>
        <v>Chhattisgarh</v>
      </c>
      <c r="E3446" s="15">
        <v>63.0</v>
      </c>
      <c r="F3446" s="16">
        <v>14.4468</v>
      </c>
      <c r="G3446" s="16">
        <v>0.0</v>
      </c>
      <c r="H3446" s="16">
        <v>0.0</v>
      </c>
      <c r="I3446" s="16">
        <v>0.0</v>
      </c>
      <c r="J3446" s="16">
        <v>0.0</v>
      </c>
      <c r="K3446" s="16">
        <v>64.0018</v>
      </c>
      <c r="L3446" s="16">
        <v>78.4486</v>
      </c>
      <c r="M3446" s="16">
        <v>55.051</v>
      </c>
      <c r="N3446" s="16">
        <v>34.46</v>
      </c>
      <c r="O3446" s="24">
        <v>18.8</v>
      </c>
      <c r="P3446" s="18">
        <f t="shared" si="1"/>
        <v>78.4486</v>
      </c>
    </row>
    <row r="3447" ht="15.75" customHeight="1">
      <c r="A3447" s="19" t="s">
        <v>237</v>
      </c>
      <c r="B3447" s="19" t="s">
        <v>133</v>
      </c>
      <c r="C3447" s="20" t="s">
        <v>197</v>
      </c>
      <c r="D3447" s="14" t="str">
        <f>VLOOKUP(C3447,'State Key'!$A$2:$B$210,2,False)</f>
        <v>Chhattisgarh</v>
      </c>
      <c r="E3447" s="21">
        <v>25.0</v>
      </c>
      <c r="F3447" s="22">
        <v>0.0</v>
      </c>
      <c r="G3447" s="22">
        <v>0.0</v>
      </c>
      <c r="H3447" s="22">
        <v>0.0</v>
      </c>
      <c r="I3447" s="22">
        <v>0.0</v>
      </c>
      <c r="J3447" s="22">
        <v>0.0</v>
      </c>
      <c r="K3447" s="22">
        <v>0.0</v>
      </c>
      <c r="L3447" s="22">
        <v>0.0</v>
      </c>
      <c r="M3447" s="22">
        <v>0.0</v>
      </c>
      <c r="N3447" s="22">
        <v>0.0</v>
      </c>
      <c r="O3447" s="19" t="s">
        <v>58</v>
      </c>
      <c r="P3447" s="18">
        <f t="shared" si="1"/>
        <v>0</v>
      </c>
    </row>
    <row r="3448" ht="15.75" customHeight="1">
      <c r="A3448" s="13" t="s">
        <v>237</v>
      </c>
      <c r="B3448" s="13" t="s">
        <v>133</v>
      </c>
      <c r="C3448" s="14" t="s">
        <v>198</v>
      </c>
      <c r="D3448" s="14" t="str">
        <f>VLOOKUP(C3448,'State Key'!$A$2:$B$210,2,False)</f>
        <v>Chhattisgarh</v>
      </c>
      <c r="E3448" s="15">
        <v>2400.0</v>
      </c>
      <c r="F3448" s="16">
        <v>690.419</v>
      </c>
      <c r="G3448" s="16">
        <v>0.0</v>
      </c>
      <c r="H3448" s="16">
        <v>280.1</v>
      </c>
      <c r="I3448" s="16">
        <v>0.0</v>
      </c>
      <c r="J3448" s="16">
        <v>0.0</v>
      </c>
      <c r="K3448" s="16">
        <v>0.0</v>
      </c>
      <c r="L3448" s="16">
        <v>970.519</v>
      </c>
      <c r="M3448" s="16">
        <v>1129.603</v>
      </c>
      <c r="N3448" s="16">
        <v>173.223</v>
      </c>
      <c r="O3448" s="17">
        <v>4.6</v>
      </c>
      <c r="P3448" s="18">
        <f t="shared" si="1"/>
        <v>970.519</v>
      </c>
    </row>
    <row r="3449" ht="15.75" customHeight="1">
      <c r="A3449" s="19" t="s">
        <v>237</v>
      </c>
      <c r="B3449" s="19" t="s">
        <v>133</v>
      </c>
      <c r="C3449" s="20" t="s">
        <v>200</v>
      </c>
      <c r="D3449" s="14" t="str">
        <f>VLOOKUP(C3449,'State Key'!$A$2:$B$210,2,False)</f>
        <v>Maharashtra</v>
      </c>
      <c r="E3449" s="21">
        <v>750.0</v>
      </c>
      <c r="F3449" s="22">
        <v>0.0</v>
      </c>
      <c r="G3449" s="22">
        <v>0.0</v>
      </c>
      <c r="H3449" s="22">
        <v>0.0</v>
      </c>
      <c r="I3449" s="22">
        <v>0.0</v>
      </c>
      <c r="J3449" s="22">
        <v>112.805</v>
      </c>
      <c r="K3449" s="22">
        <v>0.0</v>
      </c>
      <c r="L3449" s="22">
        <v>112.805</v>
      </c>
      <c r="M3449" s="22">
        <v>80.977</v>
      </c>
      <c r="N3449" s="22">
        <v>244.48</v>
      </c>
      <c r="O3449" s="24">
        <v>90.6</v>
      </c>
      <c r="P3449" s="18">
        <f t="shared" si="1"/>
        <v>112.805</v>
      </c>
    </row>
    <row r="3450" ht="15.75" customHeight="1">
      <c r="A3450" s="13" t="s">
        <v>237</v>
      </c>
      <c r="B3450" s="13" t="s">
        <v>133</v>
      </c>
      <c r="C3450" s="14" t="s">
        <v>201</v>
      </c>
      <c r="D3450" s="14" t="str">
        <f>VLOOKUP(C3450,'State Key'!$A$2:$B$210,2,False)</f>
        <v>Chhattisgarh</v>
      </c>
      <c r="E3450" s="15">
        <v>1440.0</v>
      </c>
      <c r="F3450" s="16">
        <v>280.392</v>
      </c>
      <c r="G3450" s="16">
        <v>0.0</v>
      </c>
      <c r="H3450" s="16">
        <v>0.0</v>
      </c>
      <c r="I3450" s="16">
        <v>165.46</v>
      </c>
      <c r="J3450" s="16">
        <v>0.0</v>
      </c>
      <c r="K3450" s="16">
        <v>69.999</v>
      </c>
      <c r="L3450" s="16">
        <v>515.851</v>
      </c>
      <c r="M3450" s="16">
        <v>350.895</v>
      </c>
      <c r="N3450" s="16">
        <v>426.0</v>
      </c>
      <c r="O3450" s="24">
        <v>36.4</v>
      </c>
      <c r="P3450" s="18">
        <f t="shared" si="1"/>
        <v>515.851</v>
      </c>
    </row>
    <row r="3451" ht="15.75" customHeight="1">
      <c r="A3451" s="19" t="s">
        <v>237</v>
      </c>
      <c r="B3451" s="19" t="s">
        <v>133</v>
      </c>
      <c r="C3451" s="20" t="s">
        <v>202</v>
      </c>
      <c r="D3451" s="14" t="str">
        <f>VLOOKUP(C3451,'State Key'!$A$2:$B$210,2,False)</f>
        <v>Gujarat</v>
      </c>
      <c r="E3451" s="21">
        <v>1110.0</v>
      </c>
      <c r="F3451" s="22">
        <v>341.774</v>
      </c>
      <c r="G3451" s="22">
        <v>0.0</v>
      </c>
      <c r="H3451" s="22">
        <v>0.0</v>
      </c>
      <c r="I3451" s="22">
        <v>0.0</v>
      </c>
      <c r="J3451" s="22">
        <v>0.0</v>
      </c>
      <c r="K3451" s="22">
        <v>0.0</v>
      </c>
      <c r="L3451" s="22">
        <v>341.774</v>
      </c>
      <c r="M3451" s="22">
        <v>343.67</v>
      </c>
      <c r="N3451" s="22">
        <v>303.78</v>
      </c>
      <c r="O3451" s="24">
        <v>26.5</v>
      </c>
      <c r="P3451" s="18">
        <f t="shared" si="1"/>
        <v>341.774</v>
      </c>
    </row>
    <row r="3452" ht="15.75" customHeight="1">
      <c r="A3452" s="13" t="s">
        <v>237</v>
      </c>
      <c r="B3452" s="13" t="s">
        <v>133</v>
      </c>
      <c r="C3452" s="14" t="s">
        <v>203</v>
      </c>
      <c r="D3452" s="14" t="str">
        <f>VLOOKUP(C3452,'State Key'!$A$2:$B$210,2,False)</f>
        <v>Madhya Pradesh</v>
      </c>
      <c r="E3452" s="15">
        <v>4760.0</v>
      </c>
      <c r="F3452" s="16">
        <v>2100.95</v>
      </c>
      <c r="G3452" s="16">
        <v>0.0</v>
      </c>
      <c r="H3452" s="16">
        <v>57.96</v>
      </c>
      <c r="I3452" s="16">
        <v>0.0</v>
      </c>
      <c r="J3452" s="16">
        <v>0.0</v>
      </c>
      <c r="K3452" s="16">
        <v>0.0</v>
      </c>
      <c r="L3452" s="16">
        <v>2158.91</v>
      </c>
      <c r="M3452" s="16">
        <v>2070.24</v>
      </c>
      <c r="N3452" s="16">
        <v>729.57</v>
      </c>
      <c r="O3452" s="23">
        <v>10.6</v>
      </c>
      <c r="P3452" s="18">
        <f t="shared" si="1"/>
        <v>2158.91</v>
      </c>
    </row>
    <row r="3453" ht="15.75" customHeight="1">
      <c r="A3453" s="19" t="s">
        <v>237</v>
      </c>
      <c r="B3453" s="19" t="s">
        <v>133</v>
      </c>
      <c r="C3453" s="20" t="s">
        <v>204</v>
      </c>
      <c r="D3453" s="14" t="str">
        <f>VLOOKUP(C3453,'State Key'!$A$2:$B$210,2,False)</f>
        <v>Gujarat</v>
      </c>
      <c r="E3453" s="21">
        <v>2270.0</v>
      </c>
      <c r="F3453" s="22">
        <v>601.445</v>
      </c>
      <c r="G3453" s="22">
        <v>0.0</v>
      </c>
      <c r="H3453" s="22">
        <v>0.0</v>
      </c>
      <c r="I3453" s="22">
        <v>0.0</v>
      </c>
      <c r="J3453" s="22">
        <v>0.0</v>
      </c>
      <c r="K3453" s="22">
        <v>0.0</v>
      </c>
      <c r="L3453" s="22">
        <v>601.445</v>
      </c>
      <c r="M3453" s="22">
        <v>648.868</v>
      </c>
      <c r="N3453" s="22">
        <v>426.23</v>
      </c>
      <c r="O3453" s="24">
        <v>19.7</v>
      </c>
      <c r="P3453" s="18">
        <f t="shared" si="1"/>
        <v>601.445</v>
      </c>
    </row>
    <row r="3454" ht="15.75" customHeight="1">
      <c r="A3454" s="13" t="s">
        <v>237</v>
      </c>
      <c r="B3454" s="13" t="s">
        <v>133</v>
      </c>
      <c r="C3454" s="14" t="s">
        <v>205</v>
      </c>
      <c r="D3454" s="14" t="str">
        <f>VLOOKUP(C3454,'State Key'!$A$2:$B$210,2,False)</f>
        <v>Maharashtra</v>
      </c>
      <c r="E3454" s="15">
        <v>540.0</v>
      </c>
      <c r="F3454" s="16">
        <v>185.3</v>
      </c>
      <c r="G3454" s="16">
        <v>0.0</v>
      </c>
      <c r="H3454" s="16">
        <v>0.0</v>
      </c>
      <c r="I3454" s="16">
        <v>0.0</v>
      </c>
      <c r="J3454" s="16">
        <v>0.0</v>
      </c>
      <c r="K3454" s="16">
        <v>15.53</v>
      </c>
      <c r="L3454" s="16">
        <v>200.83</v>
      </c>
      <c r="M3454" s="16">
        <v>187.46</v>
      </c>
      <c r="N3454" s="16">
        <v>55.43</v>
      </c>
      <c r="O3454" s="23">
        <v>8.9</v>
      </c>
      <c r="P3454" s="18">
        <f t="shared" si="1"/>
        <v>200.83</v>
      </c>
    </row>
    <row r="3455" ht="15.75" customHeight="1">
      <c r="A3455" s="19" t="s">
        <v>238</v>
      </c>
      <c r="B3455" s="19" t="s">
        <v>22</v>
      </c>
      <c r="C3455" s="20" t="s">
        <v>23</v>
      </c>
      <c r="D3455" s="14" t="str">
        <f>VLOOKUP(C3455,'State Key'!$A$2:$B$210,2,False)</f>
        <v>West Bengal</v>
      </c>
      <c r="E3455" s="21">
        <v>1050.0</v>
      </c>
      <c r="F3455" s="22">
        <v>0.0</v>
      </c>
      <c r="G3455" s="22">
        <v>0.0</v>
      </c>
      <c r="H3455" s="22">
        <v>390.254</v>
      </c>
      <c r="I3455" s="22">
        <v>0.0</v>
      </c>
      <c r="J3455" s="22">
        <v>0.0</v>
      </c>
      <c r="K3455" s="22">
        <v>0.0</v>
      </c>
      <c r="L3455" s="22">
        <v>390.254</v>
      </c>
      <c r="M3455" s="22">
        <v>427.11</v>
      </c>
      <c r="N3455" s="22">
        <v>33.18</v>
      </c>
      <c r="O3455" s="17">
        <v>2.3</v>
      </c>
      <c r="P3455" s="18">
        <f t="shared" si="1"/>
        <v>390.254</v>
      </c>
    </row>
    <row r="3456" ht="15.75" customHeight="1">
      <c r="A3456" s="13" t="s">
        <v>238</v>
      </c>
      <c r="B3456" s="13" t="s">
        <v>22</v>
      </c>
      <c r="C3456" s="14" t="s">
        <v>24</v>
      </c>
      <c r="D3456" s="14" t="str">
        <f>VLOOKUP(C3456,'State Key'!$A$2:$B$210,2,False)</f>
        <v>West Bengal</v>
      </c>
      <c r="E3456" s="15">
        <v>270.0</v>
      </c>
      <c r="F3456" s="16">
        <v>0.0</v>
      </c>
      <c r="G3456" s="16">
        <v>0.0</v>
      </c>
      <c r="H3456" s="16">
        <v>100.312</v>
      </c>
      <c r="I3456" s="16">
        <v>0.0</v>
      </c>
      <c r="J3456" s="16">
        <v>0.0</v>
      </c>
      <c r="K3456" s="16">
        <v>0.0</v>
      </c>
      <c r="L3456" s="16">
        <v>100.312</v>
      </c>
      <c r="M3456" s="16">
        <v>114.558</v>
      </c>
      <c r="N3456" s="16">
        <v>6.22</v>
      </c>
      <c r="O3456" s="17">
        <v>1.6</v>
      </c>
      <c r="P3456" s="18">
        <f t="shared" si="1"/>
        <v>100.312</v>
      </c>
    </row>
    <row r="3457" ht="15.75" customHeight="1">
      <c r="A3457" s="19" t="s">
        <v>238</v>
      </c>
      <c r="B3457" s="19" t="s">
        <v>22</v>
      </c>
      <c r="C3457" s="20" t="s">
        <v>25</v>
      </c>
      <c r="D3457" s="14" t="str">
        <f>VLOOKUP(C3457,'State Key'!$A$2:$B$210,2,False)</f>
        <v>Bihar</v>
      </c>
      <c r="E3457" s="21">
        <v>710.0</v>
      </c>
      <c r="F3457" s="22">
        <v>38.69</v>
      </c>
      <c r="G3457" s="22">
        <v>0.0</v>
      </c>
      <c r="H3457" s="22">
        <v>188.08</v>
      </c>
      <c r="I3457" s="22">
        <v>0.0</v>
      </c>
      <c r="J3457" s="22">
        <v>0.0</v>
      </c>
      <c r="K3457" s="22">
        <v>0.0</v>
      </c>
      <c r="L3457" s="22">
        <v>226.77</v>
      </c>
      <c r="M3457" s="22">
        <v>204.882</v>
      </c>
      <c r="N3457" s="22">
        <v>57.47</v>
      </c>
      <c r="O3457" s="23">
        <v>8.4</v>
      </c>
      <c r="P3457" s="18">
        <f t="shared" si="1"/>
        <v>226.77</v>
      </c>
    </row>
    <row r="3458" ht="15.75" customHeight="1">
      <c r="A3458" s="13" t="s">
        <v>238</v>
      </c>
      <c r="B3458" s="13" t="s">
        <v>22</v>
      </c>
      <c r="C3458" s="14" t="s">
        <v>26</v>
      </c>
      <c r="D3458" s="14" t="str">
        <f>VLOOKUP(C3458,'State Key'!$A$2:$B$210,2,False)</f>
        <v>Bihar</v>
      </c>
      <c r="E3458" s="15">
        <v>2640.0</v>
      </c>
      <c r="F3458" s="16">
        <v>384.71</v>
      </c>
      <c r="G3458" s="16">
        <v>0.0</v>
      </c>
      <c r="H3458" s="16">
        <v>687.47</v>
      </c>
      <c r="I3458" s="16">
        <v>0.0</v>
      </c>
      <c r="J3458" s="16">
        <v>0.0</v>
      </c>
      <c r="K3458" s="16">
        <v>0.0</v>
      </c>
      <c r="L3458" s="16">
        <v>1072.18</v>
      </c>
      <c r="M3458" s="16">
        <v>948.846</v>
      </c>
      <c r="N3458" s="16">
        <v>435.84</v>
      </c>
      <c r="O3458" s="23">
        <v>13.8</v>
      </c>
      <c r="P3458" s="18">
        <f t="shared" si="1"/>
        <v>1072.18</v>
      </c>
    </row>
    <row r="3459" ht="15.75" customHeight="1">
      <c r="A3459" s="19" t="s">
        <v>238</v>
      </c>
      <c r="B3459" s="19" t="s">
        <v>22</v>
      </c>
      <c r="C3459" s="20" t="s">
        <v>27</v>
      </c>
      <c r="D3459" s="14" t="str">
        <f>VLOOKUP(C3459,'State Key'!$A$2:$B$210,2,False)</f>
        <v>Jharkhand</v>
      </c>
      <c r="E3459" s="21">
        <v>500.0</v>
      </c>
      <c r="F3459" s="22">
        <v>184.663</v>
      </c>
      <c r="G3459" s="22">
        <v>0.0</v>
      </c>
      <c r="H3459" s="22">
        <v>3.1</v>
      </c>
      <c r="I3459" s="22">
        <v>0.0</v>
      </c>
      <c r="J3459" s="22">
        <v>0.0</v>
      </c>
      <c r="K3459" s="22">
        <v>0.0</v>
      </c>
      <c r="L3459" s="22">
        <v>187.763</v>
      </c>
      <c r="M3459" s="22">
        <v>141.081</v>
      </c>
      <c r="N3459" s="22">
        <v>163.52</v>
      </c>
      <c r="O3459" s="24">
        <v>34.8</v>
      </c>
      <c r="P3459" s="18">
        <f t="shared" si="1"/>
        <v>187.763</v>
      </c>
    </row>
    <row r="3460" ht="15.75" customHeight="1">
      <c r="A3460" s="13" t="s">
        <v>238</v>
      </c>
      <c r="B3460" s="13" t="s">
        <v>22</v>
      </c>
      <c r="C3460" s="14" t="s">
        <v>28</v>
      </c>
      <c r="D3460" s="14" t="str">
        <f>VLOOKUP(C3460,'State Key'!$A$2:$B$210,2,False)</f>
        <v>West Bengal</v>
      </c>
      <c r="E3460" s="15">
        <v>750.0</v>
      </c>
      <c r="F3460" s="16">
        <v>101.906</v>
      </c>
      <c r="G3460" s="16">
        <v>0.0</v>
      </c>
      <c r="H3460" s="16">
        <v>81.245</v>
      </c>
      <c r="I3460" s="16">
        <v>46.042</v>
      </c>
      <c r="J3460" s="16">
        <v>0.0</v>
      </c>
      <c r="K3460" s="16">
        <v>0.0</v>
      </c>
      <c r="L3460" s="16">
        <v>229.193</v>
      </c>
      <c r="M3460" s="16">
        <v>250.9769</v>
      </c>
      <c r="N3460" s="16">
        <v>84.12</v>
      </c>
      <c r="O3460" s="23">
        <v>10.1</v>
      </c>
      <c r="P3460" s="18">
        <f t="shared" si="1"/>
        <v>229.193</v>
      </c>
    </row>
    <row r="3461" ht="15.75" customHeight="1">
      <c r="A3461" s="19" t="s">
        <v>238</v>
      </c>
      <c r="B3461" s="19" t="s">
        <v>22</v>
      </c>
      <c r="C3461" s="20" t="s">
        <v>29</v>
      </c>
      <c r="D3461" s="14" t="str">
        <f>VLOOKUP(C3461,'State Key'!$A$2:$B$210,2,False)</f>
        <v>Jharkhand</v>
      </c>
      <c r="E3461" s="21">
        <v>500.0</v>
      </c>
      <c r="F3461" s="22">
        <v>105.808</v>
      </c>
      <c r="G3461" s="22">
        <v>0.0</v>
      </c>
      <c r="H3461" s="22">
        <v>157.195</v>
      </c>
      <c r="I3461" s="22">
        <v>0.0</v>
      </c>
      <c r="J3461" s="22">
        <v>0.0</v>
      </c>
      <c r="K3461" s="22">
        <v>0.0</v>
      </c>
      <c r="L3461" s="22">
        <v>263.003</v>
      </c>
      <c r="M3461" s="22">
        <v>205.661</v>
      </c>
      <c r="N3461" s="22">
        <v>166.85</v>
      </c>
      <c r="O3461" s="24">
        <v>24.3</v>
      </c>
      <c r="P3461" s="18">
        <f t="shared" si="1"/>
        <v>263.003</v>
      </c>
    </row>
    <row r="3462" ht="15.75" customHeight="1">
      <c r="A3462" s="13" t="s">
        <v>238</v>
      </c>
      <c r="B3462" s="13" t="s">
        <v>22</v>
      </c>
      <c r="C3462" s="14" t="s">
        <v>30</v>
      </c>
      <c r="D3462" s="14" t="str">
        <f>VLOOKUP(C3462,'State Key'!$A$2:$B$210,2,False)</f>
        <v>West Bengal</v>
      </c>
      <c r="E3462" s="15">
        <v>550.0</v>
      </c>
      <c r="F3462" s="16">
        <v>80.2</v>
      </c>
      <c r="G3462" s="16">
        <v>0.0</v>
      </c>
      <c r="H3462" s="16">
        <v>88.8</v>
      </c>
      <c r="I3462" s="16">
        <v>0.0</v>
      </c>
      <c r="J3462" s="16">
        <v>0.0</v>
      </c>
      <c r="K3462" s="16">
        <v>0.0</v>
      </c>
      <c r="L3462" s="16">
        <v>169.0</v>
      </c>
      <c r="M3462" s="16">
        <v>188.0</v>
      </c>
      <c r="N3462" s="16">
        <v>19.49</v>
      </c>
      <c r="O3462" s="17">
        <v>3.1</v>
      </c>
      <c r="P3462" s="18">
        <f t="shared" si="1"/>
        <v>169</v>
      </c>
    </row>
    <row r="3463" ht="15.75" customHeight="1">
      <c r="A3463" s="19" t="s">
        <v>238</v>
      </c>
      <c r="B3463" s="19" t="s">
        <v>22</v>
      </c>
      <c r="C3463" s="20" t="s">
        <v>31</v>
      </c>
      <c r="D3463" s="14" t="str">
        <f>VLOOKUP(C3463,'State Key'!$A$2:$B$210,2,False)</f>
        <v>Odisha</v>
      </c>
      <c r="E3463" s="21">
        <v>1600.0</v>
      </c>
      <c r="F3463" s="22">
        <v>0.0</v>
      </c>
      <c r="G3463" s="22">
        <v>0.0</v>
      </c>
      <c r="H3463" s="22">
        <v>769.34</v>
      </c>
      <c r="I3463" s="22">
        <v>0.0</v>
      </c>
      <c r="J3463" s="22">
        <v>0.0</v>
      </c>
      <c r="K3463" s="22">
        <v>0.0</v>
      </c>
      <c r="L3463" s="22">
        <v>769.34</v>
      </c>
      <c r="M3463" s="22">
        <v>816.564</v>
      </c>
      <c r="N3463" s="22">
        <v>348.61</v>
      </c>
      <c r="O3463" s="23">
        <v>12.8</v>
      </c>
      <c r="P3463" s="18">
        <f t="shared" si="1"/>
        <v>769.34</v>
      </c>
    </row>
    <row r="3464" ht="15.75" customHeight="1">
      <c r="A3464" s="13" t="s">
        <v>238</v>
      </c>
      <c r="B3464" s="13" t="s">
        <v>22</v>
      </c>
      <c r="C3464" s="14" t="s">
        <v>32</v>
      </c>
      <c r="D3464" s="14" t="str">
        <f>VLOOKUP(C3464,'State Key'!$A$2:$B$210,2,False)</f>
        <v>Odisha</v>
      </c>
      <c r="E3464" s="15">
        <v>1200.0</v>
      </c>
      <c r="F3464" s="16">
        <v>386.917</v>
      </c>
      <c r="G3464" s="16">
        <v>0.0</v>
      </c>
      <c r="H3464" s="16">
        <v>0.0</v>
      </c>
      <c r="I3464" s="16">
        <v>148.659</v>
      </c>
      <c r="J3464" s="16">
        <v>0.0</v>
      </c>
      <c r="K3464" s="16">
        <v>0.0</v>
      </c>
      <c r="L3464" s="16">
        <v>535.576</v>
      </c>
      <c r="M3464" s="16">
        <v>584.42</v>
      </c>
      <c r="N3464" s="16">
        <v>771.39</v>
      </c>
      <c r="O3464" s="24">
        <v>39.6</v>
      </c>
      <c r="P3464" s="18">
        <f t="shared" si="1"/>
        <v>535.576</v>
      </c>
    </row>
    <row r="3465" ht="15.75" customHeight="1">
      <c r="A3465" s="19" t="s">
        <v>238</v>
      </c>
      <c r="B3465" s="19" t="s">
        <v>22</v>
      </c>
      <c r="C3465" s="20" t="s">
        <v>33</v>
      </c>
      <c r="D3465" s="14" t="str">
        <f>VLOOKUP(C3465,'State Key'!$A$2:$B$210,2,False)</f>
        <v>West Bengal</v>
      </c>
      <c r="E3465" s="21">
        <v>12.0</v>
      </c>
      <c r="F3465" s="22">
        <v>3.944</v>
      </c>
      <c r="G3465" s="22">
        <v>0.0</v>
      </c>
      <c r="H3465" s="22">
        <v>0.0</v>
      </c>
      <c r="I3465" s="22">
        <v>0.0</v>
      </c>
      <c r="J3465" s="22">
        <v>0.0</v>
      </c>
      <c r="K3465" s="22">
        <v>0.0</v>
      </c>
      <c r="L3465" s="22">
        <v>3.944</v>
      </c>
      <c r="M3465" s="22">
        <v>5.969</v>
      </c>
      <c r="N3465" s="22">
        <v>2.72</v>
      </c>
      <c r="O3465" s="23">
        <v>13.7</v>
      </c>
      <c r="P3465" s="18">
        <f t="shared" si="1"/>
        <v>3.944</v>
      </c>
    </row>
    <row r="3466" ht="15.75" customHeight="1">
      <c r="A3466" s="13" t="s">
        <v>238</v>
      </c>
      <c r="B3466" s="13" t="s">
        <v>22</v>
      </c>
      <c r="C3466" s="14" t="s">
        <v>34</v>
      </c>
      <c r="D3466" s="14" t="str">
        <f>VLOOKUP(C3466,'State Key'!$A$2:$B$210,2,False)</f>
        <v>West Bengal</v>
      </c>
      <c r="E3466" s="15">
        <v>1000.0</v>
      </c>
      <c r="F3466" s="16">
        <v>356.984</v>
      </c>
      <c r="G3466" s="16">
        <v>0.0</v>
      </c>
      <c r="H3466" s="16">
        <v>6.841</v>
      </c>
      <c r="I3466" s="16">
        <v>0.0</v>
      </c>
      <c r="J3466" s="16">
        <v>0.0</v>
      </c>
      <c r="K3466" s="16">
        <v>0.0</v>
      </c>
      <c r="L3466" s="16">
        <v>363.825</v>
      </c>
      <c r="M3466" s="16">
        <v>358.392</v>
      </c>
      <c r="N3466" s="16">
        <v>148.46</v>
      </c>
      <c r="O3466" s="23">
        <v>12.4</v>
      </c>
      <c r="P3466" s="18">
        <f t="shared" si="1"/>
        <v>363.825</v>
      </c>
    </row>
    <row r="3467" ht="15.75" customHeight="1">
      <c r="A3467" s="19" t="s">
        <v>238</v>
      </c>
      <c r="B3467" s="19" t="s">
        <v>22</v>
      </c>
      <c r="C3467" s="20" t="s">
        <v>35</v>
      </c>
      <c r="D3467" s="14" t="str">
        <f>VLOOKUP(C3467,'State Key'!$A$2:$B$210,2,False)</f>
        <v>West Bengal</v>
      </c>
      <c r="E3467" s="21">
        <v>2100.0</v>
      </c>
      <c r="F3467" s="22">
        <v>785.88</v>
      </c>
      <c r="G3467" s="22">
        <v>20.4</v>
      </c>
      <c r="H3467" s="22">
        <v>118.18</v>
      </c>
      <c r="I3467" s="22">
        <v>0.0</v>
      </c>
      <c r="J3467" s="22">
        <v>0.0</v>
      </c>
      <c r="K3467" s="22">
        <v>0.0</v>
      </c>
      <c r="L3467" s="22">
        <v>924.46</v>
      </c>
      <c r="M3467" s="22">
        <v>797.591</v>
      </c>
      <c r="N3467" s="22">
        <v>232.94</v>
      </c>
      <c r="O3467" s="23">
        <v>8.8</v>
      </c>
      <c r="P3467" s="18">
        <f t="shared" si="1"/>
        <v>924.46</v>
      </c>
    </row>
    <row r="3468" ht="15.75" customHeight="1">
      <c r="A3468" s="13" t="s">
        <v>238</v>
      </c>
      <c r="B3468" s="13" t="s">
        <v>22</v>
      </c>
      <c r="C3468" s="14" t="s">
        <v>36</v>
      </c>
      <c r="D3468" s="14" t="str">
        <f>VLOOKUP(C3468,'State Key'!$A$2:$B$210,2,False)</f>
        <v>West Bengal</v>
      </c>
      <c r="E3468" s="15">
        <v>600.0</v>
      </c>
      <c r="F3468" s="16">
        <v>246.896</v>
      </c>
      <c r="G3468" s="16">
        <v>0.0</v>
      </c>
      <c r="H3468" s="16">
        <v>0.0</v>
      </c>
      <c r="I3468" s="16">
        <v>0.0</v>
      </c>
      <c r="J3468" s="16">
        <v>0.0</v>
      </c>
      <c r="K3468" s="16">
        <v>0.0</v>
      </c>
      <c r="L3468" s="16">
        <v>246.896</v>
      </c>
      <c r="M3468" s="16">
        <v>250.884</v>
      </c>
      <c r="N3468" s="16">
        <v>174.37</v>
      </c>
      <c r="O3468" s="24">
        <v>20.9</v>
      </c>
      <c r="P3468" s="18">
        <f t="shared" si="1"/>
        <v>246.896</v>
      </c>
    </row>
    <row r="3469" ht="15.75" customHeight="1">
      <c r="A3469" s="19" t="s">
        <v>238</v>
      </c>
      <c r="B3469" s="19" t="s">
        <v>22</v>
      </c>
      <c r="C3469" s="20" t="s">
        <v>37</v>
      </c>
      <c r="D3469" s="14" t="str">
        <f>VLOOKUP(C3469,'State Key'!$A$2:$B$210,2,False)</f>
        <v>West Bengal</v>
      </c>
      <c r="E3469" s="21">
        <v>300.0</v>
      </c>
      <c r="F3469" s="22">
        <v>150.325</v>
      </c>
      <c r="G3469" s="22">
        <v>0.0</v>
      </c>
      <c r="H3469" s="22">
        <v>0.0</v>
      </c>
      <c r="I3469" s="22">
        <v>0.0</v>
      </c>
      <c r="J3469" s="22">
        <v>0.0</v>
      </c>
      <c r="K3469" s="22">
        <v>0.0</v>
      </c>
      <c r="L3469" s="22">
        <v>150.325</v>
      </c>
      <c r="M3469" s="22">
        <v>113.567</v>
      </c>
      <c r="N3469" s="22">
        <v>46.22</v>
      </c>
      <c r="O3469" s="23">
        <v>12.2</v>
      </c>
      <c r="P3469" s="18">
        <f t="shared" si="1"/>
        <v>150.325</v>
      </c>
    </row>
    <row r="3470" ht="15.75" customHeight="1">
      <c r="A3470" s="13" t="s">
        <v>238</v>
      </c>
      <c r="B3470" s="13" t="s">
        <v>22</v>
      </c>
      <c r="C3470" s="14" t="s">
        <v>38</v>
      </c>
      <c r="D3470" s="14" t="str">
        <f>VLOOKUP(C3470,'State Key'!$A$2:$B$210,2,False)</f>
        <v>Odisha</v>
      </c>
      <c r="E3470" s="15">
        <v>1740.0</v>
      </c>
      <c r="F3470" s="16">
        <v>167.085</v>
      </c>
      <c r="G3470" s="16">
        <v>0.0</v>
      </c>
      <c r="H3470" s="16">
        <v>601.72</v>
      </c>
      <c r="I3470" s="16">
        <v>0.0</v>
      </c>
      <c r="J3470" s="16">
        <v>0.0</v>
      </c>
      <c r="K3470" s="16">
        <v>0.0</v>
      </c>
      <c r="L3470" s="16">
        <v>768.805</v>
      </c>
      <c r="M3470" s="16">
        <v>812.837</v>
      </c>
      <c r="N3470" s="16">
        <v>314.0</v>
      </c>
      <c r="O3470" s="23">
        <v>11.6</v>
      </c>
      <c r="P3470" s="18">
        <f t="shared" si="1"/>
        <v>768.805</v>
      </c>
    </row>
    <row r="3471" ht="15.75" customHeight="1">
      <c r="A3471" s="19" t="s">
        <v>238</v>
      </c>
      <c r="B3471" s="19" t="s">
        <v>22</v>
      </c>
      <c r="C3471" s="20" t="s">
        <v>39</v>
      </c>
      <c r="D3471" s="14" t="str">
        <f>VLOOKUP(C3471,'State Key'!$A$2:$B$210,2,False)</f>
        <v>Jharkhand</v>
      </c>
      <c r="E3471" s="21">
        <v>240.0</v>
      </c>
      <c r="F3471" s="22">
        <v>55.4178</v>
      </c>
      <c r="G3471" s="22">
        <v>0.0</v>
      </c>
      <c r="H3471" s="22">
        <v>0.0</v>
      </c>
      <c r="I3471" s="22">
        <v>0.0</v>
      </c>
      <c r="J3471" s="22">
        <v>0.0</v>
      </c>
      <c r="K3471" s="22">
        <v>66.353</v>
      </c>
      <c r="L3471" s="22">
        <v>121.7708</v>
      </c>
      <c r="M3471" s="22">
        <v>85.974</v>
      </c>
      <c r="N3471" s="22">
        <v>147.06</v>
      </c>
      <c r="O3471" s="24">
        <v>51.3</v>
      </c>
      <c r="P3471" s="18">
        <f t="shared" si="1"/>
        <v>121.7708</v>
      </c>
    </row>
    <row r="3472" ht="15.75" customHeight="1">
      <c r="A3472" s="13" t="s">
        <v>238</v>
      </c>
      <c r="B3472" s="13" t="s">
        <v>22</v>
      </c>
      <c r="C3472" s="14" t="s">
        <v>40</v>
      </c>
      <c r="D3472" s="14" t="str">
        <f>VLOOKUP(C3472,'State Key'!$A$2:$B$210,2,False)</f>
        <v>Bihar</v>
      </c>
      <c r="E3472" s="15">
        <v>2340.0</v>
      </c>
      <c r="F3472" s="16">
        <v>1165.9</v>
      </c>
      <c r="G3472" s="16">
        <v>0.0</v>
      </c>
      <c r="H3472" s="16">
        <v>11.17</v>
      </c>
      <c r="I3472" s="16">
        <v>0.0</v>
      </c>
      <c r="J3472" s="16">
        <v>0.0</v>
      </c>
      <c r="K3472" s="16">
        <v>0.0</v>
      </c>
      <c r="L3472" s="16">
        <v>1177.07</v>
      </c>
      <c r="M3472" s="16">
        <v>1034.408</v>
      </c>
      <c r="N3472" s="16">
        <v>418.27</v>
      </c>
      <c r="O3472" s="23">
        <v>12.1</v>
      </c>
      <c r="P3472" s="18">
        <f t="shared" si="1"/>
        <v>1177.07</v>
      </c>
    </row>
    <row r="3473" ht="15.75" customHeight="1">
      <c r="A3473" s="19" t="s">
        <v>238</v>
      </c>
      <c r="B3473" s="19" t="s">
        <v>22</v>
      </c>
      <c r="C3473" s="20" t="s">
        <v>41</v>
      </c>
      <c r="D3473" s="14" t="str">
        <f>VLOOKUP(C3473,'State Key'!$A$2:$B$210,2,False)</f>
        <v>Odisha</v>
      </c>
      <c r="E3473" s="21">
        <v>1050.0</v>
      </c>
      <c r="F3473" s="22">
        <v>317.268</v>
      </c>
      <c r="G3473" s="22">
        <v>0.0</v>
      </c>
      <c r="H3473" s="22">
        <v>0.0</v>
      </c>
      <c r="I3473" s="22">
        <v>154.686</v>
      </c>
      <c r="J3473" s="22">
        <v>0.0</v>
      </c>
      <c r="K3473" s="22">
        <v>0.0</v>
      </c>
      <c r="L3473" s="22">
        <v>471.954</v>
      </c>
      <c r="M3473" s="22">
        <v>421.843</v>
      </c>
      <c r="N3473" s="22">
        <v>290.45</v>
      </c>
      <c r="O3473" s="24">
        <v>20.7</v>
      </c>
      <c r="P3473" s="18">
        <f t="shared" si="1"/>
        <v>471.954</v>
      </c>
    </row>
    <row r="3474" ht="15.75" customHeight="1">
      <c r="A3474" s="13" t="s">
        <v>238</v>
      </c>
      <c r="B3474" s="13" t="s">
        <v>22</v>
      </c>
      <c r="C3474" s="14" t="s">
        <v>42</v>
      </c>
      <c r="D3474" s="14" t="str">
        <f>VLOOKUP(C3474,'State Key'!$A$2:$B$210,2,False)</f>
        <v>Jharkhand</v>
      </c>
      <c r="E3474" s="15">
        <v>1000.0</v>
      </c>
      <c r="F3474" s="16">
        <v>352.247</v>
      </c>
      <c r="G3474" s="16">
        <v>0.0</v>
      </c>
      <c r="H3474" s="16">
        <v>80.32</v>
      </c>
      <c r="I3474" s="16">
        <v>0.0</v>
      </c>
      <c r="J3474" s="16">
        <v>0.0</v>
      </c>
      <c r="K3474" s="16">
        <v>0.0</v>
      </c>
      <c r="L3474" s="16">
        <v>432.567</v>
      </c>
      <c r="M3474" s="16">
        <v>385.286</v>
      </c>
      <c r="N3474" s="16">
        <v>239.43</v>
      </c>
      <c r="O3474" s="24">
        <v>18.6</v>
      </c>
      <c r="P3474" s="18">
        <f t="shared" si="1"/>
        <v>432.567</v>
      </c>
    </row>
    <row r="3475" ht="15.75" customHeight="1">
      <c r="A3475" s="19" t="s">
        <v>238</v>
      </c>
      <c r="B3475" s="19" t="s">
        <v>22</v>
      </c>
      <c r="C3475" s="20" t="s">
        <v>43</v>
      </c>
      <c r="D3475" s="14" t="str">
        <f>VLOOKUP(C3475,'State Key'!$A$2:$B$210,2,False)</f>
        <v>West Bengal</v>
      </c>
      <c r="E3475" s="21">
        <v>840.0</v>
      </c>
      <c r="F3475" s="22">
        <v>0.0</v>
      </c>
      <c r="G3475" s="22">
        <v>0.0</v>
      </c>
      <c r="H3475" s="22">
        <v>290.31</v>
      </c>
      <c r="I3475" s="22">
        <v>0.0</v>
      </c>
      <c r="J3475" s="22">
        <v>0.0</v>
      </c>
      <c r="K3475" s="22">
        <v>0.0</v>
      </c>
      <c r="L3475" s="22">
        <v>290.31</v>
      </c>
      <c r="M3475" s="22">
        <v>300.872</v>
      </c>
      <c r="N3475" s="22">
        <v>17.9</v>
      </c>
      <c r="O3475" s="17">
        <v>1.8</v>
      </c>
      <c r="P3475" s="18">
        <f t="shared" si="1"/>
        <v>290.31</v>
      </c>
    </row>
    <row r="3476" ht="15.75" customHeight="1">
      <c r="A3476" s="13" t="s">
        <v>238</v>
      </c>
      <c r="B3476" s="13" t="s">
        <v>22</v>
      </c>
      <c r="C3476" s="14" t="s">
        <v>44</v>
      </c>
      <c r="D3476" s="14" t="str">
        <f>VLOOKUP(C3476,'State Key'!$A$2:$B$210,2,False)</f>
        <v>Jharkhand</v>
      </c>
      <c r="E3476" s="15">
        <v>540.0</v>
      </c>
      <c r="F3476" s="16">
        <v>184.032</v>
      </c>
      <c r="G3476" s="16">
        <v>0.0</v>
      </c>
      <c r="H3476" s="16">
        <v>0.0</v>
      </c>
      <c r="I3476" s="16">
        <v>0.0</v>
      </c>
      <c r="J3476" s="16">
        <v>0.0</v>
      </c>
      <c r="K3476" s="16">
        <v>52.519</v>
      </c>
      <c r="L3476" s="16">
        <v>236.551</v>
      </c>
      <c r="M3476" s="16">
        <v>217.943</v>
      </c>
      <c r="N3476" s="16">
        <v>71.63</v>
      </c>
      <c r="O3476" s="23">
        <v>9.9</v>
      </c>
      <c r="P3476" s="18">
        <f t="shared" si="1"/>
        <v>236.551</v>
      </c>
    </row>
    <row r="3477" ht="15.75" customHeight="1">
      <c r="A3477" s="19" t="s">
        <v>238</v>
      </c>
      <c r="B3477" s="19" t="s">
        <v>22</v>
      </c>
      <c r="C3477" s="20" t="s">
        <v>45</v>
      </c>
      <c r="D3477" s="14" t="str">
        <f>VLOOKUP(C3477,'State Key'!$A$2:$B$210,2,False)</f>
        <v>Jharkhand</v>
      </c>
      <c r="E3477" s="21">
        <v>1050.0</v>
      </c>
      <c r="F3477" s="22">
        <v>353.916</v>
      </c>
      <c r="G3477" s="22">
        <v>0.0</v>
      </c>
      <c r="H3477" s="22">
        <v>0.0</v>
      </c>
      <c r="I3477" s="22">
        <v>0.0</v>
      </c>
      <c r="J3477" s="22">
        <v>0.0</v>
      </c>
      <c r="K3477" s="22">
        <v>0.0</v>
      </c>
      <c r="L3477" s="22">
        <v>353.916</v>
      </c>
      <c r="M3477" s="22">
        <v>321.742</v>
      </c>
      <c r="N3477" s="22">
        <v>294.77</v>
      </c>
      <c r="O3477" s="24">
        <v>27.5</v>
      </c>
      <c r="P3477" s="18">
        <f t="shared" si="1"/>
        <v>353.916</v>
      </c>
    </row>
    <row r="3478" ht="15.75" customHeight="1">
      <c r="A3478" s="13" t="s">
        <v>238</v>
      </c>
      <c r="B3478" s="13" t="s">
        <v>22</v>
      </c>
      <c r="C3478" s="14" t="s">
        <v>46</v>
      </c>
      <c r="D3478" s="14" t="str">
        <f>VLOOKUP(C3478,'State Key'!$A$2:$B$210,2,False)</f>
        <v>West Bengal</v>
      </c>
      <c r="E3478" s="15">
        <v>2340.0</v>
      </c>
      <c r="F3478" s="16">
        <v>606.896</v>
      </c>
      <c r="G3478" s="16">
        <v>0.0</v>
      </c>
      <c r="H3478" s="16">
        <v>158.87</v>
      </c>
      <c r="I3478" s="16">
        <v>0.0</v>
      </c>
      <c r="J3478" s="16">
        <v>0.0</v>
      </c>
      <c r="K3478" s="16">
        <v>53.548</v>
      </c>
      <c r="L3478" s="16">
        <v>819.314</v>
      </c>
      <c r="M3478" s="16">
        <v>861.988</v>
      </c>
      <c r="N3478" s="16">
        <v>363.71</v>
      </c>
      <c r="O3478" s="23">
        <v>12.7</v>
      </c>
      <c r="P3478" s="18">
        <f t="shared" si="1"/>
        <v>819.314</v>
      </c>
    </row>
    <row r="3479" ht="15.75" customHeight="1">
      <c r="A3479" s="19" t="s">
        <v>238</v>
      </c>
      <c r="B3479" s="19" t="s">
        <v>22</v>
      </c>
      <c r="C3479" s="20" t="s">
        <v>47</v>
      </c>
      <c r="D3479" s="14" t="str">
        <f>VLOOKUP(C3479,'State Key'!$A$2:$B$210,2,False)</f>
        <v>Bihar</v>
      </c>
      <c r="E3479" s="21">
        <v>390.0</v>
      </c>
      <c r="F3479" s="22">
        <v>27.824</v>
      </c>
      <c r="G3479" s="22">
        <v>0.0</v>
      </c>
      <c r="H3479" s="22">
        <v>127.618</v>
      </c>
      <c r="I3479" s="22">
        <v>0.0</v>
      </c>
      <c r="J3479" s="22">
        <v>0.0</v>
      </c>
      <c r="K3479" s="22">
        <v>0.0</v>
      </c>
      <c r="L3479" s="22">
        <v>155.442</v>
      </c>
      <c r="M3479" s="22">
        <v>114.956</v>
      </c>
      <c r="N3479" s="22">
        <v>145.47</v>
      </c>
      <c r="O3479" s="24">
        <v>38.0</v>
      </c>
      <c r="P3479" s="18">
        <f t="shared" si="1"/>
        <v>155.442</v>
      </c>
    </row>
    <row r="3480" ht="15.75" customHeight="1">
      <c r="A3480" s="13" t="s">
        <v>238</v>
      </c>
      <c r="B3480" s="13" t="s">
        <v>22</v>
      </c>
      <c r="C3480" s="14" t="s">
        <v>48</v>
      </c>
      <c r="D3480" s="14" t="str">
        <f>VLOOKUP(C3480,'State Key'!$A$2:$B$210,2,False)</f>
        <v>Bihar</v>
      </c>
      <c r="E3480" s="15">
        <v>1980.0</v>
      </c>
      <c r="F3480" s="16">
        <v>646.235</v>
      </c>
      <c r="G3480" s="16">
        <v>0.0</v>
      </c>
      <c r="H3480" s="16">
        <v>274.956</v>
      </c>
      <c r="I3480" s="16">
        <v>0.0</v>
      </c>
      <c r="J3480" s="16">
        <v>0.0</v>
      </c>
      <c r="K3480" s="16">
        <v>0.0</v>
      </c>
      <c r="L3480" s="16">
        <v>921.191</v>
      </c>
      <c r="M3480" s="16">
        <v>792.511</v>
      </c>
      <c r="N3480" s="16">
        <v>288.91</v>
      </c>
      <c r="O3480" s="23">
        <v>10.9</v>
      </c>
      <c r="P3480" s="18">
        <f t="shared" si="1"/>
        <v>921.191</v>
      </c>
    </row>
    <row r="3481" ht="15.75" customHeight="1">
      <c r="A3481" s="19" t="s">
        <v>238</v>
      </c>
      <c r="B3481" s="19" t="s">
        <v>22</v>
      </c>
      <c r="C3481" s="20" t="s">
        <v>49</v>
      </c>
      <c r="D3481" s="14" t="str">
        <f>VLOOKUP(C3481,'State Key'!$A$2:$B$210,2,False)</f>
        <v>Bihar</v>
      </c>
      <c r="E3481" s="21">
        <v>1000.0</v>
      </c>
      <c r="F3481" s="22">
        <v>428.63952</v>
      </c>
      <c r="G3481" s="22">
        <v>0.0</v>
      </c>
      <c r="H3481" s="22">
        <v>0.0</v>
      </c>
      <c r="I3481" s="22">
        <v>0.0</v>
      </c>
      <c r="J3481" s="22">
        <v>0.0</v>
      </c>
      <c r="K3481" s="22">
        <v>0.0</v>
      </c>
      <c r="L3481" s="22">
        <v>428.63952</v>
      </c>
      <c r="M3481" s="22">
        <v>431.228</v>
      </c>
      <c r="N3481" s="22">
        <v>231.57</v>
      </c>
      <c r="O3481" s="24">
        <v>16.1</v>
      </c>
      <c r="P3481" s="18">
        <f t="shared" si="1"/>
        <v>428.63952</v>
      </c>
    </row>
    <row r="3482" ht="15.75" customHeight="1">
      <c r="A3482" s="13" t="s">
        <v>238</v>
      </c>
      <c r="B3482" s="13" t="s">
        <v>22</v>
      </c>
      <c r="C3482" s="14" t="s">
        <v>50</v>
      </c>
      <c r="D3482" s="14" t="str">
        <f>VLOOKUP(C3482,'State Key'!$A$2:$B$210,2,False)</f>
        <v>Jharkhand</v>
      </c>
      <c r="E3482" s="15">
        <v>1320.0</v>
      </c>
      <c r="F3482" s="16">
        <v>453.84</v>
      </c>
      <c r="G3482" s="16">
        <v>0.0</v>
      </c>
      <c r="H3482" s="16">
        <v>218.06</v>
      </c>
      <c r="I3482" s="16">
        <v>0.0</v>
      </c>
      <c r="J3482" s="16">
        <v>0.0</v>
      </c>
      <c r="K3482" s="16">
        <v>0.0</v>
      </c>
      <c r="L3482" s="16">
        <v>671.9</v>
      </c>
      <c r="M3482" s="16">
        <v>705.263</v>
      </c>
      <c r="N3482" s="16">
        <v>387.694</v>
      </c>
      <c r="O3482" s="24">
        <v>16.5</v>
      </c>
      <c r="P3482" s="18">
        <f t="shared" si="1"/>
        <v>671.9</v>
      </c>
    </row>
    <row r="3483" ht="15.75" customHeight="1">
      <c r="A3483" s="19" t="s">
        <v>238</v>
      </c>
      <c r="B3483" s="19" t="s">
        <v>22</v>
      </c>
      <c r="C3483" s="20" t="s">
        <v>51</v>
      </c>
      <c r="D3483" s="14" t="str">
        <f>VLOOKUP(C3483,'State Key'!$A$2:$B$210,2,False)</f>
        <v>West Bengal</v>
      </c>
      <c r="E3483" s="21">
        <v>1200.0</v>
      </c>
      <c r="F3483" s="22">
        <v>361.953</v>
      </c>
      <c r="G3483" s="22">
        <v>0.0</v>
      </c>
      <c r="H3483" s="22">
        <v>7.893</v>
      </c>
      <c r="I3483" s="22">
        <v>0.0</v>
      </c>
      <c r="J3483" s="22">
        <v>0.0</v>
      </c>
      <c r="K3483" s="22">
        <v>44.385</v>
      </c>
      <c r="L3483" s="22">
        <v>414.231</v>
      </c>
      <c r="M3483" s="22">
        <v>383.409</v>
      </c>
      <c r="N3483" s="22">
        <v>209.22</v>
      </c>
      <c r="O3483" s="24">
        <v>16.4</v>
      </c>
      <c r="P3483" s="18">
        <f t="shared" si="1"/>
        <v>414.231</v>
      </c>
    </row>
    <row r="3484" ht="15.75" customHeight="1">
      <c r="A3484" s="13" t="s">
        <v>238</v>
      </c>
      <c r="B3484" s="13" t="s">
        <v>22</v>
      </c>
      <c r="C3484" s="14" t="s">
        <v>52</v>
      </c>
      <c r="D3484" s="14" t="str">
        <f>VLOOKUP(C3484,'State Key'!$A$2:$B$210,2,False)</f>
        <v>West Bengal</v>
      </c>
      <c r="E3484" s="15">
        <v>1600.0</v>
      </c>
      <c r="F3484" s="16">
        <v>0.0</v>
      </c>
      <c r="G3484" s="16">
        <v>0.0</v>
      </c>
      <c r="H3484" s="16">
        <v>648.74</v>
      </c>
      <c r="I3484" s="16">
        <v>0.0</v>
      </c>
      <c r="J3484" s="16">
        <v>0.0</v>
      </c>
      <c r="K3484" s="16">
        <v>0.0</v>
      </c>
      <c r="L3484" s="16">
        <v>648.74</v>
      </c>
      <c r="M3484" s="16">
        <v>713.9699</v>
      </c>
      <c r="N3484" s="16">
        <v>40.42</v>
      </c>
      <c r="O3484" s="17">
        <v>1.7</v>
      </c>
      <c r="P3484" s="18">
        <f t="shared" si="1"/>
        <v>648.74</v>
      </c>
    </row>
    <row r="3485" ht="15.75" customHeight="1">
      <c r="A3485" s="19" t="s">
        <v>238</v>
      </c>
      <c r="B3485" s="19" t="s">
        <v>22</v>
      </c>
      <c r="C3485" s="20" t="s">
        <v>53</v>
      </c>
      <c r="D3485" s="14" t="str">
        <f>VLOOKUP(C3485,'State Key'!$A$2:$B$210,2,False)</f>
        <v>West Bengal</v>
      </c>
      <c r="E3485" s="21">
        <v>500.0</v>
      </c>
      <c r="F3485" s="22">
        <v>0.0</v>
      </c>
      <c r="G3485" s="22">
        <v>0.0</v>
      </c>
      <c r="H3485" s="22">
        <v>178.72</v>
      </c>
      <c r="I3485" s="22">
        <v>0.0</v>
      </c>
      <c r="J3485" s="22">
        <v>0.0</v>
      </c>
      <c r="K3485" s="22">
        <v>0.0</v>
      </c>
      <c r="L3485" s="22">
        <v>178.72</v>
      </c>
      <c r="M3485" s="22">
        <v>212.836</v>
      </c>
      <c r="N3485" s="22">
        <v>22.98</v>
      </c>
      <c r="O3485" s="17">
        <v>3.2</v>
      </c>
      <c r="P3485" s="18">
        <f t="shared" si="1"/>
        <v>178.72</v>
      </c>
    </row>
    <row r="3486" ht="15.75" customHeight="1">
      <c r="A3486" s="13" t="s">
        <v>238</v>
      </c>
      <c r="B3486" s="13" t="s">
        <v>22</v>
      </c>
      <c r="C3486" s="14" t="s">
        <v>54</v>
      </c>
      <c r="D3486" s="14" t="str">
        <f>VLOOKUP(C3486,'State Key'!$A$2:$B$210,2,False)</f>
        <v>West Bengal</v>
      </c>
      <c r="E3486" s="15">
        <v>135.0</v>
      </c>
      <c r="F3486" s="16">
        <v>4.004</v>
      </c>
      <c r="G3486" s="16">
        <v>0.0</v>
      </c>
      <c r="H3486" s="16">
        <v>0.0</v>
      </c>
      <c r="I3486" s="16">
        <v>0.0</v>
      </c>
      <c r="J3486" s="16">
        <v>0.0</v>
      </c>
      <c r="K3486" s="16">
        <v>0.0</v>
      </c>
      <c r="L3486" s="16">
        <v>4.004</v>
      </c>
      <c r="M3486" s="16">
        <v>0.702</v>
      </c>
      <c r="N3486" s="16">
        <v>45.6</v>
      </c>
      <c r="O3486" s="24">
        <v>1948.7</v>
      </c>
      <c r="P3486" s="18">
        <f t="shared" si="1"/>
        <v>4.004</v>
      </c>
    </row>
    <row r="3487" ht="15.75" customHeight="1">
      <c r="A3487" s="19" t="s">
        <v>238</v>
      </c>
      <c r="B3487" s="19" t="s">
        <v>22</v>
      </c>
      <c r="C3487" s="20" t="s">
        <v>55</v>
      </c>
      <c r="D3487" s="14" t="str">
        <f>VLOOKUP(C3487,'State Key'!$A$2:$B$210,2,False)</f>
        <v>Odisha</v>
      </c>
      <c r="E3487" s="21">
        <v>3000.0</v>
      </c>
      <c r="F3487" s="22">
        <v>1293.69</v>
      </c>
      <c r="G3487" s="22">
        <v>0.0</v>
      </c>
      <c r="H3487" s="22">
        <v>81.71</v>
      </c>
      <c r="I3487" s="22">
        <v>0.0</v>
      </c>
      <c r="J3487" s="22">
        <v>0.0</v>
      </c>
      <c r="K3487" s="22">
        <v>0.0</v>
      </c>
      <c r="L3487" s="22">
        <v>1375.4</v>
      </c>
      <c r="M3487" s="22">
        <v>1523.813</v>
      </c>
      <c r="N3487" s="22">
        <v>195.79</v>
      </c>
      <c r="O3487" s="17">
        <v>3.9</v>
      </c>
      <c r="P3487" s="18">
        <f t="shared" si="1"/>
        <v>1375.4</v>
      </c>
    </row>
    <row r="3488" ht="15.75" customHeight="1">
      <c r="A3488" s="13" t="s">
        <v>238</v>
      </c>
      <c r="B3488" s="13" t="s">
        <v>22</v>
      </c>
      <c r="C3488" s="14" t="s">
        <v>56</v>
      </c>
      <c r="D3488" s="14" t="str">
        <f>VLOOKUP(C3488,'State Key'!$A$2:$B$210,2,False)</f>
        <v>Jharkhand</v>
      </c>
      <c r="E3488" s="15">
        <v>420.0</v>
      </c>
      <c r="F3488" s="16">
        <v>121.95</v>
      </c>
      <c r="G3488" s="16">
        <v>0.0</v>
      </c>
      <c r="H3488" s="16">
        <v>0.0</v>
      </c>
      <c r="I3488" s="16">
        <v>0.0</v>
      </c>
      <c r="J3488" s="16">
        <v>0.0</v>
      </c>
      <c r="K3488" s="16">
        <v>0.0</v>
      </c>
      <c r="L3488" s="16">
        <v>121.95</v>
      </c>
      <c r="M3488" s="16">
        <v>149.31</v>
      </c>
      <c r="N3488" s="16">
        <v>75.58</v>
      </c>
      <c r="O3488" s="24">
        <v>15.2</v>
      </c>
      <c r="P3488" s="18">
        <f t="shared" si="1"/>
        <v>121.95</v>
      </c>
    </row>
    <row r="3489" ht="15.75" customHeight="1">
      <c r="A3489" s="19" t="s">
        <v>238</v>
      </c>
      <c r="B3489" s="19" t="s">
        <v>22</v>
      </c>
      <c r="C3489" s="20" t="s">
        <v>57</v>
      </c>
      <c r="D3489" s="14" t="str">
        <f>VLOOKUP(C3489,'State Key'!$A$2:$B$210,2,False)</f>
        <v>West Bengal</v>
      </c>
      <c r="E3489" s="21">
        <v>240.0</v>
      </c>
      <c r="F3489" s="22">
        <v>0.0</v>
      </c>
      <c r="G3489" s="22">
        <v>0.0</v>
      </c>
      <c r="H3489" s="22">
        <v>0.0</v>
      </c>
      <c r="I3489" s="22">
        <v>0.0</v>
      </c>
      <c r="J3489" s="22">
        <v>0.0</v>
      </c>
      <c r="K3489" s="22">
        <v>0.0</v>
      </c>
      <c r="L3489" s="22">
        <v>0.0</v>
      </c>
      <c r="M3489" s="22">
        <v>0.0</v>
      </c>
      <c r="N3489" s="22">
        <v>0.0</v>
      </c>
      <c r="O3489" s="19" t="s">
        <v>58</v>
      </c>
      <c r="P3489" s="18">
        <f t="shared" si="1"/>
        <v>0</v>
      </c>
    </row>
    <row r="3490" ht="15.75" customHeight="1">
      <c r="A3490" s="13" t="s">
        <v>238</v>
      </c>
      <c r="B3490" s="13" t="s">
        <v>22</v>
      </c>
      <c r="C3490" s="14" t="s">
        <v>59</v>
      </c>
      <c r="D3490" s="14" t="str">
        <f>VLOOKUP(C3490,'State Key'!$A$2:$B$210,2,False)</f>
        <v>Odisha</v>
      </c>
      <c r="E3490" s="15">
        <v>350.0</v>
      </c>
      <c r="F3490" s="16">
        <v>21.1372</v>
      </c>
      <c r="G3490" s="16">
        <v>0.0</v>
      </c>
      <c r="H3490" s="16">
        <v>0.0</v>
      </c>
      <c r="I3490" s="16">
        <v>0.0</v>
      </c>
      <c r="J3490" s="16">
        <v>0.0</v>
      </c>
      <c r="K3490" s="16">
        <v>0.0</v>
      </c>
      <c r="L3490" s="16">
        <v>21.1372</v>
      </c>
      <c r="M3490" s="16">
        <v>16.4998</v>
      </c>
      <c r="N3490" s="16">
        <v>17.1</v>
      </c>
      <c r="O3490" s="24">
        <v>31.1</v>
      </c>
      <c r="P3490" s="18">
        <f t="shared" si="1"/>
        <v>21.1372</v>
      </c>
    </row>
    <row r="3491" ht="15.75" customHeight="1">
      <c r="A3491" s="19" t="s">
        <v>238</v>
      </c>
      <c r="B3491" s="19" t="s">
        <v>22</v>
      </c>
      <c r="C3491" s="20" t="s">
        <v>60</v>
      </c>
      <c r="D3491" s="14" t="str">
        <f>VLOOKUP(C3491,'State Key'!$A$2:$B$210,2,False)</f>
        <v>Odisha</v>
      </c>
      <c r="E3491" s="21">
        <v>600.0</v>
      </c>
      <c r="F3491" s="22">
        <v>10.85</v>
      </c>
      <c r="G3491" s="22">
        <v>0.0</v>
      </c>
      <c r="H3491" s="22">
        <v>0.0</v>
      </c>
      <c r="I3491" s="22">
        <v>0.0</v>
      </c>
      <c r="J3491" s="22">
        <v>0.0</v>
      </c>
      <c r="K3491" s="22">
        <v>0.0</v>
      </c>
      <c r="L3491" s="22">
        <v>10.85</v>
      </c>
      <c r="M3491" s="22">
        <v>105.97</v>
      </c>
      <c r="N3491" s="22">
        <v>95.76</v>
      </c>
      <c r="O3491" s="24">
        <v>27.1</v>
      </c>
      <c r="P3491" s="18">
        <f t="shared" si="1"/>
        <v>10.85</v>
      </c>
    </row>
    <row r="3492" ht="15.75" customHeight="1">
      <c r="A3492" s="13" t="s">
        <v>238</v>
      </c>
      <c r="B3492" s="13" t="s">
        <v>61</v>
      </c>
      <c r="C3492" s="14" t="s">
        <v>209</v>
      </c>
      <c r="D3492" s="14" t="str">
        <f>VLOOKUP(C3492,'State Key'!$A$2:$B$210,2,False)</f>
        <v>Rajasthan</v>
      </c>
      <c r="E3492" s="15">
        <v>1320.0</v>
      </c>
      <c r="F3492" s="16">
        <v>344.148</v>
      </c>
      <c r="G3492" s="16">
        <v>0.0</v>
      </c>
      <c r="H3492" s="16">
        <v>0.0</v>
      </c>
      <c r="I3492" s="16">
        <v>0.0</v>
      </c>
      <c r="J3492" s="16">
        <v>39.632</v>
      </c>
      <c r="K3492" s="16">
        <v>0.0</v>
      </c>
      <c r="L3492" s="16">
        <v>383.78</v>
      </c>
      <c r="M3492" s="16">
        <v>440.447</v>
      </c>
      <c r="N3492" s="16">
        <v>324.31</v>
      </c>
      <c r="O3492" s="24">
        <v>22.1</v>
      </c>
      <c r="P3492" s="18">
        <f t="shared" si="1"/>
        <v>383.78</v>
      </c>
    </row>
    <row r="3493" ht="15.75" customHeight="1">
      <c r="A3493" s="19" t="s">
        <v>238</v>
      </c>
      <c r="B3493" s="19" t="s">
        <v>61</v>
      </c>
      <c r="C3493" s="20" t="s">
        <v>62</v>
      </c>
      <c r="D3493" s="14" t="str">
        <f>VLOOKUP(C3493,'State Key'!$A$2:$B$210,2,False)</f>
        <v>Uttar Pradesh</v>
      </c>
      <c r="E3493" s="21">
        <v>1200.0</v>
      </c>
      <c r="F3493" s="22">
        <v>503.719</v>
      </c>
      <c r="G3493" s="22">
        <v>0.0</v>
      </c>
      <c r="H3493" s="22">
        <v>0.0</v>
      </c>
      <c r="I3493" s="22">
        <v>0.0</v>
      </c>
      <c r="J3493" s="22">
        <v>0.0</v>
      </c>
      <c r="K3493" s="22">
        <v>0.0</v>
      </c>
      <c r="L3493" s="22">
        <v>503.719</v>
      </c>
      <c r="M3493" s="22">
        <v>448.45</v>
      </c>
      <c r="N3493" s="22">
        <v>186.851</v>
      </c>
      <c r="O3493" s="23">
        <v>12.5</v>
      </c>
      <c r="P3493" s="18">
        <f t="shared" si="1"/>
        <v>503.719</v>
      </c>
    </row>
    <row r="3494" ht="15.75" customHeight="1">
      <c r="A3494" s="13" t="s">
        <v>238</v>
      </c>
      <c r="B3494" s="13" t="s">
        <v>61</v>
      </c>
      <c r="C3494" s="14" t="s">
        <v>63</v>
      </c>
      <c r="D3494" s="14" t="str">
        <f>VLOOKUP(C3494,'State Key'!$A$2:$B$210,2,False)</f>
        <v>Uttar Pradesh</v>
      </c>
      <c r="E3494" s="15">
        <v>2630.0</v>
      </c>
      <c r="F3494" s="16">
        <v>1146.804</v>
      </c>
      <c r="G3494" s="16">
        <v>0.0</v>
      </c>
      <c r="H3494" s="16">
        <v>0.0</v>
      </c>
      <c r="I3494" s="16">
        <v>0.0</v>
      </c>
      <c r="J3494" s="16">
        <v>0.0</v>
      </c>
      <c r="K3494" s="16">
        <v>0.0</v>
      </c>
      <c r="L3494" s="16">
        <v>1146.804</v>
      </c>
      <c r="M3494" s="16">
        <v>775.054</v>
      </c>
      <c r="N3494" s="16">
        <v>635.08</v>
      </c>
      <c r="O3494" s="24">
        <v>24.6</v>
      </c>
      <c r="P3494" s="18">
        <f t="shared" si="1"/>
        <v>1146.804</v>
      </c>
    </row>
    <row r="3495" ht="15.75" customHeight="1">
      <c r="A3495" s="19" t="s">
        <v>238</v>
      </c>
      <c r="B3495" s="19" t="s">
        <v>61</v>
      </c>
      <c r="C3495" s="20" t="s">
        <v>64</v>
      </c>
      <c r="D3495" s="14" t="str">
        <f>VLOOKUP(C3495,'State Key'!$A$2:$B$210,2,False)</f>
        <v>Uttar Pradesh</v>
      </c>
      <c r="E3495" s="21">
        <v>90.0</v>
      </c>
      <c r="F3495" s="22">
        <v>36.17</v>
      </c>
      <c r="G3495" s="22">
        <v>0.0</v>
      </c>
      <c r="H3495" s="22">
        <v>0.0</v>
      </c>
      <c r="I3495" s="22">
        <v>0.0</v>
      </c>
      <c r="J3495" s="22">
        <v>0.0</v>
      </c>
      <c r="K3495" s="22">
        <v>0.0</v>
      </c>
      <c r="L3495" s="22">
        <v>36.17</v>
      </c>
      <c r="M3495" s="22">
        <v>16.429</v>
      </c>
      <c r="N3495" s="22">
        <v>30.61</v>
      </c>
      <c r="O3495" s="24">
        <v>55.9</v>
      </c>
      <c r="P3495" s="18">
        <f t="shared" si="1"/>
        <v>36.17</v>
      </c>
    </row>
    <row r="3496" ht="15.75" customHeight="1">
      <c r="A3496" s="13" t="s">
        <v>238</v>
      </c>
      <c r="B3496" s="13" t="s">
        <v>61</v>
      </c>
      <c r="C3496" s="14" t="s">
        <v>65</v>
      </c>
      <c r="D3496" s="14" t="str">
        <f>VLOOKUP(C3496,'State Key'!$A$2:$B$210,2,False)</f>
        <v>Rajasthan</v>
      </c>
      <c r="E3496" s="15">
        <v>500.0</v>
      </c>
      <c r="F3496" s="16">
        <v>31.2435</v>
      </c>
      <c r="G3496" s="16">
        <v>0.0</v>
      </c>
      <c r="H3496" s="16">
        <v>0.0</v>
      </c>
      <c r="I3496" s="16">
        <v>0.0</v>
      </c>
      <c r="J3496" s="16">
        <v>0.0</v>
      </c>
      <c r="K3496" s="16">
        <v>0.0</v>
      </c>
      <c r="L3496" s="16">
        <v>31.2435</v>
      </c>
      <c r="M3496" s="16">
        <v>219.956</v>
      </c>
      <c r="N3496" s="16">
        <v>93.4179</v>
      </c>
      <c r="O3496" s="23">
        <v>12.7</v>
      </c>
      <c r="P3496" s="18">
        <f t="shared" si="1"/>
        <v>31.2435</v>
      </c>
    </row>
    <row r="3497" ht="15.75" customHeight="1">
      <c r="A3497" s="19" t="s">
        <v>238</v>
      </c>
      <c r="B3497" s="19" t="s">
        <v>61</v>
      </c>
      <c r="C3497" s="20" t="s">
        <v>66</v>
      </c>
      <c r="D3497" s="14" t="str">
        <f>VLOOKUP(C3497,'State Key'!$A$2:$B$210,2,False)</f>
        <v>Rajasthan</v>
      </c>
      <c r="E3497" s="21">
        <v>500.0</v>
      </c>
      <c r="F3497" s="22">
        <v>402.7322</v>
      </c>
      <c r="G3497" s="22">
        <v>0.0</v>
      </c>
      <c r="H3497" s="22">
        <v>0.0</v>
      </c>
      <c r="I3497" s="22">
        <v>0.0</v>
      </c>
      <c r="J3497" s="22">
        <v>0.0</v>
      </c>
      <c r="K3497" s="22">
        <v>0.0</v>
      </c>
      <c r="L3497" s="22">
        <v>402.7322</v>
      </c>
      <c r="M3497" s="22">
        <v>160.3227</v>
      </c>
      <c r="N3497" s="22">
        <v>87.5331</v>
      </c>
      <c r="O3497" s="24">
        <v>16.4</v>
      </c>
      <c r="P3497" s="18">
        <f t="shared" si="1"/>
        <v>402.7322</v>
      </c>
    </row>
    <row r="3498" ht="15.75" customHeight="1">
      <c r="A3498" s="13" t="s">
        <v>238</v>
      </c>
      <c r="B3498" s="13" t="s">
        <v>61</v>
      </c>
      <c r="C3498" s="14" t="s">
        <v>67</v>
      </c>
      <c r="D3498" s="14" t="str">
        <f>VLOOKUP(C3498,'State Key'!$A$2:$B$210,2,False)</f>
        <v>Rajasthan</v>
      </c>
      <c r="E3498" s="15">
        <v>1320.0</v>
      </c>
      <c r="F3498" s="16">
        <v>117.973</v>
      </c>
      <c r="G3498" s="16">
        <v>0.0</v>
      </c>
      <c r="H3498" s="16">
        <v>357.516</v>
      </c>
      <c r="I3498" s="16">
        <v>0.0</v>
      </c>
      <c r="J3498" s="16">
        <v>0.0</v>
      </c>
      <c r="K3498" s="16">
        <v>0.0</v>
      </c>
      <c r="L3498" s="16">
        <v>475.489</v>
      </c>
      <c r="M3498" s="16">
        <v>435.982</v>
      </c>
      <c r="N3498" s="16">
        <v>126.56</v>
      </c>
      <c r="O3498" s="23">
        <v>8.7</v>
      </c>
      <c r="P3498" s="18">
        <f t="shared" si="1"/>
        <v>475.489</v>
      </c>
    </row>
    <row r="3499" ht="15.75" customHeight="1">
      <c r="A3499" s="19" t="s">
        <v>238</v>
      </c>
      <c r="B3499" s="19" t="s">
        <v>61</v>
      </c>
      <c r="C3499" s="20" t="s">
        <v>68</v>
      </c>
      <c r="D3499" s="14" t="str">
        <f>VLOOKUP(C3499,'State Key'!$A$2:$B$210,2,False)</f>
        <v>Uttar Pradesh</v>
      </c>
      <c r="E3499" s="21">
        <v>1820.0</v>
      </c>
      <c r="F3499" s="22">
        <v>338.25</v>
      </c>
      <c r="G3499" s="22">
        <v>4.08</v>
      </c>
      <c r="H3499" s="22">
        <v>23.3</v>
      </c>
      <c r="I3499" s="22">
        <v>0.0</v>
      </c>
      <c r="J3499" s="22">
        <v>0.0</v>
      </c>
      <c r="K3499" s="22">
        <v>0.0</v>
      </c>
      <c r="L3499" s="22">
        <v>365.63</v>
      </c>
      <c r="M3499" s="22">
        <v>418.246</v>
      </c>
      <c r="N3499" s="22">
        <v>189.826</v>
      </c>
      <c r="O3499" s="23">
        <v>13.6</v>
      </c>
      <c r="P3499" s="18">
        <f t="shared" si="1"/>
        <v>365.63</v>
      </c>
    </row>
    <row r="3500" ht="15.75" customHeight="1">
      <c r="A3500" s="13" t="s">
        <v>238</v>
      </c>
      <c r="B3500" s="13" t="s">
        <v>61</v>
      </c>
      <c r="C3500" s="14" t="s">
        <v>69</v>
      </c>
      <c r="D3500" s="14" t="str">
        <f>VLOOKUP(C3500,'State Key'!$A$2:$B$210,2,False)</f>
        <v>Punjab</v>
      </c>
      <c r="E3500" s="15">
        <v>920.0</v>
      </c>
      <c r="F3500" s="16">
        <v>92.074</v>
      </c>
      <c r="G3500" s="16">
        <v>0.0</v>
      </c>
      <c r="H3500" s="16">
        <v>210.787</v>
      </c>
      <c r="I3500" s="16">
        <v>0.0</v>
      </c>
      <c r="J3500" s="16">
        <v>0.0</v>
      </c>
      <c r="K3500" s="16">
        <v>0.0</v>
      </c>
      <c r="L3500" s="16">
        <v>302.861</v>
      </c>
      <c r="M3500" s="16">
        <v>158.464</v>
      </c>
      <c r="N3500" s="16">
        <v>385.24</v>
      </c>
      <c r="O3500" s="24">
        <v>72.9</v>
      </c>
      <c r="P3500" s="18">
        <f t="shared" si="1"/>
        <v>302.861</v>
      </c>
    </row>
    <row r="3501" ht="15.75" customHeight="1">
      <c r="A3501" s="19" t="s">
        <v>238</v>
      </c>
      <c r="B3501" s="19" t="s">
        <v>61</v>
      </c>
      <c r="C3501" s="20" t="s">
        <v>70</v>
      </c>
      <c r="D3501" s="14" t="str">
        <f>VLOOKUP(C3501,'State Key'!$A$2:$B$210,2,False)</f>
        <v>Punjab</v>
      </c>
      <c r="E3501" s="21">
        <v>540.0</v>
      </c>
      <c r="F3501" s="22">
        <v>0.0</v>
      </c>
      <c r="G3501" s="22">
        <v>0.0</v>
      </c>
      <c r="H3501" s="22">
        <v>220.89251</v>
      </c>
      <c r="I3501" s="22">
        <v>0.0</v>
      </c>
      <c r="J3501" s="22">
        <v>0.0</v>
      </c>
      <c r="K3501" s="22">
        <v>0.0</v>
      </c>
      <c r="L3501" s="22">
        <v>220.89251</v>
      </c>
      <c r="M3501" s="22">
        <v>156.683</v>
      </c>
      <c r="N3501" s="22">
        <v>197.5</v>
      </c>
      <c r="O3501" s="24">
        <v>37.8</v>
      </c>
      <c r="P3501" s="18">
        <f t="shared" si="1"/>
        <v>220.89251</v>
      </c>
    </row>
    <row r="3502" ht="15.75" customHeight="1">
      <c r="A3502" s="13" t="s">
        <v>238</v>
      </c>
      <c r="B3502" s="13" t="s">
        <v>61</v>
      </c>
      <c r="C3502" s="14" t="s">
        <v>71</v>
      </c>
      <c r="D3502" s="14" t="str">
        <f>VLOOKUP(C3502,'State Key'!$A$2:$B$210,2,False)</f>
        <v>Uttar Pradesh</v>
      </c>
      <c r="E3502" s="15">
        <v>1265.0</v>
      </c>
      <c r="F3502" s="16">
        <v>193.75</v>
      </c>
      <c r="G3502" s="16">
        <v>0.0</v>
      </c>
      <c r="H3502" s="16">
        <v>0.0</v>
      </c>
      <c r="I3502" s="16">
        <v>0.0</v>
      </c>
      <c r="J3502" s="16">
        <v>0.0</v>
      </c>
      <c r="K3502" s="16">
        <v>0.0</v>
      </c>
      <c r="L3502" s="16">
        <v>193.75</v>
      </c>
      <c r="M3502" s="16">
        <v>160.735</v>
      </c>
      <c r="N3502" s="16">
        <v>364.44</v>
      </c>
      <c r="O3502" s="24">
        <v>68.0</v>
      </c>
      <c r="P3502" s="18">
        <f t="shared" si="1"/>
        <v>193.75</v>
      </c>
    </row>
    <row r="3503" ht="15.75" customHeight="1">
      <c r="A3503" s="19" t="s">
        <v>238</v>
      </c>
      <c r="B3503" s="19" t="s">
        <v>61</v>
      </c>
      <c r="C3503" s="20" t="s">
        <v>72</v>
      </c>
      <c r="D3503" s="14" t="str">
        <f>VLOOKUP(C3503,'State Key'!$A$2:$B$210,2,False)</f>
        <v>Haryana</v>
      </c>
      <c r="E3503" s="21">
        <v>1500.0</v>
      </c>
      <c r="F3503" s="22">
        <v>465.174</v>
      </c>
      <c r="G3503" s="22">
        <v>0.0</v>
      </c>
      <c r="H3503" s="22">
        <v>0.0</v>
      </c>
      <c r="I3503" s="22">
        <v>0.0</v>
      </c>
      <c r="J3503" s="22">
        <v>0.0</v>
      </c>
      <c r="K3503" s="22">
        <v>0.0</v>
      </c>
      <c r="L3503" s="22">
        <v>465.174</v>
      </c>
      <c r="M3503" s="22">
        <v>473.994</v>
      </c>
      <c r="N3503" s="22">
        <v>569.64</v>
      </c>
      <c r="O3503" s="24">
        <v>36.1</v>
      </c>
      <c r="P3503" s="18">
        <f t="shared" si="1"/>
        <v>465.174</v>
      </c>
    </row>
    <row r="3504" ht="15.75" customHeight="1">
      <c r="A3504" s="13" t="s">
        <v>238</v>
      </c>
      <c r="B3504" s="13" t="s">
        <v>61</v>
      </c>
      <c r="C3504" s="14" t="s">
        <v>226</v>
      </c>
      <c r="D3504" s="14" t="str">
        <f>VLOOKUP(C3504,'State Key'!$A$2:$B$210,2,False)</f>
        <v>Uttar Pradesh</v>
      </c>
      <c r="E3504" s="15">
        <v>660.0</v>
      </c>
      <c r="F3504" s="16">
        <v>220.865</v>
      </c>
      <c r="G3504" s="16">
        <v>0.0</v>
      </c>
      <c r="H3504" s="16">
        <v>0.0</v>
      </c>
      <c r="I3504" s="16">
        <v>0.0</v>
      </c>
      <c r="J3504" s="16">
        <v>0.0</v>
      </c>
      <c r="K3504" s="16">
        <v>0.0</v>
      </c>
      <c r="L3504" s="16">
        <v>220.865</v>
      </c>
      <c r="M3504" s="16">
        <v>204.45</v>
      </c>
      <c r="N3504" s="16">
        <v>99.28</v>
      </c>
      <c r="O3504" s="24">
        <v>14.6</v>
      </c>
      <c r="P3504" s="18">
        <f t="shared" si="1"/>
        <v>220.865</v>
      </c>
    </row>
    <row r="3505" ht="15.75" customHeight="1">
      <c r="A3505" s="19" t="s">
        <v>238</v>
      </c>
      <c r="B3505" s="19" t="s">
        <v>61</v>
      </c>
      <c r="C3505" s="20" t="s">
        <v>73</v>
      </c>
      <c r="D3505" s="14" t="str">
        <f>VLOOKUP(C3505,'State Key'!$A$2:$B$210,2,False)</f>
        <v>Rajasthan</v>
      </c>
      <c r="E3505" s="21">
        <v>1200.0</v>
      </c>
      <c r="F3505" s="22">
        <v>0.0</v>
      </c>
      <c r="G3505" s="22">
        <v>0.0</v>
      </c>
      <c r="H3505" s="22">
        <v>313.435</v>
      </c>
      <c r="I3505" s="22">
        <v>0.0</v>
      </c>
      <c r="J3505" s="22">
        <v>0.0</v>
      </c>
      <c r="K3505" s="22">
        <v>0.0</v>
      </c>
      <c r="L3505" s="22">
        <v>313.435</v>
      </c>
      <c r="M3505" s="22">
        <v>348.336</v>
      </c>
      <c r="N3505" s="22">
        <v>131.15</v>
      </c>
      <c r="O3505" s="23">
        <v>11.3</v>
      </c>
      <c r="P3505" s="18">
        <f t="shared" si="1"/>
        <v>313.435</v>
      </c>
    </row>
    <row r="3506" ht="15.75" customHeight="1">
      <c r="A3506" s="13" t="s">
        <v>238</v>
      </c>
      <c r="B3506" s="13" t="s">
        <v>61</v>
      </c>
      <c r="C3506" s="14" t="s">
        <v>75</v>
      </c>
      <c r="D3506" s="14" t="str">
        <f>VLOOKUP(C3506,'State Key'!$A$2:$B$210,2,False)</f>
        <v>Uttar Pradesh</v>
      </c>
      <c r="E3506" s="15">
        <v>90.0</v>
      </c>
      <c r="F3506" s="16">
        <v>19.54</v>
      </c>
      <c r="G3506" s="16">
        <v>0.0</v>
      </c>
      <c r="H3506" s="16">
        <v>0.0</v>
      </c>
      <c r="I3506" s="16">
        <v>0.0</v>
      </c>
      <c r="J3506" s="16">
        <v>0.0</v>
      </c>
      <c r="K3506" s="16">
        <v>0.0</v>
      </c>
      <c r="L3506" s="16">
        <v>19.54</v>
      </c>
      <c r="M3506" s="16">
        <v>16.575</v>
      </c>
      <c r="N3506" s="16">
        <v>25.36</v>
      </c>
      <c r="O3506" s="24">
        <v>45.9</v>
      </c>
      <c r="P3506" s="18">
        <f t="shared" si="1"/>
        <v>19.54</v>
      </c>
    </row>
    <row r="3507" ht="15.75" customHeight="1">
      <c r="A3507" s="19" t="s">
        <v>238</v>
      </c>
      <c r="B3507" s="19" t="s">
        <v>61</v>
      </c>
      <c r="C3507" s="20" t="s">
        <v>76</v>
      </c>
      <c r="D3507" s="14" t="str">
        <f>VLOOKUP(C3507,'State Key'!$A$2:$B$210,2,False)</f>
        <v>Rajasthan</v>
      </c>
      <c r="E3507" s="21">
        <v>1240.0</v>
      </c>
      <c r="F3507" s="22">
        <v>584.68262</v>
      </c>
      <c r="G3507" s="22">
        <v>0.0</v>
      </c>
      <c r="H3507" s="22">
        <v>0.0</v>
      </c>
      <c r="I3507" s="22">
        <v>0.0</v>
      </c>
      <c r="J3507" s="22">
        <v>0.0</v>
      </c>
      <c r="K3507" s="22">
        <v>11.90634</v>
      </c>
      <c r="L3507" s="22">
        <v>596.58896</v>
      </c>
      <c r="M3507" s="22">
        <v>470.324</v>
      </c>
      <c r="N3507" s="22">
        <v>345.45</v>
      </c>
      <c r="O3507" s="24">
        <v>22.0</v>
      </c>
      <c r="P3507" s="18">
        <f t="shared" si="1"/>
        <v>596.58896</v>
      </c>
    </row>
    <row r="3508" ht="15.75" customHeight="1">
      <c r="A3508" s="13" t="s">
        <v>238</v>
      </c>
      <c r="B3508" s="13" t="s">
        <v>61</v>
      </c>
      <c r="C3508" s="14" t="s">
        <v>77</v>
      </c>
      <c r="D3508" s="14" t="str">
        <f>VLOOKUP(C3508,'State Key'!$A$2:$B$210,2,False)</f>
        <v>Uttar Pradesh</v>
      </c>
      <c r="E3508" s="15">
        <v>90.0</v>
      </c>
      <c r="F3508" s="16">
        <v>15.808</v>
      </c>
      <c r="G3508" s="16">
        <v>0.0</v>
      </c>
      <c r="H3508" s="16">
        <v>0.0</v>
      </c>
      <c r="I3508" s="16">
        <v>0.0</v>
      </c>
      <c r="J3508" s="16">
        <v>0.0</v>
      </c>
      <c r="K3508" s="16">
        <v>0.0</v>
      </c>
      <c r="L3508" s="16">
        <v>15.808</v>
      </c>
      <c r="M3508" s="16">
        <v>6.348</v>
      </c>
      <c r="N3508" s="16">
        <v>31.71</v>
      </c>
      <c r="O3508" s="24">
        <v>149.9</v>
      </c>
      <c r="P3508" s="18">
        <f t="shared" si="1"/>
        <v>15.808</v>
      </c>
    </row>
    <row r="3509" ht="15.75" customHeight="1">
      <c r="A3509" s="19" t="s">
        <v>238</v>
      </c>
      <c r="B3509" s="19" t="s">
        <v>61</v>
      </c>
      <c r="C3509" s="20" t="s">
        <v>78</v>
      </c>
      <c r="D3509" s="14" t="str">
        <f>VLOOKUP(C3509,'State Key'!$A$2:$B$210,2,False)</f>
        <v>Uttar Pradesh</v>
      </c>
      <c r="E3509" s="21">
        <v>1980.0</v>
      </c>
      <c r="F3509" s="22">
        <v>584.944</v>
      </c>
      <c r="G3509" s="22">
        <v>0.0</v>
      </c>
      <c r="H3509" s="22">
        <v>0.0</v>
      </c>
      <c r="I3509" s="22">
        <v>0.0</v>
      </c>
      <c r="J3509" s="22">
        <v>0.0</v>
      </c>
      <c r="K3509" s="22">
        <v>0.0</v>
      </c>
      <c r="L3509" s="22">
        <v>584.944</v>
      </c>
      <c r="M3509" s="22">
        <v>525.09</v>
      </c>
      <c r="N3509" s="22">
        <v>295.29</v>
      </c>
      <c r="O3509" s="24">
        <v>16.9</v>
      </c>
      <c r="P3509" s="18">
        <f t="shared" si="1"/>
        <v>584.944</v>
      </c>
    </row>
    <row r="3510" ht="15.75" customHeight="1">
      <c r="A3510" s="13" t="s">
        <v>238</v>
      </c>
      <c r="B3510" s="13" t="s">
        <v>61</v>
      </c>
      <c r="C3510" s="14" t="s">
        <v>79</v>
      </c>
      <c r="D3510" s="14" t="str">
        <f>VLOOKUP(C3510,'State Key'!$A$2:$B$210,2,False)</f>
        <v>Haryana</v>
      </c>
      <c r="E3510" s="15">
        <v>1320.0</v>
      </c>
      <c r="F3510" s="16">
        <v>271.851</v>
      </c>
      <c r="G3510" s="16">
        <v>0.0</v>
      </c>
      <c r="H3510" s="16">
        <v>0.0</v>
      </c>
      <c r="I3510" s="16">
        <v>0.0</v>
      </c>
      <c r="J3510" s="16">
        <v>0.0</v>
      </c>
      <c r="K3510" s="16">
        <v>0.0</v>
      </c>
      <c r="L3510" s="16">
        <v>271.851</v>
      </c>
      <c r="M3510" s="16">
        <v>371.378</v>
      </c>
      <c r="N3510" s="16">
        <v>342.06</v>
      </c>
      <c r="O3510" s="24">
        <v>27.6</v>
      </c>
      <c r="P3510" s="18">
        <f t="shared" si="1"/>
        <v>271.851</v>
      </c>
    </row>
    <row r="3511" ht="15.75" customHeight="1">
      <c r="A3511" s="19" t="s">
        <v>238</v>
      </c>
      <c r="B3511" s="19" t="s">
        <v>61</v>
      </c>
      <c r="C3511" s="20" t="s">
        <v>80</v>
      </c>
      <c r="D3511" s="14" t="str">
        <f>VLOOKUP(C3511,'State Key'!$A$2:$B$210,2,False)</f>
        <v>Uttar Pradesh</v>
      </c>
      <c r="E3511" s="21">
        <v>90.0</v>
      </c>
      <c r="F3511" s="22">
        <v>15.886</v>
      </c>
      <c r="G3511" s="22">
        <v>0.0</v>
      </c>
      <c r="H3511" s="22">
        <v>0.0</v>
      </c>
      <c r="I3511" s="22">
        <v>0.0</v>
      </c>
      <c r="J3511" s="22">
        <v>0.0</v>
      </c>
      <c r="K3511" s="22">
        <v>0.0</v>
      </c>
      <c r="L3511" s="22">
        <v>15.886</v>
      </c>
      <c r="M3511" s="22">
        <v>16.64</v>
      </c>
      <c r="N3511" s="22">
        <v>14.92</v>
      </c>
      <c r="O3511" s="24">
        <v>26.9</v>
      </c>
      <c r="P3511" s="18">
        <f t="shared" si="1"/>
        <v>15.886</v>
      </c>
    </row>
    <row r="3512" ht="15.75" customHeight="1">
      <c r="A3512" s="13" t="s">
        <v>238</v>
      </c>
      <c r="B3512" s="13" t="s">
        <v>61</v>
      </c>
      <c r="C3512" s="14" t="s">
        <v>81</v>
      </c>
      <c r="D3512" s="14" t="str">
        <f>VLOOKUP(C3512,'State Key'!$A$2:$B$210,2,False)</f>
        <v>Uttar Pradesh</v>
      </c>
      <c r="E3512" s="15">
        <v>1320.0</v>
      </c>
      <c r="F3512" s="16">
        <v>435.864</v>
      </c>
      <c r="G3512" s="16">
        <v>0.0</v>
      </c>
      <c r="H3512" s="16">
        <v>0.0</v>
      </c>
      <c r="I3512" s="16">
        <v>0.0</v>
      </c>
      <c r="J3512" s="16">
        <v>0.0</v>
      </c>
      <c r="K3512" s="16">
        <v>0.0</v>
      </c>
      <c r="L3512" s="16">
        <v>435.864</v>
      </c>
      <c r="M3512" s="16">
        <v>367.099</v>
      </c>
      <c r="N3512" s="16">
        <v>258.952</v>
      </c>
      <c r="O3512" s="24">
        <v>21.2</v>
      </c>
      <c r="P3512" s="18">
        <f t="shared" si="1"/>
        <v>435.864</v>
      </c>
    </row>
    <row r="3513" ht="15.75" customHeight="1">
      <c r="A3513" s="19" t="s">
        <v>238</v>
      </c>
      <c r="B3513" s="19" t="s">
        <v>61</v>
      </c>
      <c r="C3513" s="20" t="s">
        <v>82</v>
      </c>
      <c r="D3513" s="14" t="str">
        <f>VLOOKUP(C3513,'State Key'!$A$2:$B$210,2,False)</f>
        <v>Uttar Pradesh</v>
      </c>
      <c r="E3513" s="21">
        <v>1660.0</v>
      </c>
      <c r="F3513" s="22">
        <v>462.49</v>
      </c>
      <c r="G3513" s="22">
        <v>0.0</v>
      </c>
      <c r="H3513" s="22">
        <v>0.0</v>
      </c>
      <c r="I3513" s="22">
        <v>0.0</v>
      </c>
      <c r="J3513" s="22">
        <v>0.0</v>
      </c>
      <c r="K3513" s="22">
        <v>0.0</v>
      </c>
      <c r="L3513" s="22">
        <v>462.49</v>
      </c>
      <c r="M3513" s="22">
        <v>457.26</v>
      </c>
      <c r="N3513" s="22">
        <v>219.64</v>
      </c>
      <c r="O3513" s="24">
        <v>14.4</v>
      </c>
      <c r="P3513" s="18">
        <f t="shared" si="1"/>
        <v>462.49</v>
      </c>
    </row>
    <row r="3514" ht="15.75" customHeight="1">
      <c r="A3514" s="13" t="s">
        <v>238</v>
      </c>
      <c r="B3514" s="13" t="s">
        <v>61</v>
      </c>
      <c r="C3514" s="14" t="s">
        <v>83</v>
      </c>
      <c r="D3514" s="14" t="str">
        <f>VLOOKUP(C3514,'State Key'!$A$2:$B$210,2,False)</f>
        <v>Haryana</v>
      </c>
      <c r="E3514" s="15">
        <v>710.0</v>
      </c>
      <c r="F3514" s="16">
        <v>301.64</v>
      </c>
      <c r="G3514" s="16">
        <v>0.0</v>
      </c>
      <c r="H3514" s="16">
        <v>0.0</v>
      </c>
      <c r="I3514" s="16">
        <v>0.0</v>
      </c>
      <c r="J3514" s="16">
        <v>0.0</v>
      </c>
      <c r="K3514" s="16">
        <v>0.0</v>
      </c>
      <c r="L3514" s="16">
        <v>301.64</v>
      </c>
      <c r="M3514" s="16">
        <v>229.836</v>
      </c>
      <c r="N3514" s="16">
        <v>339.17</v>
      </c>
      <c r="O3514" s="24">
        <v>44.3</v>
      </c>
      <c r="P3514" s="18">
        <f t="shared" si="1"/>
        <v>301.64</v>
      </c>
    </row>
    <row r="3515" ht="15.75" customHeight="1">
      <c r="A3515" s="19" t="s">
        <v>238</v>
      </c>
      <c r="B3515" s="19" t="s">
        <v>61</v>
      </c>
      <c r="C3515" s="20" t="s">
        <v>84</v>
      </c>
      <c r="D3515" s="14" t="str">
        <f>VLOOKUP(C3515,'State Key'!$A$2:$B$210,2,False)</f>
        <v>Uttar Pradesh</v>
      </c>
      <c r="E3515" s="21">
        <v>920.0</v>
      </c>
      <c r="F3515" s="22">
        <v>397.689</v>
      </c>
      <c r="G3515" s="22">
        <v>0.0</v>
      </c>
      <c r="H3515" s="22">
        <v>0.0</v>
      </c>
      <c r="I3515" s="22">
        <v>0.0</v>
      </c>
      <c r="J3515" s="22">
        <v>0.0</v>
      </c>
      <c r="K3515" s="22">
        <v>0.0</v>
      </c>
      <c r="L3515" s="22">
        <v>397.689</v>
      </c>
      <c r="M3515" s="22">
        <v>304.753</v>
      </c>
      <c r="N3515" s="22">
        <v>244.78</v>
      </c>
      <c r="O3515" s="24">
        <v>24.1</v>
      </c>
      <c r="P3515" s="18">
        <f t="shared" si="1"/>
        <v>397.689</v>
      </c>
    </row>
    <row r="3516" ht="15.75" customHeight="1">
      <c r="A3516" s="13" t="s">
        <v>238</v>
      </c>
      <c r="B3516" s="13" t="s">
        <v>61</v>
      </c>
      <c r="C3516" s="14" t="s">
        <v>85</v>
      </c>
      <c r="D3516" s="14" t="str">
        <f>VLOOKUP(C3516,'State Key'!$A$2:$B$210,2,False)</f>
        <v>Uttar Pradesh</v>
      </c>
      <c r="E3516" s="15">
        <v>1980.0</v>
      </c>
      <c r="F3516" s="16">
        <v>722.333</v>
      </c>
      <c r="G3516" s="16">
        <v>0.0</v>
      </c>
      <c r="H3516" s="16">
        <v>0.0</v>
      </c>
      <c r="I3516" s="16">
        <v>0.0</v>
      </c>
      <c r="J3516" s="16">
        <v>0.0</v>
      </c>
      <c r="K3516" s="16">
        <v>0.0</v>
      </c>
      <c r="L3516" s="16">
        <v>722.333</v>
      </c>
      <c r="M3516" s="16">
        <v>535.14</v>
      </c>
      <c r="N3516" s="16">
        <v>527.29</v>
      </c>
      <c r="O3516" s="24">
        <v>29.6</v>
      </c>
      <c r="P3516" s="18">
        <f t="shared" si="1"/>
        <v>722.333</v>
      </c>
    </row>
    <row r="3517" ht="15.75" customHeight="1">
      <c r="A3517" s="19" t="s">
        <v>238</v>
      </c>
      <c r="B3517" s="19" t="s">
        <v>61</v>
      </c>
      <c r="C3517" s="20" t="s">
        <v>86</v>
      </c>
      <c r="D3517" s="14" t="str">
        <f>VLOOKUP(C3517,'State Key'!$A$2:$B$210,2,False)</f>
        <v>Haryana</v>
      </c>
      <c r="E3517" s="21">
        <v>1200.0</v>
      </c>
      <c r="F3517" s="22">
        <v>354.414</v>
      </c>
      <c r="G3517" s="22">
        <v>0.0</v>
      </c>
      <c r="H3517" s="22">
        <v>0.0</v>
      </c>
      <c r="I3517" s="22">
        <v>0.0</v>
      </c>
      <c r="J3517" s="22">
        <v>0.0</v>
      </c>
      <c r="K3517" s="22">
        <v>0.0</v>
      </c>
      <c r="L3517" s="22">
        <v>354.414</v>
      </c>
      <c r="M3517" s="22">
        <v>168.536</v>
      </c>
      <c r="N3517" s="22">
        <v>609.242</v>
      </c>
      <c r="O3517" s="24">
        <v>108.4</v>
      </c>
      <c r="P3517" s="18">
        <f t="shared" si="1"/>
        <v>354.414</v>
      </c>
    </row>
    <row r="3518" ht="15.75" customHeight="1">
      <c r="A3518" s="13" t="s">
        <v>238</v>
      </c>
      <c r="B3518" s="13" t="s">
        <v>61</v>
      </c>
      <c r="C3518" s="14" t="s">
        <v>87</v>
      </c>
      <c r="D3518" s="14" t="str">
        <f>VLOOKUP(C3518,'State Key'!$A$2:$B$210,2,False)</f>
        <v>Punjab</v>
      </c>
      <c r="E3518" s="15">
        <v>1400.0</v>
      </c>
      <c r="F3518" s="16">
        <v>582.8797</v>
      </c>
      <c r="G3518" s="16">
        <v>0.0</v>
      </c>
      <c r="H3518" s="16">
        <v>0.0</v>
      </c>
      <c r="I3518" s="16">
        <v>0.0</v>
      </c>
      <c r="J3518" s="16">
        <v>0.0</v>
      </c>
      <c r="K3518" s="16">
        <v>0.0</v>
      </c>
      <c r="L3518" s="16">
        <v>582.8797</v>
      </c>
      <c r="M3518" s="16">
        <v>381.539</v>
      </c>
      <c r="N3518" s="16">
        <v>384.78</v>
      </c>
      <c r="O3518" s="24">
        <v>30.3</v>
      </c>
      <c r="P3518" s="18">
        <f t="shared" si="1"/>
        <v>582.8797</v>
      </c>
    </row>
    <row r="3519" ht="15.75" customHeight="1">
      <c r="A3519" s="19" t="s">
        <v>238</v>
      </c>
      <c r="B3519" s="19" t="s">
        <v>61</v>
      </c>
      <c r="C3519" s="20" t="s">
        <v>88</v>
      </c>
      <c r="D3519" s="14" t="str">
        <f>VLOOKUP(C3519,'State Key'!$A$2:$B$210,2,False)</f>
        <v>Uttar Pradesh</v>
      </c>
      <c r="E3519" s="21">
        <v>3000.0</v>
      </c>
      <c r="F3519" s="22">
        <v>1360.88</v>
      </c>
      <c r="G3519" s="22">
        <v>0.0</v>
      </c>
      <c r="H3519" s="22">
        <v>0.0</v>
      </c>
      <c r="I3519" s="22">
        <v>0.0</v>
      </c>
      <c r="J3519" s="22">
        <v>0.0</v>
      </c>
      <c r="K3519" s="22">
        <v>0.0</v>
      </c>
      <c r="L3519" s="22">
        <v>1360.88</v>
      </c>
      <c r="M3519" s="22">
        <v>1292.537</v>
      </c>
      <c r="N3519" s="22">
        <v>489.93</v>
      </c>
      <c r="O3519" s="23">
        <v>11.4</v>
      </c>
      <c r="P3519" s="18">
        <f t="shared" si="1"/>
        <v>1360.88</v>
      </c>
    </row>
    <row r="3520" ht="15.75" customHeight="1">
      <c r="A3520" s="13" t="s">
        <v>238</v>
      </c>
      <c r="B3520" s="13" t="s">
        <v>61</v>
      </c>
      <c r="C3520" s="14" t="s">
        <v>89</v>
      </c>
      <c r="D3520" s="14" t="str">
        <f>VLOOKUP(C3520,'State Key'!$A$2:$B$210,2,False)</f>
        <v>Punjab</v>
      </c>
      <c r="E3520" s="15">
        <v>840.0</v>
      </c>
      <c r="F3520" s="16">
        <v>64.649</v>
      </c>
      <c r="G3520" s="16">
        <v>0.0</v>
      </c>
      <c r="H3520" s="16">
        <v>209.841</v>
      </c>
      <c r="I3520" s="16">
        <v>0.0</v>
      </c>
      <c r="J3520" s="16">
        <v>0.0</v>
      </c>
      <c r="K3520" s="16">
        <v>0.0</v>
      </c>
      <c r="L3520" s="16">
        <v>274.49</v>
      </c>
      <c r="M3520" s="16">
        <v>111.313</v>
      </c>
      <c r="N3520" s="16">
        <v>491.99</v>
      </c>
      <c r="O3520" s="24">
        <v>132.6</v>
      </c>
      <c r="P3520" s="18">
        <f t="shared" si="1"/>
        <v>274.49</v>
      </c>
    </row>
    <row r="3521" ht="15.75" customHeight="1">
      <c r="A3521" s="19" t="s">
        <v>238</v>
      </c>
      <c r="B3521" s="19" t="s">
        <v>61</v>
      </c>
      <c r="C3521" s="20" t="s">
        <v>90</v>
      </c>
      <c r="D3521" s="14" t="str">
        <f>VLOOKUP(C3521,'State Key'!$A$2:$B$210,2,False)</f>
        <v>Uttar Pradesh</v>
      </c>
      <c r="E3521" s="21">
        <v>1200.0</v>
      </c>
      <c r="F3521" s="22">
        <v>409.797</v>
      </c>
      <c r="G3521" s="22">
        <v>0.0</v>
      </c>
      <c r="H3521" s="22">
        <v>0.0</v>
      </c>
      <c r="I3521" s="22">
        <v>0.0</v>
      </c>
      <c r="J3521" s="22">
        <v>0.0</v>
      </c>
      <c r="K3521" s="22">
        <v>0.0</v>
      </c>
      <c r="L3521" s="22">
        <v>409.797</v>
      </c>
      <c r="M3521" s="22">
        <v>300.2</v>
      </c>
      <c r="N3521" s="22">
        <v>329.82</v>
      </c>
      <c r="O3521" s="24">
        <v>33.0</v>
      </c>
      <c r="P3521" s="18">
        <f t="shared" si="1"/>
        <v>409.797</v>
      </c>
    </row>
    <row r="3522" ht="15.75" customHeight="1">
      <c r="A3522" s="13" t="s">
        <v>238</v>
      </c>
      <c r="B3522" s="13" t="s">
        <v>61</v>
      </c>
      <c r="C3522" s="14" t="s">
        <v>219</v>
      </c>
      <c r="D3522" s="14" t="str">
        <f>VLOOKUP(C3522,'State Key'!$A$2:$B$210,2,False)</f>
        <v>Rajasthan</v>
      </c>
      <c r="E3522" s="15">
        <v>300.0</v>
      </c>
      <c r="F3522" s="16">
        <v>0.0</v>
      </c>
      <c r="G3522" s="16">
        <v>0.0</v>
      </c>
      <c r="H3522" s="16">
        <v>0.0</v>
      </c>
      <c r="I3522" s="16">
        <v>0.0</v>
      </c>
      <c r="J3522" s="16">
        <v>4.0</v>
      </c>
      <c r="K3522" s="16">
        <v>0.0</v>
      </c>
      <c r="L3522" s="16">
        <v>4.0</v>
      </c>
      <c r="M3522" s="16">
        <v>4.0</v>
      </c>
      <c r="N3522" s="16">
        <v>0.0</v>
      </c>
      <c r="O3522" s="17">
        <v>0.0</v>
      </c>
      <c r="P3522" s="18">
        <f t="shared" si="1"/>
        <v>4</v>
      </c>
    </row>
    <row r="3523" ht="15.75" customHeight="1">
      <c r="A3523" s="19" t="s">
        <v>238</v>
      </c>
      <c r="B3523" s="19" t="s">
        <v>61</v>
      </c>
      <c r="C3523" s="20" t="s">
        <v>91</v>
      </c>
      <c r="D3523" s="14" t="str">
        <f>VLOOKUP(C3523,'State Key'!$A$2:$B$210,2,False)</f>
        <v>Uttar Pradesh</v>
      </c>
      <c r="E3523" s="21">
        <v>2000.0</v>
      </c>
      <c r="F3523" s="22">
        <v>981.71</v>
      </c>
      <c r="G3523" s="22">
        <v>0.0</v>
      </c>
      <c r="H3523" s="22">
        <v>0.0</v>
      </c>
      <c r="I3523" s="22">
        <v>0.0</v>
      </c>
      <c r="J3523" s="22">
        <v>0.0</v>
      </c>
      <c r="K3523" s="22">
        <v>0.0</v>
      </c>
      <c r="L3523" s="22">
        <v>981.71</v>
      </c>
      <c r="M3523" s="22">
        <v>870.798</v>
      </c>
      <c r="N3523" s="22">
        <v>323.37</v>
      </c>
      <c r="O3523" s="23">
        <v>11.1</v>
      </c>
      <c r="P3523" s="18">
        <f t="shared" si="1"/>
        <v>981.71</v>
      </c>
    </row>
    <row r="3524" ht="15.75" customHeight="1">
      <c r="A3524" s="13" t="s">
        <v>238</v>
      </c>
      <c r="B3524" s="13" t="s">
        <v>61</v>
      </c>
      <c r="C3524" s="14" t="s">
        <v>92</v>
      </c>
      <c r="D3524" s="14" t="str">
        <f>VLOOKUP(C3524,'State Key'!$A$2:$B$210,2,False)</f>
        <v>Rajasthan</v>
      </c>
      <c r="E3524" s="15">
        <v>1320.0</v>
      </c>
      <c r="F3524" s="16">
        <v>212.72903</v>
      </c>
      <c r="G3524" s="16">
        <v>0.0</v>
      </c>
      <c r="H3524" s="16">
        <v>244.70637</v>
      </c>
      <c r="I3524" s="16">
        <v>0.0</v>
      </c>
      <c r="J3524" s="16">
        <v>0.0</v>
      </c>
      <c r="K3524" s="16">
        <v>0.0</v>
      </c>
      <c r="L3524" s="16">
        <v>457.4354</v>
      </c>
      <c r="M3524" s="16">
        <v>404.178</v>
      </c>
      <c r="N3524" s="16">
        <v>156.62</v>
      </c>
      <c r="O3524" s="23">
        <v>11.6</v>
      </c>
      <c r="P3524" s="18">
        <f t="shared" si="1"/>
        <v>457.4354</v>
      </c>
    </row>
    <row r="3525" ht="15.75" customHeight="1">
      <c r="A3525" s="19" t="s">
        <v>238</v>
      </c>
      <c r="B3525" s="19" t="s">
        <v>61</v>
      </c>
      <c r="C3525" s="20" t="s">
        <v>93</v>
      </c>
      <c r="D3525" s="14" t="str">
        <f>VLOOKUP(C3525,'State Key'!$A$2:$B$210,2,False)</f>
        <v>Rajasthan</v>
      </c>
      <c r="E3525" s="21">
        <v>1500.0</v>
      </c>
      <c r="F3525" s="22">
        <v>462.54</v>
      </c>
      <c r="G3525" s="22">
        <v>0.0</v>
      </c>
      <c r="H3525" s="22">
        <v>0.0</v>
      </c>
      <c r="I3525" s="22">
        <v>0.0</v>
      </c>
      <c r="J3525" s="22">
        <v>0.0</v>
      </c>
      <c r="K3525" s="22">
        <v>0.0</v>
      </c>
      <c r="L3525" s="22">
        <v>462.54</v>
      </c>
      <c r="M3525" s="22">
        <v>401.8649</v>
      </c>
      <c r="N3525" s="22">
        <v>256.63</v>
      </c>
      <c r="O3525" s="24">
        <v>19.2</v>
      </c>
      <c r="P3525" s="18">
        <f t="shared" si="1"/>
        <v>462.54</v>
      </c>
    </row>
    <row r="3526" ht="15.75" customHeight="1">
      <c r="A3526" s="13" t="s">
        <v>238</v>
      </c>
      <c r="B3526" s="13" t="s">
        <v>61</v>
      </c>
      <c r="C3526" s="14" t="s">
        <v>94</v>
      </c>
      <c r="D3526" s="14" t="str">
        <f>VLOOKUP(C3526,'State Key'!$A$2:$B$210,2,False)</f>
        <v>Punjab</v>
      </c>
      <c r="E3526" s="15">
        <v>1980.0</v>
      </c>
      <c r="F3526" s="16">
        <v>449.505</v>
      </c>
      <c r="G3526" s="16">
        <v>0.0</v>
      </c>
      <c r="H3526" s="16">
        <v>0.0</v>
      </c>
      <c r="I3526" s="16">
        <v>0.0</v>
      </c>
      <c r="J3526" s="16">
        <v>0.0</v>
      </c>
      <c r="K3526" s="16">
        <v>0.0</v>
      </c>
      <c r="L3526" s="16">
        <v>449.505</v>
      </c>
      <c r="M3526" s="16">
        <v>425.021</v>
      </c>
      <c r="N3526" s="16">
        <v>260.87</v>
      </c>
      <c r="O3526" s="24">
        <v>18.4</v>
      </c>
      <c r="P3526" s="18">
        <f t="shared" si="1"/>
        <v>449.505</v>
      </c>
    </row>
    <row r="3527" ht="15.75" customHeight="1">
      <c r="A3527" s="19" t="s">
        <v>238</v>
      </c>
      <c r="B3527" s="19" t="s">
        <v>61</v>
      </c>
      <c r="C3527" s="20" t="s">
        <v>95</v>
      </c>
      <c r="D3527" s="14" t="str">
        <f>VLOOKUP(C3527,'State Key'!$A$2:$B$210,2,False)</f>
        <v>Uttar Pradesh</v>
      </c>
      <c r="E3527" s="21">
        <v>1760.0</v>
      </c>
      <c r="F3527" s="22">
        <v>152.46</v>
      </c>
      <c r="G3527" s="22">
        <v>0.0</v>
      </c>
      <c r="H3527" s="22">
        <v>355.34</v>
      </c>
      <c r="I3527" s="22">
        <v>0.0</v>
      </c>
      <c r="J3527" s="22">
        <v>0.0</v>
      </c>
      <c r="K3527" s="22">
        <v>0.0</v>
      </c>
      <c r="L3527" s="22">
        <v>507.8</v>
      </c>
      <c r="M3527" s="22">
        <v>440.373</v>
      </c>
      <c r="N3527" s="22">
        <v>341.87</v>
      </c>
      <c r="O3527" s="24">
        <v>23.3</v>
      </c>
      <c r="P3527" s="18">
        <f t="shared" si="1"/>
        <v>507.8</v>
      </c>
    </row>
    <row r="3528" ht="15.75" customHeight="1">
      <c r="A3528" s="13" t="s">
        <v>238</v>
      </c>
      <c r="B3528" s="13" t="s">
        <v>61</v>
      </c>
      <c r="C3528" s="14" t="s">
        <v>96</v>
      </c>
      <c r="D3528" s="14" t="str">
        <f>VLOOKUP(C3528,'State Key'!$A$2:$B$210,2,False)</f>
        <v>Uttar Pradesh</v>
      </c>
      <c r="E3528" s="15">
        <v>1550.0</v>
      </c>
      <c r="F3528" s="16">
        <v>493.64</v>
      </c>
      <c r="G3528" s="16">
        <v>4.12</v>
      </c>
      <c r="H3528" s="16">
        <v>198.3</v>
      </c>
      <c r="I3528" s="16">
        <v>0.0</v>
      </c>
      <c r="J3528" s="16">
        <v>0.0</v>
      </c>
      <c r="K3528" s="16">
        <v>0.0</v>
      </c>
      <c r="L3528" s="16">
        <v>696.06</v>
      </c>
      <c r="M3528" s="16">
        <v>522.973</v>
      </c>
      <c r="N3528" s="16">
        <v>321.59</v>
      </c>
      <c r="O3528" s="24">
        <v>18.4</v>
      </c>
      <c r="P3528" s="18">
        <f t="shared" si="1"/>
        <v>696.06</v>
      </c>
    </row>
    <row r="3529" ht="15.75" customHeight="1">
      <c r="A3529" s="19" t="s">
        <v>238</v>
      </c>
      <c r="B3529" s="19" t="s">
        <v>61</v>
      </c>
      <c r="C3529" s="20" t="s">
        <v>97</v>
      </c>
      <c r="D3529" s="14" t="str">
        <f>VLOOKUP(C3529,'State Key'!$A$2:$B$210,2,False)</f>
        <v>Uttar Pradesh</v>
      </c>
      <c r="E3529" s="21">
        <v>90.0</v>
      </c>
      <c r="F3529" s="22">
        <v>31.925</v>
      </c>
      <c r="G3529" s="22">
        <v>0.0</v>
      </c>
      <c r="H3529" s="22">
        <v>0.0</v>
      </c>
      <c r="I3529" s="22">
        <v>0.0</v>
      </c>
      <c r="J3529" s="22">
        <v>0.0</v>
      </c>
      <c r="K3529" s="22">
        <v>0.0</v>
      </c>
      <c r="L3529" s="22">
        <v>31.925</v>
      </c>
      <c r="M3529" s="22">
        <v>17.423</v>
      </c>
      <c r="N3529" s="22">
        <v>37.28</v>
      </c>
      <c r="O3529" s="24">
        <v>64.2</v>
      </c>
      <c r="P3529" s="18">
        <f t="shared" si="1"/>
        <v>31.925</v>
      </c>
    </row>
    <row r="3530" ht="15.75" customHeight="1">
      <c r="A3530" s="13" t="s">
        <v>238</v>
      </c>
      <c r="B3530" s="13" t="s">
        <v>61</v>
      </c>
      <c r="C3530" s="14" t="s">
        <v>98</v>
      </c>
      <c r="D3530" s="14" t="str">
        <f>VLOOKUP(C3530,'State Key'!$A$2:$B$210,2,False)</f>
        <v>Haryana</v>
      </c>
      <c r="E3530" s="15">
        <v>600.0</v>
      </c>
      <c r="F3530" s="16">
        <v>278.811</v>
      </c>
      <c r="G3530" s="16">
        <v>0.0</v>
      </c>
      <c r="H3530" s="16">
        <v>0.0</v>
      </c>
      <c r="I3530" s="16">
        <v>0.0</v>
      </c>
      <c r="J3530" s="16">
        <v>0.0</v>
      </c>
      <c r="K3530" s="16">
        <v>0.0</v>
      </c>
      <c r="L3530" s="16">
        <v>278.811</v>
      </c>
      <c r="M3530" s="16">
        <v>106.675</v>
      </c>
      <c r="N3530" s="16">
        <v>288.8</v>
      </c>
      <c r="O3530" s="24">
        <v>81.2</v>
      </c>
      <c r="P3530" s="18">
        <f t="shared" si="1"/>
        <v>278.811</v>
      </c>
    </row>
    <row r="3531" ht="15.75" customHeight="1">
      <c r="A3531" s="19" t="s">
        <v>238</v>
      </c>
      <c r="B3531" s="19" t="s">
        <v>99</v>
      </c>
      <c r="C3531" s="20" t="s">
        <v>230</v>
      </c>
      <c r="D3531" s="14" t="str">
        <f>VLOOKUP(C3531,'State Key'!$A$2:$B$210,2,False)</f>
        <v>Karnataka</v>
      </c>
      <c r="E3531" s="21">
        <v>1200.0</v>
      </c>
      <c r="F3531" s="22">
        <v>0.0</v>
      </c>
      <c r="G3531" s="22">
        <v>0.0</v>
      </c>
      <c r="H3531" s="22">
        <v>0.0</v>
      </c>
      <c r="I3531" s="22">
        <v>0.0</v>
      </c>
      <c r="J3531" s="22">
        <v>0.003</v>
      </c>
      <c r="K3531" s="22">
        <v>0.0</v>
      </c>
      <c r="L3531" s="22">
        <v>0.003</v>
      </c>
      <c r="M3531" s="22">
        <v>193.751</v>
      </c>
      <c r="N3531" s="22">
        <v>262.94</v>
      </c>
      <c r="O3531" s="24">
        <v>40.7</v>
      </c>
      <c r="P3531" s="18">
        <f t="shared" si="1"/>
        <v>0.003</v>
      </c>
    </row>
    <row r="3532" ht="15.75" customHeight="1">
      <c r="A3532" s="13" t="s">
        <v>238</v>
      </c>
      <c r="B3532" s="13" t="s">
        <v>99</v>
      </c>
      <c r="C3532" s="14" t="s">
        <v>100</v>
      </c>
      <c r="D3532" s="14" t="str">
        <f>VLOOKUP(C3532,'State Key'!$A$2:$B$210,2,False)</f>
        <v>Karnataka</v>
      </c>
      <c r="E3532" s="15">
        <v>1700.0</v>
      </c>
      <c r="F3532" s="16">
        <v>104.55963</v>
      </c>
      <c r="G3532" s="16">
        <v>133.67791</v>
      </c>
      <c r="H3532" s="16">
        <v>353.64926</v>
      </c>
      <c r="I3532" s="16">
        <v>0.0</v>
      </c>
      <c r="J3532" s="16">
        <v>0.0</v>
      </c>
      <c r="K3532" s="16">
        <v>0.0</v>
      </c>
      <c r="L3532" s="16">
        <v>591.8868</v>
      </c>
      <c r="M3532" s="16">
        <v>531.48</v>
      </c>
      <c r="N3532" s="16">
        <v>383.8438</v>
      </c>
      <c r="O3532" s="24">
        <v>21.7</v>
      </c>
      <c r="P3532" s="18">
        <f t="shared" si="1"/>
        <v>591.8868</v>
      </c>
    </row>
    <row r="3533" ht="15.75" customHeight="1">
      <c r="A3533" s="19" t="s">
        <v>238</v>
      </c>
      <c r="B3533" s="19" t="s">
        <v>99</v>
      </c>
      <c r="C3533" s="20" t="s">
        <v>101</v>
      </c>
      <c r="D3533" s="14" t="str">
        <f>VLOOKUP(C3533,'State Key'!$A$2:$B$210,2,False)</f>
        <v>Telangana</v>
      </c>
      <c r="E3533" s="21">
        <v>1080.0</v>
      </c>
      <c r="F3533" s="22">
        <v>0.0</v>
      </c>
      <c r="G3533" s="22">
        <v>268.97</v>
      </c>
      <c r="H3533" s="22">
        <v>0.0</v>
      </c>
      <c r="I3533" s="22">
        <v>0.0</v>
      </c>
      <c r="J3533" s="22">
        <v>0.0</v>
      </c>
      <c r="K3533" s="22">
        <v>0.0</v>
      </c>
      <c r="L3533" s="22">
        <v>268.97</v>
      </c>
      <c r="M3533" s="22">
        <v>180.614</v>
      </c>
      <c r="N3533" s="22">
        <v>310.583</v>
      </c>
      <c r="O3533" s="24">
        <v>51.6</v>
      </c>
      <c r="P3533" s="18">
        <f t="shared" si="1"/>
        <v>268.97</v>
      </c>
    </row>
    <row r="3534" ht="15.75" customHeight="1">
      <c r="A3534" s="13" t="s">
        <v>238</v>
      </c>
      <c r="B3534" s="13" t="s">
        <v>99</v>
      </c>
      <c r="C3534" s="14" t="s">
        <v>102</v>
      </c>
      <c r="D3534" s="14" t="str">
        <f>VLOOKUP(C3534,'State Key'!$A$2:$B$210,2,False)</f>
        <v>Andhra Pradesh</v>
      </c>
      <c r="E3534" s="15">
        <v>2400.0</v>
      </c>
      <c r="F3534" s="16">
        <v>514.32158</v>
      </c>
      <c r="G3534" s="16">
        <v>0.0</v>
      </c>
      <c r="H3534" s="16">
        <v>0.0</v>
      </c>
      <c r="I3534" s="16">
        <v>0.0</v>
      </c>
      <c r="J3534" s="16">
        <v>0.0</v>
      </c>
      <c r="K3534" s="16">
        <v>0.0</v>
      </c>
      <c r="L3534" s="16">
        <v>514.32158</v>
      </c>
      <c r="M3534" s="16">
        <v>505.513</v>
      </c>
      <c r="N3534" s="16">
        <v>127.78</v>
      </c>
      <c r="O3534" s="23">
        <v>7.6</v>
      </c>
      <c r="P3534" s="18">
        <f t="shared" si="1"/>
        <v>514.32158</v>
      </c>
    </row>
    <row r="3535" ht="15.75" customHeight="1">
      <c r="A3535" s="19" t="s">
        <v>238</v>
      </c>
      <c r="B3535" s="19" t="s">
        <v>99</v>
      </c>
      <c r="C3535" s="20" t="s">
        <v>103</v>
      </c>
      <c r="D3535" s="14" t="str">
        <f>VLOOKUP(C3535,'State Key'!$A$2:$B$210,2,False)</f>
        <v>Andhra Pradesh</v>
      </c>
      <c r="E3535" s="21">
        <v>2560.0</v>
      </c>
      <c r="F3535" s="22">
        <v>810.303</v>
      </c>
      <c r="G3535" s="22">
        <v>178.69</v>
      </c>
      <c r="H3535" s="22">
        <v>0.0</v>
      </c>
      <c r="I3535" s="22">
        <v>0.0</v>
      </c>
      <c r="J3535" s="22">
        <v>0.0</v>
      </c>
      <c r="K3535" s="22">
        <v>0.0</v>
      </c>
      <c r="L3535" s="22">
        <v>988.993</v>
      </c>
      <c r="M3535" s="22">
        <v>1022.849</v>
      </c>
      <c r="N3535" s="22">
        <v>208.7</v>
      </c>
      <c r="O3535" s="17">
        <v>6.1</v>
      </c>
      <c r="P3535" s="18">
        <f t="shared" si="1"/>
        <v>988.993</v>
      </c>
    </row>
    <row r="3536" ht="15.75" customHeight="1">
      <c r="A3536" s="13" t="s">
        <v>238</v>
      </c>
      <c r="B3536" s="13" t="s">
        <v>99</v>
      </c>
      <c r="C3536" s="14" t="s">
        <v>104</v>
      </c>
      <c r="D3536" s="14" t="str">
        <f>VLOOKUP(C3536,'State Key'!$A$2:$B$210,2,False)</f>
        <v>Tamil Nadu</v>
      </c>
      <c r="E3536" s="15">
        <v>1200.0</v>
      </c>
      <c r="F3536" s="16">
        <v>0.0</v>
      </c>
      <c r="G3536" s="16">
        <v>0.0</v>
      </c>
      <c r="H3536" s="16">
        <v>0.0</v>
      </c>
      <c r="I3536" s="16">
        <v>0.0</v>
      </c>
      <c r="J3536" s="16">
        <v>316.585</v>
      </c>
      <c r="K3536" s="16">
        <v>0.0</v>
      </c>
      <c r="L3536" s="16">
        <v>316.585</v>
      </c>
      <c r="M3536" s="16">
        <v>212.561</v>
      </c>
      <c r="N3536" s="16">
        <v>576.51</v>
      </c>
      <c r="O3536" s="24">
        <v>81.4</v>
      </c>
      <c r="P3536" s="18">
        <f t="shared" si="1"/>
        <v>316.585</v>
      </c>
    </row>
    <row r="3537" ht="15.75" customHeight="1">
      <c r="A3537" s="19" t="s">
        <v>238</v>
      </c>
      <c r="B3537" s="19" t="s">
        <v>99</v>
      </c>
      <c r="C3537" s="20" t="s">
        <v>105</v>
      </c>
      <c r="D3537" s="14" t="str">
        <f>VLOOKUP(C3537,'State Key'!$A$2:$B$210,2,False)</f>
        <v>Telangana</v>
      </c>
      <c r="E3537" s="21">
        <v>1100.0</v>
      </c>
      <c r="F3537" s="22">
        <v>0.0</v>
      </c>
      <c r="G3537" s="22">
        <v>82.123</v>
      </c>
      <c r="H3537" s="22">
        <v>191.96</v>
      </c>
      <c r="I3537" s="22">
        <v>0.0</v>
      </c>
      <c r="J3537" s="22">
        <v>0.0</v>
      </c>
      <c r="K3537" s="22">
        <v>0.0</v>
      </c>
      <c r="L3537" s="22">
        <v>274.083</v>
      </c>
      <c r="M3537" s="22">
        <v>235.439</v>
      </c>
      <c r="N3537" s="22">
        <v>343.553</v>
      </c>
      <c r="O3537" s="24">
        <v>43.8</v>
      </c>
      <c r="P3537" s="18">
        <f t="shared" si="1"/>
        <v>274.083</v>
      </c>
    </row>
    <row r="3538" ht="15.75" customHeight="1">
      <c r="A3538" s="13" t="s">
        <v>238</v>
      </c>
      <c r="B3538" s="13" t="s">
        <v>99</v>
      </c>
      <c r="C3538" s="14" t="s">
        <v>106</v>
      </c>
      <c r="D3538" s="14" t="str">
        <f>VLOOKUP(C3538,'State Key'!$A$2:$B$210,2,False)</f>
        <v>Telangana</v>
      </c>
      <c r="E3538" s="15">
        <v>1000.0</v>
      </c>
      <c r="F3538" s="16">
        <v>0.0</v>
      </c>
      <c r="G3538" s="16">
        <v>467.654</v>
      </c>
      <c r="H3538" s="16">
        <v>0.0</v>
      </c>
      <c r="I3538" s="16">
        <v>0.0</v>
      </c>
      <c r="J3538" s="16">
        <v>0.0</v>
      </c>
      <c r="K3538" s="16">
        <v>0.0</v>
      </c>
      <c r="L3538" s="16">
        <v>467.654</v>
      </c>
      <c r="M3538" s="16">
        <v>371.27</v>
      </c>
      <c r="N3538" s="16">
        <v>357.415</v>
      </c>
      <c r="O3538" s="24">
        <v>28.9</v>
      </c>
      <c r="P3538" s="18">
        <f t="shared" si="1"/>
        <v>467.654</v>
      </c>
    </row>
    <row r="3539" ht="15.75" customHeight="1">
      <c r="A3539" s="19" t="s">
        <v>238</v>
      </c>
      <c r="B3539" s="19" t="s">
        <v>99</v>
      </c>
      <c r="C3539" s="20" t="s">
        <v>107</v>
      </c>
      <c r="D3539" s="14" t="str">
        <f>VLOOKUP(C3539,'State Key'!$A$2:$B$210,2,False)</f>
        <v>Telangana</v>
      </c>
      <c r="E3539" s="21">
        <v>800.0</v>
      </c>
      <c r="F3539" s="22">
        <v>0.0</v>
      </c>
      <c r="G3539" s="22">
        <v>262.358</v>
      </c>
      <c r="H3539" s="22">
        <v>0.0</v>
      </c>
      <c r="I3539" s="22">
        <v>0.0</v>
      </c>
      <c r="J3539" s="22">
        <v>0.0</v>
      </c>
      <c r="K3539" s="22">
        <v>0.0</v>
      </c>
      <c r="L3539" s="22">
        <v>262.358</v>
      </c>
      <c r="M3539" s="22">
        <v>228.646</v>
      </c>
      <c r="N3539" s="22">
        <v>137.057</v>
      </c>
      <c r="O3539" s="24">
        <v>18.0</v>
      </c>
      <c r="P3539" s="18">
        <f t="shared" si="1"/>
        <v>262.358</v>
      </c>
    </row>
    <row r="3540" ht="15.75" customHeight="1">
      <c r="A3540" s="13" t="s">
        <v>238</v>
      </c>
      <c r="B3540" s="13" t="s">
        <v>99</v>
      </c>
      <c r="C3540" s="14" t="s">
        <v>108</v>
      </c>
      <c r="D3540" s="14" t="str">
        <f>VLOOKUP(C3540,'State Key'!$A$2:$B$210,2,False)</f>
        <v>Karnataka</v>
      </c>
      <c r="E3540" s="15">
        <v>2400.0</v>
      </c>
      <c r="F3540" s="16">
        <v>433.65</v>
      </c>
      <c r="G3540" s="16">
        <v>183.05</v>
      </c>
      <c r="H3540" s="16">
        <v>124.68</v>
      </c>
      <c r="I3540" s="16">
        <v>0.0</v>
      </c>
      <c r="J3540" s="16">
        <v>0.0</v>
      </c>
      <c r="K3540" s="16">
        <v>0.0</v>
      </c>
      <c r="L3540" s="16">
        <v>741.38</v>
      </c>
      <c r="M3540" s="16">
        <v>602.156</v>
      </c>
      <c r="N3540" s="16">
        <v>500.07</v>
      </c>
      <c r="O3540" s="24">
        <v>24.9</v>
      </c>
      <c r="P3540" s="18">
        <f t="shared" si="1"/>
        <v>741.38</v>
      </c>
    </row>
    <row r="3541" ht="15.75" customHeight="1">
      <c r="A3541" s="19" t="s">
        <v>238</v>
      </c>
      <c r="B3541" s="19" t="s">
        <v>99</v>
      </c>
      <c r="C3541" s="20" t="s">
        <v>231</v>
      </c>
      <c r="D3541" s="14" t="str">
        <f>VLOOKUP(C3541,'State Key'!$A$2:$B$210,2,False)</f>
        <v>Karnataka</v>
      </c>
      <c r="E3541" s="21">
        <v>1200.0</v>
      </c>
      <c r="F3541" s="22">
        <v>0.0</v>
      </c>
      <c r="G3541" s="22">
        <v>0.0</v>
      </c>
      <c r="H3541" s="22">
        <v>0.0</v>
      </c>
      <c r="I3541" s="22">
        <v>0.0</v>
      </c>
      <c r="J3541" s="22">
        <v>0.003</v>
      </c>
      <c r="K3541" s="22">
        <v>0.0</v>
      </c>
      <c r="L3541" s="22">
        <v>0.003</v>
      </c>
      <c r="M3541" s="22">
        <v>193.751</v>
      </c>
      <c r="N3541" s="22">
        <v>262.94</v>
      </c>
      <c r="O3541" s="24">
        <v>40.7</v>
      </c>
      <c r="P3541" s="18">
        <f t="shared" si="1"/>
        <v>0.003</v>
      </c>
    </row>
    <row r="3542" ht="15.75" customHeight="1">
      <c r="A3542" s="13" t="s">
        <v>238</v>
      </c>
      <c r="B3542" s="13" t="s">
        <v>99</v>
      </c>
      <c r="C3542" s="14" t="s">
        <v>109</v>
      </c>
      <c r="D3542" s="14" t="str">
        <f>VLOOKUP(C3542,'State Key'!$A$2:$B$210,2,False)</f>
        <v>Tamil Nadu</v>
      </c>
      <c r="E3542" s="15">
        <v>840.0</v>
      </c>
      <c r="F3542" s="16">
        <v>314.105</v>
      </c>
      <c r="G3542" s="16">
        <v>49.7198</v>
      </c>
      <c r="H3542" s="16">
        <v>0.0</v>
      </c>
      <c r="I3542" s="16">
        <v>0.0</v>
      </c>
      <c r="J3542" s="16">
        <v>0.0</v>
      </c>
      <c r="K3542" s="16">
        <v>0.0</v>
      </c>
      <c r="L3542" s="16">
        <v>363.8248</v>
      </c>
      <c r="M3542" s="16">
        <v>346.0418</v>
      </c>
      <c r="N3542" s="16">
        <v>175.23</v>
      </c>
      <c r="O3542" s="24">
        <v>15.2</v>
      </c>
      <c r="P3542" s="18">
        <f t="shared" si="1"/>
        <v>363.8248</v>
      </c>
    </row>
    <row r="3543" ht="15.75" customHeight="1">
      <c r="A3543" s="19" t="s">
        <v>238</v>
      </c>
      <c r="B3543" s="19" t="s">
        <v>99</v>
      </c>
      <c r="C3543" s="20" t="s">
        <v>110</v>
      </c>
      <c r="D3543" s="14" t="str">
        <f>VLOOKUP(C3543,'State Key'!$A$2:$B$210,2,False)</f>
        <v>Tamil Nadu</v>
      </c>
      <c r="E3543" s="21">
        <v>600.0</v>
      </c>
      <c r="F3543" s="22">
        <v>243.82</v>
      </c>
      <c r="G3543" s="22">
        <v>19.1</v>
      </c>
      <c r="H3543" s="22">
        <v>0.0</v>
      </c>
      <c r="I3543" s="22">
        <v>0.0</v>
      </c>
      <c r="J3543" s="22">
        <v>0.0</v>
      </c>
      <c r="K3543" s="22">
        <v>0.0</v>
      </c>
      <c r="L3543" s="22">
        <v>262.92</v>
      </c>
      <c r="M3543" s="22">
        <v>2.5601</v>
      </c>
      <c r="N3543" s="22">
        <v>486.64</v>
      </c>
      <c r="O3543" s="24">
        <v>5702.6</v>
      </c>
      <c r="P3543" s="18">
        <f t="shared" si="1"/>
        <v>262.92</v>
      </c>
    </row>
    <row r="3544" ht="15.75" customHeight="1">
      <c r="A3544" s="13" t="s">
        <v>238</v>
      </c>
      <c r="B3544" s="13" t="s">
        <v>99</v>
      </c>
      <c r="C3544" s="14" t="s">
        <v>111</v>
      </c>
      <c r="D3544" s="14" t="str">
        <f>VLOOKUP(C3544,'State Key'!$A$2:$B$210,2,False)</f>
        <v>Tamil Nadu</v>
      </c>
      <c r="E3544" s="15">
        <v>1200.0</v>
      </c>
      <c r="F3544" s="16">
        <v>0.0</v>
      </c>
      <c r="G3544" s="16">
        <v>0.0</v>
      </c>
      <c r="H3544" s="16">
        <v>0.0</v>
      </c>
      <c r="I3544" s="16">
        <v>0.0</v>
      </c>
      <c r="J3544" s="16">
        <v>157.263</v>
      </c>
      <c r="K3544" s="16">
        <v>0.0</v>
      </c>
      <c r="L3544" s="16">
        <v>157.263</v>
      </c>
      <c r="M3544" s="16">
        <v>182.606</v>
      </c>
      <c r="N3544" s="16">
        <v>219.57</v>
      </c>
      <c r="O3544" s="24">
        <v>36.1</v>
      </c>
      <c r="P3544" s="18">
        <f t="shared" si="1"/>
        <v>157.263</v>
      </c>
    </row>
    <row r="3545" ht="15.75" customHeight="1">
      <c r="A3545" s="19" t="s">
        <v>238</v>
      </c>
      <c r="B3545" s="19" t="s">
        <v>99</v>
      </c>
      <c r="C3545" s="20" t="s">
        <v>112</v>
      </c>
      <c r="D3545" s="14" t="str">
        <f>VLOOKUP(C3545,'State Key'!$A$2:$B$210,2,False)</f>
        <v>Tamil Nadu</v>
      </c>
      <c r="E3545" s="21">
        <v>1830.0</v>
      </c>
      <c r="F3545" s="22">
        <v>509.511</v>
      </c>
      <c r="G3545" s="22">
        <v>0.0</v>
      </c>
      <c r="H3545" s="22">
        <v>0.0</v>
      </c>
      <c r="I3545" s="22">
        <v>0.0</v>
      </c>
      <c r="J3545" s="22">
        <v>0.0</v>
      </c>
      <c r="K3545" s="22">
        <v>0.0</v>
      </c>
      <c r="L3545" s="22">
        <v>509.511</v>
      </c>
      <c r="M3545" s="22">
        <v>598.744</v>
      </c>
      <c r="N3545" s="22">
        <v>567.457</v>
      </c>
      <c r="O3545" s="24">
        <v>28.4</v>
      </c>
      <c r="P3545" s="18">
        <f t="shared" si="1"/>
        <v>509.511</v>
      </c>
    </row>
    <row r="3546" ht="15.75" customHeight="1">
      <c r="A3546" s="13" t="s">
        <v>238</v>
      </c>
      <c r="B3546" s="13" t="s">
        <v>99</v>
      </c>
      <c r="C3546" s="14" t="s">
        <v>113</v>
      </c>
      <c r="D3546" s="14" t="str">
        <f>VLOOKUP(C3546,'State Key'!$A$2:$B$210,2,False)</f>
        <v>Tamil Nadu</v>
      </c>
      <c r="E3546" s="15">
        <v>1000.0</v>
      </c>
      <c r="F3546" s="16">
        <v>0.0</v>
      </c>
      <c r="G3546" s="16">
        <v>0.0</v>
      </c>
      <c r="H3546" s="16">
        <v>299.365</v>
      </c>
      <c r="I3546" s="16">
        <v>0.0</v>
      </c>
      <c r="J3546" s="16">
        <v>147.629</v>
      </c>
      <c r="K3546" s="16">
        <v>0.0</v>
      </c>
      <c r="L3546" s="16">
        <v>446.994</v>
      </c>
      <c r="M3546" s="16">
        <v>295.221</v>
      </c>
      <c r="N3546" s="16">
        <v>319.27</v>
      </c>
      <c r="O3546" s="24">
        <v>32.4</v>
      </c>
      <c r="P3546" s="18">
        <f t="shared" si="1"/>
        <v>446.994</v>
      </c>
    </row>
    <row r="3547" ht="15.75" customHeight="1">
      <c r="A3547" s="19" t="s">
        <v>238</v>
      </c>
      <c r="B3547" s="19" t="s">
        <v>99</v>
      </c>
      <c r="C3547" s="20" t="s">
        <v>228</v>
      </c>
      <c r="D3547" s="14" t="str">
        <f>VLOOKUP(C3547,'State Key'!$A$2:$B$210,2,False)</f>
        <v>Tamil Nadu</v>
      </c>
      <c r="E3547" s="21">
        <v>414.0</v>
      </c>
      <c r="F3547" s="22">
        <v>0.0</v>
      </c>
      <c r="G3547" s="22">
        <v>0.0</v>
      </c>
      <c r="H3547" s="22">
        <v>0.0</v>
      </c>
      <c r="I3547" s="22">
        <v>0.0</v>
      </c>
      <c r="J3547" s="22">
        <v>65.46391</v>
      </c>
      <c r="K3547" s="22">
        <v>0.0</v>
      </c>
      <c r="L3547" s="22">
        <v>65.46391</v>
      </c>
      <c r="M3547" s="22">
        <v>31.377</v>
      </c>
      <c r="N3547" s="22">
        <v>141.21</v>
      </c>
      <c r="O3547" s="24">
        <v>135.0</v>
      </c>
      <c r="P3547" s="18">
        <f t="shared" si="1"/>
        <v>65.46391</v>
      </c>
    </row>
    <row r="3548" ht="15.75" customHeight="1">
      <c r="A3548" s="13" t="s">
        <v>238</v>
      </c>
      <c r="B3548" s="13" t="s">
        <v>99</v>
      </c>
      <c r="C3548" s="14" t="s">
        <v>114</v>
      </c>
      <c r="D3548" s="14" t="str">
        <f>VLOOKUP(C3548,'State Key'!$A$2:$B$210,2,False)</f>
        <v>Andhra Pradesh</v>
      </c>
      <c r="E3548" s="15">
        <v>1320.0</v>
      </c>
      <c r="F3548" s="16">
        <v>142.827</v>
      </c>
      <c r="G3548" s="16">
        <v>0.0</v>
      </c>
      <c r="H3548" s="16">
        <v>0.0</v>
      </c>
      <c r="I3548" s="16">
        <v>0.0</v>
      </c>
      <c r="J3548" s="16">
        <v>164.945</v>
      </c>
      <c r="K3548" s="16">
        <v>0.0</v>
      </c>
      <c r="L3548" s="16">
        <v>307.772</v>
      </c>
      <c r="M3548" s="16">
        <v>361.205</v>
      </c>
      <c r="N3548" s="16">
        <v>306.67</v>
      </c>
      <c r="O3548" s="24">
        <v>25.5</v>
      </c>
      <c r="P3548" s="18">
        <f t="shared" si="1"/>
        <v>307.772</v>
      </c>
    </row>
    <row r="3549" ht="15.75" customHeight="1">
      <c r="A3549" s="19" t="s">
        <v>238</v>
      </c>
      <c r="B3549" s="19" t="s">
        <v>99</v>
      </c>
      <c r="C3549" s="20" t="s">
        <v>115</v>
      </c>
      <c r="D3549" s="14" t="str">
        <f>VLOOKUP(C3549,'State Key'!$A$2:$B$210,2,False)</f>
        <v>Karnataka</v>
      </c>
      <c r="E3549" s="21">
        <v>1720.0</v>
      </c>
      <c r="F3549" s="22">
        <v>214.103</v>
      </c>
      <c r="G3549" s="22">
        <v>248.75</v>
      </c>
      <c r="H3549" s="22">
        <v>0.0</v>
      </c>
      <c r="I3549" s="22">
        <v>0.0</v>
      </c>
      <c r="J3549" s="22">
        <v>0.0</v>
      </c>
      <c r="K3549" s="22">
        <v>0.0</v>
      </c>
      <c r="L3549" s="22">
        <v>462.853</v>
      </c>
      <c r="M3549" s="22">
        <v>487.871</v>
      </c>
      <c r="N3549" s="22">
        <v>402.08</v>
      </c>
      <c r="O3549" s="24">
        <v>24.7</v>
      </c>
      <c r="P3549" s="18">
        <f t="shared" si="1"/>
        <v>462.853</v>
      </c>
    </row>
    <row r="3550" ht="15.75" customHeight="1">
      <c r="A3550" s="13" t="s">
        <v>238</v>
      </c>
      <c r="B3550" s="13" t="s">
        <v>99</v>
      </c>
      <c r="C3550" s="14" t="s">
        <v>116</v>
      </c>
      <c r="D3550" s="14" t="str">
        <f>VLOOKUP(C3550,'State Key'!$A$2:$B$210,2,False)</f>
        <v>Telangana</v>
      </c>
      <c r="E3550" s="15">
        <v>2600.0</v>
      </c>
      <c r="F3550" s="16">
        <v>27.33</v>
      </c>
      <c r="G3550" s="16">
        <v>876.38</v>
      </c>
      <c r="H3550" s="16">
        <v>4.03</v>
      </c>
      <c r="I3550" s="16">
        <v>0.0</v>
      </c>
      <c r="J3550" s="16">
        <v>0.0</v>
      </c>
      <c r="K3550" s="16">
        <v>0.0</v>
      </c>
      <c r="L3550" s="16">
        <v>907.74</v>
      </c>
      <c r="M3550" s="16">
        <v>766.774</v>
      </c>
      <c r="N3550" s="16">
        <v>597.52</v>
      </c>
      <c r="O3550" s="24">
        <v>23.4</v>
      </c>
      <c r="P3550" s="18">
        <f t="shared" si="1"/>
        <v>907.74</v>
      </c>
    </row>
    <row r="3551" ht="15.75" customHeight="1">
      <c r="A3551" s="19" t="s">
        <v>238</v>
      </c>
      <c r="B3551" s="19" t="s">
        <v>99</v>
      </c>
      <c r="C3551" s="20" t="s">
        <v>117</v>
      </c>
      <c r="D3551" s="14" t="str">
        <f>VLOOKUP(C3551,'State Key'!$A$2:$B$210,2,False)</f>
        <v>Telangana</v>
      </c>
      <c r="E3551" s="21">
        <v>62.5</v>
      </c>
      <c r="F3551" s="22">
        <v>0.0</v>
      </c>
      <c r="G3551" s="22">
        <v>0.0</v>
      </c>
      <c r="H3551" s="22">
        <v>0.0</v>
      </c>
      <c r="I3551" s="22">
        <v>0.0</v>
      </c>
      <c r="J3551" s="22">
        <v>0.0</v>
      </c>
      <c r="K3551" s="22">
        <v>0.0</v>
      </c>
      <c r="L3551" s="22">
        <v>0.0</v>
      </c>
      <c r="M3551" s="22">
        <v>0.0</v>
      </c>
      <c r="N3551" s="22">
        <v>3.72</v>
      </c>
      <c r="O3551" s="19" t="s">
        <v>58</v>
      </c>
      <c r="P3551" s="18">
        <f t="shared" si="1"/>
        <v>0</v>
      </c>
    </row>
    <row r="3552" ht="15.75" customHeight="1">
      <c r="A3552" s="13" t="s">
        <v>238</v>
      </c>
      <c r="B3552" s="13" t="s">
        <v>99</v>
      </c>
      <c r="C3552" s="14" t="s">
        <v>118</v>
      </c>
      <c r="D3552" s="14" t="str">
        <f>VLOOKUP(C3552,'State Key'!$A$2:$B$210,2,False)</f>
        <v>Andhra Pradesh</v>
      </c>
      <c r="E3552" s="15">
        <v>1650.0</v>
      </c>
      <c r="F3552" s="16">
        <v>516.812</v>
      </c>
      <c r="G3552" s="16">
        <v>109.677</v>
      </c>
      <c r="H3552" s="16">
        <v>0.0</v>
      </c>
      <c r="I3552" s="16">
        <v>0.0</v>
      </c>
      <c r="J3552" s="16">
        <v>0.0</v>
      </c>
      <c r="K3552" s="16">
        <v>0.0</v>
      </c>
      <c r="L3552" s="16">
        <v>626.489</v>
      </c>
      <c r="M3552" s="16">
        <v>636.491</v>
      </c>
      <c r="N3552" s="16">
        <v>31.22</v>
      </c>
      <c r="O3552" s="17">
        <v>1.5</v>
      </c>
      <c r="P3552" s="18">
        <f t="shared" si="1"/>
        <v>626.489</v>
      </c>
    </row>
    <row r="3553" ht="15.75" customHeight="1">
      <c r="A3553" s="19" t="s">
        <v>238</v>
      </c>
      <c r="B3553" s="19" t="s">
        <v>99</v>
      </c>
      <c r="C3553" s="20" t="s">
        <v>119</v>
      </c>
      <c r="D3553" s="14" t="str">
        <f>VLOOKUP(C3553,'State Key'!$A$2:$B$210,2,False)</f>
        <v>Andhra Pradesh</v>
      </c>
      <c r="E3553" s="21">
        <v>1320.0</v>
      </c>
      <c r="F3553" s="22">
        <v>314.77</v>
      </c>
      <c r="G3553" s="22">
        <v>0.0</v>
      </c>
      <c r="H3553" s="22">
        <v>0.0</v>
      </c>
      <c r="I3553" s="22">
        <v>0.0</v>
      </c>
      <c r="J3553" s="22">
        <v>172.898</v>
      </c>
      <c r="K3553" s="22">
        <v>0.0</v>
      </c>
      <c r="L3553" s="22">
        <v>487.668</v>
      </c>
      <c r="M3553" s="22">
        <v>505.324</v>
      </c>
      <c r="N3553" s="22">
        <v>437.57</v>
      </c>
      <c r="O3553" s="24">
        <v>26.0</v>
      </c>
      <c r="P3553" s="18">
        <f t="shared" si="1"/>
        <v>487.668</v>
      </c>
    </row>
    <row r="3554" ht="15.75" customHeight="1">
      <c r="A3554" s="13" t="s">
        <v>238</v>
      </c>
      <c r="B3554" s="13" t="s">
        <v>99</v>
      </c>
      <c r="C3554" s="14" t="s">
        <v>120</v>
      </c>
      <c r="D3554" s="14" t="str">
        <f>VLOOKUP(C3554,'State Key'!$A$2:$B$210,2,False)</f>
        <v>Andhra Pradesh</v>
      </c>
      <c r="E3554" s="15">
        <v>2000.0</v>
      </c>
      <c r="F3554" s="16">
        <v>681.36</v>
      </c>
      <c r="G3554" s="16">
        <v>84.68</v>
      </c>
      <c r="H3554" s="16">
        <v>23.51</v>
      </c>
      <c r="I3554" s="16">
        <v>0.0</v>
      </c>
      <c r="J3554" s="16">
        <v>0.0</v>
      </c>
      <c r="K3554" s="16">
        <v>0.0</v>
      </c>
      <c r="L3554" s="16">
        <v>789.55</v>
      </c>
      <c r="M3554" s="16">
        <v>698.591</v>
      </c>
      <c r="N3554" s="16">
        <v>349.32</v>
      </c>
      <c r="O3554" s="24">
        <v>15.0</v>
      </c>
      <c r="P3554" s="18">
        <f t="shared" si="1"/>
        <v>789.55</v>
      </c>
    </row>
    <row r="3555" ht="15.75" customHeight="1">
      <c r="A3555" s="19" t="s">
        <v>238</v>
      </c>
      <c r="B3555" s="19" t="s">
        <v>99</v>
      </c>
      <c r="C3555" s="20" t="s">
        <v>121</v>
      </c>
      <c r="D3555" s="14" t="str">
        <f>VLOOKUP(C3555,'State Key'!$A$2:$B$210,2,False)</f>
        <v>Andhra Pradesh</v>
      </c>
      <c r="E3555" s="21">
        <v>600.0</v>
      </c>
      <c r="F3555" s="22">
        <v>0.0</v>
      </c>
      <c r="G3555" s="22">
        <v>0.0</v>
      </c>
      <c r="H3555" s="22">
        <v>0.0</v>
      </c>
      <c r="I3555" s="22">
        <v>0.0</v>
      </c>
      <c r="J3555" s="22">
        <v>153.568</v>
      </c>
      <c r="K3555" s="22">
        <v>0.0</v>
      </c>
      <c r="L3555" s="22">
        <v>153.568</v>
      </c>
      <c r="M3555" s="22">
        <v>63.766</v>
      </c>
      <c r="N3555" s="22">
        <v>394.72</v>
      </c>
      <c r="O3555" s="24">
        <v>185.7</v>
      </c>
      <c r="P3555" s="18">
        <f t="shared" si="1"/>
        <v>153.568</v>
      </c>
    </row>
    <row r="3556" ht="15.75" customHeight="1">
      <c r="A3556" s="13" t="s">
        <v>238</v>
      </c>
      <c r="B3556" s="13" t="s">
        <v>99</v>
      </c>
      <c r="C3556" s="14" t="s">
        <v>122</v>
      </c>
      <c r="D3556" s="14" t="str">
        <f>VLOOKUP(C3556,'State Key'!$A$2:$B$210,2,False)</f>
        <v>Telangana</v>
      </c>
      <c r="E3556" s="15">
        <v>1200.0</v>
      </c>
      <c r="F3556" s="16">
        <v>0.0</v>
      </c>
      <c r="G3556" s="16">
        <v>538.874</v>
      </c>
      <c r="H3556" s="16">
        <v>0.0</v>
      </c>
      <c r="I3556" s="16">
        <v>0.0</v>
      </c>
      <c r="J3556" s="16">
        <v>0.0</v>
      </c>
      <c r="K3556" s="16">
        <v>0.0</v>
      </c>
      <c r="L3556" s="16">
        <v>538.874</v>
      </c>
      <c r="M3556" s="16">
        <v>447.888</v>
      </c>
      <c r="N3556" s="16">
        <v>245.56</v>
      </c>
      <c r="O3556" s="24">
        <v>16.4</v>
      </c>
      <c r="P3556" s="18">
        <f t="shared" si="1"/>
        <v>538.874</v>
      </c>
    </row>
    <row r="3557" ht="15.75" customHeight="1">
      <c r="A3557" s="19" t="s">
        <v>238</v>
      </c>
      <c r="B3557" s="19" t="s">
        <v>99</v>
      </c>
      <c r="C3557" s="20" t="s">
        <v>220</v>
      </c>
      <c r="D3557" s="14" t="str">
        <f>VLOOKUP(C3557,'State Key'!$A$2:$B$210,2,False)</f>
        <v>Telangana</v>
      </c>
      <c r="E3557" s="21">
        <v>1600.0</v>
      </c>
      <c r="F3557" s="22">
        <v>102.23</v>
      </c>
      <c r="G3557" s="22">
        <v>537.24</v>
      </c>
      <c r="H3557" s="22">
        <v>23.86</v>
      </c>
      <c r="I3557" s="22">
        <v>0.0</v>
      </c>
      <c r="J3557" s="22">
        <v>0.0</v>
      </c>
      <c r="K3557" s="22">
        <v>0.0</v>
      </c>
      <c r="L3557" s="22">
        <v>663.33</v>
      </c>
      <c r="M3557" s="22">
        <v>591.502</v>
      </c>
      <c r="N3557" s="22">
        <v>351.489</v>
      </c>
      <c r="O3557" s="24">
        <v>17.8</v>
      </c>
      <c r="P3557" s="18">
        <f t="shared" si="1"/>
        <v>663.33</v>
      </c>
    </row>
    <row r="3558" ht="15.75" customHeight="1">
      <c r="A3558" s="13" t="s">
        <v>238</v>
      </c>
      <c r="B3558" s="13" t="s">
        <v>99</v>
      </c>
      <c r="C3558" s="14" t="s">
        <v>123</v>
      </c>
      <c r="D3558" s="14" t="str">
        <f>VLOOKUP(C3558,'State Key'!$A$2:$B$210,2,False)</f>
        <v>Andhra Pradesh</v>
      </c>
      <c r="E3558" s="15">
        <v>300.0</v>
      </c>
      <c r="F3558" s="16">
        <v>0.0</v>
      </c>
      <c r="G3558" s="16">
        <v>0.0</v>
      </c>
      <c r="H3558" s="16">
        <v>0.0</v>
      </c>
      <c r="I3558" s="16">
        <v>0.0</v>
      </c>
      <c r="J3558" s="16">
        <v>0.0</v>
      </c>
      <c r="K3558" s="16">
        <v>0.0</v>
      </c>
      <c r="L3558" s="16">
        <v>0.0</v>
      </c>
      <c r="M3558" s="16">
        <v>0.0</v>
      </c>
      <c r="N3558" s="16">
        <v>0.0</v>
      </c>
      <c r="O3558" s="13" t="s">
        <v>58</v>
      </c>
      <c r="P3558" s="18">
        <f t="shared" si="1"/>
        <v>0</v>
      </c>
    </row>
    <row r="3559" ht="15.75" customHeight="1">
      <c r="A3559" s="19" t="s">
        <v>238</v>
      </c>
      <c r="B3559" s="19" t="s">
        <v>99</v>
      </c>
      <c r="C3559" s="20" t="s">
        <v>124</v>
      </c>
      <c r="D3559" s="14" t="str">
        <f>VLOOKUP(C3559,'State Key'!$A$2:$B$210,2,False)</f>
        <v>Karnataka</v>
      </c>
      <c r="E3559" s="21">
        <v>260.0</v>
      </c>
      <c r="F3559" s="22">
        <v>0.0</v>
      </c>
      <c r="G3559" s="22">
        <v>0.0</v>
      </c>
      <c r="H3559" s="22">
        <v>0.0</v>
      </c>
      <c r="I3559" s="22">
        <v>0.0</v>
      </c>
      <c r="J3559" s="22">
        <v>29.39</v>
      </c>
      <c r="K3559" s="22">
        <v>0.0</v>
      </c>
      <c r="L3559" s="22">
        <v>29.39</v>
      </c>
      <c r="M3559" s="22">
        <v>29.39</v>
      </c>
      <c r="N3559" s="22">
        <v>0.0</v>
      </c>
      <c r="O3559" s="17">
        <v>0.0</v>
      </c>
      <c r="P3559" s="18">
        <f t="shared" si="1"/>
        <v>29.39</v>
      </c>
    </row>
    <row r="3560" ht="15.75" customHeight="1">
      <c r="A3560" s="13" t="s">
        <v>238</v>
      </c>
      <c r="B3560" s="13" t="s">
        <v>99</v>
      </c>
      <c r="C3560" s="14" t="s">
        <v>125</v>
      </c>
      <c r="D3560" s="14" t="str">
        <f>VLOOKUP(C3560,'State Key'!$A$2:$B$210,2,False)</f>
        <v>Karnataka</v>
      </c>
      <c r="E3560" s="15">
        <v>600.0</v>
      </c>
      <c r="F3560" s="16">
        <v>0.0</v>
      </c>
      <c r="G3560" s="16">
        <v>0.0</v>
      </c>
      <c r="H3560" s="16">
        <v>0.0</v>
      </c>
      <c r="I3560" s="16">
        <v>0.0</v>
      </c>
      <c r="J3560" s="16">
        <v>127.59</v>
      </c>
      <c r="K3560" s="16">
        <v>0.0</v>
      </c>
      <c r="L3560" s="16">
        <v>127.59</v>
      </c>
      <c r="M3560" s="16">
        <v>101.93</v>
      </c>
      <c r="N3560" s="16">
        <v>42.3</v>
      </c>
      <c r="O3560" s="23">
        <v>12.4</v>
      </c>
      <c r="P3560" s="18">
        <f t="shared" si="1"/>
        <v>127.59</v>
      </c>
    </row>
    <row r="3561" ht="15.75" customHeight="1">
      <c r="A3561" s="19" t="s">
        <v>238</v>
      </c>
      <c r="B3561" s="19" t="s">
        <v>99</v>
      </c>
      <c r="C3561" s="20" t="s">
        <v>126</v>
      </c>
      <c r="D3561" s="14" t="str">
        <f>VLOOKUP(C3561,'State Key'!$A$2:$B$210,2,False)</f>
        <v>Tamil Nadu</v>
      </c>
      <c r="E3561" s="21">
        <v>300.0</v>
      </c>
      <c r="F3561" s="22">
        <v>0.0</v>
      </c>
      <c r="G3561" s="22">
        <v>0.0</v>
      </c>
      <c r="H3561" s="22">
        <v>0.0</v>
      </c>
      <c r="I3561" s="22">
        <v>0.0</v>
      </c>
      <c r="J3561" s="22">
        <v>0.0</v>
      </c>
      <c r="K3561" s="22">
        <v>0.0</v>
      </c>
      <c r="L3561" s="22">
        <v>0.0</v>
      </c>
      <c r="M3561" s="22">
        <v>0.0</v>
      </c>
      <c r="N3561" s="22">
        <v>0.0</v>
      </c>
      <c r="O3561" s="19" t="s">
        <v>58</v>
      </c>
      <c r="P3561" s="18">
        <f t="shared" si="1"/>
        <v>0</v>
      </c>
    </row>
    <row r="3562" ht="15.75" customHeight="1">
      <c r="A3562" s="13" t="s">
        <v>238</v>
      </c>
      <c r="B3562" s="13" t="s">
        <v>99</v>
      </c>
      <c r="C3562" s="14" t="s">
        <v>127</v>
      </c>
      <c r="D3562" s="14" t="str">
        <f>VLOOKUP(C3562,'State Key'!$A$2:$B$210,2,False)</f>
        <v>Tamil Nadu</v>
      </c>
      <c r="E3562" s="15">
        <v>525.0</v>
      </c>
      <c r="F3562" s="16">
        <v>0.0</v>
      </c>
      <c r="G3562" s="16">
        <v>0.0</v>
      </c>
      <c r="H3562" s="16">
        <v>0.0</v>
      </c>
      <c r="I3562" s="16">
        <v>0.0</v>
      </c>
      <c r="J3562" s="16">
        <v>155.94</v>
      </c>
      <c r="K3562" s="16">
        <v>0.0</v>
      </c>
      <c r="L3562" s="16">
        <v>155.94</v>
      </c>
      <c r="M3562" s="16">
        <v>148.4</v>
      </c>
      <c r="N3562" s="16">
        <v>20.36</v>
      </c>
      <c r="O3562" s="17">
        <v>4.1</v>
      </c>
      <c r="P3562" s="18">
        <f t="shared" si="1"/>
        <v>155.94</v>
      </c>
    </row>
    <row r="3563" ht="15.75" customHeight="1">
      <c r="A3563" s="19" t="s">
        <v>238</v>
      </c>
      <c r="B3563" s="19" t="s">
        <v>99</v>
      </c>
      <c r="C3563" s="20" t="s">
        <v>128</v>
      </c>
      <c r="D3563" s="14" t="str">
        <f>VLOOKUP(C3563,'State Key'!$A$2:$B$210,2,False)</f>
        <v>Tamil Nadu</v>
      </c>
      <c r="E3563" s="21">
        <v>1050.0</v>
      </c>
      <c r="F3563" s="22">
        <v>381.44</v>
      </c>
      <c r="G3563" s="22">
        <v>0.0</v>
      </c>
      <c r="H3563" s="22">
        <v>0.0</v>
      </c>
      <c r="I3563" s="22">
        <v>0.0</v>
      </c>
      <c r="J3563" s="22">
        <v>0.0</v>
      </c>
      <c r="K3563" s="22">
        <v>73.6</v>
      </c>
      <c r="L3563" s="22">
        <v>455.04</v>
      </c>
      <c r="M3563" s="22">
        <v>545.911</v>
      </c>
      <c r="N3563" s="22">
        <v>339.36</v>
      </c>
      <c r="O3563" s="24">
        <v>18.6</v>
      </c>
      <c r="P3563" s="18">
        <f t="shared" si="1"/>
        <v>455.04</v>
      </c>
    </row>
    <row r="3564" ht="15.75" customHeight="1">
      <c r="A3564" s="13" t="s">
        <v>238</v>
      </c>
      <c r="B3564" s="13" t="s">
        <v>99</v>
      </c>
      <c r="C3564" s="14" t="s">
        <v>130</v>
      </c>
      <c r="D3564" s="14" t="str">
        <f>VLOOKUP(C3564,'State Key'!$A$2:$B$210,2,False)</f>
        <v>Tamil Nadu</v>
      </c>
      <c r="E3564" s="15">
        <v>1500.0</v>
      </c>
      <c r="F3564" s="16">
        <v>536.804</v>
      </c>
      <c r="G3564" s="16">
        <v>0.0</v>
      </c>
      <c r="H3564" s="16">
        <v>0.0</v>
      </c>
      <c r="I3564" s="16">
        <v>0.0</v>
      </c>
      <c r="J3564" s="16">
        <v>0.0</v>
      </c>
      <c r="K3564" s="16">
        <v>0.0</v>
      </c>
      <c r="L3564" s="16">
        <v>536.804</v>
      </c>
      <c r="M3564" s="16">
        <v>586.055</v>
      </c>
      <c r="N3564" s="16">
        <v>83.81</v>
      </c>
      <c r="O3564" s="17">
        <v>4.3</v>
      </c>
      <c r="P3564" s="18">
        <f t="shared" si="1"/>
        <v>536.804</v>
      </c>
    </row>
    <row r="3565" ht="15.75" customHeight="1">
      <c r="A3565" s="19" t="s">
        <v>238</v>
      </c>
      <c r="B3565" s="19" t="s">
        <v>99</v>
      </c>
      <c r="C3565" s="20" t="s">
        <v>131</v>
      </c>
      <c r="D3565" s="14" t="str">
        <f>VLOOKUP(C3565,'State Key'!$A$2:$B$210,2,False)</f>
        <v>Andhra Pradesh</v>
      </c>
      <c r="E3565" s="21">
        <v>1040.0</v>
      </c>
      <c r="F3565" s="22">
        <v>293.41169</v>
      </c>
      <c r="G3565" s="22">
        <v>0.0</v>
      </c>
      <c r="H3565" s="22">
        <v>0.0</v>
      </c>
      <c r="I3565" s="22">
        <v>0.0</v>
      </c>
      <c r="J3565" s="22">
        <v>0.0</v>
      </c>
      <c r="K3565" s="22">
        <v>0.0</v>
      </c>
      <c r="L3565" s="22">
        <v>293.41169</v>
      </c>
      <c r="M3565" s="22">
        <v>294.51</v>
      </c>
      <c r="N3565" s="22">
        <v>78.4311</v>
      </c>
      <c r="O3565" s="23">
        <v>8.0</v>
      </c>
      <c r="P3565" s="18">
        <f t="shared" si="1"/>
        <v>293.41169</v>
      </c>
    </row>
    <row r="3566" ht="15.75" customHeight="1">
      <c r="A3566" s="13" t="s">
        <v>238</v>
      </c>
      <c r="B3566" s="13" t="s">
        <v>99</v>
      </c>
      <c r="C3566" s="14" t="s">
        <v>132</v>
      </c>
      <c r="D3566" s="14" t="str">
        <f>VLOOKUP(C3566,'State Key'!$A$2:$B$210,2,False)</f>
        <v>Karnataka</v>
      </c>
      <c r="E3566" s="15">
        <v>1600.0</v>
      </c>
      <c r="F3566" s="16">
        <v>0.0</v>
      </c>
      <c r="G3566" s="16">
        <v>45.03</v>
      </c>
      <c r="H3566" s="16">
        <v>0.0</v>
      </c>
      <c r="I3566" s="16">
        <v>0.0</v>
      </c>
      <c r="J3566" s="16">
        <v>0.0</v>
      </c>
      <c r="K3566" s="16">
        <v>0.0</v>
      </c>
      <c r="L3566" s="16">
        <v>45.03</v>
      </c>
      <c r="M3566" s="16">
        <v>104.887</v>
      </c>
      <c r="N3566" s="16">
        <v>330.12</v>
      </c>
      <c r="O3566" s="24">
        <v>94.4</v>
      </c>
      <c r="P3566" s="18">
        <f t="shared" si="1"/>
        <v>45.03</v>
      </c>
    </row>
    <row r="3567" ht="15.75" customHeight="1">
      <c r="A3567" s="19" t="s">
        <v>238</v>
      </c>
      <c r="B3567" s="19" t="s">
        <v>133</v>
      </c>
      <c r="C3567" s="20" t="s">
        <v>211</v>
      </c>
      <c r="D3567" s="14" t="str">
        <f>VLOOKUP(C3567,'State Key'!$A$2:$B$210,2,False)</f>
        <v>Gujarat</v>
      </c>
      <c r="E3567" s="21">
        <v>2640.0</v>
      </c>
      <c r="F3567" s="22">
        <v>0.0</v>
      </c>
      <c r="G3567" s="22">
        <v>0.0</v>
      </c>
      <c r="H3567" s="22">
        <v>0.0</v>
      </c>
      <c r="I3567" s="22">
        <v>0.0</v>
      </c>
      <c r="J3567" s="22">
        <v>693.046</v>
      </c>
      <c r="K3567" s="22">
        <v>0.0</v>
      </c>
      <c r="L3567" s="22">
        <v>693.046</v>
      </c>
      <c r="M3567" s="22">
        <v>717.542</v>
      </c>
      <c r="N3567" s="22">
        <v>119.817</v>
      </c>
      <c r="O3567" s="17">
        <v>5.0</v>
      </c>
      <c r="P3567" s="18">
        <f t="shared" si="1"/>
        <v>693.046</v>
      </c>
    </row>
    <row r="3568" ht="15.75" customHeight="1">
      <c r="A3568" s="13" t="s">
        <v>238</v>
      </c>
      <c r="B3568" s="13" t="s">
        <v>133</v>
      </c>
      <c r="C3568" s="14" t="s">
        <v>212</v>
      </c>
      <c r="D3568" s="14" t="str">
        <f>VLOOKUP(C3568,'State Key'!$A$2:$B$210,2,False)</f>
        <v>Gujarat</v>
      </c>
      <c r="E3568" s="15">
        <v>1980.0</v>
      </c>
      <c r="F3568" s="16">
        <v>0.0</v>
      </c>
      <c r="G3568" s="16">
        <v>0.0</v>
      </c>
      <c r="H3568" s="16">
        <v>0.0</v>
      </c>
      <c r="I3568" s="16">
        <v>0.0</v>
      </c>
      <c r="J3568" s="16">
        <v>591.471</v>
      </c>
      <c r="K3568" s="16">
        <v>0.0</v>
      </c>
      <c r="L3568" s="16">
        <v>591.471</v>
      </c>
      <c r="M3568" s="16">
        <v>559.716</v>
      </c>
      <c r="N3568" s="16">
        <v>126.61</v>
      </c>
      <c r="O3568" s="17">
        <v>6.8</v>
      </c>
      <c r="P3568" s="18">
        <f t="shared" si="1"/>
        <v>591.471</v>
      </c>
    </row>
    <row r="3569" ht="15.75" customHeight="1">
      <c r="A3569" s="19" t="s">
        <v>238</v>
      </c>
      <c r="B3569" s="19" t="s">
        <v>133</v>
      </c>
      <c r="C3569" s="20" t="s">
        <v>213</v>
      </c>
      <c r="D3569" s="14" t="str">
        <f>VLOOKUP(C3569,'State Key'!$A$2:$B$210,2,False)</f>
        <v>Chhattisgarh</v>
      </c>
      <c r="E3569" s="21">
        <v>600.0</v>
      </c>
      <c r="F3569" s="22">
        <v>238.383</v>
      </c>
      <c r="G3569" s="22">
        <v>0.0</v>
      </c>
      <c r="H3569" s="22">
        <v>0.0</v>
      </c>
      <c r="I3569" s="22">
        <v>0.0</v>
      </c>
      <c r="J3569" s="22">
        <v>0.0</v>
      </c>
      <c r="K3569" s="22">
        <v>0.0</v>
      </c>
      <c r="L3569" s="22">
        <v>238.383</v>
      </c>
      <c r="M3569" s="22">
        <v>105.027</v>
      </c>
      <c r="N3569" s="22">
        <v>266.94</v>
      </c>
      <c r="O3569" s="24">
        <v>76.2</v>
      </c>
      <c r="P3569" s="18">
        <f t="shared" si="1"/>
        <v>238.383</v>
      </c>
    </row>
    <row r="3570" ht="15.75" customHeight="1">
      <c r="A3570" s="13" t="s">
        <v>238</v>
      </c>
      <c r="B3570" s="13" t="s">
        <v>133</v>
      </c>
      <c r="C3570" s="14" t="s">
        <v>214</v>
      </c>
      <c r="D3570" s="14" t="str">
        <f>VLOOKUP(C3570,'State Key'!$A$2:$B$210,2,False)</f>
        <v>Chhattisgarh</v>
      </c>
      <c r="E3570" s="15">
        <v>1370.0</v>
      </c>
      <c r="F3570" s="16">
        <v>374.658</v>
      </c>
      <c r="G3570" s="16">
        <v>0.0</v>
      </c>
      <c r="H3570" s="16">
        <v>0.0</v>
      </c>
      <c r="I3570" s="16">
        <v>0.0</v>
      </c>
      <c r="J3570" s="16">
        <v>0.0</v>
      </c>
      <c r="K3570" s="16">
        <v>64.583</v>
      </c>
      <c r="L3570" s="16">
        <v>439.241</v>
      </c>
      <c r="M3570" s="16">
        <v>274.886</v>
      </c>
      <c r="N3570" s="16">
        <v>212.92</v>
      </c>
      <c r="O3570" s="24">
        <v>23.2</v>
      </c>
      <c r="P3570" s="18">
        <f t="shared" si="1"/>
        <v>439.241</v>
      </c>
    </row>
    <row r="3571" ht="15.75" customHeight="1">
      <c r="A3571" s="19" t="s">
        <v>238</v>
      </c>
      <c r="B3571" s="19" t="s">
        <v>133</v>
      </c>
      <c r="C3571" s="20" t="s">
        <v>215</v>
      </c>
      <c r="D3571" s="14" t="str">
        <f>VLOOKUP(C3571,'State Key'!$A$2:$B$210,2,False)</f>
        <v>Maharashtra</v>
      </c>
      <c r="E3571" s="21">
        <v>3300.0</v>
      </c>
      <c r="F3571" s="22">
        <v>1207.224</v>
      </c>
      <c r="G3571" s="22">
        <v>0.0</v>
      </c>
      <c r="H3571" s="22">
        <v>0.0</v>
      </c>
      <c r="I3571" s="22">
        <v>0.0</v>
      </c>
      <c r="J3571" s="22">
        <v>0.0</v>
      </c>
      <c r="K3571" s="22">
        <v>0.0</v>
      </c>
      <c r="L3571" s="22">
        <v>1207.224</v>
      </c>
      <c r="M3571" s="22">
        <v>1083.358</v>
      </c>
      <c r="N3571" s="22">
        <v>301.75</v>
      </c>
      <c r="O3571" s="23">
        <v>8.4</v>
      </c>
      <c r="P3571" s="18">
        <f t="shared" si="1"/>
        <v>1207.224</v>
      </c>
    </row>
    <row r="3572" ht="15.75" customHeight="1">
      <c r="A3572" s="13" t="s">
        <v>238</v>
      </c>
      <c r="B3572" s="13" t="s">
        <v>133</v>
      </c>
      <c r="C3572" s="14" t="s">
        <v>134</v>
      </c>
      <c r="D3572" s="14" t="str">
        <f>VLOOKUP(C3572,'State Key'!$A$2:$B$210,2,False)</f>
        <v>Chhattisgarh</v>
      </c>
      <c r="E3572" s="15">
        <v>1800.0</v>
      </c>
      <c r="F3572" s="16">
        <v>491.5131</v>
      </c>
      <c r="G3572" s="16">
        <v>0.0</v>
      </c>
      <c r="H3572" s="16">
        <v>0.0</v>
      </c>
      <c r="I3572" s="16">
        <v>0.0</v>
      </c>
      <c r="J3572" s="16">
        <v>0.0</v>
      </c>
      <c r="K3572" s="16">
        <v>111.37273</v>
      </c>
      <c r="L3572" s="16">
        <v>602.88583</v>
      </c>
      <c r="M3572" s="16">
        <v>505.867</v>
      </c>
      <c r="N3572" s="16">
        <v>254.62</v>
      </c>
      <c r="O3572" s="24">
        <v>15.1</v>
      </c>
      <c r="P3572" s="18">
        <f t="shared" si="1"/>
        <v>602.88583</v>
      </c>
    </row>
    <row r="3573" ht="15.75" customHeight="1">
      <c r="A3573" s="19" t="s">
        <v>238</v>
      </c>
      <c r="B3573" s="19" t="s">
        <v>133</v>
      </c>
      <c r="C3573" s="20" t="s">
        <v>135</v>
      </c>
      <c r="D3573" s="14" t="str">
        <f>VLOOKUP(C3573,'State Key'!$A$2:$B$210,2,False)</f>
        <v>Madhya Pradesh</v>
      </c>
      <c r="E3573" s="21">
        <v>210.0</v>
      </c>
      <c r="F3573" s="22">
        <v>88.974</v>
      </c>
      <c r="G3573" s="22">
        <v>0.0</v>
      </c>
      <c r="H3573" s="22">
        <v>0.0</v>
      </c>
      <c r="I3573" s="22">
        <v>0.0</v>
      </c>
      <c r="J3573" s="22">
        <v>0.0</v>
      </c>
      <c r="K3573" s="22">
        <v>0.0</v>
      </c>
      <c r="L3573" s="22">
        <v>88.974</v>
      </c>
      <c r="M3573" s="22">
        <v>90.355</v>
      </c>
      <c r="N3573" s="22">
        <v>54.052</v>
      </c>
      <c r="O3573" s="24">
        <v>17.9</v>
      </c>
      <c r="P3573" s="18">
        <f t="shared" si="1"/>
        <v>88.974</v>
      </c>
    </row>
    <row r="3574" ht="15.75" customHeight="1">
      <c r="A3574" s="13" t="s">
        <v>238</v>
      </c>
      <c r="B3574" s="13" t="s">
        <v>133</v>
      </c>
      <c r="C3574" s="14" t="s">
        <v>136</v>
      </c>
      <c r="D3574" s="14" t="str">
        <f>VLOOKUP(C3574,'State Key'!$A$2:$B$210,2,False)</f>
        <v>Maharashtra</v>
      </c>
      <c r="E3574" s="15">
        <v>1350.0</v>
      </c>
      <c r="F3574" s="16">
        <v>459.099</v>
      </c>
      <c r="G3574" s="16">
        <v>0.0</v>
      </c>
      <c r="H3574" s="16">
        <v>0.0</v>
      </c>
      <c r="I3574" s="16">
        <v>0.0</v>
      </c>
      <c r="J3574" s="16">
        <v>0.0</v>
      </c>
      <c r="K3574" s="16">
        <v>0.0</v>
      </c>
      <c r="L3574" s="16">
        <v>459.099</v>
      </c>
      <c r="M3574" s="16">
        <v>508.375</v>
      </c>
      <c r="N3574" s="16">
        <v>176.38</v>
      </c>
      <c r="O3574" s="23">
        <v>10.4</v>
      </c>
      <c r="P3574" s="18">
        <f t="shared" si="1"/>
        <v>459.099</v>
      </c>
    </row>
    <row r="3575" ht="15.75" customHeight="1">
      <c r="A3575" s="19" t="s">
        <v>238</v>
      </c>
      <c r="B3575" s="19" t="s">
        <v>133</v>
      </c>
      <c r="C3575" s="20" t="s">
        <v>137</v>
      </c>
      <c r="D3575" s="14" t="str">
        <f>VLOOKUP(C3575,'State Key'!$A$2:$B$210,2,False)</f>
        <v>Madhya Pradesh</v>
      </c>
      <c r="E3575" s="21">
        <v>1250.0</v>
      </c>
      <c r="F3575" s="22">
        <v>352.07</v>
      </c>
      <c r="G3575" s="22">
        <v>0.0</v>
      </c>
      <c r="H3575" s="22">
        <v>0.0</v>
      </c>
      <c r="I3575" s="22">
        <v>116.68</v>
      </c>
      <c r="J3575" s="22">
        <v>0.0</v>
      </c>
      <c r="K3575" s="22">
        <v>0.0</v>
      </c>
      <c r="L3575" s="22">
        <v>468.75</v>
      </c>
      <c r="M3575" s="22">
        <v>482.98</v>
      </c>
      <c r="N3575" s="22">
        <v>66.54</v>
      </c>
      <c r="O3575" s="17">
        <v>4.1</v>
      </c>
      <c r="P3575" s="18">
        <f t="shared" si="1"/>
        <v>468.75</v>
      </c>
    </row>
    <row r="3576" ht="15.75" customHeight="1">
      <c r="A3576" s="13" t="s">
        <v>238</v>
      </c>
      <c r="B3576" s="13" t="s">
        <v>133</v>
      </c>
      <c r="C3576" s="14" t="s">
        <v>139</v>
      </c>
      <c r="D3576" s="14" t="str">
        <f>VLOOKUP(C3576,'State Key'!$A$2:$B$210,2,False)</f>
        <v>Chhattisgarh</v>
      </c>
      <c r="E3576" s="15">
        <v>600.0</v>
      </c>
      <c r="F3576" s="16">
        <v>115.845</v>
      </c>
      <c r="G3576" s="16">
        <v>0.0</v>
      </c>
      <c r="H3576" s="16">
        <v>0.0</v>
      </c>
      <c r="I3576" s="16">
        <v>104.08</v>
      </c>
      <c r="J3576" s="16">
        <v>0.0</v>
      </c>
      <c r="K3576" s="16">
        <v>0.0</v>
      </c>
      <c r="L3576" s="16">
        <v>219.925</v>
      </c>
      <c r="M3576" s="16">
        <v>218.57</v>
      </c>
      <c r="N3576" s="16">
        <v>1.36</v>
      </c>
      <c r="O3576" s="17">
        <v>0.2</v>
      </c>
      <c r="P3576" s="18">
        <f t="shared" si="1"/>
        <v>219.925</v>
      </c>
    </row>
    <row r="3577" ht="15.75" customHeight="1">
      <c r="A3577" s="19" t="s">
        <v>238</v>
      </c>
      <c r="B3577" s="19" t="s">
        <v>133</v>
      </c>
      <c r="C3577" s="20" t="s">
        <v>140</v>
      </c>
      <c r="D3577" s="14" t="str">
        <f>VLOOKUP(C3577,'State Key'!$A$2:$B$210,2,False)</f>
        <v>Chhattisgarh</v>
      </c>
      <c r="E3577" s="21">
        <v>300.0</v>
      </c>
      <c r="F3577" s="22">
        <v>82.838</v>
      </c>
      <c r="G3577" s="22">
        <v>0.0</v>
      </c>
      <c r="H3577" s="22">
        <v>0.0</v>
      </c>
      <c r="I3577" s="22">
        <v>8.882</v>
      </c>
      <c r="J3577" s="22">
        <v>0.0</v>
      </c>
      <c r="K3577" s="22">
        <v>0.0</v>
      </c>
      <c r="L3577" s="22">
        <v>91.72</v>
      </c>
      <c r="M3577" s="22">
        <v>146.287</v>
      </c>
      <c r="N3577" s="22">
        <v>111.28</v>
      </c>
      <c r="O3577" s="24">
        <v>22.8</v>
      </c>
      <c r="P3577" s="18">
        <f t="shared" si="1"/>
        <v>91.72</v>
      </c>
    </row>
    <row r="3578" ht="15.75" customHeight="1">
      <c r="A3578" s="13" t="s">
        <v>238</v>
      </c>
      <c r="B3578" s="13" t="s">
        <v>133</v>
      </c>
      <c r="C3578" s="14" t="s">
        <v>141</v>
      </c>
      <c r="D3578" s="14" t="str">
        <f>VLOOKUP(C3578,'State Key'!$A$2:$B$210,2,False)</f>
        <v>Chhattisgarh</v>
      </c>
      <c r="E3578" s="15">
        <v>1200.0</v>
      </c>
      <c r="F3578" s="16">
        <v>549.02446</v>
      </c>
      <c r="G3578" s="16">
        <v>0.0</v>
      </c>
      <c r="H3578" s="16">
        <v>0.0</v>
      </c>
      <c r="I3578" s="16">
        <v>0.0</v>
      </c>
      <c r="J3578" s="16">
        <v>0.0</v>
      </c>
      <c r="K3578" s="16">
        <v>0.0</v>
      </c>
      <c r="L3578" s="16">
        <v>549.02446</v>
      </c>
      <c r="M3578" s="16">
        <v>483.987</v>
      </c>
      <c r="N3578" s="16">
        <v>242.05</v>
      </c>
      <c r="O3578" s="24">
        <v>15.0</v>
      </c>
      <c r="P3578" s="18">
        <f t="shared" si="1"/>
        <v>549.02446</v>
      </c>
    </row>
    <row r="3579" ht="15.75" customHeight="1">
      <c r="A3579" s="19" t="s">
        <v>238</v>
      </c>
      <c r="B3579" s="19" t="s">
        <v>133</v>
      </c>
      <c r="C3579" s="20" t="s">
        <v>142</v>
      </c>
      <c r="D3579" s="14" t="str">
        <f>VLOOKUP(C3579,'State Key'!$A$2:$B$210,2,False)</f>
        <v>Maharashtra</v>
      </c>
      <c r="E3579" s="21">
        <v>270.0</v>
      </c>
      <c r="F3579" s="22">
        <v>89.359</v>
      </c>
      <c r="G3579" s="22">
        <v>0.0</v>
      </c>
      <c r="H3579" s="22">
        <v>0.0</v>
      </c>
      <c r="I3579" s="22">
        <v>18.109</v>
      </c>
      <c r="J3579" s="22">
        <v>0.0</v>
      </c>
      <c r="K3579" s="22">
        <v>0.0</v>
      </c>
      <c r="L3579" s="22">
        <v>107.468</v>
      </c>
      <c r="M3579" s="22">
        <v>110.59</v>
      </c>
      <c r="N3579" s="22">
        <v>80.31</v>
      </c>
      <c r="O3579" s="24">
        <v>21.8</v>
      </c>
      <c r="P3579" s="18">
        <f t="shared" si="1"/>
        <v>107.468</v>
      </c>
    </row>
    <row r="3580" ht="15.75" customHeight="1">
      <c r="A3580" s="13" t="s">
        <v>238</v>
      </c>
      <c r="B3580" s="13" t="s">
        <v>133</v>
      </c>
      <c r="C3580" s="14" t="s">
        <v>143</v>
      </c>
      <c r="D3580" s="14" t="str">
        <f>VLOOKUP(C3580,'State Key'!$A$2:$B$210,2,False)</f>
        <v>Chhattisgarh</v>
      </c>
      <c r="E3580" s="15">
        <v>500.0</v>
      </c>
      <c r="F3580" s="16">
        <v>230.289</v>
      </c>
      <c r="G3580" s="16">
        <v>0.0</v>
      </c>
      <c r="H3580" s="16">
        <v>0.0</v>
      </c>
      <c r="I3580" s="16">
        <v>0.0</v>
      </c>
      <c r="J3580" s="16">
        <v>0.0</v>
      </c>
      <c r="K3580" s="16">
        <v>0.0</v>
      </c>
      <c r="L3580" s="16">
        <v>230.289</v>
      </c>
      <c r="M3580" s="16">
        <v>131.167</v>
      </c>
      <c r="N3580" s="16">
        <v>241.82</v>
      </c>
      <c r="O3580" s="24">
        <v>55.3</v>
      </c>
      <c r="P3580" s="18">
        <f t="shared" si="1"/>
        <v>230.289</v>
      </c>
    </row>
    <row r="3581" ht="15.75" customHeight="1">
      <c r="A3581" s="19" t="s">
        <v>238</v>
      </c>
      <c r="B3581" s="19" t="s">
        <v>133</v>
      </c>
      <c r="C3581" s="20" t="s">
        <v>144</v>
      </c>
      <c r="D3581" s="14" t="str">
        <f>VLOOKUP(C3581,'State Key'!$A$2:$B$210,2,False)</f>
        <v>Maharashtra</v>
      </c>
      <c r="E3581" s="21">
        <v>1210.0</v>
      </c>
      <c r="F3581" s="22">
        <v>562.898</v>
      </c>
      <c r="G3581" s="22">
        <v>38.195</v>
      </c>
      <c r="H3581" s="22">
        <v>0.0</v>
      </c>
      <c r="I3581" s="22">
        <v>0.0</v>
      </c>
      <c r="J3581" s="22">
        <v>27.214</v>
      </c>
      <c r="K3581" s="22">
        <v>0.0</v>
      </c>
      <c r="L3581" s="22">
        <v>628.307</v>
      </c>
      <c r="M3581" s="22">
        <v>451.21</v>
      </c>
      <c r="N3581" s="22">
        <v>619.031</v>
      </c>
      <c r="O3581" s="24">
        <v>41.2</v>
      </c>
      <c r="P3581" s="18">
        <f t="shared" si="1"/>
        <v>628.307</v>
      </c>
    </row>
    <row r="3582" ht="15.75" customHeight="1">
      <c r="A3582" s="13" t="s">
        <v>238</v>
      </c>
      <c r="B3582" s="13" t="s">
        <v>133</v>
      </c>
      <c r="C3582" s="14" t="s">
        <v>145</v>
      </c>
      <c r="D3582" s="14" t="str">
        <f>VLOOKUP(C3582,'State Key'!$A$2:$B$210,2,False)</f>
        <v>Madhya Pradesh</v>
      </c>
      <c r="E3582" s="15">
        <v>500.0</v>
      </c>
      <c r="F3582" s="16">
        <v>136.4</v>
      </c>
      <c r="G3582" s="16">
        <v>0.0</v>
      </c>
      <c r="H3582" s="16">
        <v>0.0</v>
      </c>
      <c r="I3582" s="16">
        <v>68.29</v>
      </c>
      <c r="J3582" s="16">
        <v>0.0</v>
      </c>
      <c r="K3582" s="16">
        <v>0.0</v>
      </c>
      <c r="L3582" s="16">
        <v>204.69</v>
      </c>
      <c r="M3582" s="16">
        <v>209.71</v>
      </c>
      <c r="N3582" s="16">
        <v>104.07</v>
      </c>
      <c r="O3582" s="24">
        <v>14.9</v>
      </c>
      <c r="P3582" s="18">
        <f t="shared" si="1"/>
        <v>204.69</v>
      </c>
    </row>
    <row r="3583" ht="15.75" customHeight="1">
      <c r="A3583" s="19" t="s">
        <v>238</v>
      </c>
      <c r="B3583" s="19" t="s">
        <v>133</v>
      </c>
      <c r="C3583" s="20" t="s">
        <v>146</v>
      </c>
      <c r="D3583" s="14" t="str">
        <f>VLOOKUP(C3583,'State Key'!$A$2:$B$210,2,False)</f>
        <v>Chhattisgarh</v>
      </c>
      <c r="E3583" s="21">
        <v>600.0</v>
      </c>
      <c r="F3583" s="22">
        <v>20.273</v>
      </c>
      <c r="G3583" s="22">
        <v>0.0</v>
      </c>
      <c r="H3583" s="22">
        <v>0.0</v>
      </c>
      <c r="I3583" s="22">
        <v>121.78</v>
      </c>
      <c r="J3583" s="22">
        <v>0.0</v>
      </c>
      <c r="K3583" s="22">
        <v>54.82</v>
      </c>
      <c r="L3583" s="22">
        <v>196.873</v>
      </c>
      <c r="M3583" s="22">
        <v>263.98</v>
      </c>
      <c r="N3583" s="22">
        <v>7.61</v>
      </c>
      <c r="O3583" s="17">
        <v>0.9</v>
      </c>
      <c r="P3583" s="18">
        <f t="shared" si="1"/>
        <v>196.873</v>
      </c>
    </row>
    <row r="3584" ht="15.75" customHeight="1">
      <c r="A3584" s="13" t="s">
        <v>238</v>
      </c>
      <c r="B3584" s="13" t="s">
        <v>133</v>
      </c>
      <c r="C3584" s="14" t="s">
        <v>147</v>
      </c>
      <c r="D3584" s="14" t="str">
        <f>VLOOKUP(C3584,'State Key'!$A$2:$B$210,2,False)</f>
        <v>Maharashtra</v>
      </c>
      <c r="E3584" s="15">
        <v>600.0</v>
      </c>
      <c r="F3584" s="16">
        <v>0.0</v>
      </c>
      <c r="G3584" s="16">
        <v>0.0</v>
      </c>
      <c r="H3584" s="16">
        <v>0.0</v>
      </c>
      <c r="I3584" s="16">
        <v>0.0</v>
      </c>
      <c r="J3584" s="16">
        <v>0.0</v>
      </c>
      <c r="K3584" s="16">
        <v>0.0</v>
      </c>
      <c r="L3584" s="16">
        <v>0.0</v>
      </c>
      <c r="M3584" s="16">
        <v>0.0</v>
      </c>
      <c r="N3584" s="16">
        <v>0.0</v>
      </c>
      <c r="O3584" s="13" t="s">
        <v>58</v>
      </c>
      <c r="P3584" s="18">
        <f t="shared" si="1"/>
        <v>0</v>
      </c>
    </row>
    <row r="3585" ht="15.75" customHeight="1">
      <c r="A3585" s="19" t="s">
        <v>238</v>
      </c>
      <c r="B3585" s="19" t="s">
        <v>133</v>
      </c>
      <c r="C3585" s="20" t="s">
        <v>148</v>
      </c>
      <c r="D3585" s="14" t="str">
        <f>VLOOKUP(C3585,'State Key'!$A$2:$B$210,2,False)</f>
        <v>Chhattisgarh</v>
      </c>
      <c r="E3585" s="21">
        <v>30.0</v>
      </c>
      <c r="F3585" s="22">
        <v>1.585</v>
      </c>
      <c r="G3585" s="22">
        <v>0.0</v>
      </c>
      <c r="H3585" s="22">
        <v>0.0</v>
      </c>
      <c r="I3585" s="22">
        <v>0.0</v>
      </c>
      <c r="J3585" s="22">
        <v>0.0</v>
      </c>
      <c r="K3585" s="22">
        <v>23.407</v>
      </c>
      <c r="L3585" s="22">
        <v>24.992</v>
      </c>
      <c r="M3585" s="22">
        <v>47.102</v>
      </c>
      <c r="N3585" s="22">
        <v>40.81</v>
      </c>
      <c r="O3585" s="24">
        <v>26.0</v>
      </c>
      <c r="P3585" s="18">
        <f t="shared" si="1"/>
        <v>24.992</v>
      </c>
    </row>
    <row r="3586" ht="15.75" customHeight="1">
      <c r="A3586" s="13" t="s">
        <v>238</v>
      </c>
      <c r="B3586" s="13" t="s">
        <v>133</v>
      </c>
      <c r="C3586" s="14" t="s">
        <v>149</v>
      </c>
      <c r="D3586" s="14" t="str">
        <f>VLOOKUP(C3586,'State Key'!$A$2:$B$210,2,False)</f>
        <v>Maharashtra</v>
      </c>
      <c r="E3586" s="15">
        <v>2920.0</v>
      </c>
      <c r="F3586" s="16">
        <v>847.395</v>
      </c>
      <c r="G3586" s="16">
        <v>216.743</v>
      </c>
      <c r="H3586" s="16">
        <v>0.0</v>
      </c>
      <c r="I3586" s="16">
        <v>0.0</v>
      </c>
      <c r="J3586" s="16">
        <v>0.131</v>
      </c>
      <c r="K3586" s="16">
        <v>0.0</v>
      </c>
      <c r="L3586" s="16">
        <v>1064.269</v>
      </c>
      <c r="M3586" s="16">
        <v>1085.466</v>
      </c>
      <c r="N3586" s="16">
        <v>356.88</v>
      </c>
      <c r="O3586" s="23">
        <v>9.9</v>
      </c>
      <c r="P3586" s="18">
        <f t="shared" si="1"/>
        <v>1064.269</v>
      </c>
    </row>
    <row r="3587" ht="15.75" customHeight="1">
      <c r="A3587" s="19" t="s">
        <v>238</v>
      </c>
      <c r="B3587" s="19" t="s">
        <v>133</v>
      </c>
      <c r="C3587" s="20" t="s">
        <v>150</v>
      </c>
      <c r="D3587" s="14" t="str">
        <f>VLOOKUP(C3587,'State Key'!$A$2:$B$210,2,False)</f>
        <v>Maharashtra</v>
      </c>
      <c r="E3587" s="21">
        <v>500.0</v>
      </c>
      <c r="F3587" s="22">
        <v>167.566</v>
      </c>
      <c r="G3587" s="22">
        <v>0.0</v>
      </c>
      <c r="H3587" s="22">
        <v>0.0</v>
      </c>
      <c r="I3587" s="22">
        <v>0.0</v>
      </c>
      <c r="J3587" s="22">
        <v>0.0</v>
      </c>
      <c r="K3587" s="22">
        <v>0.0</v>
      </c>
      <c r="L3587" s="22">
        <v>167.566</v>
      </c>
      <c r="M3587" s="22">
        <v>164.334</v>
      </c>
      <c r="N3587" s="22">
        <v>34.83</v>
      </c>
      <c r="O3587" s="17">
        <v>6.4</v>
      </c>
      <c r="P3587" s="18">
        <f t="shared" si="1"/>
        <v>167.566</v>
      </c>
    </row>
    <row r="3588" ht="15.75" customHeight="1">
      <c r="A3588" s="13" t="s">
        <v>238</v>
      </c>
      <c r="B3588" s="13" t="s">
        <v>133</v>
      </c>
      <c r="C3588" s="14" t="s">
        <v>151</v>
      </c>
      <c r="D3588" s="14" t="str">
        <f>VLOOKUP(C3588,'State Key'!$A$2:$B$210,2,False)</f>
        <v>Maharashtra</v>
      </c>
      <c r="E3588" s="15">
        <v>600.0</v>
      </c>
      <c r="F3588" s="16">
        <v>221.866</v>
      </c>
      <c r="G3588" s="16">
        <v>0.0</v>
      </c>
      <c r="H3588" s="16">
        <v>0.0</v>
      </c>
      <c r="I3588" s="16">
        <v>47.314</v>
      </c>
      <c r="J3588" s="16">
        <v>0.0</v>
      </c>
      <c r="K3588" s="16">
        <v>0.0</v>
      </c>
      <c r="L3588" s="16">
        <v>269.18</v>
      </c>
      <c r="M3588" s="16">
        <v>178.326</v>
      </c>
      <c r="N3588" s="16">
        <v>177.64</v>
      </c>
      <c r="O3588" s="24">
        <v>29.9</v>
      </c>
      <c r="P3588" s="18">
        <f t="shared" si="1"/>
        <v>269.18</v>
      </c>
    </row>
    <row r="3589" ht="15.75" customHeight="1">
      <c r="A3589" s="19" t="s">
        <v>238</v>
      </c>
      <c r="B3589" s="19" t="s">
        <v>133</v>
      </c>
      <c r="C3589" s="20" t="s">
        <v>152</v>
      </c>
      <c r="D3589" s="14" t="str">
        <f>VLOOKUP(C3589,'State Key'!$A$2:$B$210,2,False)</f>
        <v>Chhattisgarh</v>
      </c>
      <c r="E3589" s="21">
        <v>500.0</v>
      </c>
      <c r="F3589" s="22">
        <v>254.787</v>
      </c>
      <c r="G3589" s="22">
        <v>0.0</v>
      </c>
      <c r="H3589" s="22">
        <v>0.0</v>
      </c>
      <c r="I3589" s="22">
        <v>0.0</v>
      </c>
      <c r="J3589" s="22">
        <v>0.0</v>
      </c>
      <c r="K3589" s="22">
        <v>0.0</v>
      </c>
      <c r="L3589" s="22">
        <v>254.787</v>
      </c>
      <c r="M3589" s="22">
        <v>242.884</v>
      </c>
      <c r="N3589" s="22">
        <v>138.114</v>
      </c>
      <c r="O3589" s="24">
        <v>17.1</v>
      </c>
      <c r="P3589" s="18">
        <f t="shared" si="1"/>
        <v>254.787</v>
      </c>
    </row>
    <row r="3590" ht="15.75" customHeight="1">
      <c r="A3590" s="13" t="s">
        <v>238</v>
      </c>
      <c r="B3590" s="13" t="s">
        <v>133</v>
      </c>
      <c r="C3590" s="14" t="s">
        <v>153</v>
      </c>
      <c r="D3590" s="14" t="str">
        <f>VLOOKUP(C3590,'State Key'!$A$2:$B$210,2,False)</f>
        <v>Madhya Pradesh</v>
      </c>
      <c r="E3590" s="15">
        <v>1600.0</v>
      </c>
      <c r="F3590" s="16">
        <v>213.18</v>
      </c>
      <c r="G3590" s="16">
        <v>65.17</v>
      </c>
      <c r="H3590" s="16">
        <v>198.67</v>
      </c>
      <c r="I3590" s="16">
        <v>0.0</v>
      </c>
      <c r="J3590" s="16">
        <v>0.0</v>
      </c>
      <c r="K3590" s="16">
        <v>3.92</v>
      </c>
      <c r="L3590" s="16">
        <v>480.94</v>
      </c>
      <c r="M3590" s="16">
        <v>556.979</v>
      </c>
      <c r="N3590" s="16">
        <v>257.12</v>
      </c>
      <c r="O3590" s="23">
        <v>13.8</v>
      </c>
      <c r="P3590" s="18">
        <f t="shared" si="1"/>
        <v>480.94</v>
      </c>
    </row>
    <row r="3591" ht="15.75" customHeight="1">
      <c r="A3591" s="19" t="s">
        <v>238</v>
      </c>
      <c r="B3591" s="19" t="s">
        <v>133</v>
      </c>
      <c r="C3591" s="20" t="s">
        <v>154</v>
      </c>
      <c r="D3591" s="14" t="str">
        <f>VLOOKUP(C3591,'State Key'!$A$2:$B$210,2,False)</f>
        <v>Gujarat</v>
      </c>
      <c r="E3591" s="21">
        <v>630.0</v>
      </c>
      <c r="F3591" s="22">
        <v>179.21453</v>
      </c>
      <c r="G3591" s="22">
        <v>0.0</v>
      </c>
      <c r="H3591" s="22">
        <v>0.0</v>
      </c>
      <c r="I3591" s="22">
        <v>0.0</v>
      </c>
      <c r="J3591" s="22">
        <v>0.0</v>
      </c>
      <c r="K3591" s="22">
        <v>0.0</v>
      </c>
      <c r="L3591" s="22">
        <v>179.21453</v>
      </c>
      <c r="M3591" s="22">
        <v>16.388</v>
      </c>
      <c r="N3591" s="22">
        <v>294.25</v>
      </c>
      <c r="O3591" s="24">
        <v>538.7</v>
      </c>
      <c r="P3591" s="18">
        <f t="shared" si="1"/>
        <v>179.21453</v>
      </c>
    </row>
    <row r="3592" ht="15.75" customHeight="1">
      <c r="A3592" s="13" t="s">
        <v>238</v>
      </c>
      <c r="B3592" s="13" t="s">
        <v>133</v>
      </c>
      <c r="C3592" s="14" t="s">
        <v>155</v>
      </c>
      <c r="D3592" s="14" t="str">
        <f>VLOOKUP(C3592,'State Key'!$A$2:$B$210,2,False)</f>
        <v>Maharashtra</v>
      </c>
      <c r="E3592" s="15">
        <v>120.0</v>
      </c>
      <c r="F3592" s="16">
        <v>0.0</v>
      </c>
      <c r="G3592" s="16">
        <v>0.0</v>
      </c>
      <c r="H3592" s="16">
        <v>0.0</v>
      </c>
      <c r="I3592" s="16">
        <v>0.0</v>
      </c>
      <c r="J3592" s="16">
        <v>0.0</v>
      </c>
      <c r="K3592" s="16">
        <v>0.0</v>
      </c>
      <c r="L3592" s="16">
        <v>0.0</v>
      </c>
      <c r="M3592" s="16">
        <v>0.0</v>
      </c>
      <c r="N3592" s="16">
        <v>0.0</v>
      </c>
      <c r="O3592" s="13" t="s">
        <v>58</v>
      </c>
      <c r="P3592" s="18">
        <f t="shared" si="1"/>
        <v>0</v>
      </c>
    </row>
    <row r="3593" ht="15.75" customHeight="1">
      <c r="A3593" s="19" t="s">
        <v>238</v>
      </c>
      <c r="B3593" s="19" t="s">
        <v>133</v>
      </c>
      <c r="C3593" s="20" t="s">
        <v>156</v>
      </c>
      <c r="D3593" s="14" t="str">
        <f>VLOOKUP(C3593,'State Key'!$A$2:$B$210,2,False)</f>
        <v>Maharashtra</v>
      </c>
      <c r="E3593" s="21">
        <v>600.0</v>
      </c>
      <c r="F3593" s="22">
        <v>252.37</v>
      </c>
      <c r="G3593" s="22">
        <v>0.0</v>
      </c>
      <c r="H3593" s="22">
        <v>0.0</v>
      </c>
      <c r="I3593" s="22">
        <v>69.118</v>
      </c>
      <c r="J3593" s="22">
        <v>0.0</v>
      </c>
      <c r="K3593" s="22">
        <v>0.0</v>
      </c>
      <c r="L3593" s="22">
        <v>321.488</v>
      </c>
      <c r="M3593" s="22">
        <v>251.404</v>
      </c>
      <c r="N3593" s="22">
        <v>81.19</v>
      </c>
      <c r="O3593" s="23">
        <v>9.7</v>
      </c>
      <c r="P3593" s="18">
        <f t="shared" si="1"/>
        <v>321.488</v>
      </c>
    </row>
    <row r="3594" ht="15.75" customHeight="1">
      <c r="A3594" s="13" t="s">
        <v>238</v>
      </c>
      <c r="B3594" s="13" t="s">
        <v>133</v>
      </c>
      <c r="C3594" s="14" t="s">
        <v>157</v>
      </c>
      <c r="D3594" s="14" t="str">
        <f>VLOOKUP(C3594,'State Key'!$A$2:$B$210,2,False)</f>
        <v>Maharashtra</v>
      </c>
      <c r="E3594" s="15">
        <v>300.0</v>
      </c>
      <c r="F3594" s="16">
        <v>0.0</v>
      </c>
      <c r="G3594" s="16">
        <v>0.0</v>
      </c>
      <c r="H3594" s="16">
        <v>0.0</v>
      </c>
      <c r="I3594" s="16">
        <v>0.0</v>
      </c>
      <c r="J3594" s="16">
        <v>100.0</v>
      </c>
      <c r="K3594" s="16">
        <v>0.0</v>
      </c>
      <c r="L3594" s="16">
        <v>100.0</v>
      </c>
      <c r="M3594" s="16">
        <v>71.18</v>
      </c>
      <c r="N3594" s="16">
        <v>67.78</v>
      </c>
      <c r="O3594" s="24">
        <v>28.6</v>
      </c>
      <c r="P3594" s="18">
        <f t="shared" si="1"/>
        <v>100</v>
      </c>
    </row>
    <row r="3595" ht="15.75" customHeight="1">
      <c r="A3595" s="19" t="s">
        <v>238</v>
      </c>
      <c r="B3595" s="19" t="s">
        <v>133</v>
      </c>
      <c r="C3595" s="20" t="s">
        <v>158</v>
      </c>
      <c r="D3595" s="14" t="str">
        <f>VLOOKUP(C3595,'State Key'!$A$2:$B$210,2,False)</f>
        <v>Chhattisgarh</v>
      </c>
      <c r="E3595" s="21">
        <v>270.0</v>
      </c>
      <c r="F3595" s="22">
        <v>38.1812</v>
      </c>
      <c r="G3595" s="22">
        <v>0.0</v>
      </c>
      <c r="H3595" s="22">
        <v>0.0</v>
      </c>
      <c r="I3595" s="22">
        <v>0.0</v>
      </c>
      <c r="J3595" s="22">
        <v>0.0</v>
      </c>
      <c r="K3595" s="22">
        <v>23.4132</v>
      </c>
      <c r="L3595" s="22">
        <v>61.5944</v>
      </c>
      <c r="M3595" s="22">
        <v>155.33</v>
      </c>
      <c r="N3595" s="22">
        <v>18.93</v>
      </c>
      <c r="O3595" s="17">
        <v>3.7</v>
      </c>
      <c r="P3595" s="18">
        <f t="shared" si="1"/>
        <v>61.5944</v>
      </c>
    </row>
    <row r="3596" ht="15.75" customHeight="1">
      <c r="A3596" s="13" t="s">
        <v>238</v>
      </c>
      <c r="B3596" s="13" t="s">
        <v>133</v>
      </c>
      <c r="C3596" s="14" t="s">
        <v>159</v>
      </c>
      <c r="D3596" s="14" t="str">
        <f>VLOOKUP(C3596,'State Key'!$A$2:$B$210,2,False)</f>
        <v>Chhattisgarh</v>
      </c>
      <c r="E3596" s="15">
        <v>35.0</v>
      </c>
      <c r="F3596" s="16">
        <v>0.0</v>
      </c>
      <c r="G3596" s="16">
        <v>0.0</v>
      </c>
      <c r="H3596" s="16">
        <v>0.0</v>
      </c>
      <c r="I3596" s="16">
        <v>0.0</v>
      </c>
      <c r="J3596" s="16">
        <v>0.0</v>
      </c>
      <c r="K3596" s="16">
        <v>0.0</v>
      </c>
      <c r="L3596" s="16">
        <v>0.0</v>
      </c>
      <c r="M3596" s="16">
        <v>0.0</v>
      </c>
      <c r="N3596" s="16">
        <v>0.0</v>
      </c>
      <c r="O3596" s="13" t="s">
        <v>58</v>
      </c>
      <c r="P3596" s="18">
        <f t="shared" si="1"/>
        <v>0</v>
      </c>
    </row>
    <row r="3597" ht="15.75" customHeight="1">
      <c r="A3597" s="19" t="s">
        <v>238</v>
      </c>
      <c r="B3597" s="19" t="s">
        <v>133</v>
      </c>
      <c r="C3597" s="20" t="s">
        <v>160</v>
      </c>
      <c r="D3597" s="14" t="str">
        <f>VLOOKUP(C3597,'State Key'!$A$2:$B$210,2,False)</f>
        <v>Maharashtra</v>
      </c>
      <c r="E3597" s="21">
        <v>1340.0</v>
      </c>
      <c r="F3597" s="22">
        <v>535.199</v>
      </c>
      <c r="G3597" s="22">
        <v>0.0</v>
      </c>
      <c r="H3597" s="22">
        <v>0.0</v>
      </c>
      <c r="I3597" s="22">
        <v>0.0</v>
      </c>
      <c r="J3597" s="22">
        <v>89.68</v>
      </c>
      <c r="K3597" s="22">
        <v>0.072</v>
      </c>
      <c r="L3597" s="22">
        <v>624.951</v>
      </c>
      <c r="M3597" s="22">
        <v>594.749</v>
      </c>
      <c r="N3597" s="22">
        <v>180.19</v>
      </c>
      <c r="O3597" s="23">
        <v>9.1</v>
      </c>
      <c r="P3597" s="18">
        <f t="shared" si="1"/>
        <v>624.951</v>
      </c>
    </row>
    <row r="3598" ht="15.75" customHeight="1">
      <c r="A3598" s="13" t="s">
        <v>238</v>
      </c>
      <c r="B3598" s="13" t="s">
        <v>133</v>
      </c>
      <c r="C3598" s="14" t="s">
        <v>161</v>
      </c>
      <c r="D3598" s="14" t="str">
        <f>VLOOKUP(C3598,'State Key'!$A$2:$B$210,2,False)</f>
        <v>Madhya Pradesh</v>
      </c>
      <c r="E3598" s="15">
        <v>1320.0</v>
      </c>
      <c r="F3598" s="16">
        <v>204.41</v>
      </c>
      <c r="G3598" s="16">
        <v>45.22</v>
      </c>
      <c r="H3598" s="16">
        <v>157.38</v>
      </c>
      <c r="I3598" s="16">
        <v>0.0</v>
      </c>
      <c r="J3598" s="16">
        <v>0.0</v>
      </c>
      <c r="K3598" s="16">
        <v>32.47</v>
      </c>
      <c r="L3598" s="16">
        <v>439.48</v>
      </c>
      <c r="M3598" s="16">
        <v>466.937</v>
      </c>
      <c r="N3598" s="16">
        <v>133.527</v>
      </c>
      <c r="O3598" s="23">
        <v>8.6</v>
      </c>
      <c r="P3598" s="18">
        <f t="shared" si="1"/>
        <v>439.48</v>
      </c>
    </row>
    <row r="3599" ht="15.75" customHeight="1">
      <c r="A3599" s="19" t="s">
        <v>238</v>
      </c>
      <c r="B3599" s="19" t="s">
        <v>133</v>
      </c>
      <c r="C3599" s="20" t="s">
        <v>162</v>
      </c>
      <c r="D3599" s="14" t="str">
        <f>VLOOKUP(C3599,'State Key'!$A$2:$B$210,2,False)</f>
        <v>Maharashtra</v>
      </c>
      <c r="E3599" s="21">
        <v>2190.0</v>
      </c>
      <c r="F3599" s="22">
        <v>755.487</v>
      </c>
      <c r="G3599" s="22">
        <v>92.835</v>
      </c>
      <c r="H3599" s="22">
        <v>0.0</v>
      </c>
      <c r="I3599" s="22">
        <v>0.0</v>
      </c>
      <c r="J3599" s="22">
        <v>0.0</v>
      </c>
      <c r="K3599" s="22">
        <v>0.0</v>
      </c>
      <c r="L3599" s="22">
        <v>848.322</v>
      </c>
      <c r="M3599" s="22">
        <v>855.49</v>
      </c>
      <c r="N3599" s="22">
        <v>227.604</v>
      </c>
      <c r="O3599" s="23">
        <v>8.0</v>
      </c>
      <c r="P3599" s="18">
        <f t="shared" si="1"/>
        <v>848.322</v>
      </c>
    </row>
    <row r="3600" ht="15.75" customHeight="1">
      <c r="A3600" s="13" t="s">
        <v>238</v>
      </c>
      <c r="B3600" s="13" t="s">
        <v>133</v>
      </c>
      <c r="C3600" s="14" t="s">
        <v>163</v>
      </c>
      <c r="D3600" s="14" t="str">
        <f>VLOOKUP(C3600,'State Key'!$A$2:$B$210,2,False)</f>
        <v>Chhattisgarh</v>
      </c>
      <c r="E3600" s="15">
        <v>2600.0</v>
      </c>
      <c r="F3600" s="16">
        <v>1251.05</v>
      </c>
      <c r="G3600" s="16">
        <v>0.0</v>
      </c>
      <c r="H3600" s="16">
        <v>0.0</v>
      </c>
      <c r="I3600" s="16">
        <v>0.0</v>
      </c>
      <c r="J3600" s="16">
        <v>0.0</v>
      </c>
      <c r="K3600" s="16">
        <v>0.0</v>
      </c>
      <c r="L3600" s="16">
        <v>1251.05</v>
      </c>
      <c r="M3600" s="16">
        <v>1148.705</v>
      </c>
      <c r="N3600" s="16">
        <v>432.28</v>
      </c>
      <c r="O3600" s="23">
        <v>11.3</v>
      </c>
      <c r="P3600" s="18">
        <f t="shared" si="1"/>
        <v>1251.05</v>
      </c>
    </row>
    <row r="3601" ht="15.75" customHeight="1">
      <c r="A3601" s="19" t="s">
        <v>238</v>
      </c>
      <c r="B3601" s="19" t="s">
        <v>133</v>
      </c>
      <c r="C3601" s="20" t="s">
        <v>164</v>
      </c>
      <c r="D3601" s="14" t="str">
        <f>VLOOKUP(C3601,'State Key'!$A$2:$B$210,2,False)</f>
        <v>Chhattisgarh</v>
      </c>
      <c r="E3601" s="21">
        <v>1340.0</v>
      </c>
      <c r="F3601" s="22">
        <v>458.857</v>
      </c>
      <c r="G3601" s="22">
        <v>0.0</v>
      </c>
      <c r="H3601" s="22">
        <v>0.0</v>
      </c>
      <c r="I3601" s="22">
        <v>0.0</v>
      </c>
      <c r="J3601" s="22">
        <v>0.0</v>
      </c>
      <c r="K3601" s="22">
        <v>0.0</v>
      </c>
      <c r="L3601" s="22">
        <v>458.857</v>
      </c>
      <c r="M3601" s="22">
        <v>533.535</v>
      </c>
      <c r="N3601" s="22">
        <v>79.82</v>
      </c>
      <c r="O3601" s="17">
        <v>4.5</v>
      </c>
      <c r="P3601" s="18">
        <f t="shared" si="1"/>
        <v>458.857</v>
      </c>
    </row>
    <row r="3602" ht="15.75" customHeight="1">
      <c r="A3602" s="13" t="s">
        <v>238</v>
      </c>
      <c r="B3602" s="13" t="s">
        <v>133</v>
      </c>
      <c r="C3602" s="14" t="s">
        <v>165</v>
      </c>
      <c r="D3602" s="14" t="str">
        <f>VLOOKUP(C3602,'State Key'!$A$2:$B$210,2,False)</f>
        <v>Chhattisgarh</v>
      </c>
      <c r="E3602" s="15">
        <v>1600.0</v>
      </c>
      <c r="F3602" s="16">
        <v>564.33</v>
      </c>
      <c r="G3602" s="16">
        <v>0.0</v>
      </c>
      <c r="H3602" s="16">
        <v>0.0</v>
      </c>
      <c r="I3602" s="16">
        <v>0.0</v>
      </c>
      <c r="J3602" s="16">
        <v>0.0</v>
      </c>
      <c r="K3602" s="16">
        <v>0.0</v>
      </c>
      <c r="L3602" s="16">
        <v>564.33</v>
      </c>
      <c r="M3602" s="16">
        <v>665.448</v>
      </c>
      <c r="N3602" s="16">
        <v>487.28</v>
      </c>
      <c r="O3602" s="24">
        <v>22.0</v>
      </c>
      <c r="P3602" s="18">
        <f t="shared" si="1"/>
        <v>564.33</v>
      </c>
    </row>
    <row r="3603" ht="15.75" customHeight="1">
      <c r="A3603" s="19" t="s">
        <v>238</v>
      </c>
      <c r="B3603" s="19" t="s">
        <v>133</v>
      </c>
      <c r="C3603" s="20" t="s">
        <v>166</v>
      </c>
      <c r="D3603" s="14" t="str">
        <f>VLOOKUP(C3603,'State Key'!$A$2:$B$210,2,False)</f>
        <v>Madhya Pradesh</v>
      </c>
      <c r="E3603" s="21">
        <v>1200.0</v>
      </c>
      <c r="F3603" s="22">
        <v>158.632</v>
      </c>
      <c r="G3603" s="22">
        <v>0.0</v>
      </c>
      <c r="H3603" s="22">
        <v>0.0</v>
      </c>
      <c r="I3603" s="22">
        <v>0.0</v>
      </c>
      <c r="J3603" s="22">
        <v>0.0</v>
      </c>
      <c r="K3603" s="22">
        <v>299.057</v>
      </c>
      <c r="L3603" s="22">
        <v>457.689</v>
      </c>
      <c r="M3603" s="22">
        <v>328.021</v>
      </c>
      <c r="N3603" s="22">
        <v>287.06</v>
      </c>
      <c r="O3603" s="24">
        <v>26.3</v>
      </c>
      <c r="P3603" s="18">
        <f t="shared" si="1"/>
        <v>457.689</v>
      </c>
    </row>
    <row r="3604" ht="15.75" customHeight="1">
      <c r="A3604" s="13" t="s">
        <v>238</v>
      </c>
      <c r="B3604" s="13" t="s">
        <v>133</v>
      </c>
      <c r="C3604" s="14" t="s">
        <v>167</v>
      </c>
      <c r="D3604" s="14" t="str">
        <f>VLOOKUP(C3604,'State Key'!$A$2:$B$210,2,False)</f>
        <v>Chhattisgarh</v>
      </c>
      <c r="E3604" s="15">
        <v>1000.0</v>
      </c>
      <c r="F3604" s="16">
        <v>85.835</v>
      </c>
      <c r="G3604" s="16">
        <v>0.0</v>
      </c>
      <c r="H3604" s="16">
        <v>437.798</v>
      </c>
      <c r="I3604" s="16">
        <v>0.0</v>
      </c>
      <c r="J3604" s="16">
        <v>0.0</v>
      </c>
      <c r="K3604" s="16">
        <v>0.0</v>
      </c>
      <c r="L3604" s="16">
        <v>523.633</v>
      </c>
      <c r="M3604" s="16">
        <v>452.837</v>
      </c>
      <c r="N3604" s="16">
        <v>151.29</v>
      </c>
      <c r="O3604" s="23">
        <v>10.0</v>
      </c>
      <c r="P3604" s="18">
        <f t="shared" si="1"/>
        <v>523.633</v>
      </c>
    </row>
    <row r="3605" ht="15.75" customHeight="1">
      <c r="A3605" s="19" t="s">
        <v>238</v>
      </c>
      <c r="B3605" s="19" t="s">
        <v>133</v>
      </c>
      <c r="C3605" s="20" t="s">
        <v>168</v>
      </c>
      <c r="D3605" s="14" t="str">
        <f>VLOOKUP(C3605,'State Key'!$A$2:$B$210,2,False)</f>
        <v>Maharashtra</v>
      </c>
      <c r="E3605" s="21">
        <v>2320.0</v>
      </c>
      <c r="F3605" s="22">
        <v>545.97</v>
      </c>
      <c r="G3605" s="22">
        <v>165.26</v>
      </c>
      <c r="H3605" s="22">
        <v>70.5</v>
      </c>
      <c r="I3605" s="22">
        <v>0.0</v>
      </c>
      <c r="J3605" s="22">
        <v>0.0</v>
      </c>
      <c r="K3605" s="22">
        <v>0.0</v>
      </c>
      <c r="L3605" s="22">
        <v>781.73</v>
      </c>
      <c r="M3605" s="22">
        <v>915.503</v>
      </c>
      <c r="N3605" s="22">
        <v>417.82</v>
      </c>
      <c r="O3605" s="23">
        <v>13.7</v>
      </c>
      <c r="P3605" s="18">
        <f t="shared" si="1"/>
        <v>781.73</v>
      </c>
    </row>
    <row r="3606" ht="15.75" customHeight="1">
      <c r="A3606" s="13" t="s">
        <v>238</v>
      </c>
      <c r="B3606" s="13" t="s">
        <v>133</v>
      </c>
      <c r="C3606" s="14" t="s">
        <v>169</v>
      </c>
      <c r="D3606" s="14" t="str">
        <f>VLOOKUP(C3606,'State Key'!$A$2:$B$210,2,False)</f>
        <v>Madhya Pradesh</v>
      </c>
      <c r="E3606" s="15">
        <v>246.01</v>
      </c>
      <c r="F3606" s="16">
        <v>0.0</v>
      </c>
      <c r="G3606" s="16">
        <v>0.0</v>
      </c>
      <c r="H3606" s="16">
        <v>0.0</v>
      </c>
      <c r="I3606" s="16">
        <v>0.0</v>
      </c>
      <c r="J3606" s="16">
        <v>0.0</v>
      </c>
      <c r="K3606" s="16">
        <v>0.0</v>
      </c>
      <c r="L3606" s="16">
        <v>0.0</v>
      </c>
      <c r="M3606" s="16">
        <v>0.0</v>
      </c>
      <c r="N3606" s="16">
        <v>0.0</v>
      </c>
      <c r="O3606" s="13" t="s">
        <v>58</v>
      </c>
      <c r="P3606" s="18">
        <f t="shared" si="1"/>
        <v>0</v>
      </c>
    </row>
    <row r="3607" ht="15.75" customHeight="1">
      <c r="A3607" s="19" t="s">
        <v>238</v>
      </c>
      <c r="B3607" s="19" t="s">
        <v>133</v>
      </c>
      <c r="C3607" s="20" t="s">
        <v>172</v>
      </c>
      <c r="D3607" s="14" t="str">
        <f>VLOOKUP(C3607,'State Key'!$A$2:$B$210,2,False)</f>
        <v>Gujarat</v>
      </c>
      <c r="E3607" s="21">
        <v>4000.0</v>
      </c>
      <c r="F3607" s="22">
        <v>0.0</v>
      </c>
      <c r="G3607" s="22">
        <v>0.0</v>
      </c>
      <c r="H3607" s="22">
        <v>0.0</v>
      </c>
      <c r="I3607" s="22">
        <v>0.0</v>
      </c>
      <c r="J3607" s="22">
        <v>671.441</v>
      </c>
      <c r="K3607" s="22">
        <v>0.0</v>
      </c>
      <c r="L3607" s="22">
        <v>671.441</v>
      </c>
      <c r="M3607" s="22">
        <v>1005.745</v>
      </c>
      <c r="N3607" s="22">
        <v>717.367</v>
      </c>
      <c r="O3607" s="24">
        <v>21.4</v>
      </c>
      <c r="P3607" s="18">
        <f t="shared" si="1"/>
        <v>671.441</v>
      </c>
    </row>
    <row r="3608" ht="15.75" customHeight="1">
      <c r="A3608" s="13" t="s">
        <v>238</v>
      </c>
      <c r="B3608" s="13" t="s">
        <v>133</v>
      </c>
      <c r="C3608" s="14" t="s">
        <v>173</v>
      </c>
      <c r="D3608" s="14" t="str">
        <f>VLOOKUP(C3608,'State Key'!$A$2:$B$210,2,False)</f>
        <v>Maharashtra</v>
      </c>
      <c r="E3608" s="15">
        <v>1350.0</v>
      </c>
      <c r="F3608" s="16">
        <v>0.0</v>
      </c>
      <c r="G3608" s="16">
        <v>0.0</v>
      </c>
      <c r="H3608" s="16">
        <v>0.0</v>
      </c>
      <c r="I3608" s="16">
        <v>0.0</v>
      </c>
      <c r="J3608" s="16">
        <v>0.0</v>
      </c>
      <c r="K3608" s="16">
        <v>0.0</v>
      </c>
      <c r="L3608" s="16">
        <v>0.0</v>
      </c>
      <c r="M3608" s="16">
        <v>0.0</v>
      </c>
      <c r="N3608" s="16">
        <v>0.0</v>
      </c>
      <c r="O3608" s="13" t="s">
        <v>58</v>
      </c>
      <c r="P3608" s="18">
        <f t="shared" si="1"/>
        <v>0</v>
      </c>
    </row>
    <row r="3609" ht="15.75" customHeight="1">
      <c r="A3609" s="19" t="s">
        <v>238</v>
      </c>
      <c r="B3609" s="19" t="s">
        <v>133</v>
      </c>
      <c r="C3609" s="20" t="s">
        <v>174</v>
      </c>
      <c r="D3609" s="14" t="str">
        <f>VLOOKUP(C3609,'State Key'!$A$2:$B$210,2,False)</f>
        <v>Maharashtra</v>
      </c>
      <c r="E3609" s="21">
        <v>630.0</v>
      </c>
      <c r="F3609" s="22">
        <v>220.113</v>
      </c>
      <c r="G3609" s="22">
        <v>0.0</v>
      </c>
      <c r="H3609" s="22">
        <v>0.0</v>
      </c>
      <c r="I3609" s="22">
        <v>0.0</v>
      </c>
      <c r="J3609" s="22">
        <v>27.409</v>
      </c>
      <c r="K3609" s="22">
        <v>0.0</v>
      </c>
      <c r="L3609" s="22">
        <v>247.522</v>
      </c>
      <c r="M3609" s="22">
        <v>206.289</v>
      </c>
      <c r="N3609" s="22">
        <v>246.46</v>
      </c>
      <c r="O3609" s="24">
        <v>35.8</v>
      </c>
      <c r="P3609" s="18">
        <f t="shared" si="1"/>
        <v>247.522</v>
      </c>
    </row>
    <row r="3610" ht="15.75" customHeight="1">
      <c r="A3610" s="13" t="s">
        <v>238</v>
      </c>
      <c r="B3610" s="13" t="s">
        <v>133</v>
      </c>
      <c r="C3610" s="14" t="s">
        <v>175</v>
      </c>
      <c r="D3610" s="14" t="str">
        <f>VLOOKUP(C3610,'State Key'!$A$2:$B$210,2,False)</f>
        <v>Chhattisgarh</v>
      </c>
      <c r="E3610" s="15">
        <v>600.0</v>
      </c>
      <c r="F3610" s="16">
        <v>254.78</v>
      </c>
      <c r="G3610" s="16">
        <v>0.0</v>
      </c>
      <c r="H3610" s="16">
        <v>0.0</v>
      </c>
      <c r="I3610" s="16">
        <v>0.0</v>
      </c>
      <c r="J3610" s="16">
        <v>0.0</v>
      </c>
      <c r="K3610" s="16">
        <v>0.0</v>
      </c>
      <c r="L3610" s="16">
        <v>254.78</v>
      </c>
      <c r="M3610" s="16">
        <v>228.93</v>
      </c>
      <c r="N3610" s="16">
        <v>161.51</v>
      </c>
      <c r="O3610" s="24">
        <v>21.2</v>
      </c>
      <c r="P3610" s="18">
        <f t="shared" si="1"/>
        <v>254.78</v>
      </c>
    </row>
    <row r="3611" ht="15.75" customHeight="1">
      <c r="A3611" s="19" t="s">
        <v>238</v>
      </c>
      <c r="B3611" s="19" t="s">
        <v>133</v>
      </c>
      <c r="C3611" s="20" t="s">
        <v>176</v>
      </c>
      <c r="D3611" s="14" t="str">
        <f>VLOOKUP(C3611,'State Key'!$A$2:$B$210,2,False)</f>
        <v>Madhya Pradesh</v>
      </c>
      <c r="E3611" s="21">
        <v>1320.0</v>
      </c>
      <c r="F3611" s="22">
        <v>0.0</v>
      </c>
      <c r="G3611" s="22">
        <v>0.0</v>
      </c>
      <c r="H3611" s="22">
        <v>367.9976</v>
      </c>
      <c r="I3611" s="22">
        <v>74.7427</v>
      </c>
      <c r="J3611" s="22">
        <v>0.0</v>
      </c>
      <c r="K3611" s="22">
        <v>0.0</v>
      </c>
      <c r="L3611" s="22">
        <v>442.7403</v>
      </c>
      <c r="M3611" s="22">
        <v>421.9006</v>
      </c>
      <c r="N3611" s="22">
        <v>147.6594</v>
      </c>
      <c r="O3611" s="23">
        <v>10.5</v>
      </c>
      <c r="P3611" s="18">
        <f t="shared" si="1"/>
        <v>442.7403</v>
      </c>
    </row>
    <row r="3612" ht="15.75" customHeight="1">
      <c r="A3612" s="13" t="s">
        <v>238</v>
      </c>
      <c r="B3612" s="13" t="s">
        <v>133</v>
      </c>
      <c r="C3612" s="14" t="s">
        <v>177</v>
      </c>
      <c r="D3612" s="14" t="str">
        <f>VLOOKUP(C3612,'State Key'!$A$2:$B$210,2,False)</f>
        <v>Madhya Pradesh</v>
      </c>
      <c r="E3612" s="15">
        <v>90.0</v>
      </c>
      <c r="F3612" s="16">
        <v>11.105</v>
      </c>
      <c r="G3612" s="16">
        <v>0.0</v>
      </c>
      <c r="H3612" s="16">
        <v>0.0</v>
      </c>
      <c r="I3612" s="16">
        <v>0.0</v>
      </c>
      <c r="J3612" s="16">
        <v>0.0</v>
      </c>
      <c r="K3612" s="16">
        <v>15.834</v>
      </c>
      <c r="L3612" s="16">
        <v>26.939</v>
      </c>
      <c r="M3612" s="16">
        <v>22.372</v>
      </c>
      <c r="N3612" s="16">
        <v>69.83</v>
      </c>
      <c r="O3612" s="24">
        <v>93.6</v>
      </c>
      <c r="P3612" s="18">
        <f t="shared" si="1"/>
        <v>26.939</v>
      </c>
    </row>
    <row r="3613" ht="15.75" customHeight="1">
      <c r="A3613" s="19" t="s">
        <v>238</v>
      </c>
      <c r="B3613" s="19" t="s">
        <v>133</v>
      </c>
      <c r="C3613" s="20" t="s">
        <v>178</v>
      </c>
      <c r="D3613" s="14" t="str">
        <f>VLOOKUP(C3613,'State Key'!$A$2:$B$210,2,False)</f>
        <v>Chhattisgarh</v>
      </c>
      <c r="E3613" s="21">
        <v>1000.0</v>
      </c>
      <c r="F3613" s="22">
        <v>100.724</v>
      </c>
      <c r="G3613" s="22">
        <v>0.0</v>
      </c>
      <c r="H3613" s="22">
        <v>235.34103</v>
      </c>
      <c r="I3613" s="22">
        <v>18.00833</v>
      </c>
      <c r="J3613" s="22">
        <v>0.0</v>
      </c>
      <c r="K3613" s="22">
        <v>23.45174</v>
      </c>
      <c r="L3613" s="22">
        <v>377.5251</v>
      </c>
      <c r="M3613" s="22">
        <v>410.983</v>
      </c>
      <c r="N3613" s="22">
        <v>516.005</v>
      </c>
      <c r="O3613" s="24">
        <v>37.7</v>
      </c>
      <c r="P3613" s="18">
        <f t="shared" si="1"/>
        <v>377.5251</v>
      </c>
    </row>
    <row r="3614" ht="15.75" customHeight="1">
      <c r="A3614" s="13" t="s">
        <v>238</v>
      </c>
      <c r="B3614" s="13" t="s">
        <v>133</v>
      </c>
      <c r="C3614" s="14" t="s">
        <v>179</v>
      </c>
      <c r="D3614" s="14" t="str">
        <f>VLOOKUP(C3614,'State Key'!$A$2:$B$210,2,False)</f>
        <v>Maharashtra</v>
      </c>
      <c r="E3614" s="15">
        <v>500.0</v>
      </c>
      <c r="F3614" s="16">
        <v>240.884</v>
      </c>
      <c r="G3614" s="16">
        <v>3.959</v>
      </c>
      <c r="H3614" s="16">
        <v>0.0</v>
      </c>
      <c r="I3614" s="16">
        <v>0.0</v>
      </c>
      <c r="J3614" s="16">
        <v>0.0</v>
      </c>
      <c r="K3614" s="16">
        <v>0.0</v>
      </c>
      <c r="L3614" s="16">
        <v>244.843</v>
      </c>
      <c r="M3614" s="16">
        <v>198.77</v>
      </c>
      <c r="N3614" s="16">
        <v>85.56</v>
      </c>
      <c r="O3614" s="23">
        <v>12.9</v>
      </c>
      <c r="P3614" s="18">
        <f t="shared" si="1"/>
        <v>244.843</v>
      </c>
    </row>
    <row r="3615" ht="15.75" customHeight="1">
      <c r="A3615" s="19" t="s">
        <v>238</v>
      </c>
      <c r="B3615" s="19" t="s">
        <v>133</v>
      </c>
      <c r="C3615" s="20" t="s">
        <v>180</v>
      </c>
      <c r="D3615" s="14" t="str">
        <f>VLOOKUP(C3615,'State Key'!$A$2:$B$210,2,False)</f>
        <v>Maharashtra</v>
      </c>
      <c r="E3615" s="21">
        <v>750.0</v>
      </c>
      <c r="F3615" s="22">
        <v>107.711</v>
      </c>
      <c r="G3615" s="22">
        <v>186.629</v>
      </c>
      <c r="H3615" s="22">
        <v>0.0</v>
      </c>
      <c r="I3615" s="22">
        <v>0.0</v>
      </c>
      <c r="J3615" s="22">
        <v>0.0</v>
      </c>
      <c r="K3615" s="22">
        <v>0.0</v>
      </c>
      <c r="L3615" s="22">
        <v>294.34</v>
      </c>
      <c r="M3615" s="22">
        <v>239.841</v>
      </c>
      <c r="N3615" s="22">
        <v>190.25</v>
      </c>
      <c r="O3615" s="24">
        <v>23.8</v>
      </c>
      <c r="P3615" s="18">
        <f t="shared" si="1"/>
        <v>294.34</v>
      </c>
    </row>
    <row r="3616" ht="15.75" customHeight="1">
      <c r="A3616" s="13" t="s">
        <v>238</v>
      </c>
      <c r="B3616" s="13" t="s">
        <v>133</v>
      </c>
      <c r="C3616" s="14" t="s">
        <v>181</v>
      </c>
      <c r="D3616" s="14" t="str">
        <f>VLOOKUP(C3616,'State Key'!$A$2:$B$210,2,False)</f>
        <v>Chhattisgarh</v>
      </c>
      <c r="E3616" s="15">
        <v>600.0</v>
      </c>
      <c r="F3616" s="16">
        <v>315.185</v>
      </c>
      <c r="G3616" s="16">
        <v>0.0</v>
      </c>
      <c r="H3616" s="16">
        <v>0.0</v>
      </c>
      <c r="I3616" s="16">
        <v>0.0</v>
      </c>
      <c r="J3616" s="16">
        <v>0.0</v>
      </c>
      <c r="K3616" s="16">
        <v>0.0</v>
      </c>
      <c r="L3616" s="16">
        <v>315.185</v>
      </c>
      <c r="M3616" s="16">
        <v>243.214</v>
      </c>
      <c r="N3616" s="16">
        <v>168.11</v>
      </c>
      <c r="O3616" s="24">
        <v>20.7</v>
      </c>
      <c r="P3616" s="18">
        <f t="shared" si="1"/>
        <v>315.185</v>
      </c>
    </row>
    <row r="3617" ht="15.75" customHeight="1">
      <c r="A3617" s="19" t="s">
        <v>238</v>
      </c>
      <c r="B3617" s="19" t="s">
        <v>133</v>
      </c>
      <c r="C3617" s="20" t="s">
        <v>183</v>
      </c>
      <c r="D3617" s="14" t="str">
        <f>VLOOKUP(C3617,'State Key'!$A$2:$B$210,2,False)</f>
        <v>Chhattisgarh</v>
      </c>
      <c r="E3617" s="21">
        <v>100.0</v>
      </c>
      <c r="F3617" s="22">
        <v>7.7</v>
      </c>
      <c r="G3617" s="22">
        <v>0.0</v>
      </c>
      <c r="H3617" s="22">
        <v>0.0</v>
      </c>
      <c r="I3617" s="22">
        <v>0.0</v>
      </c>
      <c r="J3617" s="22">
        <v>0.0</v>
      </c>
      <c r="K3617" s="22">
        <v>83.51</v>
      </c>
      <c r="L3617" s="22">
        <v>91.21</v>
      </c>
      <c r="M3617" s="22">
        <v>77.51</v>
      </c>
      <c r="N3617" s="22">
        <v>31.74</v>
      </c>
      <c r="O3617" s="23">
        <v>12.3</v>
      </c>
      <c r="P3617" s="18">
        <f t="shared" si="1"/>
        <v>91.21</v>
      </c>
    </row>
    <row r="3618" ht="15.75" customHeight="1">
      <c r="A3618" s="13" t="s">
        <v>238</v>
      </c>
      <c r="B3618" s="13" t="s">
        <v>133</v>
      </c>
      <c r="C3618" s="14" t="s">
        <v>184</v>
      </c>
      <c r="D3618" s="14" t="str">
        <f>VLOOKUP(C3618,'State Key'!$A$2:$B$210,2,False)</f>
        <v>Gujarat</v>
      </c>
      <c r="E3618" s="15">
        <v>362.0</v>
      </c>
      <c r="F3618" s="16">
        <v>109.621</v>
      </c>
      <c r="G3618" s="16">
        <v>0.0</v>
      </c>
      <c r="H3618" s="16">
        <v>0.0</v>
      </c>
      <c r="I3618" s="16">
        <v>0.0</v>
      </c>
      <c r="J3618" s="16">
        <v>0.0</v>
      </c>
      <c r="K3618" s="16">
        <v>0.0</v>
      </c>
      <c r="L3618" s="16">
        <v>109.621</v>
      </c>
      <c r="M3618" s="16">
        <v>114.29</v>
      </c>
      <c r="N3618" s="16">
        <v>54.48</v>
      </c>
      <c r="O3618" s="24">
        <v>14.3</v>
      </c>
      <c r="P3618" s="18">
        <f t="shared" si="1"/>
        <v>109.621</v>
      </c>
    </row>
    <row r="3619" ht="15.75" customHeight="1">
      <c r="A3619" s="19" t="s">
        <v>238</v>
      </c>
      <c r="B3619" s="19" t="s">
        <v>133</v>
      </c>
      <c r="C3619" s="20" t="s">
        <v>185</v>
      </c>
      <c r="D3619" s="14" t="str">
        <f>VLOOKUP(C3619,'State Key'!$A$2:$B$210,2,False)</f>
        <v>Gujarat</v>
      </c>
      <c r="E3619" s="21">
        <v>1200.0</v>
      </c>
      <c r="F3619" s="22">
        <v>0.0</v>
      </c>
      <c r="G3619" s="22">
        <v>0.0</v>
      </c>
      <c r="H3619" s="22">
        <v>0.0</v>
      </c>
      <c r="I3619" s="22">
        <v>0.0</v>
      </c>
      <c r="J3619" s="22">
        <v>244.01</v>
      </c>
      <c r="K3619" s="22">
        <v>0.0</v>
      </c>
      <c r="L3619" s="22">
        <v>244.01</v>
      </c>
      <c r="M3619" s="22">
        <v>169.466</v>
      </c>
      <c r="N3619" s="22">
        <v>211.81</v>
      </c>
      <c r="O3619" s="24">
        <v>37.5</v>
      </c>
      <c r="P3619" s="18">
        <f t="shared" si="1"/>
        <v>244.01</v>
      </c>
    </row>
    <row r="3620" ht="15.75" customHeight="1">
      <c r="A3620" s="13" t="s">
        <v>238</v>
      </c>
      <c r="B3620" s="13" t="s">
        <v>133</v>
      </c>
      <c r="C3620" s="14" t="s">
        <v>186</v>
      </c>
      <c r="D3620" s="14" t="str">
        <f>VLOOKUP(C3620,'State Key'!$A$2:$B$210,2,False)</f>
        <v>Chhattisgarh</v>
      </c>
      <c r="E3620" s="15">
        <v>135.0</v>
      </c>
      <c r="F3620" s="16">
        <v>0.0</v>
      </c>
      <c r="G3620" s="16">
        <v>0.0</v>
      </c>
      <c r="H3620" s="16">
        <v>0.0</v>
      </c>
      <c r="I3620" s="16">
        <v>0.0</v>
      </c>
      <c r="J3620" s="16">
        <v>0.0</v>
      </c>
      <c r="K3620" s="16">
        <v>0.0</v>
      </c>
      <c r="L3620" s="16">
        <v>0.0</v>
      </c>
      <c r="M3620" s="16">
        <v>0.0</v>
      </c>
      <c r="N3620" s="16">
        <v>0.0</v>
      </c>
      <c r="O3620" s="13" t="s">
        <v>58</v>
      </c>
      <c r="P3620" s="18">
        <f t="shared" si="1"/>
        <v>0</v>
      </c>
    </row>
    <row r="3621" ht="15.75" customHeight="1">
      <c r="A3621" s="19" t="s">
        <v>238</v>
      </c>
      <c r="B3621" s="19" t="s">
        <v>133</v>
      </c>
      <c r="C3621" s="20" t="s">
        <v>187</v>
      </c>
      <c r="D3621" s="14" t="str">
        <f>VLOOKUP(C3621,'State Key'!$A$2:$B$210,2,False)</f>
        <v>Madhya Pradesh</v>
      </c>
      <c r="E3621" s="21">
        <v>1340.0</v>
      </c>
      <c r="F3621" s="22">
        <v>542.227</v>
      </c>
      <c r="G3621" s="22">
        <v>0.0</v>
      </c>
      <c r="H3621" s="22">
        <v>0.0</v>
      </c>
      <c r="I3621" s="22">
        <v>0.0</v>
      </c>
      <c r="J3621" s="22">
        <v>0.0</v>
      </c>
      <c r="K3621" s="22">
        <v>0.0</v>
      </c>
      <c r="L3621" s="22">
        <v>542.227</v>
      </c>
      <c r="M3621" s="22">
        <v>478.5041</v>
      </c>
      <c r="N3621" s="22">
        <v>226.866</v>
      </c>
      <c r="O3621" s="24">
        <v>14.2</v>
      </c>
      <c r="P3621" s="18">
        <f t="shared" si="1"/>
        <v>542.227</v>
      </c>
    </row>
    <row r="3622" ht="15.75" customHeight="1">
      <c r="A3622" s="13" t="s">
        <v>238</v>
      </c>
      <c r="B3622" s="13" t="s">
        <v>133</v>
      </c>
      <c r="C3622" s="14" t="s">
        <v>188</v>
      </c>
      <c r="D3622" s="14" t="str">
        <f>VLOOKUP(C3622,'State Key'!$A$2:$B$210,2,False)</f>
        <v>Madhya Pradesh</v>
      </c>
      <c r="E3622" s="15">
        <v>3960.0</v>
      </c>
      <c r="F3622" s="16">
        <v>0.0</v>
      </c>
      <c r="G3622" s="16">
        <v>0.0</v>
      </c>
      <c r="H3622" s="16">
        <v>1592.164</v>
      </c>
      <c r="I3622" s="16">
        <v>0.0</v>
      </c>
      <c r="J3622" s="16">
        <v>0.0</v>
      </c>
      <c r="K3622" s="16">
        <v>0.0</v>
      </c>
      <c r="L3622" s="16">
        <v>1592.164</v>
      </c>
      <c r="M3622" s="16">
        <v>1568.685</v>
      </c>
      <c r="N3622" s="16">
        <v>78.55</v>
      </c>
      <c r="O3622" s="17">
        <v>1.5</v>
      </c>
      <c r="P3622" s="18">
        <f t="shared" si="1"/>
        <v>1592.164</v>
      </c>
    </row>
    <row r="3623" ht="15.75" customHeight="1">
      <c r="A3623" s="19" t="s">
        <v>238</v>
      </c>
      <c r="B3623" s="19" t="s">
        <v>133</v>
      </c>
      <c r="C3623" s="20" t="s">
        <v>189</v>
      </c>
      <c r="D3623" s="14" t="str">
        <f>VLOOKUP(C3623,'State Key'!$A$2:$B$210,2,False)</f>
        <v>Madhya Pradesh</v>
      </c>
      <c r="E3623" s="21">
        <v>1330.0</v>
      </c>
      <c r="F3623" s="22">
        <v>212.74422</v>
      </c>
      <c r="G3623" s="22">
        <v>0.0</v>
      </c>
      <c r="H3623" s="22">
        <v>0.0</v>
      </c>
      <c r="I3623" s="22">
        <v>0.0</v>
      </c>
      <c r="J3623" s="22">
        <v>0.0</v>
      </c>
      <c r="K3623" s="22">
        <v>0.0</v>
      </c>
      <c r="L3623" s="22">
        <v>212.74422</v>
      </c>
      <c r="M3623" s="22">
        <v>230.548</v>
      </c>
      <c r="N3623" s="22">
        <v>83.59</v>
      </c>
      <c r="O3623" s="23">
        <v>10.9</v>
      </c>
      <c r="P3623" s="18">
        <f t="shared" si="1"/>
        <v>212.74422</v>
      </c>
    </row>
    <row r="3624" ht="15.75" customHeight="1">
      <c r="A3624" s="13" t="s">
        <v>238</v>
      </c>
      <c r="B3624" s="13" t="s">
        <v>133</v>
      </c>
      <c r="C3624" s="14" t="s">
        <v>190</v>
      </c>
      <c r="D3624" s="14" t="str">
        <f>VLOOKUP(C3624,'State Key'!$A$2:$B$210,2,False)</f>
        <v>Madhya Pradesh</v>
      </c>
      <c r="E3624" s="15">
        <v>600.0</v>
      </c>
      <c r="F3624" s="16">
        <v>157.898</v>
      </c>
      <c r="G3624" s="16">
        <v>0.0</v>
      </c>
      <c r="H3624" s="16">
        <v>0.0</v>
      </c>
      <c r="I3624" s="16">
        <v>149.161</v>
      </c>
      <c r="J3624" s="16">
        <v>0.0</v>
      </c>
      <c r="K3624" s="16">
        <v>0.0</v>
      </c>
      <c r="L3624" s="16">
        <v>307.059</v>
      </c>
      <c r="M3624" s="16">
        <v>246.011</v>
      </c>
      <c r="N3624" s="16">
        <v>110.91</v>
      </c>
      <c r="O3624" s="23">
        <v>13.5</v>
      </c>
      <c r="P3624" s="18">
        <f t="shared" si="1"/>
        <v>307.059</v>
      </c>
    </row>
    <row r="3625" ht="15.75" customHeight="1">
      <c r="A3625" s="19" t="s">
        <v>238</v>
      </c>
      <c r="B3625" s="19" t="s">
        <v>133</v>
      </c>
      <c r="C3625" s="20" t="s">
        <v>191</v>
      </c>
      <c r="D3625" s="14" t="str">
        <f>VLOOKUP(C3625,'State Key'!$A$2:$B$210,2,False)</f>
        <v>Maharashtra</v>
      </c>
      <c r="E3625" s="21">
        <v>300.0</v>
      </c>
      <c r="F3625" s="22">
        <v>0.0</v>
      </c>
      <c r="G3625" s="22">
        <v>0.0</v>
      </c>
      <c r="H3625" s="22">
        <v>0.0</v>
      </c>
      <c r="I3625" s="22">
        <v>0.0</v>
      </c>
      <c r="J3625" s="22">
        <v>0.0</v>
      </c>
      <c r="K3625" s="22">
        <v>52.814</v>
      </c>
      <c r="L3625" s="22">
        <v>52.814</v>
      </c>
      <c r="M3625" s="22">
        <v>46.823</v>
      </c>
      <c r="N3625" s="22">
        <v>30.0</v>
      </c>
      <c r="O3625" s="24">
        <v>19.2</v>
      </c>
      <c r="P3625" s="18">
        <f t="shared" si="1"/>
        <v>52.814</v>
      </c>
    </row>
    <row r="3626" ht="15.75" customHeight="1">
      <c r="A3626" s="13" t="s">
        <v>238</v>
      </c>
      <c r="B3626" s="13" t="s">
        <v>133</v>
      </c>
      <c r="C3626" s="14" t="s">
        <v>192</v>
      </c>
      <c r="D3626" s="14" t="str">
        <f>VLOOKUP(C3626,'State Key'!$A$2:$B$210,2,False)</f>
        <v>Madhya Pradesh</v>
      </c>
      <c r="E3626" s="15">
        <v>2520.0</v>
      </c>
      <c r="F3626" s="16">
        <v>783.813</v>
      </c>
      <c r="G3626" s="16">
        <v>0.0</v>
      </c>
      <c r="H3626" s="16">
        <v>0.0</v>
      </c>
      <c r="I3626" s="16">
        <v>0.0</v>
      </c>
      <c r="J3626" s="16">
        <v>0.0</v>
      </c>
      <c r="K3626" s="16">
        <v>0.0</v>
      </c>
      <c r="L3626" s="16">
        <v>783.813</v>
      </c>
      <c r="M3626" s="16">
        <v>958.111</v>
      </c>
      <c r="N3626" s="16">
        <v>338.65</v>
      </c>
      <c r="O3626" s="23">
        <v>10.6</v>
      </c>
      <c r="P3626" s="18">
        <f t="shared" si="1"/>
        <v>783.813</v>
      </c>
    </row>
    <row r="3627" ht="15.75" customHeight="1">
      <c r="A3627" s="19" t="s">
        <v>238</v>
      </c>
      <c r="B3627" s="19" t="s">
        <v>133</v>
      </c>
      <c r="C3627" s="20" t="s">
        <v>193</v>
      </c>
      <c r="D3627" s="14" t="str">
        <f>VLOOKUP(C3627,'State Key'!$A$2:$B$210,2,False)</f>
        <v>Gujarat</v>
      </c>
      <c r="E3627" s="21">
        <v>500.0</v>
      </c>
      <c r="F3627" s="22">
        <v>0.0</v>
      </c>
      <c r="G3627" s="22">
        <v>0.0</v>
      </c>
      <c r="H3627" s="22">
        <v>0.0</v>
      </c>
      <c r="I3627" s="22">
        <v>0.0</v>
      </c>
      <c r="J3627" s="22">
        <v>16.241</v>
      </c>
      <c r="K3627" s="22">
        <v>0.0</v>
      </c>
      <c r="L3627" s="22">
        <v>16.241</v>
      </c>
      <c r="M3627" s="22">
        <v>0.0</v>
      </c>
      <c r="N3627" s="22">
        <v>109.72</v>
      </c>
      <c r="O3627" s="19" t="s">
        <v>58</v>
      </c>
      <c r="P3627" s="18">
        <f t="shared" si="1"/>
        <v>16.241</v>
      </c>
    </row>
    <row r="3628" ht="15.75" customHeight="1">
      <c r="A3628" s="13" t="s">
        <v>238</v>
      </c>
      <c r="B3628" s="13" t="s">
        <v>133</v>
      </c>
      <c r="C3628" s="14" t="s">
        <v>194</v>
      </c>
      <c r="D3628" s="14" t="str">
        <f>VLOOKUP(C3628,'State Key'!$A$2:$B$210,2,False)</f>
        <v>Chhattisgarh</v>
      </c>
      <c r="E3628" s="15">
        <v>2980.0</v>
      </c>
      <c r="F3628" s="16">
        <v>1450.89</v>
      </c>
      <c r="G3628" s="16">
        <v>0.0</v>
      </c>
      <c r="H3628" s="16">
        <v>11.81</v>
      </c>
      <c r="I3628" s="16">
        <v>0.0</v>
      </c>
      <c r="J3628" s="16">
        <v>0.0</v>
      </c>
      <c r="K3628" s="16">
        <v>0.0</v>
      </c>
      <c r="L3628" s="16">
        <v>1462.7</v>
      </c>
      <c r="M3628" s="16">
        <v>1493.657</v>
      </c>
      <c r="N3628" s="16">
        <v>196.02</v>
      </c>
      <c r="O3628" s="17">
        <v>3.9</v>
      </c>
      <c r="P3628" s="18">
        <f t="shared" si="1"/>
        <v>1462.7</v>
      </c>
    </row>
    <row r="3629" ht="15.75" customHeight="1">
      <c r="A3629" s="19" t="s">
        <v>238</v>
      </c>
      <c r="B3629" s="19" t="s">
        <v>133</v>
      </c>
      <c r="C3629" s="20" t="s">
        <v>195</v>
      </c>
      <c r="D3629" s="14" t="str">
        <f>VLOOKUP(C3629,'State Key'!$A$2:$B$210,2,False)</f>
        <v>Maharashtra</v>
      </c>
      <c r="E3629" s="21">
        <v>1320.0</v>
      </c>
      <c r="F3629" s="22">
        <v>241.2</v>
      </c>
      <c r="G3629" s="22">
        <v>60.25</v>
      </c>
      <c r="H3629" s="22">
        <v>91.81</v>
      </c>
      <c r="I3629" s="22">
        <v>0.0</v>
      </c>
      <c r="J3629" s="22">
        <v>0.0</v>
      </c>
      <c r="K3629" s="22">
        <v>0.0</v>
      </c>
      <c r="L3629" s="22">
        <v>393.26</v>
      </c>
      <c r="M3629" s="22">
        <v>455.481</v>
      </c>
      <c r="N3629" s="22">
        <v>145.738</v>
      </c>
      <c r="O3629" s="23">
        <v>9.6</v>
      </c>
      <c r="P3629" s="18">
        <f t="shared" si="1"/>
        <v>393.26</v>
      </c>
    </row>
    <row r="3630" ht="15.75" customHeight="1">
      <c r="A3630" s="13" t="s">
        <v>238</v>
      </c>
      <c r="B3630" s="13" t="s">
        <v>133</v>
      </c>
      <c r="C3630" s="14" t="s">
        <v>196</v>
      </c>
      <c r="D3630" s="14" t="str">
        <f>VLOOKUP(C3630,'State Key'!$A$2:$B$210,2,False)</f>
        <v>Chhattisgarh</v>
      </c>
      <c r="E3630" s="15">
        <v>63.0</v>
      </c>
      <c r="F3630" s="16">
        <v>4.699</v>
      </c>
      <c r="G3630" s="16">
        <v>0.0</v>
      </c>
      <c r="H3630" s="16">
        <v>0.0</v>
      </c>
      <c r="I3630" s="16">
        <v>0.0</v>
      </c>
      <c r="J3630" s="16">
        <v>0.0</v>
      </c>
      <c r="K3630" s="16">
        <v>18.7605</v>
      </c>
      <c r="L3630" s="16">
        <v>23.4595</v>
      </c>
      <c r="M3630" s="16">
        <v>43.857</v>
      </c>
      <c r="N3630" s="16">
        <v>14.06</v>
      </c>
      <c r="O3630" s="23">
        <v>9.6</v>
      </c>
      <c r="P3630" s="18">
        <f t="shared" si="1"/>
        <v>23.4595</v>
      </c>
    </row>
    <row r="3631" ht="15.75" customHeight="1">
      <c r="A3631" s="19" t="s">
        <v>238</v>
      </c>
      <c r="B3631" s="19" t="s">
        <v>133</v>
      </c>
      <c r="C3631" s="20" t="s">
        <v>197</v>
      </c>
      <c r="D3631" s="14" t="str">
        <f>VLOOKUP(C3631,'State Key'!$A$2:$B$210,2,False)</f>
        <v>Chhattisgarh</v>
      </c>
      <c r="E3631" s="21">
        <v>25.0</v>
      </c>
      <c r="F3631" s="22">
        <v>0.0</v>
      </c>
      <c r="G3631" s="22">
        <v>0.0</v>
      </c>
      <c r="H3631" s="22">
        <v>0.0</v>
      </c>
      <c r="I3631" s="22">
        <v>0.0</v>
      </c>
      <c r="J3631" s="22">
        <v>0.0</v>
      </c>
      <c r="K3631" s="22">
        <v>0.0</v>
      </c>
      <c r="L3631" s="22">
        <v>0.0</v>
      </c>
      <c r="M3631" s="22">
        <v>0.0</v>
      </c>
      <c r="N3631" s="22">
        <v>0.0</v>
      </c>
      <c r="O3631" s="19" t="s">
        <v>58</v>
      </c>
      <c r="P3631" s="18">
        <f t="shared" si="1"/>
        <v>0</v>
      </c>
    </row>
    <row r="3632" ht="15.75" customHeight="1">
      <c r="A3632" s="13" t="s">
        <v>238</v>
      </c>
      <c r="B3632" s="13" t="s">
        <v>133</v>
      </c>
      <c r="C3632" s="14" t="s">
        <v>198</v>
      </c>
      <c r="D3632" s="14" t="str">
        <f>VLOOKUP(C3632,'State Key'!$A$2:$B$210,2,False)</f>
        <v>Chhattisgarh</v>
      </c>
      <c r="E3632" s="15">
        <v>2400.0</v>
      </c>
      <c r="F3632" s="16">
        <v>518.979</v>
      </c>
      <c r="G3632" s="16">
        <v>0.0</v>
      </c>
      <c r="H3632" s="16">
        <v>753.0</v>
      </c>
      <c r="I3632" s="16">
        <v>0.0</v>
      </c>
      <c r="J3632" s="16">
        <v>0.0</v>
      </c>
      <c r="K3632" s="16">
        <v>0.0</v>
      </c>
      <c r="L3632" s="16">
        <v>1271.979</v>
      </c>
      <c r="M3632" s="16">
        <v>1188.881</v>
      </c>
      <c r="N3632" s="16">
        <v>256.32</v>
      </c>
      <c r="O3632" s="17">
        <v>6.5</v>
      </c>
      <c r="P3632" s="18">
        <f t="shared" si="1"/>
        <v>1271.979</v>
      </c>
    </row>
    <row r="3633" ht="15.75" customHeight="1">
      <c r="A3633" s="19" t="s">
        <v>238</v>
      </c>
      <c r="B3633" s="19" t="s">
        <v>133</v>
      </c>
      <c r="C3633" s="20" t="s">
        <v>200</v>
      </c>
      <c r="D3633" s="14" t="str">
        <f>VLOOKUP(C3633,'State Key'!$A$2:$B$210,2,False)</f>
        <v>Maharashtra</v>
      </c>
      <c r="E3633" s="21">
        <v>750.0</v>
      </c>
      <c r="F3633" s="22">
        <v>0.0</v>
      </c>
      <c r="G3633" s="22">
        <v>0.0</v>
      </c>
      <c r="H3633" s="22">
        <v>0.0</v>
      </c>
      <c r="I3633" s="22">
        <v>0.0</v>
      </c>
      <c r="J3633" s="22">
        <v>64.17</v>
      </c>
      <c r="K3633" s="22">
        <v>0.0</v>
      </c>
      <c r="L3633" s="22">
        <v>64.17</v>
      </c>
      <c r="M3633" s="22">
        <v>71.262</v>
      </c>
      <c r="N3633" s="22">
        <v>237.39</v>
      </c>
      <c r="O3633" s="24">
        <v>99.9</v>
      </c>
      <c r="P3633" s="18">
        <f t="shared" si="1"/>
        <v>64.17</v>
      </c>
    </row>
    <row r="3634" ht="15.75" customHeight="1">
      <c r="A3634" s="13" t="s">
        <v>238</v>
      </c>
      <c r="B3634" s="13" t="s">
        <v>133</v>
      </c>
      <c r="C3634" s="14" t="s">
        <v>201</v>
      </c>
      <c r="D3634" s="14" t="str">
        <f>VLOOKUP(C3634,'State Key'!$A$2:$B$210,2,False)</f>
        <v>Chhattisgarh</v>
      </c>
      <c r="E3634" s="15">
        <v>1440.0</v>
      </c>
      <c r="F3634" s="16">
        <v>291.695</v>
      </c>
      <c r="G3634" s="16">
        <v>0.0</v>
      </c>
      <c r="H3634" s="16">
        <v>0.0</v>
      </c>
      <c r="I3634" s="16">
        <v>86.599</v>
      </c>
      <c r="J3634" s="16">
        <v>0.0</v>
      </c>
      <c r="K3634" s="16">
        <v>94.441</v>
      </c>
      <c r="L3634" s="16">
        <v>472.735</v>
      </c>
      <c r="M3634" s="16">
        <v>366.049</v>
      </c>
      <c r="N3634" s="16">
        <v>532.69</v>
      </c>
      <c r="O3634" s="24">
        <v>43.7</v>
      </c>
      <c r="P3634" s="18">
        <f t="shared" si="1"/>
        <v>472.735</v>
      </c>
    </row>
    <row r="3635" ht="15.75" customHeight="1">
      <c r="A3635" s="19" t="s">
        <v>238</v>
      </c>
      <c r="B3635" s="19" t="s">
        <v>133</v>
      </c>
      <c r="C3635" s="20" t="s">
        <v>202</v>
      </c>
      <c r="D3635" s="14" t="str">
        <f>VLOOKUP(C3635,'State Key'!$A$2:$B$210,2,False)</f>
        <v>Gujarat</v>
      </c>
      <c r="E3635" s="21">
        <v>1110.0</v>
      </c>
      <c r="F3635" s="22">
        <v>222.2459</v>
      </c>
      <c r="G3635" s="22">
        <v>0.0</v>
      </c>
      <c r="H3635" s="22">
        <v>0.0</v>
      </c>
      <c r="I3635" s="22">
        <v>0.0</v>
      </c>
      <c r="J3635" s="22">
        <v>0.0</v>
      </c>
      <c r="K3635" s="22">
        <v>0.0</v>
      </c>
      <c r="L3635" s="22">
        <v>222.2459</v>
      </c>
      <c r="M3635" s="22">
        <v>214.47</v>
      </c>
      <c r="N3635" s="22">
        <v>311.56</v>
      </c>
      <c r="O3635" s="24">
        <v>43.6</v>
      </c>
      <c r="P3635" s="18">
        <f t="shared" si="1"/>
        <v>222.2459</v>
      </c>
    </row>
    <row r="3636" ht="15.75" customHeight="1">
      <c r="A3636" s="13" t="s">
        <v>238</v>
      </c>
      <c r="B3636" s="13" t="s">
        <v>133</v>
      </c>
      <c r="C3636" s="14" t="s">
        <v>203</v>
      </c>
      <c r="D3636" s="14" t="str">
        <f>VLOOKUP(C3636,'State Key'!$A$2:$B$210,2,False)</f>
        <v>Madhya Pradesh</v>
      </c>
      <c r="E3636" s="15">
        <v>4760.0</v>
      </c>
      <c r="F3636" s="16">
        <v>2162.39</v>
      </c>
      <c r="G3636" s="16">
        <v>0.0</v>
      </c>
      <c r="H3636" s="16">
        <v>0.0</v>
      </c>
      <c r="I3636" s="16">
        <v>0.0</v>
      </c>
      <c r="J3636" s="16">
        <v>0.0</v>
      </c>
      <c r="K3636" s="16">
        <v>0.0</v>
      </c>
      <c r="L3636" s="16">
        <v>2162.39</v>
      </c>
      <c r="M3636" s="16">
        <v>1941.578</v>
      </c>
      <c r="N3636" s="16">
        <v>978.27</v>
      </c>
      <c r="O3636" s="24">
        <v>15.1</v>
      </c>
      <c r="P3636" s="18">
        <f t="shared" si="1"/>
        <v>2162.39</v>
      </c>
    </row>
    <row r="3637" ht="15.75" customHeight="1">
      <c r="A3637" s="19" t="s">
        <v>238</v>
      </c>
      <c r="B3637" s="19" t="s">
        <v>133</v>
      </c>
      <c r="C3637" s="20" t="s">
        <v>204</v>
      </c>
      <c r="D3637" s="14" t="str">
        <f>VLOOKUP(C3637,'State Key'!$A$2:$B$210,2,False)</f>
        <v>Gujarat</v>
      </c>
      <c r="E3637" s="21">
        <v>2270.0</v>
      </c>
      <c r="F3637" s="22">
        <v>437.8036</v>
      </c>
      <c r="G3637" s="22">
        <v>0.0</v>
      </c>
      <c r="H3637" s="22">
        <v>0.0</v>
      </c>
      <c r="I3637" s="22">
        <v>0.0</v>
      </c>
      <c r="J3637" s="22">
        <v>0.0</v>
      </c>
      <c r="K3637" s="22">
        <v>0.0</v>
      </c>
      <c r="L3637" s="22">
        <v>437.8036</v>
      </c>
      <c r="M3637" s="22">
        <v>286.636</v>
      </c>
      <c r="N3637" s="22">
        <v>582.38</v>
      </c>
      <c r="O3637" s="24">
        <v>61.0</v>
      </c>
      <c r="P3637" s="18">
        <f t="shared" si="1"/>
        <v>437.8036</v>
      </c>
    </row>
    <row r="3638" ht="15.75" customHeight="1">
      <c r="A3638" s="13" t="s">
        <v>238</v>
      </c>
      <c r="B3638" s="13" t="s">
        <v>133</v>
      </c>
      <c r="C3638" s="14" t="s">
        <v>205</v>
      </c>
      <c r="D3638" s="14" t="str">
        <f>VLOOKUP(C3638,'State Key'!$A$2:$B$210,2,False)</f>
        <v>Maharashtra</v>
      </c>
      <c r="E3638" s="15">
        <v>540.0</v>
      </c>
      <c r="F3638" s="16">
        <v>268.89</v>
      </c>
      <c r="G3638" s="16">
        <v>0.0</v>
      </c>
      <c r="H3638" s="16">
        <v>0.0</v>
      </c>
      <c r="I3638" s="16">
        <v>0.0</v>
      </c>
      <c r="J3638" s="16">
        <v>0.0</v>
      </c>
      <c r="K3638" s="16">
        <v>6.38</v>
      </c>
      <c r="L3638" s="16">
        <v>275.27</v>
      </c>
      <c r="M3638" s="16">
        <v>175.347</v>
      </c>
      <c r="N3638" s="16">
        <v>155.35</v>
      </c>
      <c r="O3638" s="24">
        <v>26.6</v>
      </c>
      <c r="P3638" s="18">
        <f t="shared" si="1"/>
        <v>275.27</v>
      </c>
    </row>
    <row r="3639" ht="15.75" customHeight="1">
      <c r="A3639" s="19" t="s">
        <v>239</v>
      </c>
      <c r="B3639" s="19" t="s">
        <v>22</v>
      </c>
      <c r="C3639" s="20" t="s">
        <v>23</v>
      </c>
      <c r="D3639" s="14" t="str">
        <f>VLOOKUP(C3639,'State Key'!$A$2:$B$210,2,False)</f>
        <v>West Bengal</v>
      </c>
      <c r="E3639" s="21">
        <v>1050.0</v>
      </c>
      <c r="F3639" s="22">
        <v>0.0</v>
      </c>
      <c r="G3639" s="22">
        <v>0.0</v>
      </c>
      <c r="H3639" s="22">
        <v>425.736</v>
      </c>
      <c r="I3639" s="22">
        <v>0.0</v>
      </c>
      <c r="J3639" s="22">
        <v>0.0</v>
      </c>
      <c r="K3639" s="22">
        <v>0.0</v>
      </c>
      <c r="L3639" s="22">
        <v>425.736</v>
      </c>
      <c r="M3639" s="22">
        <v>430.117</v>
      </c>
      <c r="N3639" s="22">
        <v>28.8</v>
      </c>
      <c r="O3639" s="17">
        <v>2.0</v>
      </c>
      <c r="P3639" s="18">
        <f t="shared" si="1"/>
        <v>425.736</v>
      </c>
    </row>
    <row r="3640" ht="15.75" customHeight="1">
      <c r="A3640" s="13" t="s">
        <v>239</v>
      </c>
      <c r="B3640" s="13" t="s">
        <v>22</v>
      </c>
      <c r="C3640" s="14" t="s">
        <v>24</v>
      </c>
      <c r="D3640" s="14" t="str">
        <f>VLOOKUP(C3640,'State Key'!$A$2:$B$210,2,False)</f>
        <v>West Bengal</v>
      </c>
      <c r="E3640" s="15">
        <v>270.0</v>
      </c>
      <c r="F3640" s="16">
        <v>0.0</v>
      </c>
      <c r="G3640" s="16">
        <v>0.0</v>
      </c>
      <c r="H3640" s="16">
        <v>119.434</v>
      </c>
      <c r="I3640" s="16">
        <v>0.0</v>
      </c>
      <c r="J3640" s="16">
        <v>0.0</v>
      </c>
      <c r="K3640" s="16">
        <v>0.0</v>
      </c>
      <c r="L3640" s="16">
        <v>119.434</v>
      </c>
      <c r="M3640" s="16">
        <v>102.502</v>
      </c>
      <c r="N3640" s="16">
        <v>23.15</v>
      </c>
      <c r="O3640" s="17">
        <v>6.8</v>
      </c>
      <c r="P3640" s="18">
        <f t="shared" si="1"/>
        <v>119.434</v>
      </c>
    </row>
    <row r="3641" ht="15.75" customHeight="1">
      <c r="A3641" s="19" t="s">
        <v>239</v>
      </c>
      <c r="B3641" s="19" t="s">
        <v>22</v>
      </c>
      <c r="C3641" s="20" t="s">
        <v>25</v>
      </c>
      <c r="D3641" s="14" t="str">
        <f>VLOOKUP(C3641,'State Key'!$A$2:$B$210,2,False)</f>
        <v>Bihar</v>
      </c>
      <c r="E3641" s="21">
        <v>710.0</v>
      </c>
      <c r="F3641" s="22">
        <v>102.84</v>
      </c>
      <c r="G3641" s="22">
        <v>0.0</v>
      </c>
      <c r="H3641" s="22">
        <v>101.11</v>
      </c>
      <c r="I3641" s="22">
        <v>0.0</v>
      </c>
      <c r="J3641" s="22">
        <v>0.0</v>
      </c>
      <c r="K3641" s="22">
        <v>90.93</v>
      </c>
      <c r="L3641" s="22">
        <v>294.88</v>
      </c>
      <c r="M3641" s="22">
        <v>221.556</v>
      </c>
      <c r="N3641" s="22">
        <v>117.606</v>
      </c>
      <c r="O3641" s="24">
        <v>15.9</v>
      </c>
      <c r="P3641" s="18">
        <f t="shared" si="1"/>
        <v>294.88</v>
      </c>
    </row>
    <row r="3642" ht="15.75" customHeight="1">
      <c r="A3642" s="13" t="s">
        <v>239</v>
      </c>
      <c r="B3642" s="13" t="s">
        <v>22</v>
      </c>
      <c r="C3642" s="14" t="s">
        <v>26</v>
      </c>
      <c r="D3642" s="14" t="str">
        <f>VLOOKUP(C3642,'State Key'!$A$2:$B$210,2,False)</f>
        <v>Bihar</v>
      </c>
      <c r="E3642" s="15">
        <v>2640.0</v>
      </c>
      <c r="F3642" s="16">
        <v>555.68</v>
      </c>
      <c r="G3642" s="16">
        <v>0.0</v>
      </c>
      <c r="H3642" s="16">
        <v>436.58</v>
      </c>
      <c r="I3642" s="16">
        <v>0.0</v>
      </c>
      <c r="J3642" s="16">
        <v>0.0</v>
      </c>
      <c r="K3642" s="16">
        <v>66.27</v>
      </c>
      <c r="L3642" s="16">
        <v>1058.53</v>
      </c>
      <c r="M3642" s="16">
        <v>1044.834</v>
      </c>
      <c r="N3642" s="16">
        <v>466.052</v>
      </c>
      <c r="O3642" s="23">
        <v>13.4</v>
      </c>
      <c r="P3642" s="18">
        <f t="shared" si="1"/>
        <v>1058.53</v>
      </c>
    </row>
    <row r="3643" ht="15.75" customHeight="1">
      <c r="A3643" s="19" t="s">
        <v>239</v>
      </c>
      <c r="B3643" s="19" t="s">
        <v>22</v>
      </c>
      <c r="C3643" s="20" t="s">
        <v>27</v>
      </c>
      <c r="D3643" s="14" t="str">
        <f>VLOOKUP(C3643,'State Key'!$A$2:$B$210,2,False)</f>
        <v>Jharkhand</v>
      </c>
      <c r="E3643" s="21">
        <v>500.0</v>
      </c>
      <c r="F3643" s="22">
        <v>220.661</v>
      </c>
      <c r="G3643" s="22">
        <v>0.0</v>
      </c>
      <c r="H3643" s="22">
        <v>10.078</v>
      </c>
      <c r="I3643" s="22">
        <v>0.0</v>
      </c>
      <c r="J3643" s="22">
        <v>0.0</v>
      </c>
      <c r="K3643" s="22">
        <v>0.0</v>
      </c>
      <c r="L3643" s="22">
        <v>230.739</v>
      </c>
      <c r="M3643" s="22">
        <v>166.54</v>
      </c>
      <c r="N3643" s="22">
        <v>227.72</v>
      </c>
      <c r="O3643" s="24">
        <v>41.0</v>
      </c>
      <c r="P3643" s="18">
        <f t="shared" si="1"/>
        <v>230.739</v>
      </c>
    </row>
    <row r="3644" ht="15.75" customHeight="1">
      <c r="A3644" s="13" t="s">
        <v>239</v>
      </c>
      <c r="B3644" s="13" t="s">
        <v>22</v>
      </c>
      <c r="C3644" s="14" t="s">
        <v>28</v>
      </c>
      <c r="D3644" s="14" t="str">
        <f>VLOOKUP(C3644,'State Key'!$A$2:$B$210,2,False)</f>
        <v>West Bengal</v>
      </c>
      <c r="E3644" s="15">
        <v>750.0</v>
      </c>
      <c r="F3644" s="16">
        <v>92.133</v>
      </c>
      <c r="G3644" s="16">
        <v>0.0</v>
      </c>
      <c r="H3644" s="16">
        <v>117.197</v>
      </c>
      <c r="I3644" s="16">
        <v>92.211</v>
      </c>
      <c r="J3644" s="16">
        <v>0.0</v>
      </c>
      <c r="K3644" s="16">
        <v>0.0</v>
      </c>
      <c r="L3644" s="16">
        <v>301.541</v>
      </c>
      <c r="M3644" s="16">
        <v>241.773</v>
      </c>
      <c r="N3644" s="16">
        <v>143.884</v>
      </c>
      <c r="O3644" s="24">
        <v>17.9</v>
      </c>
      <c r="P3644" s="18">
        <f t="shared" si="1"/>
        <v>301.541</v>
      </c>
    </row>
    <row r="3645" ht="15.75" customHeight="1">
      <c r="A3645" s="19" t="s">
        <v>239</v>
      </c>
      <c r="B3645" s="19" t="s">
        <v>22</v>
      </c>
      <c r="C3645" s="20" t="s">
        <v>29</v>
      </c>
      <c r="D3645" s="14" t="str">
        <f>VLOOKUP(C3645,'State Key'!$A$2:$B$210,2,False)</f>
        <v>Jharkhand</v>
      </c>
      <c r="E3645" s="21">
        <v>500.0</v>
      </c>
      <c r="F3645" s="22">
        <v>78.672</v>
      </c>
      <c r="G3645" s="22">
        <v>0.0</v>
      </c>
      <c r="H3645" s="22">
        <v>123.461</v>
      </c>
      <c r="I3645" s="22">
        <v>0.0</v>
      </c>
      <c r="J3645" s="22">
        <v>0.0</v>
      </c>
      <c r="K3645" s="22">
        <v>0.0</v>
      </c>
      <c r="L3645" s="22">
        <v>202.133</v>
      </c>
      <c r="M3645" s="22">
        <v>135.796</v>
      </c>
      <c r="N3645" s="22">
        <v>233.19</v>
      </c>
      <c r="O3645" s="24">
        <v>51.5</v>
      </c>
      <c r="P3645" s="18">
        <f t="shared" si="1"/>
        <v>202.133</v>
      </c>
    </row>
    <row r="3646" ht="15.75" customHeight="1">
      <c r="A3646" s="13" t="s">
        <v>239</v>
      </c>
      <c r="B3646" s="13" t="s">
        <v>22</v>
      </c>
      <c r="C3646" s="14" t="s">
        <v>30</v>
      </c>
      <c r="D3646" s="14" t="str">
        <f>VLOOKUP(C3646,'State Key'!$A$2:$B$210,2,False)</f>
        <v>West Bengal</v>
      </c>
      <c r="E3646" s="15">
        <v>550.0</v>
      </c>
      <c r="F3646" s="16">
        <v>123.654</v>
      </c>
      <c r="G3646" s="16">
        <v>0.0</v>
      </c>
      <c r="H3646" s="16">
        <v>20.448</v>
      </c>
      <c r="I3646" s="16">
        <v>0.0</v>
      </c>
      <c r="J3646" s="16">
        <v>0.0</v>
      </c>
      <c r="K3646" s="16">
        <v>118.024</v>
      </c>
      <c r="L3646" s="16">
        <v>262.126</v>
      </c>
      <c r="M3646" s="16">
        <v>258.0</v>
      </c>
      <c r="N3646" s="16">
        <v>23.62</v>
      </c>
      <c r="O3646" s="17">
        <v>2.7</v>
      </c>
      <c r="P3646" s="18">
        <f t="shared" si="1"/>
        <v>262.126</v>
      </c>
    </row>
    <row r="3647" ht="15.75" customHeight="1">
      <c r="A3647" s="19" t="s">
        <v>239</v>
      </c>
      <c r="B3647" s="19" t="s">
        <v>22</v>
      </c>
      <c r="C3647" s="20" t="s">
        <v>31</v>
      </c>
      <c r="D3647" s="14" t="str">
        <f>VLOOKUP(C3647,'State Key'!$A$2:$B$210,2,False)</f>
        <v>Odisha</v>
      </c>
      <c r="E3647" s="21">
        <v>1600.0</v>
      </c>
      <c r="F3647" s="22">
        <v>4.17</v>
      </c>
      <c r="G3647" s="22">
        <v>0.0</v>
      </c>
      <c r="H3647" s="22">
        <v>772.54</v>
      </c>
      <c r="I3647" s="22">
        <v>0.0</v>
      </c>
      <c r="J3647" s="22">
        <v>0.0</v>
      </c>
      <c r="K3647" s="22">
        <v>0.0</v>
      </c>
      <c r="L3647" s="22">
        <v>776.71</v>
      </c>
      <c r="M3647" s="22">
        <v>787.494</v>
      </c>
      <c r="N3647" s="22">
        <v>337.76</v>
      </c>
      <c r="O3647" s="23">
        <v>12.9</v>
      </c>
      <c r="P3647" s="18">
        <f t="shared" si="1"/>
        <v>776.71</v>
      </c>
    </row>
    <row r="3648" ht="15.75" customHeight="1">
      <c r="A3648" s="13" t="s">
        <v>239</v>
      </c>
      <c r="B3648" s="13" t="s">
        <v>22</v>
      </c>
      <c r="C3648" s="14" t="s">
        <v>32</v>
      </c>
      <c r="D3648" s="14" t="str">
        <f>VLOOKUP(C3648,'State Key'!$A$2:$B$210,2,False)</f>
        <v>Odisha</v>
      </c>
      <c r="E3648" s="15">
        <v>1200.0</v>
      </c>
      <c r="F3648" s="16">
        <v>480.95</v>
      </c>
      <c r="G3648" s="16">
        <v>0.0</v>
      </c>
      <c r="H3648" s="16">
        <v>0.0</v>
      </c>
      <c r="I3648" s="16">
        <v>134.53</v>
      </c>
      <c r="J3648" s="16">
        <v>0.0</v>
      </c>
      <c r="K3648" s="16">
        <v>0.0</v>
      </c>
      <c r="L3648" s="16">
        <v>615.48</v>
      </c>
      <c r="M3648" s="16">
        <v>621.053</v>
      </c>
      <c r="N3648" s="16">
        <v>765.82</v>
      </c>
      <c r="O3648" s="24">
        <v>37.0</v>
      </c>
      <c r="P3648" s="18">
        <f t="shared" si="1"/>
        <v>615.48</v>
      </c>
    </row>
    <row r="3649" ht="15.75" customHeight="1">
      <c r="A3649" s="19" t="s">
        <v>239</v>
      </c>
      <c r="B3649" s="19" t="s">
        <v>22</v>
      </c>
      <c r="C3649" s="20" t="s">
        <v>33</v>
      </c>
      <c r="D3649" s="14" t="str">
        <f>VLOOKUP(C3649,'State Key'!$A$2:$B$210,2,False)</f>
        <v>West Bengal</v>
      </c>
      <c r="E3649" s="21">
        <v>12.0</v>
      </c>
      <c r="F3649" s="22">
        <v>4.128</v>
      </c>
      <c r="G3649" s="22">
        <v>0.0</v>
      </c>
      <c r="H3649" s="22">
        <v>0.0</v>
      </c>
      <c r="I3649" s="22">
        <v>0.0</v>
      </c>
      <c r="J3649" s="22">
        <v>0.0</v>
      </c>
      <c r="K3649" s="22">
        <v>0.0</v>
      </c>
      <c r="L3649" s="22">
        <v>4.128</v>
      </c>
      <c r="M3649" s="22">
        <v>2.71</v>
      </c>
      <c r="N3649" s="22">
        <v>4.14</v>
      </c>
      <c r="O3649" s="24">
        <v>45.8</v>
      </c>
      <c r="P3649" s="18">
        <f t="shared" si="1"/>
        <v>4.128</v>
      </c>
    </row>
    <row r="3650" ht="15.75" customHeight="1">
      <c r="A3650" s="13" t="s">
        <v>239</v>
      </c>
      <c r="B3650" s="13" t="s">
        <v>22</v>
      </c>
      <c r="C3650" s="14" t="s">
        <v>34</v>
      </c>
      <c r="D3650" s="14" t="str">
        <f>VLOOKUP(C3650,'State Key'!$A$2:$B$210,2,False)</f>
        <v>West Bengal</v>
      </c>
      <c r="E3650" s="15">
        <v>1000.0</v>
      </c>
      <c r="F3650" s="16">
        <v>415.508</v>
      </c>
      <c r="G3650" s="16">
        <v>0.0</v>
      </c>
      <c r="H3650" s="16">
        <v>6.85</v>
      </c>
      <c r="I3650" s="16">
        <v>0.0</v>
      </c>
      <c r="J3650" s="16">
        <v>0.0</v>
      </c>
      <c r="K3650" s="16">
        <v>0.0</v>
      </c>
      <c r="L3650" s="16">
        <v>422.358</v>
      </c>
      <c r="M3650" s="16">
        <v>370.479</v>
      </c>
      <c r="N3650" s="16">
        <v>200.34</v>
      </c>
      <c r="O3650" s="24">
        <v>16.2</v>
      </c>
      <c r="P3650" s="18">
        <f t="shared" si="1"/>
        <v>422.358</v>
      </c>
    </row>
    <row r="3651" ht="15.75" customHeight="1">
      <c r="A3651" s="19" t="s">
        <v>239</v>
      </c>
      <c r="B3651" s="19" t="s">
        <v>22</v>
      </c>
      <c r="C3651" s="20" t="s">
        <v>35</v>
      </c>
      <c r="D3651" s="14" t="str">
        <f>VLOOKUP(C3651,'State Key'!$A$2:$B$210,2,False)</f>
        <v>West Bengal</v>
      </c>
      <c r="E3651" s="21">
        <v>2100.0</v>
      </c>
      <c r="F3651" s="22">
        <v>770.5</v>
      </c>
      <c r="G3651" s="22">
        <v>44.88</v>
      </c>
      <c r="H3651" s="22">
        <v>27.08</v>
      </c>
      <c r="I3651" s="22">
        <v>0.0</v>
      </c>
      <c r="J3651" s="22">
        <v>0.0</v>
      </c>
      <c r="K3651" s="22">
        <v>0.0</v>
      </c>
      <c r="L3651" s="22">
        <v>842.46</v>
      </c>
      <c r="M3651" s="22">
        <v>716.011</v>
      </c>
      <c r="N3651" s="22">
        <v>363.99</v>
      </c>
      <c r="O3651" s="24">
        <v>15.3</v>
      </c>
      <c r="P3651" s="18">
        <f t="shared" si="1"/>
        <v>842.46</v>
      </c>
    </row>
    <row r="3652" ht="15.75" customHeight="1">
      <c r="A3652" s="13" t="s">
        <v>239</v>
      </c>
      <c r="B3652" s="13" t="s">
        <v>22</v>
      </c>
      <c r="C3652" s="14" t="s">
        <v>36</v>
      </c>
      <c r="D3652" s="14" t="str">
        <f>VLOOKUP(C3652,'State Key'!$A$2:$B$210,2,False)</f>
        <v>West Bengal</v>
      </c>
      <c r="E3652" s="15">
        <v>600.0</v>
      </c>
      <c r="F3652" s="16">
        <v>228.439</v>
      </c>
      <c r="G3652" s="16">
        <v>0.0</v>
      </c>
      <c r="H3652" s="16">
        <v>0.0</v>
      </c>
      <c r="I3652" s="16">
        <v>0.0</v>
      </c>
      <c r="J3652" s="16">
        <v>0.0</v>
      </c>
      <c r="K3652" s="16">
        <v>0.0</v>
      </c>
      <c r="L3652" s="16">
        <v>228.439</v>
      </c>
      <c r="M3652" s="16">
        <v>238.556</v>
      </c>
      <c r="N3652" s="16">
        <v>164.25</v>
      </c>
      <c r="O3652" s="24">
        <v>20.7</v>
      </c>
      <c r="P3652" s="18">
        <f t="shared" si="1"/>
        <v>228.439</v>
      </c>
    </row>
    <row r="3653" ht="15.75" customHeight="1">
      <c r="A3653" s="19" t="s">
        <v>239</v>
      </c>
      <c r="B3653" s="19" t="s">
        <v>22</v>
      </c>
      <c r="C3653" s="20" t="s">
        <v>37</v>
      </c>
      <c r="D3653" s="14" t="str">
        <f>VLOOKUP(C3653,'State Key'!$A$2:$B$210,2,False)</f>
        <v>West Bengal</v>
      </c>
      <c r="E3653" s="21">
        <v>300.0</v>
      </c>
      <c r="F3653" s="22">
        <v>150.827</v>
      </c>
      <c r="G3653" s="22">
        <v>0.0</v>
      </c>
      <c r="H3653" s="22">
        <v>0.0</v>
      </c>
      <c r="I3653" s="22">
        <v>0.0</v>
      </c>
      <c r="J3653" s="22">
        <v>0.0</v>
      </c>
      <c r="K3653" s="22">
        <v>0.0</v>
      </c>
      <c r="L3653" s="22">
        <v>150.827</v>
      </c>
      <c r="M3653" s="22">
        <v>144.126</v>
      </c>
      <c r="N3653" s="22">
        <v>52.92</v>
      </c>
      <c r="O3653" s="23">
        <v>11.0</v>
      </c>
      <c r="P3653" s="18">
        <f t="shared" si="1"/>
        <v>150.827</v>
      </c>
    </row>
    <row r="3654" ht="15.75" customHeight="1">
      <c r="A3654" s="13" t="s">
        <v>239</v>
      </c>
      <c r="B3654" s="13" t="s">
        <v>22</v>
      </c>
      <c r="C3654" s="14" t="s">
        <v>38</v>
      </c>
      <c r="D3654" s="14" t="str">
        <f>VLOOKUP(C3654,'State Key'!$A$2:$B$210,2,False)</f>
        <v>Odisha</v>
      </c>
      <c r="E3654" s="15">
        <v>1740.0</v>
      </c>
      <c r="F3654" s="16">
        <v>228.451</v>
      </c>
      <c r="G3654" s="16">
        <v>0.0</v>
      </c>
      <c r="H3654" s="16">
        <v>570.013</v>
      </c>
      <c r="I3654" s="16">
        <v>0.0</v>
      </c>
      <c r="J3654" s="16">
        <v>0.0</v>
      </c>
      <c r="K3654" s="16">
        <v>0.0</v>
      </c>
      <c r="L3654" s="16">
        <v>798.464</v>
      </c>
      <c r="M3654" s="16">
        <v>838.693</v>
      </c>
      <c r="N3654" s="16">
        <v>274.06</v>
      </c>
      <c r="O3654" s="23">
        <v>9.8</v>
      </c>
      <c r="P3654" s="18">
        <f t="shared" si="1"/>
        <v>798.464</v>
      </c>
    </row>
    <row r="3655" ht="15.75" customHeight="1">
      <c r="A3655" s="19" t="s">
        <v>239</v>
      </c>
      <c r="B3655" s="19" t="s">
        <v>22</v>
      </c>
      <c r="C3655" s="20" t="s">
        <v>39</v>
      </c>
      <c r="D3655" s="14" t="str">
        <f>VLOOKUP(C3655,'State Key'!$A$2:$B$210,2,False)</f>
        <v>Jharkhand</v>
      </c>
      <c r="E3655" s="21">
        <v>240.0</v>
      </c>
      <c r="F3655" s="22">
        <v>51.655</v>
      </c>
      <c r="G3655" s="22">
        <v>0.0</v>
      </c>
      <c r="H3655" s="22">
        <v>0.0</v>
      </c>
      <c r="I3655" s="22">
        <v>0.0</v>
      </c>
      <c r="J3655" s="22">
        <v>0.0</v>
      </c>
      <c r="K3655" s="22">
        <v>35.054</v>
      </c>
      <c r="L3655" s="22">
        <v>86.709</v>
      </c>
      <c r="M3655" s="22">
        <v>59.376</v>
      </c>
      <c r="N3655" s="22">
        <v>174.39</v>
      </c>
      <c r="O3655" s="24">
        <v>88.1</v>
      </c>
      <c r="P3655" s="18">
        <f t="shared" si="1"/>
        <v>86.709</v>
      </c>
    </row>
    <row r="3656" ht="15.75" customHeight="1">
      <c r="A3656" s="13" t="s">
        <v>239</v>
      </c>
      <c r="B3656" s="13" t="s">
        <v>22</v>
      </c>
      <c r="C3656" s="14" t="s">
        <v>40</v>
      </c>
      <c r="D3656" s="14" t="str">
        <f>VLOOKUP(C3656,'State Key'!$A$2:$B$210,2,False)</f>
        <v>Bihar</v>
      </c>
      <c r="E3656" s="15">
        <v>2340.0</v>
      </c>
      <c r="F3656" s="16">
        <v>1159.62</v>
      </c>
      <c r="G3656" s="16">
        <v>0.0</v>
      </c>
      <c r="H3656" s="16">
        <v>0.0</v>
      </c>
      <c r="I3656" s="16">
        <v>0.0</v>
      </c>
      <c r="J3656" s="16">
        <v>0.0</v>
      </c>
      <c r="K3656" s="16">
        <v>0.0</v>
      </c>
      <c r="L3656" s="16">
        <v>1159.62</v>
      </c>
      <c r="M3656" s="16">
        <v>987.357</v>
      </c>
      <c r="N3656" s="16">
        <v>590.26</v>
      </c>
      <c r="O3656" s="24">
        <v>17.9</v>
      </c>
      <c r="P3656" s="18">
        <f t="shared" si="1"/>
        <v>1159.62</v>
      </c>
    </row>
    <row r="3657" ht="15.75" customHeight="1">
      <c r="A3657" s="19" t="s">
        <v>239</v>
      </c>
      <c r="B3657" s="19" t="s">
        <v>22</v>
      </c>
      <c r="C3657" s="20" t="s">
        <v>41</v>
      </c>
      <c r="D3657" s="14" t="str">
        <f>VLOOKUP(C3657,'State Key'!$A$2:$B$210,2,False)</f>
        <v>Odisha</v>
      </c>
      <c r="E3657" s="21">
        <v>1050.0</v>
      </c>
      <c r="F3657" s="22">
        <v>423.912</v>
      </c>
      <c r="G3657" s="22">
        <v>0.0</v>
      </c>
      <c r="H3657" s="22">
        <v>0.0</v>
      </c>
      <c r="I3657" s="22">
        <v>187.075</v>
      </c>
      <c r="J3657" s="22">
        <v>0.0</v>
      </c>
      <c r="K3657" s="22">
        <v>0.0</v>
      </c>
      <c r="L3657" s="22">
        <v>610.987</v>
      </c>
      <c r="M3657" s="22">
        <v>549.957</v>
      </c>
      <c r="N3657" s="22">
        <v>344.71</v>
      </c>
      <c r="O3657" s="24">
        <v>18.8</v>
      </c>
      <c r="P3657" s="18">
        <f t="shared" si="1"/>
        <v>610.987</v>
      </c>
    </row>
    <row r="3658" ht="15.75" customHeight="1">
      <c r="A3658" s="13" t="s">
        <v>239</v>
      </c>
      <c r="B3658" s="13" t="s">
        <v>22</v>
      </c>
      <c r="C3658" s="14" t="s">
        <v>42</v>
      </c>
      <c r="D3658" s="14" t="str">
        <f>VLOOKUP(C3658,'State Key'!$A$2:$B$210,2,False)</f>
        <v>Jharkhand</v>
      </c>
      <c r="E3658" s="15">
        <v>1000.0</v>
      </c>
      <c r="F3658" s="16">
        <v>419.68</v>
      </c>
      <c r="G3658" s="16">
        <v>0.0</v>
      </c>
      <c r="H3658" s="16">
        <v>99.742</v>
      </c>
      <c r="I3658" s="16">
        <v>0.0</v>
      </c>
      <c r="J3658" s="16">
        <v>0.0</v>
      </c>
      <c r="K3658" s="16">
        <v>0.0</v>
      </c>
      <c r="L3658" s="16">
        <v>519.422</v>
      </c>
      <c r="M3658" s="16">
        <v>400.447</v>
      </c>
      <c r="N3658" s="16">
        <v>358.41</v>
      </c>
      <c r="O3658" s="24">
        <v>26.9</v>
      </c>
      <c r="P3658" s="18">
        <f t="shared" si="1"/>
        <v>519.422</v>
      </c>
    </row>
    <row r="3659" ht="15.75" customHeight="1">
      <c r="A3659" s="19" t="s">
        <v>239</v>
      </c>
      <c r="B3659" s="19" t="s">
        <v>22</v>
      </c>
      <c r="C3659" s="20" t="s">
        <v>43</v>
      </c>
      <c r="D3659" s="14" t="str">
        <f>VLOOKUP(C3659,'State Key'!$A$2:$B$210,2,False)</f>
        <v>West Bengal</v>
      </c>
      <c r="E3659" s="21">
        <v>840.0</v>
      </c>
      <c r="F3659" s="22">
        <v>0.0</v>
      </c>
      <c r="G3659" s="22">
        <v>0.0</v>
      </c>
      <c r="H3659" s="22">
        <v>359.45</v>
      </c>
      <c r="I3659" s="22">
        <v>0.0</v>
      </c>
      <c r="J3659" s="22">
        <v>0.0</v>
      </c>
      <c r="K3659" s="22">
        <v>0.0</v>
      </c>
      <c r="L3659" s="22">
        <v>359.45</v>
      </c>
      <c r="M3659" s="22">
        <v>349.426</v>
      </c>
      <c r="N3659" s="22">
        <v>27.92</v>
      </c>
      <c r="O3659" s="17">
        <v>2.4</v>
      </c>
      <c r="P3659" s="18">
        <f t="shared" si="1"/>
        <v>359.45</v>
      </c>
    </row>
    <row r="3660" ht="15.75" customHeight="1">
      <c r="A3660" s="13" t="s">
        <v>239</v>
      </c>
      <c r="B3660" s="13" t="s">
        <v>22</v>
      </c>
      <c r="C3660" s="14" t="s">
        <v>44</v>
      </c>
      <c r="D3660" s="14" t="str">
        <f>VLOOKUP(C3660,'State Key'!$A$2:$B$210,2,False)</f>
        <v>Jharkhand</v>
      </c>
      <c r="E3660" s="15">
        <v>540.0</v>
      </c>
      <c r="F3660" s="16">
        <v>201.017</v>
      </c>
      <c r="G3660" s="16">
        <v>0.0</v>
      </c>
      <c r="H3660" s="16">
        <v>0.0</v>
      </c>
      <c r="I3660" s="16">
        <v>0.0</v>
      </c>
      <c r="J3660" s="16">
        <v>0.0</v>
      </c>
      <c r="K3660" s="16">
        <v>61.463</v>
      </c>
      <c r="L3660" s="16">
        <v>262.48</v>
      </c>
      <c r="M3660" s="16">
        <v>260.537</v>
      </c>
      <c r="N3660" s="16">
        <v>73.57</v>
      </c>
      <c r="O3660" s="23">
        <v>8.5</v>
      </c>
      <c r="P3660" s="18">
        <f t="shared" si="1"/>
        <v>262.48</v>
      </c>
    </row>
    <row r="3661" ht="15.75" customHeight="1">
      <c r="A3661" s="19" t="s">
        <v>239</v>
      </c>
      <c r="B3661" s="19" t="s">
        <v>22</v>
      </c>
      <c r="C3661" s="20" t="s">
        <v>45</v>
      </c>
      <c r="D3661" s="14" t="str">
        <f>VLOOKUP(C3661,'State Key'!$A$2:$B$210,2,False)</f>
        <v>Jharkhand</v>
      </c>
      <c r="E3661" s="21">
        <v>1050.0</v>
      </c>
      <c r="F3661" s="22">
        <v>402.678</v>
      </c>
      <c r="G3661" s="22">
        <v>0.0</v>
      </c>
      <c r="H3661" s="22">
        <v>0.0</v>
      </c>
      <c r="I3661" s="22">
        <v>0.0</v>
      </c>
      <c r="J3661" s="22">
        <v>0.0</v>
      </c>
      <c r="K3661" s="22">
        <v>0.0</v>
      </c>
      <c r="L3661" s="22">
        <v>402.678</v>
      </c>
      <c r="M3661" s="22">
        <v>173.615</v>
      </c>
      <c r="N3661" s="22">
        <v>521.93</v>
      </c>
      <c r="O3661" s="24">
        <v>90.2</v>
      </c>
      <c r="P3661" s="18">
        <f t="shared" si="1"/>
        <v>402.678</v>
      </c>
    </row>
    <row r="3662" ht="15.75" customHeight="1">
      <c r="A3662" s="13" t="s">
        <v>239</v>
      </c>
      <c r="B3662" s="13" t="s">
        <v>22</v>
      </c>
      <c r="C3662" s="14" t="s">
        <v>46</v>
      </c>
      <c r="D3662" s="14" t="str">
        <f>VLOOKUP(C3662,'State Key'!$A$2:$B$210,2,False)</f>
        <v>West Bengal</v>
      </c>
      <c r="E3662" s="15">
        <v>2340.0</v>
      </c>
      <c r="F3662" s="16">
        <v>745.106</v>
      </c>
      <c r="G3662" s="16">
        <v>0.0</v>
      </c>
      <c r="H3662" s="16">
        <v>127.248</v>
      </c>
      <c r="I3662" s="16">
        <v>0.0</v>
      </c>
      <c r="J3662" s="16">
        <v>0.0</v>
      </c>
      <c r="K3662" s="16">
        <v>0.0</v>
      </c>
      <c r="L3662" s="16">
        <v>872.354</v>
      </c>
      <c r="M3662" s="16">
        <v>871.212</v>
      </c>
      <c r="N3662" s="16">
        <v>364.85</v>
      </c>
      <c r="O3662" s="23">
        <v>12.6</v>
      </c>
      <c r="P3662" s="18">
        <f t="shared" si="1"/>
        <v>872.354</v>
      </c>
    </row>
    <row r="3663" ht="15.75" customHeight="1">
      <c r="A3663" s="19" t="s">
        <v>239</v>
      </c>
      <c r="B3663" s="19" t="s">
        <v>22</v>
      </c>
      <c r="C3663" s="20" t="s">
        <v>47</v>
      </c>
      <c r="D3663" s="14" t="str">
        <f>VLOOKUP(C3663,'State Key'!$A$2:$B$210,2,False)</f>
        <v>Bihar</v>
      </c>
      <c r="E3663" s="21">
        <v>390.0</v>
      </c>
      <c r="F3663" s="22">
        <v>8.017</v>
      </c>
      <c r="G3663" s="22">
        <v>0.0</v>
      </c>
      <c r="H3663" s="22">
        <v>27.97</v>
      </c>
      <c r="I3663" s="22">
        <v>0.0</v>
      </c>
      <c r="J3663" s="22">
        <v>0.0</v>
      </c>
      <c r="K3663" s="22">
        <v>0.0</v>
      </c>
      <c r="L3663" s="22">
        <v>35.987</v>
      </c>
      <c r="M3663" s="22">
        <v>79.473</v>
      </c>
      <c r="N3663" s="22">
        <v>101.98</v>
      </c>
      <c r="O3663" s="24">
        <v>38.5</v>
      </c>
      <c r="P3663" s="18">
        <f t="shared" si="1"/>
        <v>35.987</v>
      </c>
    </row>
    <row r="3664" ht="15.75" customHeight="1">
      <c r="A3664" s="13" t="s">
        <v>239</v>
      </c>
      <c r="B3664" s="13" t="s">
        <v>22</v>
      </c>
      <c r="C3664" s="14" t="s">
        <v>48</v>
      </c>
      <c r="D3664" s="14" t="str">
        <f>VLOOKUP(C3664,'State Key'!$A$2:$B$210,2,False)</f>
        <v>Bihar</v>
      </c>
      <c r="E3664" s="15">
        <v>1980.0</v>
      </c>
      <c r="F3664" s="16">
        <v>714.62</v>
      </c>
      <c r="G3664" s="16">
        <v>0.0</v>
      </c>
      <c r="H3664" s="16">
        <v>153.66</v>
      </c>
      <c r="I3664" s="16">
        <v>0.0</v>
      </c>
      <c r="J3664" s="16">
        <v>0.0</v>
      </c>
      <c r="K3664" s="16">
        <v>0.0</v>
      </c>
      <c r="L3664" s="16">
        <v>868.28</v>
      </c>
      <c r="M3664" s="16">
        <v>560.774</v>
      </c>
      <c r="N3664" s="16">
        <v>591.4</v>
      </c>
      <c r="O3664" s="24">
        <v>31.6</v>
      </c>
      <c r="P3664" s="18">
        <f t="shared" si="1"/>
        <v>868.28</v>
      </c>
    </row>
    <row r="3665" ht="15.75" customHeight="1">
      <c r="A3665" s="19" t="s">
        <v>239</v>
      </c>
      <c r="B3665" s="19" t="s">
        <v>22</v>
      </c>
      <c r="C3665" s="20" t="s">
        <v>49</v>
      </c>
      <c r="D3665" s="14" t="str">
        <f>VLOOKUP(C3665,'State Key'!$A$2:$B$210,2,False)</f>
        <v>Bihar</v>
      </c>
      <c r="E3665" s="21">
        <v>1000.0</v>
      </c>
      <c r="F3665" s="22">
        <v>483.22709</v>
      </c>
      <c r="G3665" s="22">
        <v>0.0</v>
      </c>
      <c r="H3665" s="22">
        <v>0.0</v>
      </c>
      <c r="I3665" s="22">
        <v>0.0</v>
      </c>
      <c r="J3665" s="22">
        <v>0.0</v>
      </c>
      <c r="K3665" s="22">
        <v>0.0</v>
      </c>
      <c r="L3665" s="22">
        <v>483.22709</v>
      </c>
      <c r="M3665" s="22">
        <v>417.9999</v>
      </c>
      <c r="N3665" s="22">
        <v>296.8</v>
      </c>
      <c r="O3665" s="24">
        <v>21.3</v>
      </c>
      <c r="P3665" s="18">
        <f t="shared" si="1"/>
        <v>483.22709</v>
      </c>
    </row>
    <row r="3666" ht="15.75" customHeight="1">
      <c r="A3666" s="13" t="s">
        <v>239</v>
      </c>
      <c r="B3666" s="13" t="s">
        <v>22</v>
      </c>
      <c r="C3666" s="14" t="s">
        <v>50</v>
      </c>
      <c r="D3666" s="14" t="str">
        <f>VLOOKUP(C3666,'State Key'!$A$2:$B$210,2,False)</f>
        <v>Jharkhand</v>
      </c>
      <c r="E3666" s="15">
        <v>1320.0</v>
      </c>
      <c r="F3666" s="16">
        <v>262.93</v>
      </c>
      <c r="G3666" s="16">
        <v>0.0</v>
      </c>
      <c r="H3666" s="16">
        <v>331.12</v>
      </c>
      <c r="I3666" s="16">
        <v>0.0</v>
      </c>
      <c r="J3666" s="16">
        <v>0.0</v>
      </c>
      <c r="K3666" s="16">
        <v>0.0</v>
      </c>
      <c r="L3666" s="16">
        <v>594.05</v>
      </c>
      <c r="M3666" s="16">
        <v>712.796</v>
      </c>
      <c r="N3666" s="16">
        <v>268.971</v>
      </c>
      <c r="O3666" s="23">
        <v>11.3</v>
      </c>
      <c r="P3666" s="18">
        <f t="shared" si="1"/>
        <v>594.05</v>
      </c>
    </row>
    <row r="3667" ht="15.75" customHeight="1">
      <c r="A3667" s="19" t="s">
        <v>239</v>
      </c>
      <c r="B3667" s="19" t="s">
        <v>22</v>
      </c>
      <c r="C3667" s="20" t="s">
        <v>51</v>
      </c>
      <c r="D3667" s="14" t="str">
        <f>VLOOKUP(C3667,'State Key'!$A$2:$B$210,2,False)</f>
        <v>West Bengal</v>
      </c>
      <c r="E3667" s="21">
        <v>1200.0</v>
      </c>
      <c r="F3667" s="22">
        <v>389.193</v>
      </c>
      <c r="G3667" s="22">
        <v>0.0</v>
      </c>
      <c r="H3667" s="22">
        <v>59.044</v>
      </c>
      <c r="I3667" s="22">
        <v>0.0</v>
      </c>
      <c r="J3667" s="22">
        <v>0.0</v>
      </c>
      <c r="K3667" s="22">
        <v>86.437</v>
      </c>
      <c r="L3667" s="22">
        <v>534.674</v>
      </c>
      <c r="M3667" s="22">
        <v>451.904</v>
      </c>
      <c r="N3667" s="22">
        <v>291.99</v>
      </c>
      <c r="O3667" s="24">
        <v>19.4</v>
      </c>
      <c r="P3667" s="18">
        <f t="shared" si="1"/>
        <v>534.674</v>
      </c>
    </row>
    <row r="3668" ht="15.75" customHeight="1">
      <c r="A3668" s="13" t="s">
        <v>239</v>
      </c>
      <c r="B3668" s="13" t="s">
        <v>22</v>
      </c>
      <c r="C3668" s="14" t="s">
        <v>52</v>
      </c>
      <c r="D3668" s="14" t="str">
        <f>VLOOKUP(C3668,'State Key'!$A$2:$B$210,2,False)</f>
        <v>West Bengal</v>
      </c>
      <c r="E3668" s="15">
        <v>1600.0</v>
      </c>
      <c r="F3668" s="16">
        <v>0.0</v>
      </c>
      <c r="G3668" s="16">
        <v>0.0</v>
      </c>
      <c r="H3668" s="16">
        <v>758.023</v>
      </c>
      <c r="I3668" s="16">
        <v>0.0</v>
      </c>
      <c r="J3668" s="16">
        <v>0.0</v>
      </c>
      <c r="K3668" s="16">
        <v>0.0</v>
      </c>
      <c r="L3668" s="16">
        <v>758.023</v>
      </c>
      <c r="M3668" s="16">
        <v>745.605</v>
      </c>
      <c r="N3668" s="16">
        <v>52.84</v>
      </c>
      <c r="O3668" s="17">
        <v>2.1</v>
      </c>
      <c r="P3668" s="18">
        <f t="shared" si="1"/>
        <v>758.023</v>
      </c>
    </row>
    <row r="3669" ht="15.75" customHeight="1">
      <c r="A3669" s="19" t="s">
        <v>239</v>
      </c>
      <c r="B3669" s="19" t="s">
        <v>22</v>
      </c>
      <c r="C3669" s="20" t="s">
        <v>53</v>
      </c>
      <c r="D3669" s="14" t="str">
        <f>VLOOKUP(C3669,'State Key'!$A$2:$B$210,2,False)</f>
        <v>West Bengal</v>
      </c>
      <c r="E3669" s="21">
        <v>500.0</v>
      </c>
      <c r="F3669" s="22">
        <v>0.0</v>
      </c>
      <c r="G3669" s="22">
        <v>0.0</v>
      </c>
      <c r="H3669" s="22">
        <v>193.304</v>
      </c>
      <c r="I3669" s="22">
        <v>0.0</v>
      </c>
      <c r="J3669" s="22">
        <v>0.0</v>
      </c>
      <c r="K3669" s="22">
        <v>0.0</v>
      </c>
      <c r="L3669" s="22">
        <v>193.304</v>
      </c>
      <c r="M3669" s="22">
        <v>138.042</v>
      </c>
      <c r="N3669" s="22">
        <v>78.24</v>
      </c>
      <c r="O3669" s="24">
        <v>17.0</v>
      </c>
      <c r="P3669" s="18">
        <f t="shared" si="1"/>
        <v>193.304</v>
      </c>
    </row>
    <row r="3670" ht="15.75" customHeight="1">
      <c r="A3670" s="13" t="s">
        <v>239</v>
      </c>
      <c r="B3670" s="13" t="s">
        <v>22</v>
      </c>
      <c r="C3670" s="14" t="s">
        <v>54</v>
      </c>
      <c r="D3670" s="14" t="str">
        <f>VLOOKUP(C3670,'State Key'!$A$2:$B$210,2,False)</f>
        <v>West Bengal</v>
      </c>
      <c r="E3670" s="15">
        <v>135.0</v>
      </c>
      <c r="F3670" s="16">
        <v>3.749</v>
      </c>
      <c r="G3670" s="16">
        <v>0.0</v>
      </c>
      <c r="H3670" s="16">
        <v>0.0</v>
      </c>
      <c r="I3670" s="16">
        <v>0.0</v>
      </c>
      <c r="J3670" s="16">
        <v>0.0</v>
      </c>
      <c r="K3670" s="16">
        <v>0.0</v>
      </c>
      <c r="L3670" s="16">
        <v>3.749</v>
      </c>
      <c r="M3670" s="16">
        <v>10.909</v>
      </c>
      <c r="N3670" s="16">
        <v>38.43</v>
      </c>
      <c r="O3670" s="24">
        <v>105.7</v>
      </c>
      <c r="P3670" s="18">
        <f t="shared" si="1"/>
        <v>3.749</v>
      </c>
    </row>
    <row r="3671" ht="15.75" customHeight="1">
      <c r="A3671" s="19" t="s">
        <v>239</v>
      </c>
      <c r="B3671" s="19" t="s">
        <v>22</v>
      </c>
      <c r="C3671" s="20" t="s">
        <v>55</v>
      </c>
      <c r="D3671" s="14" t="str">
        <f>VLOOKUP(C3671,'State Key'!$A$2:$B$210,2,False)</f>
        <v>Odisha</v>
      </c>
      <c r="E3671" s="21">
        <v>3000.0</v>
      </c>
      <c r="F3671" s="22">
        <v>1582.08</v>
      </c>
      <c r="G3671" s="22">
        <v>0.0</v>
      </c>
      <c r="H3671" s="22">
        <v>38.42</v>
      </c>
      <c r="I3671" s="22">
        <v>0.0</v>
      </c>
      <c r="J3671" s="22">
        <v>0.0</v>
      </c>
      <c r="K3671" s="22">
        <v>0.0</v>
      </c>
      <c r="L3671" s="22">
        <v>1620.5</v>
      </c>
      <c r="M3671" s="22">
        <v>1525.986</v>
      </c>
      <c r="N3671" s="22">
        <v>276.73</v>
      </c>
      <c r="O3671" s="17">
        <v>5.4</v>
      </c>
      <c r="P3671" s="18">
        <f t="shared" si="1"/>
        <v>1620.5</v>
      </c>
    </row>
    <row r="3672" ht="15.75" customHeight="1">
      <c r="A3672" s="13" t="s">
        <v>239</v>
      </c>
      <c r="B3672" s="13" t="s">
        <v>22</v>
      </c>
      <c r="C3672" s="14" t="s">
        <v>56</v>
      </c>
      <c r="D3672" s="14" t="str">
        <f>VLOOKUP(C3672,'State Key'!$A$2:$B$210,2,False)</f>
        <v>Jharkhand</v>
      </c>
      <c r="E3672" s="15">
        <v>420.0</v>
      </c>
      <c r="F3672" s="16">
        <v>159.89</v>
      </c>
      <c r="G3672" s="16">
        <v>0.0</v>
      </c>
      <c r="H3672" s="16">
        <v>0.0</v>
      </c>
      <c r="I3672" s="16">
        <v>0.0</v>
      </c>
      <c r="J3672" s="16">
        <v>0.0</v>
      </c>
      <c r="K3672" s="16">
        <v>0.0</v>
      </c>
      <c r="L3672" s="16">
        <v>159.89</v>
      </c>
      <c r="M3672" s="16">
        <v>160.8</v>
      </c>
      <c r="N3672" s="16">
        <v>74.67</v>
      </c>
      <c r="O3672" s="23">
        <v>13.9</v>
      </c>
      <c r="P3672" s="18">
        <f t="shared" si="1"/>
        <v>159.89</v>
      </c>
    </row>
    <row r="3673" ht="15.75" customHeight="1">
      <c r="A3673" s="19" t="s">
        <v>239</v>
      </c>
      <c r="B3673" s="19" t="s">
        <v>22</v>
      </c>
      <c r="C3673" s="20" t="s">
        <v>57</v>
      </c>
      <c r="D3673" s="14" t="str">
        <f>VLOOKUP(C3673,'State Key'!$A$2:$B$210,2,False)</f>
        <v>West Bengal</v>
      </c>
      <c r="E3673" s="21">
        <v>240.0</v>
      </c>
      <c r="F3673" s="22">
        <v>0.0</v>
      </c>
      <c r="G3673" s="22">
        <v>0.0</v>
      </c>
      <c r="H3673" s="22">
        <v>0.0</v>
      </c>
      <c r="I3673" s="22">
        <v>0.0</v>
      </c>
      <c r="J3673" s="22">
        <v>0.0</v>
      </c>
      <c r="K3673" s="22">
        <v>0.0</v>
      </c>
      <c r="L3673" s="22">
        <v>0.0</v>
      </c>
      <c r="M3673" s="22">
        <v>0.0</v>
      </c>
      <c r="N3673" s="22">
        <v>0.0</v>
      </c>
      <c r="O3673" s="19" t="s">
        <v>58</v>
      </c>
      <c r="P3673" s="18">
        <f t="shared" si="1"/>
        <v>0</v>
      </c>
    </row>
    <row r="3674" ht="15.75" customHeight="1">
      <c r="A3674" s="13" t="s">
        <v>239</v>
      </c>
      <c r="B3674" s="13" t="s">
        <v>22</v>
      </c>
      <c r="C3674" s="14" t="s">
        <v>59</v>
      </c>
      <c r="D3674" s="14" t="str">
        <f>VLOOKUP(C3674,'State Key'!$A$2:$B$210,2,False)</f>
        <v>Odisha</v>
      </c>
      <c r="E3674" s="15">
        <v>350.0</v>
      </c>
      <c r="F3674" s="16">
        <v>241.018</v>
      </c>
      <c r="G3674" s="16">
        <v>0.0</v>
      </c>
      <c r="H3674" s="16">
        <v>0.0</v>
      </c>
      <c r="I3674" s="16">
        <v>0.0</v>
      </c>
      <c r="J3674" s="16">
        <v>0.0</v>
      </c>
      <c r="K3674" s="16">
        <v>0.0</v>
      </c>
      <c r="L3674" s="16">
        <v>241.018</v>
      </c>
      <c r="M3674" s="16">
        <v>189.293</v>
      </c>
      <c r="N3674" s="16">
        <v>193.19</v>
      </c>
      <c r="O3674" s="24">
        <v>30.6</v>
      </c>
      <c r="P3674" s="18">
        <f t="shared" si="1"/>
        <v>241.018</v>
      </c>
    </row>
    <row r="3675" ht="15.75" customHeight="1">
      <c r="A3675" s="19" t="s">
        <v>239</v>
      </c>
      <c r="B3675" s="19" t="s">
        <v>22</v>
      </c>
      <c r="C3675" s="20" t="s">
        <v>60</v>
      </c>
      <c r="D3675" s="14" t="str">
        <f>VLOOKUP(C3675,'State Key'!$A$2:$B$210,2,False)</f>
        <v>Odisha</v>
      </c>
      <c r="E3675" s="21">
        <v>600.0</v>
      </c>
      <c r="F3675" s="22">
        <v>50.75</v>
      </c>
      <c r="G3675" s="22">
        <v>0.0</v>
      </c>
      <c r="H3675" s="22">
        <v>0.0</v>
      </c>
      <c r="I3675" s="22">
        <v>0.0</v>
      </c>
      <c r="J3675" s="22">
        <v>0.0</v>
      </c>
      <c r="K3675" s="22">
        <v>0.0</v>
      </c>
      <c r="L3675" s="22">
        <v>50.75</v>
      </c>
      <c r="M3675" s="22">
        <v>105.27</v>
      </c>
      <c r="N3675" s="22">
        <v>41.24</v>
      </c>
      <c r="O3675" s="23">
        <v>11.8</v>
      </c>
      <c r="P3675" s="18">
        <f t="shared" si="1"/>
        <v>50.75</v>
      </c>
    </row>
    <row r="3676" ht="15.75" customHeight="1">
      <c r="A3676" s="13" t="s">
        <v>239</v>
      </c>
      <c r="B3676" s="13" t="s">
        <v>61</v>
      </c>
      <c r="C3676" s="14" t="s">
        <v>209</v>
      </c>
      <c r="D3676" s="14" t="str">
        <f>VLOOKUP(C3676,'State Key'!$A$2:$B$210,2,False)</f>
        <v>Rajasthan</v>
      </c>
      <c r="E3676" s="15">
        <v>1320.0</v>
      </c>
      <c r="F3676" s="16">
        <v>296.811</v>
      </c>
      <c r="G3676" s="16">
        <v>0.0</v>
      </c>
      <c r="H3676" s="16">
        <v>0.0</v>
      </c>
      <c r="I3676" s="16">
        <v>0.0</v>
      </c>
      <c r="J3676" s="16">
        <v>95.027</v>
      </c>
      <c r="K3676" s="16">
        <v>0.0</v>
      </c>
      <c r="L3676" s="16">
        <v>391.838</v>
      </c>
      <c r="M3676" s="16">
        <v>429.414</v>
      </c>
      <c r="N3676" s="16">
        <v>286.73</v>
      </c>
      <c r="O3676" s="24">
        <v>20.0</v>
      </c>
      <c r="P3676" s="18">
        <f t="shared" si="1"/>
        <v>391.838</v>
      </c>
    </row>
    <row r="3677" ht="15.75" customHeight="1">
      <c r="A3677" s="19" t="s">
        <v>239</v>
      </c>
      <c r="B3677" s="19" t="s">
        <v>61</v>
      </c>
      <c r="C3677" s="20" t="s">
        <v>62</v>
      </c>
      <c r="D3677" s="14" t="str">
        <f>VLOOKUP(C3677,'State Key'!$A$2:$B$210,2,False)</f>
        <v>Uttar Pradesh</v>
      </c>
      <c r="E3677" s="21">
        <v>1200.0</v>
      </c>
      <c r="F3677" s="22">
        <v>508.275</v>
      </c>
      <c r="G3677" s="22">
        <v>0.0</v>
      </c>
      <c r="H3677" s="22">
        <v>0.0</v>
      </c>
      <c r="I3677" s="22">
        <v>0.0</v>
      </c>
      <c r="J3677" s="22">
        <v>0.0</v>
      </c>
      <c r="K3677" s="22">
        <v>0.0</v>
      </c>
      <c r="L3677" s="22">
        <v>508.275</v>
      </c>
      <c r="M3677" s="22">
        <v>455.969</v>
      </c>
      <c r="N3677" s="22">
        <v>239.16</v>
      </c>
      <c r="O3677" s="24">
        <v>15.7</v>
      </c>
      <c r="P3677" s="18">
        <f t="shared" si="1"/>
        <v>508.275</v>
      </c>
    </row>
    <row r="3678" ht="15.75" customHeight="1">
      <c r="A3678" s="13" t="s">
        <v>239</v>
      </c>
      <c r="B3678" s="13" t="s">
        <v>61</v>
      </c>
      <c r="C3678" s="14" t="s">
        <v>63</v>
      </c>
      <c r="D3678" s="14" t="str">
        <f>VLOOKUP(C3678,'State Key'!$A$2:$B$210,2,False)</f>
        <v>Uttar Pradesh</v>
      </c>
      <c r="E3678" s="15">
        <v>2630.0</v>
      </c>
      <c r="F3678" s="16">
        <v>914.937</v>
      </c>
      <c r="G3678" s="16">
        <v>0.0</v>
      </c>
      <c r="H3678" s="16">
        <v>0.0</v>
      </c>
      <c r="I3678" s="16">
        <v>0.0</v>
      </c>
      <c r="J3678" s="16">
        <v>0.0</v>
      </c>
      <c r="K3678" s="16">
        <v>0.0</v>
      </c>
      <c r="L3678" s="16">
        <v>914.937</v>
      </c>
      <c r="M3678" s="16">
        <v>673.887</v>
      </c>
      <c r="N3678" s="16">
        <v>876.13</v>
      </c>
      <c r="O3678" s="24">
        <v>39.0</v>
      </c>
      <c r="P3678" s="18">
        <f t="shared" si="1"/>
        <v>914.937</v>
      </c>
    </row>
    <row r="3679" ht="15.75" customHeight="1">
      <c r="A3679" s="19" t="s">
        <v>239</v>
      </c>
      <c r="B3679" s="19" t="s">
        <v>61</v>
      </c>
      <c r="C3679" s="20" t="s">
        <v>64</v>
      </c>
      <c r="D3679" s="14" t="str">
        <f>VLOOKUP(C3679,'State Key'!$A$2:$B$210,2,False)</f>
        <v>Uttar Pradesh</v>
      </c>
      <c r="E3679" s="21">
        <v>90.0</v>
      </c>
      <c r="F3679" s="22">
        <v>16.18</v>
      </c>
      <c r="G3679" s="22">
        <v>0.0</v>
      </c>
      <c r="H3679" s="22">
        <v>0.0</v>
      </c>
      <c r="I3679" s="22">
        <v>0.0</v>
      </c>
      <c r="J3679" s="22">
        <v>0.0</v>
      </c>
      <c r="K3679" s="22">
        <v>0.0</v>
      </c>
      <c r="L3679" s="22">
        <v>16.18</v>
      </c>
      <c r="M3679" s="22">
        <v>1.2</v>
      </c>
      <c r="N3679" s="22">
        <v>45.46</v>
      </c>
      <c r="O3679" s="24">
        <v>1136.5</v>
      </c>
      <c r="P3679" s="18">
        <f t="shared" si="1"/>
        <v>16.18</v>
      </c>
    </row>
    <row r="3680" ht="15.75" customHeight="1">
      <c r="A3680" s="13" t="s">
        <v>239</v>
      </c>
      <c r="B3680" s="13" t="s">
        <v>61</v>
      </c>
      <c r="C3680" s="14" t="s">
        <v>65</v>
      </c>
      <c r="D3680" s="14" t="str">
        <f>VLOOKUP(C3680,'State Key'!$A$2:$B$210,2,False)</f>
        <v>Rajasthan</v>
      </c>
      <c r="E3680" s="15">
        <v>500.0</v>
      </c>
      <c r="F3680" s="16">
        <v>32.1447</v>
      </c>
      <c r="G3680" s="16">
        <v>0.0</v>
      </c>
      <c r="H3680" s="16">
        <v>0.0</v>
      </c>
      <c r="I3680" s="16">
        <v>0.0</v>
      </c>
      <c r="J3680" s="16">
        <v>0.0</v>
      </c>
      <c r="K3680" s="16">
        <v>0.0</v>
      </c>
      <c r="L3680" s="16">
        <v>32.1447</v>
      </c>
      <c r="M3680" s="16">
        <v>201.3219</v>
      </c>
      <c r="N3680" s="16">
        <v>100.6036</v>
      </c>
      <c r="O3680" s="24">
        <v>15.0</v>
      </c>
      <c r="P3680" s="18">
        <f t="shared" si="1"/>
        <v>32.1447</v>
      </c>
    </row>
    <row r="3681" ht="15.75" customHeight="1">
      <c r="A3681" s="19" t="s">
        <v>239</v>
      </c>
      <c r="B3681" s="19" t="s">
        <v>61</v>
      </c>
      <c r="C3681" s="20" t="s">
        <v>66</v>
      </c>
      <c r="D3681" s="14" t="str">
        <f>VLOOKUP(C3681,'State Key'!$A$2:$B$210,2,False)</f>
        <v>Rajasthan</v>
      </c>
      <c r="E3681" s="21">
        <v>500.0</v>
      </c>
      <c r="F3681" s="22">
        <v>350.4701</v>
      </c>
      <c r="G3681" s="22">
        <v>0.0</v>
      </c>
      <c r="H3681" s="22">
        <v>7.9338</v>
      </c>
      <c r="I3681" s="22">
        <v>0.0</v>
      </c>
      <c r="J3681" s="22">
        <v>0.0</v>
      </c>
      <c r="K3681" s="22">
        <v>0.0</v>
      </c>
      <c r="L3681" s="22">
        <v>358.4039</v>
      </c>
      <c r="M3681" s="22">
        <v>179.9426</v>
      </c>
      <c r="N3681" s="22">
        <v>89.6314</v>
      </c>
      <c r="O3681" s="24">
        <v>14.9</v>
      </c>
      <c r="P3681" s="18">
        <f t="shared" si="1"/>
        <v>358.4039</v>
      </c>
    </row>
    <row r="3682" ht="15.75" customHeight="1">
      <c r="A3682" s="13" t="s">
        <v>239</v>
      </c>
      <c r="B3682" s="13" t="s">
        <v>61</v>
      </c>
      <c r="C3682" s="14" t="s">
        <v>67</v>
      </c>
      <c r="D3682" s="14" t="str">
        <f>VLOOKUP(C3682,'State Key'!$A$2:$B$210,2,False)</f>
        <v>Rajasthan</v>
      </c>
      <c r="E3682" s="15">
        <v>1320.0</v>
      </c>
      <c r="F3682" s="16">
        <v>122.28838</v>
      </c>
      <c r="G3682" s="16">
        <v>0.0</v>
      </c>
      <c r="H3682" s="16">
        <v>408.49421</v>
      </c>
      <c r="I3682" s="16">
        <v>0.0</v>
      </c>
      <c r="J3682" s="16">
        <v>0.0</v>
      </c>
      <c r="K3682" s="16">
        <v>0.0</v>
      </c>
      <c r="L3682" s="16">
        <v>530.78259</v>
      </c>
      <c r="M3682" s="16">
        <v>450.8145</v>
      </c>
      <c r="N3682" s="16">
        <v>206.53</v>
      </c>
      <c r="O3682" s="23">
        <v>13.7</v>
      </c>
      <c r="P3682" s="18">
        <f t="shared" si="1"/>
        <v>530.78259</v>
      </c>
    </row>
    <row r="3683" ht="15.75" customHeight="1">
      <c r="A3683" s="19" t="s">
        <v>239</v>
      </c>
      <c r="B3683" s="19" t="s">
        <v>61</v>
      </c>
      <c r="C3683" s="20" t="s">
        <v>68</v>
      </c>
      <c r="D3683" s="14" t="str">
        <f>VLOOKUP(C3683,'State Key'!$A$2:$B$210,2,False)</f>
        <v>Uttar Pradesh</v>
      </c>
      <c r="E3683" s="21">
        <v>1820.0</v>
      </c>
      <c r="F3683" s="22">
        <v>506.42</v>
      </c>
      <c r="G3683" s="22">
        <v>0.0</v>
      </c>
      <c r="H3683" s="22">
        <v>244.12</v>
      </c>
      <c r="I3683" s="22">
        <v>0.0</v>
      </c>
      <c r="J3683" s="22">
        <v>0.0</v>
      </c>
      <c r="K3683" s="22">
        <v>0.0</v>
      </c>
      <c r="L3683" s="22">
        <v>750.54</v>
      </c>
      <c r="M3683" s="22">
        <v>567.908</v>
      </c>
      <c r="N3683" s="22">
        <v>348.953</v>
      </c>
      <c r="O3683" s="24">
        <v>18.4</v>
      </c>
      <c r="P3683" s="18">
        <f t="shared" si="1"/>
        <v>750.54</v>
      </c>
    </row>
    <row r="3684" ht="15.75" customHeight="1">
      <c r="A3684" s="13" t="s">
        <v>239</v>
      </c>
      <c r="B3684" s="13" t="s">
        <v>61</v>
      </c>
      <c r="C3684" s="14" t="s">
        <v>69</v>
      </c>
      <c r="D3684" s="14" t="str">
        <f>VLOOKUP(C3684,'State Key'!$A$2:$B$210,2,False)</f>
        <v>Punjab</v>
      </c>
      <c r="E3684" s="15">
        <v>920.0</v>
      </c>
      <c r="F3684" s="16">
        <v>60.221</v>
      </c>
      <c r="G3684" s="16">
        <v>0.0</v>
      </c>
      <c r="H3684" s="16">
        <v>244.167</v>
      </c>
      <c r="I3684" s="16">
        <v>0.0</v>
      </c>
      <c r="J3684" s="16">
        <v>0.0</v>
      </c>
      <c r="K3684" s="16">
        <v>0.062</v>
      </c>
      <c r="L3684" s="16">
        <v>304.45</v>
      </c>
      <c r="M3684" s="16">
        <v>261.574</v>
      </c>
      <c r="N3684" s="16">
        <v>414.22</v>
      </c>
      <c r="O3684" s="24">
        <v>47.5</v>
      </c>
      <c r="P3684" s="18">
        <f t="shared" si="1"/>
        <v>304.45</v>
      </c>
    </row>
    <row r="3685" ht="15.75" customHeight="1">
      <c r="A3685" s="19" t="s">
        <v>239</v>
      </c>
      <c r="B3685" s="19" t="s">
        <v>61</v>
      </c>
      <c r="C3685" s="20" t="s">
        <v>70</v>
      </c>
      <c r="D3685" s="14" t="str">
        <f>VLOOKUP(C3685,'State Key'!$A$2:$B$210,2,False)</f>
        <v>Punjab</v>
      </c>
      <c r="E3685" s="21">
        <v>540.0</v>
      </c>
      <c r="F3685" s="22">
        <v>0.0</v>
      </c>
      <c r="G3685" s="22">
        <v>0.0</v>
      </c>
      <c r="H3685" s="22">
        <v>203.7415</v>
      </c>
      <c r="I3685" s="22">
        <v>0.0</v>
      </c>
      <c r="J3685" s="22">
        <v>0.0</v>
      </c>
      <c r="K3685" s="22">
        <v>0.0</v>
      </c>
      <c r="L3685" s="22">
        <v>203.7415</v>
      </c>
      <c r="M3685" s="22">
        <v>151.2211</v>
      </c>
      <c r="N3685" s="22">
        <v>250.02</v>
      </c>
      <c r="O3685" s="24">
        <v>49.6</v>
      </c>
      <c r="P3685" s="18">
        <f t="shared" si="1"/>
        <v>203.7415</v>
      </c>
    </row>
    <row r="3686" ht="15.75" customHeight="1">
      <c r="A3686" s="13" t="s">
        <v>239</v>
      </c>
      <c r="B3686" s="13" t="s">
        <v>61</v>
      </c>
      <c r="C3686" s="14" t="s">
        <v>71</v>
      </c>
      <c r="D3686" s="14" t="str">
        <f>VLOOKUP(C3686,'State Key'!$A$2:$B$210,2,False)</f>
        <v>Uttar Pradesh</v>
      </c>
      <c r="E3686" s="15">
        <v>1265.0</v>
      </c>
      <c r="F3686" s="16">
        <v>219.79</v>
      </c>
      <c r="G3686" s="16">
        <v>0.0</v>
      </c>
      <c r="H3686" s="16">
        <v>0.0</v>
      </c>
      <c r="I3686" s="16">
        <v>0.0</v>
      </c>
      <c r="J3686" s="16">
        <v>0.0</v>
      </c>
      <c r="K3686" s="16">
        <v>0.0</v>
      </c>
      <c r="L3686" s="16">
        <v>219.79</v>
      </c>
      <c r="M3686" s="16">
        <v>96.8</v>
      </c>
      <c r="N3686" s="16">
        <v>487.43</v>
      </c>
      <c r="O3686" s="24">
        <v>151.1</v>
      </c>
      <c r="P3686" s="18">
        <f t="shared" si="1"/>
        <v>219.79</v>
      </c>
    </row>
    <row r="3687" ht="15.75" customHeight="1">
      <c r="A3687" s="19" t="s">
        <v>239</v>
      </c>
      <c r="B3687" s="19" t="s">
        <v>61</v>
      </c>
      <c r="C3687" s="20" t="s">
        <v>72</v>
      </c>
      <c r="D3687" s="14" t="str">
        <f>VLOOKUP(C3687,'State Key'!$A$2:$B$210,2,False)</f>
        <v>Haryana</v>
      </c>
      <c r="E3687" s="21">
        <v>1500.0</v>
      </c>
      <c r="F3687" s="22">
        <v>533.012</v>
      </c>
      <c r="G3687" s="22">
        <v>0.0</v>
      </c>
      <c r="H3687" s="22">
        <v>0.0</v>
      </c>
      <c r="I3687" s="22">
        <v>0.0</v>
      </c>
      <c r="J3687" s="22">
        <v>0.0</v>
      </c>
      <c r="K3687" s="22">
        <v>0.0</v>
      </c>
      <c r="L3687" s="22">
        <v>533.012</v>
      </c>
      <c r="M3687" s="22">
        <v>493.289</v>
      </c>
      <c r="N3687" s="22">
        <v>606.021</v>
      </c>
      <c r="O3687" s="24">
        <v>36.9</v>
      </c>
      <c r="P3687" s="18">
        <f t="shared" si="1"/>
        <v>533.012</v>
      </c>
    </row>
    <row r="3688" ht="15.75" customHeight="1">
      <c r="A3688" s="13" t="s">
        <v>239</v>
      </c>
      <c r="B3688" s="13" t="s">
        <v>61</v>
      </c>
      <c r="C3688" s="14" t="s">
        <v>226</v>
      </c>
      <c r="D3688" s="14" t="str">
        <f>VLOOKUP(C3688,'State Key'!$A$2:$B$210,2,False)</f>
        <v>Uttar Pradesh</v>
      </c>
      <c r="E3688" s="15">
        <v>1320.0</v>
      </c>
      <c r="F3688" s="16">
        <v>208.836</v>
      </c>
      <c r="G3688" s="16">
        <v>0.0</v>
      </c>
      <c r="H3688" s="16">
        <v>0.0</v>
      </c>
      <c r="I3688" s="16">
        <v>0.0</v>
      </c>
      <c r="J3688" s="16">
        <v>0.0</v>
      </c>
      <c r="K3688" s="16">
        <v>0.0</v>
      </c>
      <c r="L3688" s="16">
        <v>208.836</v>
      </c>
      <c r="M3688" s="16">
        <v>149.61</v>
      </c>
      <c r="N3688" s="16">
        <v>158.51</v>
      </c>
      <c r="O3688" s="24">
        <v>31.8</v>
      </c>
      <c r="P3688" s="18">
        <f t="shared" si="1"/>
        <v>208.836</v>
      </c>
    </row>
    <row r="3689" ht="15.75" customHeight="1">
      <c r="A3689" s="19" t="s">
        <v>239</v>
      </c>
      <c r="B3689" s="19" t="s">
        <v>61</v>
      </c>
      <c r="C3689" s="20" t="s">
        <v>73</v>
      </c>
      <c r="D3689" s="14" t="str">
        <f>VLOOKUP(C3689,'State Key'!$A$2:$B$210,2,False)</f>
        <v>Rajasthan</v>
      </c>
      <c r="E3689" s="21">
        <v>1200.0</v>
      </c>
      <c r="F3689" s="22">
        <v>89.858</v>
      </c>
      <c r="G3689" s="22">
        <v>0.0</v>
      </c>
      <c r="H3689" s="22">
        <v>468.824</v>
      </c>
      <c r="I3689" s="22">
        <v>0.0</v>
      </c>
      <c r="J3689" s="22">
        <v>0.0</v>
      </c>
      <c r="K3689" s="22">
        <v>0.0</v>
      </c>
      <c r="L3689" s="22">
        <v>558.682</v>
      </c>
      <c r="M3689" s="22">
        <v>453.315</v>
      </c>
      <c r="N3689" s="22">
        <v>236.52</v>
      </c>
      <c r="O3689" s="24">
        <v>15.7</v>
      </c>
      <c r="P3689" s="18">
        <f t="shared" si="1"/>
        <v>558.682</v>
      </c>
    </row>
    <row r="3690" ht="15.75" customHeight="1">
      <c r="A3690" s="13" t="s">
        <v>239</v>
      </c>
      <c r="B3690" s="13" t="s">
        <v>61</v>
      </c>
      <c r="C3690" s="14" t="s">
        <v>75</v>
      </c>
      <c r="D3690" s="14" t="str">
        <f>VLOOKUP(C3690,'State Key'!$A$2:$B$210,2,False)</f>
        <v>Uttar Pradesh</v>
      </c>
      <c r="E3690" s="15">
        <v>90.0</v>
      </c>
      <c r="F3690" s="16">
        <v>22.5</v>
      </c>
      <c r="G3690" s="16">
        <v>0.0</v>
      </c>
      <c r="H3690" s="16">
        <v>0.0</v>
      </c>
      <c r="I3690" s="16">
        <v>0.0</v>
      </c>
      <c r="J3690" s="16">
        <v>0.0</v>
      </c>
      <c r="K3690" s="16">
        <v>0.0</v>
      </c>
      <c r="L3690" s="16">
        <v>22.5</v>
      </c>
      <c r="M3690" s="16">
        <v>15.175</v>
      </c>
      <c r="N3690" s="16">
        <v>32.5</v>
      </c>
      <c r="O3690" s="24">
        <v>64.3</v>
      </c>
      <c r="P3690" s="18">
        <f t="shared" si="1"/>
        <v>22.5</v>
      </c>
    </row>
    <row r="3691" ht="15.75" customHeight="1">
      <c r="A3691" s="19" t="s">
        <v>239</v>
      </c>
      <c r="B3691" s="19" t="s">
        <v>61</v>
      </c>
      <c r="C3691" s="20" t="s">
        <v>76</v>
      </c>
      <c r="D3691" s="14" t="str">
        <f>VLOOKUP(C3691,'State Key'!$A$2:$B$210,2,False)</f>
        <v>Rajasthan</v>
      </c>
      <c r="E3691" s="21">
        <v>1240.0</v>
      </c>
      <c r="F3691" s="22">
        <v>505.05052</v>
      </c>
      <c r="G3691" s="22">
        <v>0.0</v>
      </c>
      <c r="H3691" s="22">
        <v>0.0</v>
      </c>
      <c r="I3691" s="22">
        <v>0.0</v>
      </c>
      <c r="J3691" s="22">
        <v>0.0</v>
      </c>
      <c r="K3691" s="22">
        <v>7.9674</v>
      </c>
      <c r="L3691" s="22">
        <v>513.01792</v>
      </c>
      <c r="M3691" s="22">
        <v>492.2514</v>
      </c>
      <c r="N3691" s="22">
        <v>366.16</v>
      </c>
      <c r="O3691" s="24">
        <v>22.3</v>
      </c>
      <c r="P3691" s="18">
        <f t="shared" si="1"/>
        <v>513.01792</v>
      </c>
    </row>
    <row r="3692" ht="15.75" customHeight="1">
      <c r="A3692" s="13" t="s">
        <v>239</v>
      </c>
      <c r="B3692" s="13" t="s">
        <v>61</v>
      </c>
      <c r="C3692" s="14" t="s">
        <v>77</v>
      </c>
      <c r="D3692" s="14" t="str">
        <f>VLOOKUP(C3692,'State Key'!$A$2:$B$210,2,False)</f>
        <v>Uttar Pradesh</v>
      </c>
      <c r="E3692" s="15">
        <v>90.0</v>
      </c>
      <c r="F3692" s="16">
        <v>23.378</v>
      </c>
      <c r="G3692" s="16">
        <v>0.0</v>
      </c>
      <c r="H3692" s="16">
        <v>0.0</v>
      </c>
      <c r="I3692" s="16">
        <v>0.0</v>
      </c>
      <c r="J3692" s="16">
        <v>0.0</v>
      </c>
      <c r="K3692" s="16">
        <v>0.0</v>
      </c>
      <c r="L3692" s="16">
        <v>23.378</v>
      </c>
      <c r="M3692" s="16">
        <v>11.81</v>
      </c>
      <c r="N3692" s="16">
        <v>43.1</v>
      </c>
      <c r="O3692" s="24">
        <v>109.5</v>
      </c>
      <c r="P3692" s="18">
        <f t="shared" si="1"/>
        <v>23.378</v>
      </c>
    </row>
    <row r="3693" ht="15.75" customHeight="1">
      <c r="A3693" s="19" t="s">
        <v>239</v>
      </c>
      <c r="B3693" s="19" t="s">
        <v>61</v>
      </c>
      <c r="C3693" s="20" t="s">
        <v>78</v>
      </c>
      <c r="D3693" s="14" t="str">
        <f>VLOOKUP(C3693,'State Key'!$A$2:$B$210,2,False)</f>
        <v>Uttar Pradesh</v>
      </c>
      <c r="E3693" s="21">
        <v>1980.0</v>
      </c>
      <c r="F3693" s="22">
        <v>676.108</v>
      </c>
      <c r="G3693" s="22">
        <v>0.0</v>
      </c>
      <c r="H3693" s="22">
        <v>0.0</v>
      </c>
      <c r="I3693" s="22">
        <v>0.0</v>
      </c>
      <c r="J3693" s="22">
        <v>0.0</v>
      </c>
      <c r="K3693" s="22">
        <v>0.0</v>
      </c>
      <c r="L3693" s="22">
        <v>676.108</v>
      </c>
      <c r="M3693" s="22">
        <v>653.744</v>
      </c>
      <c r="N3693" s="22">
        <v>312.2</v>
      </c>
      <c r="O3693" s="24">
        <v>14.3</v>
      </c>
      <c r="P3693" s="18">
        <f t="shared" si="1"/>
        <v>676.108</v>
      </c>
    </row>
    <row r="3694" ht="15.75" customHeight="1">
      <c r="A3694" s="13" t="s">
        <v>239</v>
      </c>
      <c r="B3694" s="13" t="s">
        <v>61</v>
      </c>
      <c r="C3694" s="14" t="s">
        <v>79</v>
      </c>
      <c r="D3694" s="14" t="str">
        <f>VLOOKUP(C3694,'State Key'!$A$2:$B$210,2,False)</f>
        <v>Haryana</v>
      </c>
      <c r="E3694" s="15">
        <v>1320.0</v>
      </c>
      <c r="F3694" s="16">
        <v>316.275</v>
      </c>
      <c r="G3694" s="16">
        <v>0.0</v>
      </c>
      <c r="H3694" s="16">
        <v>0.0</v>
      </c>
      <c r="I3694" s="16">
        <v>0.0</v>
      </c>
      <c r="J3694" s="16">
        <v>0.0</v>
      </c>
      <c r="K3694" s="16">
        <v>0.0</v>
      </c>
      <c r="L3694" s="16">
        <v>316.275</v>
      </c>
      <c r="M3694" s="16">
        <v>336.698</v>
      </c>
      <c r="N3694" s="16">
        <v>321.64</v>
      </c>
      <c r="O3694" s="24">
        <v>28.7</v>
      </c>
      <c r="P3694" s="18">
        <f t="shared" si="1"/>
        <v>316.275</v>
      </c>
    </row>
    <row r="3695" ht="15.75" customHeight="1">
      <c r="A3695" s="19" t="s">
        <v>239</v>
      </c>
      <c r="B3695" s="19" t="s">
        <v>61</v>
      </c>
      <c r="C3695" s="20" t="s">
        <v>80</v>
      </c>
      <c r="D3695" s="14" t="str">
        <f>VLOOKUP(C3695,'State Key'!$A$2:$B$210,2,False)</f>
        <v>Uttar Pradesh</v>
      </c>
      <c r="E3695" s="21">
        <v>90.0</v>
      </c>
      <c r="F3695" s="22">
        <v>23.207</v>
      </c>
      <c r="G3695" s="22">
        <v>0.0</v>
      </c>
      <c r="H3695" s="22">
        <v>0.0</v>
      </c>
      <c r="I3695" s="22">
        <v>0.0</v>
      </c>
      <c r="J3695" s="22">
        <v>0.0</v>
      </c>
      <c r="K3695" s="22">
        <v>0.0</v>
      </c>
      <c r="L3695" s="22">
        <v>23.207</v>
      </c>
      <c r="M3695" s="22">
        <v>9.184</v>
      </c>
      <c r="N3695" s="22">
        <v>28.75</v>
      </c>
      <c r="O3695" s="24">
        <v>93.9</v>
      </c>
      <c r="P3695" s="18">
        <f t="shared" si="1"/>
        <v>23.207</v>
      </c>
    </row>
    <row r="3696" ht="15.75" customHeight="1">
      <c r="A3696" s="13" t="s">
        <v>239</v>
      </c>
      <c r="B3696" s="13" t="s">
        <v>61</v>
      </c>
      <c r="C3696" s="14" t="s">
        <v>81</v>
      </c>
      <c r="D3696" s="14" t="str">
        <f>VLOOKUP(C3696,'State Key'!$A$2:$B$210,2,False)</f>
        <v>Uttar Pradesh</v>
      </c>
      <c r="E3696" s="15">
        <v>1320.0</v>
      </c>
      <c r="F3696" s="16">
        <v>518.0317</v>
      </c>
      <c r="G3696" s="16">
        <v>0.0</v>
      </c>
      <c r="H3696" s="16">
        <v>27.561</v>
      </c>
      <c r="I3696" s="16">
        <v>0.0</v>
      </c>
      <c r="J3696" s="16">
        <v>0.0</v>
      </c>
      <c r="K3696" s="16">
        <v>0.0</v>
      </c>
      <c r="L3696" s="16">
        <v>545.5927</v>
      </c>
      <c r="M3696" s="16">
        <v>510.326</v>
      </c>
      <c r="N3696" s="16">
        <v>301.8</v>
      </c>
      <c r="O3696" s="24">
        <v>17.7</v>
      </c>
      <c r="P3696" s="18">
        <f t="shared" si="1"/>
        <v>545.5927</v>
      </c>
    </row>
    <row r="3697" ht="15.75" customHeight="1">
      <c r="A3697" s="19" t="s">
        <v>239</v>
      </c>
      <c r="B3697" s="19" t="s">
        <v>61</v>
      </c>
      <c r="C3697" s="20" t="s">
        <v>82</v>
      </c>
      <c r="D3697" s="14" t="str">
        <f>VLOOKUP(C3697,'State Key'!$A$2:$B$210,2,False)</f>
        <v>Uttar Pradesh</v>
      </c>
      <c r="E3697" s="21">
        <v>1660.0</v>
      </c>
      <c r="F3697" s="22">
        <v>544.11</v>
      </c>
      <c r="G3697" s="22">
        <v>0.0</v>
      </c>
      <c r="H3697" s="22">
        <v>0.0</v>
      </c>
      <c r="I3697" s="22">
        <v>0.0</v>
      </c>
      <c r="J3697" s="22">
        <v>0.0</v>
      </c>
      <c r="K3697" s="22">
        <v>0.0</v>
      </c>
      <c r="L3697" s="22">
        <v>544.11</v>
      </c>
      <c r="M3697" s="22">
        <v>547.329</v>
      </c>
      <c r="N3697" s="22">
        <v>212.43</v>
      </c>
      <c r="O3697" s="23">
        <v>11.6</v>
      </c>
      <c r="P3697" s="18">
        <f t="shared" si="1"/>
        <v>544.11</v>
      </c>
    </row>
    <row r="3698" ht="15.75" customHeight="1">
      <c r="A3698" s="13" t="s">
        <v>239</v>
      </c>
      <c r="B3698" s="13" t="s">
        <v>61</v>
      </c>
      <c r="C3698" s="14" t="s">
        <v>83</v>
      </c>
      <c r="D3698" s="14" t="str">
        <f>VLOOKUP(C3698,'State Key'!$A$2:$B$210,2,False)</f>
        <v>Haryana</v>
      </c>
      <c r="E3698" s="15">
        <v>710.0</v>
      </c>
      <c r="F3698" s="16">
        <v>276.209</v>
      </c>
      <c r="G3698" s="16">
        <v>0.0</v>
      </c>
      <c r="H3698" s="16">
        <v>0.0</v>
      </c>
      <c r="I3698" s="16">
        <v>0.0</v>
      </c>
      <c r="J3698" s="16">
        <v>0.0</v>
      </c>
      <c r="K3698" s="16">
        <v>0.0</v>
      </c>
      <c r="L3698" s="16">
        <v>276.209</v>
      </c>
      <c r="M3698" s="16">
        <v>317.201</v>
      </c>
      <c r="N3698" s="16">
        <v>298.18</v>
      </c>
      <c r="O3698" s="24">
        <v>28.2</v>
      </c>
      <c r="P3698" s="18">
        <f t="shared" si="1"/>
        <v>276.209</v>
      </c>
    </row>
    <row r="3699" ht="15.75" customHeight="1">
      <c r="A3699" s="19" t="s">
        <v>239</v>
      </c>
      <c r="B3699" s="19" t="s">
        <v>61</v>
      </c>
      <c r="C3699" s="20" t="s">
        <v>84</v>
      </c>
      <c r="D3699" s="14" t="str">
        <f>VLOOKUP(C3699,'State Key'!$A$2:$B$210,2,False)</f>
        <v>Uttar Pradesh</v>
      </c>
      <c r="E3699" s="21">
        <v>920.0</v>
      </c>
      <c r="F3699" s="22">
        <v>418.88</v>
      </c>
      <c r="G3699" s="22">
        <v>0.0</v>
      </c>
      <c r="H3699" s="22">
        <v>0.0</v>
      </c>
      <c r="I3699" s="22">
        <v>0.0</v>
      </c>
      <c r="J3699" s="22">
        <v>0.0</v>
      </c>
      <c r="K3699" s="22">
        <v>0.0</v>
      </c>
      <c r="L3699" s="22">
        <v>418.88</v>
      </c>
      <c r="M3699" s="22">
        <v>352.462</v>
      </c>
      <c r="N3699" s="22">
        <v>311.198</v>
      </c>
      <c r="O3699" s="24">
        <v>26.5</v>
      </c>
      <c r="P3699" s="18">
        <f t="shared" si="1"/>
        <v>418.88</v>
      </c>
    </row>
    <row r="3700" ht="15.75" customHeight="1">
      <c r="A3700" s="13" t="s">
        <v>239</v>
      </c>
      <c r="B3700" s="13" t="s">
        <v>61</v>
      </c>
      <c r="C3700" s="14" t="s">
        <v>85</v>
      </c>
      <c r="D3700" s="14" t="str">
        <f>VLOOKUP(C3700,'State Key'!$A$2:$B$210,2,False)</f>
        <v>Uttar Pradesh</v>
      </c>
      <c r="E3700" s="15">
        <v>1980.0</v>
      </c>
      <c r="F3700" s="16">
        <v>658.624</v>
      </c>
      <c r="G3700" s="16">
        <v>0.0</v>
      </c>
      <c r="H3700" s="16">
        <v>0.0</v>
      </c>
      <c r="I3700" s="16">
        <v>0.0</v>
      </c>
      <c r="J3700" s="16">
        <v>0.0</v>
      </c>
      <c r="K3700" s="16">
        <v>0.0</v>
      </c>
      <c r="L3700" s="16">
        <v>658.624</v>
      </c>
      <c r="M3700" s="16">
        <v>507.8</v>
      </c>
      <c r="N3700" s="16">
        <v>678.11</v>
      </c>
      <c r="O3700" s="24">
        <v>40.1</v>
      </c>
      <c r="P3700" s="18">
        <f t="shared" si="1"/>
        <v>658.624</v>
      </c>
    </row>
    <row r="3701" ht="15.75" customHeight="1">
      <c r="A3701" s="19" t="s">
        <v>239</v>
      </c>
      <c r="B3701" s="19" t="s">
        <v>61</v>
      </c>
      <c r="C3701" s="20" t="s">
        <v>86</v>
      </c>
      <c r="D3701" s="14" t="str">
        <f>VLOOKUP(C3701,'State Key'!$A$2:$B$210,2,False)</f>
        <v>Haryana</v>
      </c>
      <c r="E3701" s="21">
        <v>1200.0</v>
      </c>
      <c r="F3701" s="22">
        <v>305.65</v>
      </c>
      <c r="G3701" s="22">
        <v>0.0</v>
      </c>
      <c r="H3701" s="22">
        <v>0.0</v>
      </c>
      <c r="I3701" s="22">
        <v>0.0</v>
      </c>
      <c r="J3701" s="22">
        <v>0.0</v>
      </c>
      <c r="K3701" s="22">
        <v>0.0</v>
      </c>
      <c r="L3701" s="22">
        <v>305.65</v>
      </c>
      <c r="M3701" s="22">
        <v>403.944</v>
      </c>
      <c r="N3701" s="22">
        <v>510.948</v>
      </c>
      <c r="O3701" s="24">
        <v>37.9</v>
      </c>
      <c r="P3701" s="18">
        <f t="shared" si="1"/>
        <v>305.65</v>
      </c>
    </row>
    <row r="3702" ht="15.75" customHeight="1">
      <c r="A3702" s="13" t="s">
        <v>239</v>
      </c>
      <c r="B3702" s="13" t="s">
        <v>61</v>
      </c>
      <c r="C3702" s="14" t="s">
        <v>87</v>
      </c>
      <c r="D3702" s="14" t="str">
        <f>VLOOKUP(C3702,'State Key'!$A$2:$B$210,2,False)</f>
        <v>Punjab</v>
      </c>
      <c r="E3702" s="15">
        <v>1400.0</v>
      </c>
      <c r="F3702" s="16">
        <v>549.4326</v>
      </c>
      <c r="G3702" s="16">
        <v>0.0</v>
      </c>
      <c r="H3702" s="16">
        <v>0.0</v>
      </c>
      <c r="I3702" s="16">
        <v>0.0</v>
      </c>
      <c r="J3702" s="16">
        <v>0.0</v>
      </c>
      <c r="K3702" s="16">
        <v>0.0</v>
      </c>
      <c r="L3702" s="16">
        <v>549.4326</v>
      </c>
      <c r="M3702" s="16">
        <v>424.0301</v>
      </c>
      <c r="N3702" s="16">
        <v>510.18</v>
      </c>
      <c r="O3702" s="24">
        <v>36.1</v>
      </c>
      <c r="P3702" s="18">
        <f t="shared" si="1"/>
        <v>549.4326</v>
      </c>
    </row>
    <row r="3703" ht="15.75" customHeight="1">
      <c r="A3703" s="19" t="s">
        <v>239</v>
      </c>
      <c r="B3703" s="19" t="s">
        <v>61</v>
      </c>
      <c r="C3703" s="20" t="s">
        <v>88</v>
      </c>
      <c r="D3703" s="14" t="str">
        <f>VLOOKUP(C3703,'State Key'!$A$2:$B$210,2,False)</f>
        <v>Uttar Pradesh</v>
      </c>
      <c r="E3703" s="21">
        <v>3000.0</v>
      </c>
      <c r="F3703" s="22">
        <v>1410.1</v>
      </c>
      <c r="G3703" s="22">
        <v>0.0</v>
      </c>
      <c r="H3703" s="22">
        <v>0.0</v>
      </c>
      <c r="I3703" s="22">
        <v>0.0</v>
      </c>
      <c r="J3703" s="22">
        <v>0.0</v>
      </c>
      <c r="K3703" s="22">
        <v>0.0</v>
      </c>
      <c r="L3703" s="22">
        <v>1410.1</v>
      </c>
      <c r="M3703" s="22">
        <v>1268.071</v>
      </c>
      <c r="N3703" s="22">
        <v>634.39</v>
      </c>
      <c r="O3703" s="24">
        <v>15.0</v>
      </c>
      <c r="P3703" s="18">
        <f t="shared" si="1"/>
        <v>1410.1</v>
      </c>
    </row>
    <row r="3704" ht="15.75" customHeight="1">
      <c r="A3704" s="13" t="s">
        <v>239</v>
      </c>
      <c r="B3704" s="13" t="s">
        <v>61</v>
      </c>
      <c r="C3704" s="14" t="s">
        <v>89</v>
      </c>
      <c r="D3704" s="14" t="str">
        <f>VLOOKUP(C3704,'State Key'!$A$2:$B$210,2,False)</f>
        <v>Punjab</v>
      </c>
      <c r="E3704" s="15">
        <v>840.0</v>
      </c>
      <c r="F3704" s="16">
        <v>20.346</v>
      </c>
      <c r="G3704" s="16">
        <v>0.0</v>
      </c>
      <c r="H3704" s="16">
        <v>241.781</v>
      </c>
      <c r="I3704" s="16">
        <v>0.0</v>
      </c>
      <c r="J3704" s="16">
        <v>0.0</v>
      </c>
      <c r="K3704" s="16">
        <v>0.0</v>
      </c>
      <c r="L3704" s="16">
        <v>262.127</v>
      </c>
      <c r="M3704" s="16">
        <v>210.093</v>
      </c>
      <c r="N3704" s="16">
        <v>547.76</v>
      </c>
      <c r="O3704" s="24">
        <v>78.2</v>
      </c>
      <c r="P3704" s="18">
        <f t="shared" si="1"/>
        <v>262.127</v>
      </c>
    </row>
    <row r="3705" ht="15.75" customHeight="1">
      <c r="A3705" s="19" t="s">
        <v>239</v>
      </c>
      <c r="B3705" s="19" t="s">
        <v>61</v>
      </c>
      <c r="C3705" s="20" t="s">
        <v>90</v>
      </c>
      <c r="D3705" s="14" t="str">
        <f>VLOOKUP(C3705,'State Key'!$A$2:$B$210,2,False)</f>
        <v>Uttar Pradesh</v>
      </c>
      <c r="E3705" s="21">
        <v>1200.0</v>
      </c>
      <c r="F3705" s="22">
        <v>400.525</v>
      </c>
      <c r="G3705" s="22">
        <v>0.0</v>
      </c>
      <c r="H3705" s="22">
        <v>0.0</v>
      </c>
      <c r="I3705" s="22">
        <v>0.0</v>
      </c>
      <c r="J3705" s="22">
        <v>0.0</v>
      </c>
      <c r="K3705" s="22">
        <v>0.0</v>
      </c>
      <c r="L3705" s="22">
        <v>400.525</v>
      </c>
      <c r="M3705" s="22">
        <v>363.822</v>
      </c>
      <c r="N3705" s="22">
        <v>365.27</v>
      </c>
      <c r="O3705" s="24">
        <v>30.1</v>
      </c>
      <c r="P3705" s="18">
        <f t="shared" si="1"/>
        <v>400.525</v>
      </c>
    </row>
    <row r="3706" ht="15.75" customHeight="1">
      <c r="A3706" s="13" t="s">
        <v>239</v>
      </c>
      <c r="B3706" s="13" t="s">
        <v>61</v>
      </c>
      <c r="C3706" s="14" t="s">
        <v>219</v>
      </c>
      <c r="D3706" s="14" t="str">
        <f>VLOOKUP(C3706,'State Key'!$A$2:$B$210,2,False)</f>
        <v>Rajasthan</v>
      </c>
      <c r="E3706" s="15">
        <v>300.0</v>
      </c>
      <c r="F3706" s="16">
        <v>0.0</v>
      </c>
      <c r="G3706" s="16">
        <v>0.0</v>
      </c>
      <c r="H3706" s="16">
        <v>0.0</v>
      </c>
      <c r="I3706" s="16">
        <v>0.0</v>
      </c>
      <c r="J3706" s="16">
        <v>19.0</v>
      </c>
      <c r="K3706" s="16">
        <v>0.0</v>
      </c>
      <c r="L3706" s="16">
        <v>19.0</v>
      </c>
      <c r="M3706" s="16">
        <v>19.0</v>
      </c>
      <c r="N3706" s="16">
        <v>0.0</v>
      </c>
      <c r="O3706" s="17">
        <v>0.0</v>
      </c>
      <c r="P3706" s="18">
        <f t="shared" si="1"/>
        <v>19</v>
      </c>
    </row>
    <row r="3707" ht="15.75" customHeight="1">
      <c r="A3707" s="19" t="s">
        <v>239</v>
      </c>
      <c r="B3707" s="19" t="s">
        <v>61</v>
      </c>
      <c r="C3707" s="20" t="s">
        <v>91</v>
      </c>
      <c r="D3707" s="14" t="str">
        <f>VLOOKUP(C3707,'State Key'!$A$2:$B$210,2,False)</f>
        <v>Uttar Pradesh</v>
      </c>
      <c r="E3707" s="21">
        <v>2000.0</v>
      </c>
      <c r="F3707" s="22">
        <v>1006.66</v>
      </c>
      <c r="G3707" s="22">
        <v>0.0</v>
      </c>
      <c r="H3707" s="22">
        <v>0.0</v>
      </c>
      <c r="I3707" s="22">
        <v>0.0</v>
      </c>
      <c r="J3707" s="22">
        <v>0.0</v>
      </c>
      <c r="K3707" s="22">
        <v>0.0</v>
      </c>
      <c r="L3707" s="22">
        <v>1006.66</v>
      </c>
      <c r="M3707" s="22">
        <v>821.011</v>
      </c>
      <c r="N3707" s="22">
        <v>490.812</v>
      </c>
      <c r="O3707" s="24">
        <v>17.9</v>
      </c>
      <c r="P3707" s="18">
        <f t="shared" si="1"/>
        <v>1006.66</v>
      </c>
    </row>
    <row r="3708" ht="15.75" customHeight="1">
      <c r="A3708" s="13" t="s">
        <v>239</v>
      </c>
      <c r="B3708" s="13" t="s">
        <v>61</v>
      </c>
      <c r="C3708" s="14" t="s">
        <v>92</v>
      </c>
      <c r="D3708" s="14" t="str">
        <f>VLOOKUP(C3708,'State Key'!$A$2:$B$210,2,False)</f>
        <v>Rajasthan</v>
      </c>
      <c r="E3708" s="15">
        <v>1320.0</v>
      </c>
      <c r="F3708" s="16">
        <v>232.17938</v>
      </c>
      <c r="G3708" s="16">
        <v>0.0</v>
      </c>
      <c r="H3708" s="16">
        <v>236.07242</v>
      </c>
      <c r="I3708" s="16">
        <v>0.0</v>
      </c>
      <c r="J3708" s="16">
        <v>0.0</v>
      </c>
      <c r="K3708" s="16">
        <v>0.0</v>
      </c>
      <c r="L3708" s="16">
        <v>468.2518</v>
      </c>
      <c r="M3708" s="16">
        <v>409.627</v>
      </c>
      <c r="N3708" s="16">
        <v>215.24</v>
      </c>
      <c r="O3708" s="24">
        <v>15.8</v>
      </c>
      <c r="P3708" s="18">
        <f t="shared" si="1"/>
        <v>468.2518</v>
      </c>
    </row>
    <row r="3709" ht="15.75" customHeight="1">
      <c r="A3709" s="19" t="s">
        <v>239</v>
      </c>
      <c r="B3709" s="19" t="s">
        <v>61</v>
      </c>
      <c r="C3709" s="20" t="s">
        <v>93</v>
      </c>
      <c r="D3709" s="14" t="str">
        <f>VLOOKUP(C3709,'State Key'!$A$2:$B$210,2,False)</f>
        <v>Rajasthan</v>
      </c>
      <c r="E3709" s="21">
        <v>1500.0</v>
      </c>
      <c r="F3709" s="22">
        <v>559.929</v>
      </c>
      <c r="G3709" s="22">
        <v>0.0</v>
      </c>
      <c r="H3709" s="22">
        <v>0.0</v>
      </c>
      <c r="I3709" s="22">
        <v>0.0</v>
      </c>
      <c r="J3709" s="22">
        <v>0.0</v>
      </c>
      <c r="K3709" s="22">
        <v>0.0</v>
      </c>
      <c r="L3709" s="22">
        <v>559.929</v>
      </c>
      <c r="M3709" s="22">
        <v>339.5701</v>
      </c>
      <c r="N3709" s="22">
        <v>476.99</v>
      </c>
      <c r="O3709" s="24">
        <v>42.1</v>
      </c>
      <c r="P3709" s="18">
        <f t="shared" si="1"/>
        <v>559.929</v>
      </c>
    </row>
    <row r="3710" ht="15.75" customHeight="1">
      <c r="A3710" s="13" t="s">
        <v>239</v>
      </c>
      <c r="B3710" s="13" t="s">
        <v>61</v>
      </c>
      <c r="C3710" s="14" t="s">
        <v>94</v>
      </c>
      <c r="D3710" s="14" t="str">
        <f>VLOOKUP(C3710,'State Key'!$A$2:$B$210,2,False)</f>
        <v>Punjab</v>
      </c>
      <c r="E3710" s="15">
        <v>1980.0</v>
      </c>
      <c r="F3710" s="16">
        <v>332.015</v>
      </c>
      <c r="G3710" s="16">
        <v>0.0</v>
      </c>
      <c r="H3710" s="16">
        <v>0.0</v>
      </c>
      <c r="I3710" s="16">
        <v>0.0</v>
      </c>
      <c r="J3710" s="16">
        <v>0.0</v>
      </c>
      <c r="K3710" s="16">
        <v>0.0</v>
      </c>
      <c r="L3710" s="16">
        <v>332.015</v>
      </c>
      <c r="M3710" s="16">
        <v>401.48</v>
      </c>
      <c r="N3710" s="16">
        <v>191.4</v>
      </c>
      <c r="O3710" s="24">
        <v>14.3</v>
      </c>
      <c r="P3710" s="18">
        <f t="shared" si="1"/>
        <v>332.015</v>
      </c>
    </row>
    <row r="3711" ht="15.75" customHeight="1">
      <c r="A3711" s="19" t="s">
        <v>239</v>
      </c>
      <c r="B3711" s="19" t="s">
        <v>61</v>
      </c>
      <c r="C3711" s="20" t="s">
        <v>95</v>
      </c>
      <c r="D3711" s="14" t="str">
        <f>VLOOKUP(C3711,'State Key'!$A$2:$B$210,2,False)</f>
        <v>Uttar Pradesh</v>
      </c>
      <c r="E3711" s="21">
        <v>1760.0</v>
      </c>
      <c r="F3711" s="22">
        <v>189.95</v>
      </c>
      <c r="G3711" s="22">
        <v>0.0</v>
      </c>
      <c r="H3711" s="22">
        <v>336.67</v>
      </c>
      <c r="I3711" s="22">
        <v>0.0</v>
      </c>
      <c r="J3711" s="22">
        <v>0.0</v>
      </c>
      <c r="K3711" s="22">
        <v>124.55</v>
      </c>
      <c r="L3711" s="22">
        <v>651.17</v>
      </c>
      <c r="M3711" s="22">
        <v>316.898</v>
      </c>
      <c r="N3711" s="22">
        <v>672.646</v>
      </c>
      <c r="O3711" s="24">
        <v>63.7</v>
      </c>
      <c r="P3711" s="18">
        <f t="shared" si="1"/>
        <v>651.17</v>
      </c>
    </row>
    <row r="3712" ht="15.75" customHeight="1">
      <c r="A3712" s="13" t="s">
        <v>239</v>
      </c>
      <c r="B3712" s="13" t="s">
        <v>61</v>
      </c>
      <c r="C3712" s="14" t="s">
        <v>96</v>
      </c>
      <c r="D3712" s="14" t="str">
        <f>VLOOKUP(C3712,'State Key'!$A$2:$B$210,2,False)</f>
        <v>Uttar Pradesh</v>
      </c>
      <c r="E3712" s="15">
        <v>1550.0</v>
      </c>
      <c r="F3712" s="16">
        <v>508.54</v>
      </c>
      <c r="G3712" s="16">
        <v>0.0</v>
      </c>
      <c r="H3712" s="16">
        <v>222.81</v>
      </c>
      <c r="I3712" s="16">
        <v>0.0</v>
      </c>
      <c r="J3712" s="16">
        <v>0.0</v>
      </c>
      <c r="K3712" s="16">
        <v>0.0</v>
      </c>
      <c r="L3712" s="16">
        <v>731.35</v>
      </c>
      <c r="M3712" s="16">
        <v>558.466</v>
      </c>
      <c r="N3712" s="16">
        <v>478.26</v>
      </c>
      <c r="O3712" s="24">
        <v>25.7</v>
      </c>
      <c r="P3712" s="18">
        <f t="shared" si="1"/>
        <v>731.35</v>
      </c>
    </row>
    <row r="3713" ht="15.75" customHeight="1">
      <c r="A3713" s="19" t="s">
        <v>239</v>
      </c>
      <c r="B3713" s="19" t="s">
        <v>61</v>
      </c>
      <c r="C3713" s="20" t="s">
        <v>97</v>
      </c>
      <c r="D3713" s="14" t="str">
        <f>VLOOKUP(C3713,'State Key'!$A$2:$B$210,2,False)</f>
        <v>Uttar Pradesh</v>
      </c>
      <c r="E3713" s="21">
        <v>90.0</v>
      </c>
      <c r="F3713" s="22">
        <v>19.82</v>
      </c>
      <c r="G3713" s="22">
        <v>0.0</v>
      </c>
      <c r="H3713" s="22">
        <v>0.0</v>
      </c>
      <c r="I3713" s="22">
        <v>0.0</v>
      </c>
      <c r="J3713" s="22">
        <v>0.0</v>
      </c>
      <c r="K3713" s="22">
        <v>0.0</v>
      </c>
      <c r="L3713" s="22">
        <v>19.82</v>
      </c>
      <c r="M3713" s="22">
        <v>12.677</v>
      </c>
      <c r="N3713" s="22">
        <v>44.26</v>
      </c>
      <c r="O3713" s="24">
        <v>104.7</v>
      </c>
      <c r="P3713" s="18">
        <f t="shared" si="1"/>
        <v>19.82</v>
      </c>
    </row>
    <row r="3714" ht="15.75" customHeight="1">
      <c r="A3714" s="13" t="s">
        <v>239</v>
      </c>
      <c r="B3714" s="13" t="s">
        <v>61</v>
      </c>
      <c r="C3714" s="14" t="s">
        <v>98</v>
      </c>
      <c r="D3714" s="14" t="str">
        <f>VLOOKUP(C3714,'State Key'!$A$2:$B$210,2,False)</f>
        <v>Haryana</v>
      </c>
      <c r="E3714" s="15">
        <v>600.0</v>
      </c>
      <c r="F3714" s="16">
        <v>106.535</v>
      </c>
      <c r="G3714" s="16">
        <v>0.0</v>
      </c>
      <c r="H3714" s="16">
        <v>0.0</v>
      </c>
      <c r="I3714" s="16">
        <v>0.0</v>
      </c>
      <c r="J3714" s="16">
        <v>0.0</v>
      </c>
      <c r="K3714" s="16">
        <v>0.0</v>
      </c>
      <c r="L3714" s="16">
        <v>106.535</v>
      </c>
      <c r="M3714" s="16">
        <v>8.533</v>
      </c>
      <c r="N3714" s="16">
        <v>386.8</v>
      </c>
      <c r="O3714" s="24">
        <v>1359.9</v>
      </c>
      <c r="P3714" s="18">
        <f t="shared" si="1"/>
        <v>106.535</v>
      </c>
    </row>
    <row r="3715" ht="15.75" customHeight="1">
      <c r="A3715" s="19" t="s">
        <v>239</v>
      </c>
      <c r="B3715" s="19" t="s">
        <v>99</v>
      </c>
      <c r="C3715" s="20" t="s">
        <v>230</v>
      </c>
      <c r="D3715" s="14" t="str">
        <f>VLOOKUP(C3715,'State Key'!$A$2:$B$210,2,False)</f>
        <v>Karnataka</v>
      </c>
      <c r="E3715" s="21">
        <v>1200.0</v>
      </c>
      <c r="F3715" s="22">
        <v>0.0</v>
      </c>
      <c r="G3715" s="22">
        <v>0.0</v>
      </c>
      <c r="H3715" s="22">
        <v>0.0</v>
      </c>
      <c r="I3715" s="22">
        <v>0.0</v>
      </c>
      <c r="J3715" s="22">
        <v>68.746</v>
      </c>
      <c r="K3715" s="22">
        <v>0.0</v>
      </c>
      <c r="L3715" s="22">
        <v>68.746</v>
      </c>
      <c r="M3715" s="22">
        <v>279.967</v>
      </c>
      <c r="N3715" s="22">
        <v>51.72</v>
      </c>
      <c r="O3715" s="17">
        <v>5.5</v>
      </c>
      <c r="P3715" s="18">
        <f t="shared" si="1"/>
        <v>68.746</v>
      </c>
    </row>
    <row r="3716" ht="15.75" customHeight="1">
      <c r="A3716" s="13" t="s">
        <v>239</v>
      </c>
      <c r="B3716" s="13" t="s">
        <v>99</v>
      </c>
      <c r="C3716" s="14" t="s">
        <v>100</v>
      </c>
      <c r="D3716" s="14" t="str">
        <f>VLOOKUP(C3716,'State Key'!$A$2:$B$210,2,False)</f>
        <v>Karnataka</v>
      </c>
      <c r="E3716" s="15">
        <v>1700.0</v>
      </c>
      <c r="F3716" s="16">
        <v>0.0</v>
      </c>
      <c r="G3716" s="16">
        <v>132.30689</v>
      </c>
      <c r="H3716" s="16">
        <v>335.13564</v>
      </c>
      <c r="I3716" s="16">
        <v>0.0</v>
      </c>
      <c r="J3716" s="16">
        <v>0.0</v>
      </c>
      <c r="K3716" s="16">
        <v>0.0</v>
      </c>
      <c r="L3716" s="16">
        <v>467.44253</v>
      </c>
      <c r="M3716" s="16">
        <v>596.596</v>
      </c>
      <c r="N3716" s="16">
        <v>250.9509</v>
      </c>
      <c r="O3716" s="23">
        <v>12.6</v>
      </c>
      <c r="P3716" s="18">
        <f t="shared" si="1"/>
        <v>467.44253</v>
      </c>
    </row>
    <row r="3717" ht="15.75" customHeight="1">
      <c r="A3717" s="19" t="s">
        <v>239</v>
      </c>
      <c r="B3717" s="19" t="s">
        <v>99</v>
      </c>
      <c r="C3717" s="20" t="s">
        <v>101</v>
      </c>
      <c r="D3717" s="14" t="str">
        <f>VLOOKUP(C3717,'State Key'!$A$2:$B$210,2,False)</f>
        <v>Telangana</v>
      </c>
      <c r="E3717" s="21">
        <v>1080.0</v>
      </c>
      <c r="F3717" s="22">
        <v>0.0</v>
      </c>
      <c r="G3717" s="22">
        <v>228.568</v>
      </c>
      <c r="H3717" s="22">
        <v>0.0</v>
      </c>
      <c r="I3717" s="22">
        <v>0.0</v>
      </c>
      <c r="J3717" s="22">
        <v>0.0</v>
      </c>
      <c r="K3717" s="22">
        <v>0.0</v>
      </c>
      <c r="L3717" s="22">
        <v>228.568</v>
      </c>
      <c r="M3717" s="22">
        <v>295.853</v>
      </c>
      <c r="N3717" s="22">
        <v>243.298</v>
      </c>
      <c r="O3717" s="24">
        <v>24.7</v>
      </c>
      <c r="P3717" s="18">
        <f t="shared" si="1"/>
        <v>228.568</v>
      </c>
    </row>
    <row r="3718" ht="15.75" customHeight="1">
      <c r="A3718" s="13" t="s">
        <v>239</v>
      </c>
      <c r="B3718" s="13" t="s">
        <v>99</v>
      </c>
      <c r="C3718" s="14" t="s">
        <v>102</v>
      </c>
      <c r="D3718" s="14" t="str">
        <f>VLOOKUP(C3718,'State Key'!$A$2:$B$210,2,False)</f>
        <v>Andhra Pradesh</v>
      </c>
      <c r="E3718" s="15">
        <v>2400.0</v>
      </c>
      <c r="F3718" s="16">
        <v>551.69726</v>
      </c>
      <c r="G3718" s="16">
        <v>0.0</v>
      </c>
      <c r="H3718" s="16">
        <v>0.0</v>
      </c>
      <c r="I3718" s="16">
        <v>0.0</v>
      </c>
      <c r="J3718" s="16">
        <v>19.95405</v>
      </c>
      <c r="K3718" s="16">
        <v>0.0</v>
      </c>
      <c r="L3718" s="16">
        <v>571.65131</v>
      </c>
      <c r="M3718" s="16">
        <v>646.25</v>
      </c>
      <c r="N3718" s="16">
        <v>53.191</v>
      </c>
      <c r="O3718" s="17">
        <v>2.5</v>
      </c>
      <c r="P3718" s="18">
        <f t="shared" si="1"/>
        <v>571.65131</v>
      </c>
    </row>
    <row r="3719" ht="15.75" customHeight="1">
      <c r="A3719" s="19" t="s">
        <v>239</v>
      </c>
      <c r="B3719" s="19" t="s">
        <v>99</v>
      </c>
      <c r="C3719" s="20" t="s">
        <v>103</v>
      </c>
      <c r="D3719" s="14" t="str">
        <f>VLOOKUP(C3719,'State Key'!$A$2:$B$210,2,False)</f>
        <v>Andhra Pradesh</v>
      </c>
      <c r="E3719" s="21">
        <v>2560.0</v>
      </c>
      <c r="F3719" s="22">
        <v>824.314</v>
      </c>
      <c r="G3719" s="22">
        <v>193.305</v>
      </c>
      <c r="H3719" s="22">
        <v>0.0</v>
      </c>
      <c r="I3719" s="22">
        <v>0.0</v>
      </c>
      <c r="J3719" s="22">
        <v>0.0</v>
      </c>
      <c r="K3719" s="22">
        <v>0.0</v>
      </c>
      <c r="L3719" s="22">
        <v>1017.619</v>
      </c>
      <c r="M3719" s="22">
        <v>1054.295</v>
      </c>
      <c r="N3719" s="22">
        <v>171.126</v>
      </c>
      <c r="O3719" s="17">
        <v>4.9</v>
      </c>
      <c r="P3719" s="18">
        <f t="shared" si="1"/>
        <v>1017.619</v>
      </c>
    </row>
    <row r="3720" ht="15.75" customHeight="1">
      <c r="A3720" s="13" t="s">
        <v>239</v>
      </c>
      <c r="B3720" s="13" t="s">
        <v>99</v>
      </c>
      <c r="C3720" s="14" t="s">
        <v>104</v>
      </c>
      <c r="D3720" s="14" t="str">
        <f>VLOOKUP(C3720,'State Key'!$A$2:$B$210,2,False)</f>
        <v>Tamil Nadu</v>
      </c>
      <c r="E3720" s="15">
        <v>1200.0</v>
      </c>
      <c r="F3720" s="16">
        <v>0.0</v>
      </c>
      <c r="G3720" s="16">
        <v>0.0</v>
      </c>
      <c r="H3720" s="16">
        <v>0.0</v>
      </c>
      <c r="I3720" s="16">
        <v>0.0</v>
      </c>
      <c r="J3720" s="16">
        <v>19.426</v>
      </c>
      <c r="K3720" s="16">
        <v>0.0</v>
      </c>
      <c r="L3720" s="16">
        <v>19.426</v>
      </c>
      <c r="M3720" s="16">
        <v>219.599</v>
      </c>
      <c r="N3720" s="16">
        <v>376.34</v>
      </c>
      <c r="O3720" s="24">
        <v>51.4</v>
      </c>
      <c r="P3720" s="18">
        <f t="shared" si="1"/>
        <v>19.426</v>
      </c>
    </row>
    <row r="3721" ht="15.75" customHeight="1">
      <c r="A3721" s="19" t="s">
        <v>239</v>
      </c>
      <c r="B3721" s="19" t="s">
        <v>99</v>
      </c>
      <c r="C3721" s="20" t="s">
        <v>105</v>
      </c>
      <c r="D3721" s="14" t="str">
        <f>VLOOKUP(C3721,'State Key'!$A$2:$B$210,2,False)</f>
        <v>Telangana</v>
      </c>
      <c r="E3721" s="21">
        <v>1100.0</v>
      </c>
      <c r="F3721" s="22">
        <v>0.0</v>
      </c>
      <c r="G3721" s="22">
        <v>47.48</v>
      </c>
      <c r="H3721" s="22">
        <v>187.799</v>
      </c>
      <c r="I3721" s="22">
        <v>0.0</v>
      </c>
      <c r="J3721" s="22">
        <v>0.0</v>
      </c>
      <c r="K3721" s="22">
        <v>0.0</v>
      </c>
      <c r="L3721" s="22">
        <v>235.279</v>
      </c>
      <c r="M3721" s="22">
        <v>154.33</v>
      </c>
      <c r="N3721" s="22">
        <v>424.502</v>
      </c>
      <c r="O3721" s="24">
        <v>82.5</v>
      </c>
      <c r="P3721" s="18">
        <f t="shared" si="1"/>
        <v>235.279</v>
      </c>
    </row>
    <row r="3722" ht="15.75" customHeight="1">
      <c r="A3722" s="13" t="s">
        <v>239</v>
      </c>
      <c r="B3722" s="13" t="s">
        <v>99</v>
      </c>
      <c r="C3722" s="14" t="s">
        <v>106</v>
      </c>
      <c r="D3722" s="14" t="str">
        <f>VLOOKUP(C3722,'State Key'!$A$2:$B$210,2,False)</f>
        <v>Telangana</v>
      </c>
      <c r="E3722" s="15">
        <v>1000.0</v>
      </c>
      <c r="F3722" s="16">
        <v>0.0</v>
      </c>
      <c r="G3722" s="16">
        <v>383.726</v>
      </c>
      <c r="H3722" s="16">
        <v>0.0</v>
      </c>
      <c r="I3722" s="16">
        <v>0.0</v>
      </c>
      <c r="J3722" s="16">
        <v>0.0</v>
      </c>
      <c r="K3722" s="16">
        <v>0.0</v>
      </c>
      <c r="L3722" s="16">
        <v>383.726</v>
      </c>
      <c r="M3722" s="16">
        <v>389.97</v>
      </c>
      <c r="N3722" s="16">
        <v>351.171</v>
      </c>
      <c r="O3722" s="24">
        <v>27.0</v>
      </c>
      <c r="P3722" s="18">
        <f t="shared" si="1"/>
        <v>383.726</v>
      </c>
    </row>
    <row r="3723" ht="15.75" customHeight="1">
      <c r="A3723" s="19" t="s">
        <v>239</v>
      </c>
      <c r="B3723" s="19" t="s">
        <v>99</v>
      </c>
      <c r="C3723" s="20" t="s">
        <v>107</v>
      </c>
      <c r="D3723" s="14" t="str">
        <f>VLOOKUP(C3723,'State Key'!$A$2:$B$210,2,False)</f>
        <v>Telangana</v>
      </c>
      <c r="E3723" s="21">
        <v>800.0</v>
      </c>
      <c r="F3723" s="22">
        <v>0.0</v>
      </c>
      <c r="G3723" s="22">
        <v>257.92</v>
      </c>
      <c r="H3723" s="22">
        <v>0.0</v>
      </c>
      <c r="I3723" s="22">
        <v>0.0</v>
      </c>
      <c r="J3723" s="22">
        <v>0.0</v>
      </c>
      <c r="K3723" s="22">
        <v>0.0</v>
      </c>
      <c r="L3723" s="22">
        <v>257.92</v>
      </c>
      <c r="M3723" s="22">
        <v>260.636</v>
      </c>
      <c r="N3723" s="22">
        <v>134.342</v>
      </c>
      <c r="O3723" s="24">
        <v>15.5</v>
      </c>
      <c r="P3723" s="18">
        <f t="shared" si="1"/>
        <v>257.92</v>
      </c>
    </row>
    <row r="3724" ht="15.75" customHeight="1">
      <c r="A3724" s="13" t="s">
        <v>239</v>
      </c>
      <c r="B3724" s="13" t="s">
        <v>99</v>
      </c>
      <c r="C3724" s="14" t="s">
        <v>108</v>
      </c>
      <c r="D3724" s="14" t="str">
        <f>VLOOKUP(C3724,'State Key'!$A$2:$B$210,2,False)</f>
        <v>Karnataka</v>
      </c>
      <c r="E3724" s="15">
        <v>2400.0</v>
      </c>
      <c r="F3724" s="16">
        <v>398.42</v>
      </c>
      <c r="G3724" s="16">
        <v>129.8</v>
      </c>
      <c r="H3724" s="16">
        <v>132.21</v>
      </c>
      <c r="I3724" s="16">
        <v>0.0</v>
      </c>
      <c r="J3724" s="16">
        <v>0.066</v>
      </c>
      <c r="K3724" s="16">
        <v>7.82</v>
      </c>
      <c r="L3724" s="16">
        <v>668.316</v>
      </c>
      <c r="M3724" s="16">
        <v>632.175</v>
      </c>
      <c r="N3724" s="16">
        <v>536.23</v>
      </c>
      <c r="O3724" s="24">
        <v>25.4</v>
      </c>
      <c r="P3724" s="18">
        <f t="shared" si="1"/>
        <v>668.316</v>
      </c>
    </row>
    <row r="3725" ht="15.75" customHeight="1">
      <c r="A3725" s="19" t="s">
        <v>239</v>
      </c>
      <c r="B3725" s="19" t="s">
        <v>99</v>
      </c>
      <c r="C3725" s="20" t="s">
        <v>231</v>
      </c>
      <c r="D3725" s="14" t="str">
        <f>VLOOKUP(C3725,'State Key'!$A$2:$B$210,2,False)</f>
        <v>Karnataka</v>
      </c>
      <c r="E3725" s="21">
        <v>1200.0</v>
      </c>
      <c r="F3725" s="22">
        <v>0.0</v>
      </c>
      <c r="G3725" s="22">
        <v>0.0</v>
      </c>
      <c r="H3725" s="22">
        <v>0.0</v>
      </c>
      <c r="I3725" s="22">
        <v>0.0</v>
      </c>
      <c r="J3725" s="22">
        <v>68.746</v>
      </c>
      <c r="K3725" s="22">
        <v>0.0</v>
      </c>
      <c r="L3725" s="22">
        <v>68.746</v>
      </c>
      <c r="M3725" s="22">
        <v>279.967</v>
      </c>
      <c r="N3725" s="22">
        <v>51.72</v>
      </c>
      <c r="O3725" s="17">
        <v>5.5</v>
      </c>
      <c r="P3725" s="18">
        <f t="shared" si="1"/>
        <v>68.746</v>
      </c>
    </row>
    <row r="3726" ht="15.75" customHeight="1">
      <c r="A3726" s="13" t="s">
        <v>239</v>
      </c>
      <c r="B3726" s="13" t="s">
        <v>99</v>
      </c>
      <c r="C3726" s="14" t="s">
        <v>109</v>
      </c>
      <c r="D3726" s="14" t="str">
        <f>VLOOKUP(C3726,'State Key'!$A$2:$B$210,2,False)</f>
        <v>Tamil Nadu</v>
      </c>
      <c r="E3726" s="15">
        <v>840.0</v>
      </c>
      <c r="F3726" s="16">
        <v>260.6303</v>
      </c>
      <c r="G3726" s="16">
        <v>54.8199</v>
      </c>
      <c r="H3726" s="16">
        <v>0.0</v>
      </c>
      <c r="I3726" s="16">
        <v>0.0</v>
      </c>
      <c r="J3726" s="16">
        <v>0.0</v>
      </c>
      <c r="K3726" s="16">
        <v>0.0</v>
      </c>
      <c r="L3726" s="16">
        <v>315.4502</v>
      </c>
      <c r="M3726" s="16">
        <v>278.2463</v>
      </c>
      <c r="N3726" s="16">
        <v>212.4339</v>
      </c>
      <c r="O3726" s="24">
        <v>22.9</v>
      </c>
      <c r="P3726" s="18">
        <f t="shared" si="1"/>
        <v>315.4502</v>
      </c>
    </row>
    <row r="3727" ht="15.75" customHeight="1">
      <c r="A3727" s="19" t="s">
        <v>239</v>
      </c>
      <c r="B3727" s="19" t="s">
        <v>99</v>
      </c>
      <c r="C3727" s="20" t="s">
        <v>110</v>
      </c>
      <c r="D3727" s="14" t="str">
        <f>VLOOKUP(C3727,'State Key'!$A$2:$B$210,2,False)</f>
        <v>Tamil Nadu</v>
      </c>
      <c r="E3727" s="21">
        <v>600.0</v>
      </c>
      <c r="F3727" s="22">
        <v>0.0</v>
      </c>
      <c r="G3727" s="22">
        <v>0.0</v>
      </c>
      <c r="H3727" s="22">
        <v>0.0</v>
      </c>
      <c r="I3727" s="22">
        <v>0.0</v>
      </c>
      <c r="J3727" s="22">
        <v>0.0</v>
      </c>
      <c r="K3727" s="22">
        <v>0.0</v>
      </c>
      <c r="L3727" s="22">
        <v>0.0</v>
      </c>
      <c r="M3727" s="22">
        <v>252.88</v>
      </c>
      <c r="N3727" s="22">
        <v>233.76</v>
      </c>
      <c r="O3727" s="24">
        <v>27.7</v>
      </c>
      <c r="P3727" s="18">
        <f t="shared" si="1"/>
        <v>0</v>
      </c>
    </row>
    <row r="3728" ht="15.75" customHeight="1">
      <c r="A3728" s="13" t="s">
        <v>239</v>
      </c>
      <c r="B3728" s="13" t="s">
        <v>99</v>
      </c>
      <c r="C3728" s="14" t="s">
        <v>111</v>
      </c>
      <c r="D3728" s="14" t="str">
        <f>VLOOKUP(C3728,'State Key'!$A$2:$B$210,2,False)</f>
        <v>Tamil Nadu</v>
      </c>
      <c r="E3728" s="15">
        <v>1200.0</v>
      </c>
      <c r="F3728" s="16">
        <v>0.0</v>
      </c>
      <c r="G3728" s="16">
        <v>0.0</v>
      </c>
      <c r="H3728" s="16">
        <v>0.0</v>
      </c>
      <c r="I3728" s="16">
        <v>0.0</v>
      </c>
      <c r="J3728" s="16">
        <v>219.776</v>
      </c>
      <c r="K3728" s="16">
        <v>0.0</v>
      </c>
      <c r="L3728" s="16">
        <v>219.776</v>
      </c>
      <c r="M3728" s="16">
        <v>296.784</v>
      </c>
      <c r="N3728" s="16">
        <v>142.56</v>
      </c>
      <c r="O3728" s="24">
        <v>14.4</v>
      </c>
      <c r="P3728" s="18">
        <f t="shared" si="1"/>
        <v>219.776</v>
      </c>
    </row>
    <row r="3729" ht="15.75" customHeight="1">
      <c r="A3729" s="19" t="s">
        <v>239</v>
      </c>
      <c r="B3729" s="19" t="s">
        <v>99</v>
      </c>
      <c r="C3729" s="20" t="s">
        <v>112</v>
      </c>
      <c r="D3729" s="14" t="str">
        <f>VLOOKUP(C3729,'State Key'!$A$2:$B$210,2,False)</f>
        <v>Tamil Nadu</v>
      </c>
      <c r="E3729" s="21">
        <v>1830.0</v>
      </c>
      <c r="F3729" s="22">
        <v>620.946</v>
      </c>
      <c r="G3729" s="22">
        <v>0.0</v>
      </c>
      <c r="H3729" s="22">
        <v>0.0</v>
      </c>
      <c r="I3729" s="22">
        <v>0.0</v>
      </c>
      <c r="J3729" s="22">
        <v>0.0</v>
      </c>
      <c r="K3729" s="22">
        <v>0.0</v>
      </c>
      <c r="L3729" s="22">
        <v>620.946</v>
      </c>
      <c r="M3729" s="22">
        <v>607.656</v>
      </c>
      <c r="N3729" s="22">
        <v>576.568</v>
      </c>
      <c r="O3729" s="24">
        <v>28.5</v>
      </c>
      <c r="P3729" s="18">
        <f t="shared" si="1"/>
        <v>620.946</v>
      </c>
    </row>
    <row r="3730" ht="15.75" customHeight="1">
      <c r="A3730" s="13" t="s">
        <v>239</v>
      </c>
      <c r="B3730" s="13" t="s">
        <v>99</v>
      </c>
      <c r="C3730" s="14" t="s">
        <v>113</v>
      </c>
      <c r="D3730" s="14" t="str">
        <f>VLOOKUP(C3730,'State Key'!$A$2:$B$210,2,False)</f>
        <v>Tamil Nadu</v>
      </c>
      <c r="E3730" s="15">
        <v>1000.0</v>
      </c>
      <c r="F3730" s="16">
        <v>0.0</v>
      </c>
      <c r="G3730" s="16">
        <v>0.0</v>
      </c>
      <c r="H3730" s="16">
        <v>296.832</v>
      </c>
      <c r="I3730" s="16">
        <v>0.0</v>
      </c>
      <c r="J3730" s="16">
        <v>0.0</v>
      </c>
      <c r="K3730" s="16">
        <v>0.0</v>
      </c>
      <c r="L3730" s="16">
        <v>296.832</v>
      </c>
      <c r="M3730" s="16">
        <v>186.385</v>
      </c>
      <c r="N3730" s="16">
        <v>429.72</v>
      </c>
      <c r="O3730" s="24">
        <v>69.2</v>
      </c>
      <c r="P3730" s="18">
        <f t="shared" si="1"/>
        <v>296.832</v>
      </c>
    </row>
    <row r="3731" ht="15.75" customHeight="1">
      <c r="A3731" s="19" t="s">
        <v>239</v>
      </c>
      <c r="B3731" s="19" t="s">
        <v>99</v>
      </c>
      <c r="C3731" s="20" t="s">
        <v>228</v>
      </c>
      <c r="D3731" s="14" t="str">
        <f>VLOOKUP(C3731,'State Key'!$A$2:$B$210,2,False)</f>
        <v>Tamil Nadu</v>
      </c>
      <c r="E3731" s="21">
        <v>414.0</v>
      </c>
      <c r="F3731" s="22">
        <v>0.0</v>
      </c>
      <c r="G3731" s="22">
        <v>0.0</v>
      </c>
      <c r="H3731" s="22">
        <v>0.0</v>
      </c>
      <c r="I3731" s="22">
        <v>0.0</v>
      </c>
      <c r="J3731" s="22">
        <v>46.091</v>
      </c>
      <c r="K3731" s="22">
        <v>0.0</v>
      </c>
      <c r="L3731" s="22">
        <v>46.091</v>
      </c>
      <c r="M3731" s="22">
        <v>98.291</v>
      </c>
      <c r="N3731" s="22">
        <v>89.01</v>
      </c>
      <c r="O3731" s="24">
        <v>27.2</v>
      </c>
      <c r="P3731" s="18">
        <f t="shared" si="1"/>
        <v>46.091</v>
      </c>
    </row>
    <row r="3732" ht="15.75" customHeight="1">
      <c r="A3732" s="13" t="s">
        <v>239</v>
      </c>
      <c r="B3732" s="13" t="s">
        <v>99</v>
      </c>
      <c r="C3732" s="14" t="s">
        <v>114</v>
      </c>
      <c r="D3732" s="14" t="str">
        <f>VLOOKUP(C3732,'State Key'!$A$2:$B$210,2,False)</f>
        <v>Andhra Pradesh</v>
      </c>
      <c r="E3732" s="15">
        <v>1320.0</v>
      </c>
      <c r="F3732" s="16">
        <v>230.304</v>
      </c>
      <c r="G3732" s="16">
        <v>0.0</v>
      </c>
      <c r="H3732" s="16">
        <v>0.0</v>
      </c>
      <c r="I3732" s="16">
        <v>0.0</v>
      </c>
      <c r="J3732" s="16">
        <v>21.0</v>
      </c>
      <c r="K3732" s="16">
        <v>0.0</v>
      </c>
      <c r="L3732" s="16">
        <v>251.304</v>
      </c>
      <c r="M3732" s="16">
        <v>396.946</v>
      </c>
      <c r="N3732" s="16">
        <v>151.951</v>
      </c>
      <c r="O3732" s="23">
        <v>11.5</v>
      </c>
      <c r="P3732" s="18">
        <f t="shared" si="1"/>
        <v>251.304</v>
      </c>
    </row>
    <row r="3733" ht="15.75" customHeight="1">
      <c r="A3733" s="19" t="s">
        <v>239</v>
      </c>
      <c r="B3733" s="19" t="s">
        <v>99</v>
      </c>
      <c r="C3733" s="20" t="s">
        <v>115</v>
      </c>
      <c r="D3733" s="14" t="str">
        <f>VLOOKUP(C3733,'State Key'!$A$2:$B$210,2,False)</f>
        <v>Karnataka</v>
      </c>
      <c r="E3733" s="21">
        <v>1720.0</v>
      </c>
      <c r="F3733" s="22">
        <v>342.724</v>
      </c>
      <c r="G3733" s="22">
        <v>203.55</v>
      </c>
      <c r="H3733" s="22">
        <v>0.0</v>
      </c>
      <c r="I3733" s="22">
        <v>0.0</v>
      </c>
      <c r="J3733" s="22">
        <v>0.0</v>
      </c>
      <c r="K3733" s="22">
        <v>0.0</v>
      </c>
      <c r="L3733" s="22">
        <v>546.274</v>
      </c>
      <c r="M3733" s="22">
        <v>396.478</v>
      </c>
      <c r="N3733" s="22">
        <v>551.88</v>
      </c>
      <c r="O3733" s="24">
        <v>41.8</v>
      </c>
      <c r="P3733" s="18">
        <f t="shared" si="1"/>
        <v>546.274</v>
      </c>
    </row>
    <row r="3734" ht="15.75" customHeight="1">
      <c r="A3734" s="13" t="s">
        <v>239</v>
      </c>
      <c r="B3734" s="13" t="s">
        <v>99</v>
      </c>
      <c r="C3734" s="14" t="s">
        <v>116</v>
      </c>
      <c r="D3734" s="14" t="str">
        <f>VLOOKUP(C3734,'State Key'!$A$2:$B$210,2,False)</f>
        <v>Telangana</v>
      </c>
      <c r="E3734" s="15">
        <v>2600.0</v>
      </c>
      <c r="F3734" s="16">
        <v>3.98</v>
      </c>
      <c r="G3734" s="16">
        <v>939.46</v>
      </c>
      <c r="H3734" s="16">
        <v>7.88</v>
      </c>
      <c r="I3734" s="16">
        <v>0.0</v>
      </c>
      <c r="J3734" s="16">
        <v>0.0</v>
      </c>
      <c r="K3734" s="16">
        <v>0.0</v>
      </c>
      <c r="L3734" s="16">
        <v>951.32</v>
      </c>
      <c r="M3734" s="16">
        <v>841.891</v>
      </c>
      <c r="N3734" s="16">
        <v>710.907</v>
      </c>
      <c r="O3734" s="24">
        <v>25.3</v>
      </c>
      <c r="P3734" s="18">
        <f t="shared" si="1"/>
        <v>951.32</v>
      </c>
    </row>
    <row r="3735" ht="15.75" customHeight="1">
      <c r="A3735" s="19" t="s">
        <v>239</v>
      </c>
      <c r="B3735" s="19" t="s">
        <v>99</v>
      </c>
      <c r="C3735" s="20" t="s">
        <v>117</v>
      </c>
      <c r="D3735" s="14" t="str">
        <f>VLOOKUP(C3735,'State Key'!$A$2:$B$210,2,False)</f>
        <v>Telangana</v>
      </c>
      <c r="E3735" s="21">
        <v>62.5</v>
      </c>
      <c r="F3735" s="22">
        <v>0.0</v>
      </c>
      <c r="G3735" s="22">
        <v>0.0</v>
      </c>
      <c r="H3735" s="22">
        <v>0.0</v>
      </c>
      <c r="I3735" s="22">
        <v>0.0</v>
      </c>
      <c r="J3735" s="22">
        <v>0.0</v>
      </c>
      <c r="K3735" s="22">
        <v>0.0</v>
      </c>
      <c r="L3735" s="22">
        <v>0.0</v>
      </c>
      <c r="M3735" s="22">
        <v>0.0</v>
      </c>
      <c r="N3735" s="22">
        <v>3.7199</v>
      </c>
      <c r="O3735" s="19" t="s">
        <v>58</v>
      </c>
      <c r="P3735" s="18">
        <f t="shared" si="1"/>
        <v>0</v>
      </c>
    </row>
    <row r="3736" ht="15.75" customHeight="1">
      <c r="A3736" s="13" t="s">
        <v>239</v>
      </c>
      <c r="B3736" s="13" t="s">
        <v>99</v>
      </c>
      <c r="C3736" s="14" t="s">
        <v>118</v>
      </c>
      <c r="D3736" s="14" t="str">
        <f>VLOOKUP(C3736,'State Key'!$A$2:$B$210,2,False)</f>
        <v>Andhra Pradesh</v>
      </c>
      <c r="E3736" s="15">
        <v>1650.0</v>
      </c>
      <c r="F3736" s="16">
        <v>392.656</v>
      </c>
      <c r="G3736" s="16">
        <v>233.118</v>
      </c>
      <c r="H3736" s="16">
        <v>0.0</v>
      </c>
      <c r="I3736" s="16">
        <v>0.0</v>
      </c>
      <c r="J3736" s="16">
        <v>0.0</v>
      </c>
      <c r="K3736" s="16">
        <v>0.0</v>
      </c>
      <c r="L3736" s="16">
        <v>625.774</v>
      </c>
      <c r="M3736" s="16">
        <v>591.395</v>
      </c>
      <c r="N3736" s="16">
        <v>65.6</v>
      </c>
      <c r="O3736" s="17">
        <v>3.3</v>
      </c>
      <c r="P3736" s="18">
        <f t="shared" si="1"/>
        <v>625.774</v>
      </c>
    </row>
    <row r="3737" ht="15.75" customHeight="1">
      <c r="A3737" s="19" t="s">
        <v>239</v>
      </c>
      <c r="B3737" s="19" t="s">
        <v>99</v>
      </c>
      <c r="C3737" s="20" t="s">
        <v>119</v>
      </c>
      <c r="D3737" s="14" t="str">
        <f>VLOOKUP(C3737,'State Key'!$A$2:$B$210,2,False)</f>
        <v>Andhra Pradesh</v>
      </c>
      <c r="E3737" s="21">
        <v>1320.0</v>
      </c>
      <c r="F3737" s="22">
        <v>301.594</v>
      </c>
      <c r="G3737" s="22">
        <v>0.0</v>
      </c>
      <c r="H3737" s="22">
        <v>0.0</v>
      </c>
      <c r="I3737" s="22">
        <v>0.0</v>
      </c>
      <c r="J3737" s="22">
        <v>56.5</v>
      </c>
      <c r="K3737" s="22">
        <v>0.0</v>
      </c>
      <c r="L3737" s="22">
        <v>358.094</v>
      </c>
      <c r="M3737" s="22">
        <v>406.978</v>
      </c>
      <c r="N3737" s="22">
        <v>375.199</v>
      </c>
      <c r="O3737" s="24">
        <v>27.7</v>
      </c>
      <c r="P3737" s="18">
        <f t="shared" si="1"/>
        <v>358.094</v>
      </c>
    </row>
    <row r="3738" ht="15.75" customHeight="1">
      <c r="A3738" s="13" t="s">
        <v>239</v>
      </c>
      <c r="B3738" s="13" t="s">
        <v>99</v>
      </c>
      <c r="C3738" s="14" t="s">
        <v>120</v>
      </c>
      <c r="D3738" s="14" t="str">
        <f>VLOOKUP(C3738,'State Key'!$A$2:$B$210,2,False)</f>
        <v>Andhra Pradesh</v>
      </c>
      <c r="E3738" s="15">
        <v>2000.0</v>
      </c>
      <c r="F3738" s="16">
        <v>673.23</v>
      </c>
      <c r="G3738" s="16">
        <v>63.82</v>
      </c>
      <c r="H3738" s="16">
        <v>69.88</v>
      </c>
      <c r="I3738" s="16">
        <v>0.0</v>
      </c>
      <c r="J3738" s="16">
        <v>0.0</v>
      </c>
      <c r="K3738" s="16">
        <v>0.0</v>
      </c>
      <c r="L3738" s="16">
        <v>806.93</v>
      </c>
      <c r="M3738" s="16">
        <v>669.512</v>
      </c>
      <c r="N3738" s="16">
        <v>486.355</v>
      </c>
      <c r="O3738" s="24">
        <v>21.8</v>
      </c>
      <c r="P3738" s="18">
        <f t="shared" si="1"/>
        <v>806.93</v>
      </c>
    </row>
    <row r="3739" ht="15.75" customHeight="1">
      <c r="A3739" s="19" t="s">
        <v>239</v>
      </c>
      <c r="B3739" s="19" t="s">
        <v>99</v>
      </c>
      <c r="C3739" s="20" t="s">
        <v>121</v>
      </c>
      <c r="D3739" s="14" t="str">
        <f>VLOOKUP(C3739,'State Key'!$A$2:$B$210,2,False)</f>
        <v>Andhra Pradesh</v>
      </c>
      <c r="E3739" s="21">
        <v>600.0</v>
      </c>
      <c r="F3739" s="22">
        <v>0.0</v>
      </c>
      <c r="G3739" s="22">
        <v>0.0</v>
      </c>
      <c r="H3739" s="22">
        <v>0.0</v>
      </c>
      <c r="I3739" s="22">
        <v>0.0</v>
      </c>
      <c r="J3739" s="22">
        <v>70.247</v>
      </c>
      <c r="K3739" s="22">
        <v>0.0</v>
      </c>
      <c r="L3739" s="22">
        <v>70.247</v>
      </c>
      <c r="M3739" s="22">
        <v>45.635</v>
      </c>
      <c r="N3739" s="22">
        <v>416.8</v>
      </c>
      <c r="O3739" s="24">
        <v>274.0</v>
      </c>
      <c r="P3739" s="18">
        <f t="shared" si="1"/>
        <v>70.247</v>
      </c>
    </row>
    <row r="3740" ht="15.75" customHeight="1">
      <c r="A3740" s="13" t="s">
        <v>239</v>
      </c>
      <c r="B3740" s="13" t="s">
        <v>99</v>
      </c>
      <c r="C3740" s="14" t="s">
        <v>122</v>
      </c>
      <c r="D3740" s="14" t="str">
        <f>VLOOKUP(C3740,'State Key'!$A$2:$B$210,2,False)</f>
        <v>Telangana</v>
      </c>
      <c r="E3740" s="15">
        <v>1200.0</v>
      </c>
      <c r="F3740" s="16">
        <v>0.0</v>
      </c>
      <c r="G3740" s="16">
        <v>530.782</v>
      </c>
      <c r="H3740" s="16">
        <v>0.0</v>
      </c>
      <c r="I3740" s="16">
        <v>0.0</v>
      </c>
      <c r="J3740" s="16">
        <v>0.0</v>
      </c>
      <c r="K3740" s="16">
        <v>0.0</v>
      </c>
      <c r="L3740" s="16">
        <v>530.782</v>
      </c>
      <c r="M3740" s="16">
        <v>439.056</v>
      </c>
      <c r="N3740" s="16">
        <v>337.29</v>
      </c>
      <c r="O3740" s="24">
        <v>23.0</v>
      </c>
      <c r="P3740" s="18">
        <f t="shared" si="1"/>
        <v>530.782</v>
      </c>
    </row>
    <row r="3741" ht="15.75" customHeight="1">
      <c r="A3741" s="19" t="s">
        <v>239</v>
      </c>
      <c r="B3741" s="19" t="s">
        <v>99</v>
      </c>
      <c r="C3741" s="20" t="s">
        <v>220</v>
      </c>
      <c r="D3741" s="14" t="str">
        <f>VLOOKUP(C3741,'State Key'!$A$2:$B$210,2,False)</f>
        <v>Telangana</v>
      </c>
      <c r="E3741" s="21">
        <v>1600.0</v>
      </c>
      <c r="F3741" s="22">
        <v>116.73</v>
      </c>
      <c r="G3741" s="22">
        <v>572.36</v>
      </c>
      <c r="H3741" s="22">
        <v>19.63</v>
      </c>
      <c r="I3741" s="22">
        <v>0.0</v>
      </c>
      <c r="J3741" s="22">
        <v>0.0</v>
      </c>
      <c r="K3741" s="22">
        <v>7.95</v>
      </c>
      <c r="L3741" s="22">
        <v>716.67</v>
      </c>
      <c r="M3741" s="22">
        <v>600.266</v>
      </c>
      <c r="N3741" s="22">
        <v>426.519</v>
      </c>
      <c r="O3741" s="24">
        <v>21.3</v>
      </c>
      <c r="P3741" s="18">
        <f t="shared" si="1"/>
        <v>716.67</v>
      </c>
    </row>
    <row r="3742" ht="15.75" customHeight="1">
      <c r="A3742" s="13" t="s">
        <v>239</v>
      </c>
      <c r="B3742" s="13" t="s">
        <v>99</v>
      </c>
      <c r="C3742" s="14" t="s">
        <v>123</v>
      </c>
      <c r="D3742" s="14" t="str">
        <f>VLOOKUP(C3742,'State Key'!$A$2:$B$210,2,False)</f>
        <v>Andhra Pradesh</v>
      </c>
      <c r="E3742" s="15">
        <v>300.0</v>
      </c>
      <c r="F3742" s="16">
        <v>0.0</v>
      </c>
      <c r="G3742" s="16">
        <v>0.0</v>
      </c>
      <c r="H3742" s="16">
        <v>0.0</v>
      </c>
      <c r="I3742" s="16">
        <v>0.0</v>
      </c>
      <c r="J3742" s="16">
        <v>0.0</v>
      </c>
      <c r="K3742" s="16">
        <v>0.0</v>
      </c>
      <c r="L3742" s="16">
        <v>0.0</v>
      </c>
      <c r="M3742" s="16">
        <v>0.0</v>
      </c>
      <c r="N3742" s="16">
        <v>0.0</v>
      </c>
      <c r="O3742" s="13" t="s">
        <v>58</v>
      </c>
      <c r="P3742" s="18">
        <f t="shared" si="1"/>
        <v>0</v>
      </c>
    </row>
    <row r="3743" ht="15.75" customHeight="1">
      <c r="A3743" s="19" t="s">
        <v>239</v>
      </c>
      <c r="B3743" s="19" t="s">
        <v>99</v>
      </c>
      <c r="C3743" s="20" t="s">
        <v>124</v>
      </c>
      <c r="D3743" s="14" t="str">
        <f>VLOOKUP(C3743,'State Key'!$A$2:$B$210,2,False)</f>
        <v>Karnataka</v>
      </c>
      <c r="E3743" s="21">
        <v>260.0</v>
      </c>
      <c r="F3743" s="22">
        <v>0.0</v>
      </c>
      <c r="G3743" s="22">
        <v>0.0</v>
      </c>
      <c r="H3743" s="22">
        <v>0.0</v>
      </c>
      <c r="I3743" s="22">
        <v>0.0</v>
      </c>
      <c r="J3743" s="22">
        <v>49.76</v>
      </c>
      <c r="K3743" s="22">
        <v>0.0</v>
      </c>
      <c r="L3743" s="22">
        <v>49.76</v>
      </c>
      <c r="M3743" s="22">
        <v>49.76</v>
      </c>
      <c r="N3743" s="22">
        <v>0.0</v>
      </c>
      <c r="O3743" s="17">
        <v>0.0</v>
      </c>
      <c r="P3743" s="18">
        <f t="shared" si="1"/>
        <v>49.76</v>
      </c>
    </row>
    <row r="3744" ht="15.75" customHeight="1">
      <c r="A3744" s="13" t="s">
        <v>239</v>
      </c>
      <c r="B3744" s="13" t="s">
        <v>99</v>
      </c>
      <c r="C3744" s="14" t="s">
        <v>125</v>
      </c>
      <c r="D3744" s="14" t="str">
        <f>VLOOKUP(C3744,'State Key'!$A$2:$B$210,2,False)</f>
        <v>Karnataka</v>
      </c>
      <c r="E3744" s="15">
        <v>600.0</v>
      </c>
      <c r="F3744" s="16">
        <v>0.0</v>
      </c>
      <c r="G3744" s="16">
        <v>0.0</v>
      </c>
      <c r="H3744" s="16">
        <v>0.0</v>
      </c>
      <c r="I3744" s="16">
        <v>0.0</v>
      </c>
      <c r="J3744" s="16">
        <v>36.12</v>
      </c>
      <c r="K3744" s="16">
        <v>0.0</v>
      </c>
      <c r="L3744" s="16">
        <v>36.12</v>
      </c>
      <c r="M3744" s="16">
        <v>77.08</v>
      </c>
      <c r="N3744" s="16">
        <v>0.98</v>
      </c>
      <c r="O3744" s="17">
        <v>0.4</v>
      </c>
      <c r="P3744" s="18">
        <f t="shared" si="1"/>
        <v>36.12</v>
      </c>
    </row>
    <row r="3745" ht="15.75" customHeight="1">
      <c r="A3745" s="19" t="s">
        <v>239</v>
      </c>
      <c r="B3745" s="19" t="s">
        <v>99</v>
      </c>
      <c r="C3745" s="20" t="s">
        <v>126</v>
      </c>
      <c r="D3745" s="14" t="str">
        <f>VLOOKUP(C3745,'State Key'!$A$2:$B$210,2,False)</f>
        <v>Tamil Nadu</v>
      </c>
      <c r="E3745" s="21">
        <v>300.0</v>
      </c>
      <c r="F3745" s="22">
        <v>0.0</v>
      </c>
      <c r="G3745" s="22">
        <v>0.0</v>
      </c>
      <c r="H3745" s="22">
        <v>0.0</v>
      </c>
      <c r="I3745" s="22">
        <v>0.0</v>
      </c>
      <c r="J3745" s="22">
        <v>0.0</v>
      </c>
      <c r="K3745" s="22">
        <v>0.0</v>
      </c>
      <c r="L3745" s="22">
        <v>0.0</v>
      </c>
      <c r="M3745" s="22">
        <v>0.0</v>
      </c>
      <c r="N3745" s="22">
        <v>0.0</v>
      </c>
      <c r="O3745" s="19" t="s">
        <v>58</v>
      </c>
      <c r="P3745" s="18">
        <f t="shared" si="1"/>
        <v>0</v>
      </c>
    </row>
    <row r="3746" ht="15.75" customHeight="1">
      <c r="A3746" s="13" t="s">
        <v>239</v>
      </c>
      <c r="B3746" s="13" t="s">
        <v>99</v>
      </c>
      <c r="C3746" s="14" t="s">
        <v>127</v>
      </c>
      <c r="D3746" s="14" t="str">
        <f>VLOOKUP(C3746,'State Key'!$A$2:$B$210,2,False)</f>
        <v>Tamil Nadu</v>
      </c>
      <c r="E3746" s="15">
        <v>525.0</v>
      </c>
      <c r="F3746" s="16">
        <v>0.0</v>
      </c>
      <c r="G3746" s="16">
        <v>0.0</v>
      </c>
      <c r="H3746" s="16">
        <v>0.0</v>
      </c>
      <c r="I3746" s="16">
        <v>0.0</v>
      </c>
      <c r="J3746" s="16">
        <v>158.96</v>
      </c>
      <c r="K3746" s="16">
        <v>0.0</v>
      </c>
      <c r="L3746" s="16">
        <v>158.96</v>
      </c>
      <c r="M3746" s="16">
        <v>175.245</v>
      </c>
      <c r="N3746" s="16">
        <v>4.07</v>
      </c>
      <c r="O3746" s="17">
        <v>0.7</v>
      </c>
      <c r="P3746" s="18">
        <f t="shared" si="1"/>
        <v>158.96</v>
      </c>
    </row>
    <row r="3747" ht="15.75" customHeight="1">
      <c r="A3747" s="19" t="s">
        <v>239</v>
      </c>
      <c r="B3747" s="19" t="s">
        <v>99</v>
      </c>
      <c r="C3747" s="20" t="s">
        <v>128</v>
      </c>
      <c r="D3747" s="14" t="str">
        <f>VLOOKUP(C3747,'State Key'!$A$2:$B$210,2,False)</f>
        <v>Tamil Nadu</v>
      </c>
      <c r="E3747" s="21">
        <v>1050.0</v>
      </c>
      <c r="F3747" s="22">
        <v>443.831</v>
      </c>
      <c r="G3747" s="22">
        <v>0.0</v>
      </c>
      <c r="H3747" s="22">
        <v>0.0</v>
      </c>
      <c r="I3747" s="22">
        <v>0.0</v>
      </c>
      <c r="J3747" s="22">
        <v>0.0</v>
      </c>
      <c r="K3747" s="22">
        <v>0.0</v>
      </c>
      <c r="L3747" s="22">
        <v>443.831</v>
      </c>
      <c r="M3747" s="22">
        <v>425.977</v>
      </c>
      <c r="N3747" s="22">
        <v>353.57</v>
      </c>
      <c r="O3747" s="24">
        <v>24.9</v>
      </c>
      <c r="P3747" s="18">
        <f t="shared" si="1"/>
        <v>443.831</v>
      </c>
    </row>
    <row r="3748" ht="15.75" customHeight="1">
      <c r="A3748" s="13" t="s">
        <v>239</v>
      </c>
      <c r="B3748" s="13" t="s">
        <v>99</v>
      </c>
      <c r="C3748" s="14" t="s">
        <v>130</v>
      </c>
      <c r="D3748" s="14" t="str">
        <f>VLOOKUP(C3748,'State Key'!$A$2:$B$210,2,False)</f>
        <v>Tamil Nadu</v>
      </c>
      <c r="E3748" s="15">
        <v>1500.0</v>
      </c>
      <c r="F3748" s="16">
        <v>619.531</v>
      </c>
      <c r="G3748" s="16">
        <v>41.38</v>
      </c>
      <c r="H3748" s="16">
        <v>0.0</v>
      </c>
      <c r="I3748" s="16">
        <v>0.0</v>
      </c>
      <c r="J3748" s="16">
        <v>0.0</v>
      </c>
      <c r="K3748" s="16">
        <v>0.0</v>
      </c>
      <c r="L3748" s="16">
        <v>660.911</v>
      </c>
      <c r="M3748" s="16">
        <v>591.89</v>
      </c>
      <c r="N3748" s="16">
        <v>152.83</v>
      </c>
      <c r="O3748" s="23">
        <v>7.7</v>
      </c>
      <c r="P3748" s="18">
        <f t="shared" si="1"/>
        <v>660.911</v>
      </c>
    </row>
    <row r="3749" ht="15.75" customHeight="1">
      <c r="A3749" s="19" t="s">
        <v>239</v>
      </c>
      <c r="B3749" s="19" t="s">
        <v>99</v>
      </c>
      <c r="C3749" s="20" t="s">
        <v>131</v>
      </c>
      <c r="D3749" s="14" t="str">
        <f>VLOOKUP(C3749,'State Key'!$A$2:$B$210,2,False)</f>
        <v>Andhra Pradesh</v>
      </c>
      <c r="E3749" s="21">
        <v>1040.0</v>
      </c>
      <c r="F3749" s="22">
        <v>149.10386</v>
      </c>
      <c r="G3749" s="22">
        <v>0.0</v>
      </c>
      <c r="H3749" s="22">
        <v>0.0</v>
      </c>
      <c r="I3749" s="22">
        <v>0.0</v>
      </c>
      <c r="J3749" s="22">
        <v>0.0</v>
      </c>
      <c r="K3749" s="22">
        <v>0.0</v>
      </c>
      <c r="L3749" s="22">
        <v>149.10386</v>
      </c>
      <c r="M3749" s="22">
        <v>192.765</v>
      </c>
      <c r="N3749" s="22">
        <v>35.9111</v>
      </c>
      <c r="O3749" s="17">
        <v>5.6</v>
      </c>
      <c r="P3749" s="18">
        <f t="shared" si="1"/>
        <v>149.10386</v>
      </c>
    </row>
    <row r="3750" ht="15.75" customHeight="1">
      <c r="A3750" s="13" t="s">
        <v>239</v>
      </c>
      <c r="B3750" s="13" t="s">
        <v>99</v>
      </c>
      <c r="C3750" s="14" t="s">
        <v>132</v>
      </c>
      <c r="D3750" s="14" t="str">
        <f>VLOOKUP(C3750,'State Key'!$A$2:$B$210,2,False)</f>
        <v>Karnataka</v>
      </c>
      <c r="E3750" s="15">
        <v>1600.0</v>
      </c>
      <c r="F3750" s="16">
        <v>0.0</v>
      </c>
      <c r="G3750" s="16">
        <v>319.968</v>
      </c>
      <c r="H3750" s="16">
        <v>0.0</v>
      </c>
      <c r="I3750" s="16">
        <v>0.0</v>
      </c>
      <c r="J3750" s="16">
        <v>0.0</v>
      </c>
      <c r="K3750" s="16">
        <v>0.0</v>
      </c>
      <c r="L3750" s="16">
        <v>319.968</v>
      </c>
      <c r="M3750" s="16">
        <v>456.598</v>
      </c>
      <c r="N3750" s="16">
        <v>191.83</v>
      </c>
      <c r="O3750" s="23">
        <v>12.6</v>
      </c>
      <c r="P3750" s="18">
        <f t="shared" si="1"/>
        <v>319.968</v>
      </c>
    </row>
    <row r="3751" ht="15.75" customHeight="1">
      <c r="A3751" s="19" t="s">
        <v>239</v>
      </c>
      <c r="B3751" s="19" t="s">
        <v>133</v>
      </c>
      <c r="C3751" s="20" t="s">
        <v>211</v>
      </c>
      <c r="D3751" s="14" t="str">
        <f>VLOOKUP(C3751,'State Key'!$A$2:$B$210,2,False)</f>
        <v>Gujarat</v>
      </c>
      <c r="E3751" s="21">
        <v>2640.0</v>
      </c>
      <c r="F3751" s="22">
        <v>0.0</v>
      </c>
      <c r="G3751" s="22">
        <v>0.0</v>
      </c>
      <c r="H3751" s="22">
        <v>0.0</v>
      </c>
      <c r="I3751" s="22">
        <v>0.0</v>
      </c>
      <c r="J3751" s="22">
        <v>795.48</v>
      </c>
      <c r="K3751" s="22">
        <v>0.0</v>
      </c>
      <c r="L3751" s="22">
        <v>795.48</v>
      </c>
      <c r="M3751" s="22">
        <v>766.812</v>
      </c>
      <c r="N3751" s="22">
        <v>148.49</v>
      </c>
      <c r="O3751" s="17">
        <v>5.8</v>
      </c>
      <c r="P3751" s="18">
        <f t="shared" si="1"/>
        <v>795.48</v>
      </c>
    </row>
    <row r="3752" ht="15.75" customHeight="1">
      <c r="A3752" s="13" t="s">
        <v>239</v>
      </c>
      <c r="B3752" s="13" t="s">
        <v>133</v>
      </c>
      <c r="C3752" s="14" t="s">
        <v>212</v>
      </c>
      <c r="D3752" s="14" t="str">
        <f>VLOOKUP(C3752,'State Key'!$A$2:$B$210,2,False)</f>
        <v>Gujarat</v>
      </c>
      <c r="E3752" s="15">
        <v>1980.0</v>
      </c>
      <c r="F3752" s="16">
        <v>0.0</v>
      </c>
      <c r="G3752" s="16">
        <v>0.0</v>
      </c>
      <c r="H3752" s="16">
        <v>0.0</v>
      </c>
      <c r="I3752" s="16">
        <v>0.0</v>
      </c>
      <c r="J3752" s="16">
        <v>515.193</v>
      </c>
      <c r="K3752" s="16">
        <v>0.0</v>
      </c>
      <c r="L3752" s="16">
        <v>515.193</v>
      </c>
      <c r="M3752" s="16">
        <v>560.655</v>
      </c>
      <c r="N3752" s="16">
        <v>81.15</v>
      </c>
      <c r="O3752" s="17">
        <v>4.3</v>
      </c>
      <c r="P3752" s="18">
        <f t="shared" si="1"/>
        <v>515.193</v>
      </c>
    </row>
    <row r="3753" ht="15.75" customHeight="1">
      <c r="A3753" s="19" t="s">
        <v>239</v>
      </c>
      <c r="B3753" s="19" t="s">
        <v>133</v>
      </c>
      <c r="C3753" s="20" t="s">
        <v>213</v>
      </c>
      <c r="D3753" s="14" t="str">
        <f>VLOOKUP(C3753,'State Key'!$A$2:$B$210,2,False)</f>
        <v>Chhattisgarh</v>
      </c>
      <c r="E3753" s="21">
        <v>600.0</v>
      </c>
      <c r="F3753" s="22">
        <v>124.513</v>
      </c>
      <c r="G3753" s="22">
        <v>0.0</v>
      </c>
      <c r="H3753" s="22">
        <v>0.0</v>
      </c>
      <c r="I3753" s="22">
        <v>0.0</v>
      </c>
      <c r="J3753" s="22">
        <v>0.0</v>
      </c>
      <c r="K3753" s="22">
        <v>0.0</v>
      </c>
      <c r="L3753" s="22">
        <v>124.513</v>
      </c>
      <c r="M3753" s="22">
        <v>205.506</v>
      </c>
      <c r="N3753" s="22">
        <v>185.95</v>
      </c>
      <c r="O3753" s="24">
        <v>27.1</v>
      </c>
      <c r="P3753" s="18">
        <f t="shared" si="1"/>
        <v>124.513</v>
      </c>
    </row>
    <row r="3754" ht="15.75" customHeight="1">
      <c r="A3754" s="13" t="s">
        <v>239</v>
      </c>
      <c r="B3754" s="13" t="s">
        <v>133</v>
      </c>
      <c r="C3754" s="14" t="s">
        <v>214</v>
      </c>
      <c r="D3754" s="14" t="str">
        <f>VLOOKUP(C3754,'State Key'!$A$2:$B$210,2,False)</f>
        <v>Chhattisgarh</v>
      </c>
      <c r="E3754" s="15">
        <v>1370.0</v>
      </c>
      <c r="F3754" s="16">
        <v>360.307</v>
      </c>
      <c r="G3754" s="16">
        <v>0.0</v>
      </c>
      <c r="H3754" s="16">
        <v>0.0</v>
      </c>
      <c r="I3754" s="16">
        <v>0.0</v>
      </c>
      <c r="J3754" s="16">
        <v>0.0</v>
      </c>
      <c r="K3754" s="16">
        <v>16.061</v>
      </c>
      <c r="L3754" s="16">
        <v>376.368</v>
      </c>
      <c r="M3754" s="16">
        <v>479.173</v>
      </c>
      <c r="N3754" s="16">
        <v>109.67</v>
      </c>
      <c r="O3754" s="17">
        <v>6.9</v>
      </c>
      <c r="P3754" s="18">
        <f t="shared" si="1"/>
        <v>376.368</v>
      </c>
    </row>
    <row r="3755" ht="15.75" customHeight="1">
      <c r="A3755" s="19" t="s">
        <v>239</v>
      </c>
      <c r="B3755" s="19" t="s">
        <v>133</v>
      </c>
      <c r="C3755" s="20" t="s">
        <v>215</v>
      </c>
      <c r="D3755" s="14" t="str">
        <f>VLOOKUP(C3755,'State Key'!$A$2:$B$210,2,False)</f>
        <v>Maharashtra</v>
      </c>
      <c r="E3755" s="21">
        <v>3300.0</v>
      </c>
      <c r="F3755" s="22">
        <v>1041.595</v>
      </c>
      <c r="G3755" s="22">
        <v>0.0</v>
      </c>
      <c r="H3755" s="22">
        <v>0.0</v>
      </c>
      <c r="I3755" s="22">
        <v>0.0</v>
      </c>
      <c r="J3755" s="22">
        <v>0.0</v>
      </c>
      <c r="K3755" s="22">
        <v>0.0</v>
      </c>
      <c r="L3755" s="22">
        <v>1041.595</v>
      </c>
      <c r="M3755" s="22">
        <v>1072.174</v>
      </c>
      <c r="N3755" s="22">
        <v>271.17</v>
      </c>
      <c r="O3755" s="23">
        <v>7.6</v>
      </c>
      <c r="P3755" s="18">
        <f t="shared" si="1"/>
        <v>1041.595</v>
      </c>
    </row>
    <row r="3756" ht="15.75" customHeight="1">
      <c r="A3756" s="13" t="s">
        <v>239</v>
      </c>
      <c r="B3756" s="13" t="s">
        <v>133</v>
      </c>
      <c r="C3756" s="14" t="s">
        <v>134</v>
      </c>
      <c r="D3756" s="14" t="str">
        <f>VLOOKUP(C3756,'State Key'!$A$2:$B$210,2,False)</f>
        <v>Chhattisgarh</v>
      </c>
      <c r="E3756" s="15">
        <v>1800.0</v>
      </c>
      <c r="F3756" s="16">
        <v>610.3897</v>
      </c>
      <c r="G3756" s="16">
        <v>0.0</v>
      </c>
      <c r="H3756" s="16">
        <v>0.0</v>
      </c>
      <c r="I3756" s="16">
        <v>0.0</v>
      </c>
      <c r="J3756" s="16">
        <v>0.0</v>
      </c>
      <c r="K3756" s="16">
        <v>112.10053</v>
      </c>
      <c r="L3756" s="16">
        <v>722.49023</v>
      </c>
      <c r="M3756" s="16">
        <v>534.651</v>
      </c>
      <c r="N3756" s="16">
        <v>437.11</v>
      </c>
      <c r="O3756" s="24">
        <v>24.5</v>
      </c>
      <c r="P3756" s="18">
        <f t="shared" si="1"/>
        <v>722.49023</v>
      </c>
    </row>
    <row r="3757" ht="15.75" customHeight="1">
      <c r="A3757" s="19" t="s">
        <v>239</v>
      </c>
      <c r="B3757" s="19" t="s">
        <v>133</v>
      </c>
      <c r="C3757" s="20" t="s">
        <v>135</v>
      </c>
      <c r="D3757" s="14" t="str">
        <f>VLOOKUP(C3757,'State Key'!$A$2:$B$210,2,False)</f>
        <v>Madhya Pradesh</v>
      </c>
      <c r="E3757" s="21">
        <v>210.0</v>
      </c>
      <c r="F3757" s="22">
        <v>113.113</v>
      </c>
      <c r="G3757" s="22">
        <v>0.0</v>
      </c>
      <c r="H3757" s="22">
        <v>0.0</v>
      </c>
      <c r="I3757" s="22">
        <v>0.0</v>
      </c>
      <c r="J3757" s="22">
        <v>0.0</v>
      </c>
      <c r="K3757" s="22">
        <v>0.0</v>
      </c>
      <c r="L3757" s="22">
        <v>113.113</v>
      </c>
      <c r="M3757" s="22">
        <v>87.626</v>
      </c>
      <c r="N3757" s="22">
        <v>78.84</v>
      </c>
      <c r="O3757" s="24">
        <v>27.0</v>
      </c>
      <c r="P3757" s="18">
        <f t="shared" si="1"/>
        <v>113.113</v>
      </c>
    </row>
    <row r="3758" ht="15.75" customHeight="1">
      <c r="A3758" s="13" t="s">
        <v>239</v>
      </c>
      <c r="B3758" s="13" t="s">
        <v>133</v>
      </c>
      <c r="C3758" s="14" t="s">
        <v>136</v>
      </c>
      <c r="D3758" s="14" t="str">
        <f>VLOOKUP(C3758,'State Key'!$A$2:$B$210,2,False)</f>
        <v>Maharashtra</v>
      </c>
      <c r="E3758" s="15">
        <v>1350.0</v>
      </c>
      <c r="F3758" s="16">
        <v>561.696</v>
      </c>
      <c r="G3758" s="16">
        <v>0.0</v>
      </c>
      <c r="H3758" s="16">
        <v>0.0</v>
      </c>
      <c r="I3758" s="16">
        <v>0.0</v>
      </c>
      <c r="J3758" s="16">
        <v>0.0</v>
      </c>
      <c r="K3758" s="16">
        <v>0.0</v>
      </c>
      <c r="L3758" s="16">
        <v>561.696</v>
      </c>
      <c r="M3758" s="16">
        <v>512.925</v>
      </c>
      <c r="N3758" s="16">
        <v>225.15</v>
      </c>
      <c r="O3758" s="23">
        <v>13.2</v>
      </c>
      <c r="P3758" s="18">
        <f t="shared" si="1"/>
        <v>561.696</v>
      </c>
    </row>
    <row r="3759" ht="15.75" customHeight="1">
      <c r="A3759" s="19" t="s">
        <v>239</v>
      </c>
      <c r="B3759" s="19" t="s">
        <v>133</v>
      </c>
      <c r="C3759" s="20" t="s">
        <v>137</v>
      </c>
      <c r="D3759" s="14" t="str">
        <f>VLOOKUP(C3759,'State Key'!$A$2:$B$210,2,False)</f>
        <v>Madhya Pradesh</v>
      </c>
      <c r="E3759" s="21">
        <v>1250.0</v>
      </c>
      <c r="F3759" s="22">
        <v>407.32</v>
      </c>
      <c r="G3759" s="22">
        <v>0.0</v>
      </c>
      <c r="H3759" s="22">
        <v>0.0</v>
      </c>
      <c r="I3759" s="22">
        <v>182.76</v>
      </c>
      <c r="J3759" s="22">
        <v>0.0</v>
      </c>
      <c r="K3759" s="22">
        <v>0.0</v>
      </c>
      <c r="L3759" s="22">
        <v>590.08</v>
      </c>
      <c r="M3759" s="22">
        <v>332.73</v>
      </c>
      <c r="N3759" s="22">
        <v>323.89</v>
      </c>
      <c r="O3759" s="24">
        <v>29.2</v>
      </c>
      <c r="P3759" s="18">
        <f t="shared" si="1"/>
        <v>590.08</v>
      </c>
    </row>
    <row r="3760" ht="15.75" customHeight="1">
      <c r="A3760" s="13" t="s">
        <v>239</v>
      </c>
      <c r="B3760" s="13" t="s">
        <v>133</v>
      </c>
      <c r="C3760" s="14" t="s">
        <v>139</v>
      </c>
      <c r="D3760" s="14" t="str">
        <f>VLOOKUP(C3760,'State Key'!$A$2:$B$210,2,False)</f>
        <v>Chhattisgarh</v>
      </c>
      <c r="E3760" s="15">
        <v>600.0</v>
      </c>
      <c r="F3760" s="16">
        <v>115.5</v>
      </c>
      <c r="G3760" s="16">
        <v>0.0</v>
      </c>
      <c r="H3760" s="16">
        <v>0.0</v>
      </c>
      <c r="I3760" s="16">
        <v>134.7</v>
      </c>
      <c r="J3760" s="16">
        <v>0.0</v>
      </c>
      <c r="K3760" s="16">
        <v>34.7</v>
      </c>
      <c r="L3760" s="16">
        <v>284.9</v>
      </c>
      <c r="M3760" s="16">
        <v>251.0</v>
      </c>
      <c r="N3760" s="16">
        <v>35.26</v>
      </c>
      <c r="O3760" s="17">
        <v>4.2</v>
      </c>
      <c r="P3760" s="18">
        <f t="shared" si="1"/>
        <v>284.9</v>
      </c>
    </row>
    <row r="3761" ht="15.75" customHeight="1">
      <c r="A3761" s="19" t="s">
        <v>239</v>
      </c>
      <c r="B3761" s="19" t="s">
        <v>133</v>
      </c>
      <c r="C3761" s="20" t="s">
        <v>140</v>
      </c>
      <c r="D3761" s="14" t="str">
        <f>VLOOKUP(C3761,'State Key'!$A$2:$B$210,2,False)</f>
        <v>Chhattisgarh</v>
      </c>
      <c r="E3761" s="21">
        <v>300.0</v>
      </c>
      <c r="F3761" s="22">
        <v>75.808</v>
      </c>
      <c r="G3761" s="22">
        <v>0.0</v>
      </c>
      <c r="H3761" s="22">
        <v>0.0</v>
      </c>
      <c r="I3761" s="22">
        <v>56.332</v>
      </c>
      <c r="J3761" s="22">
        <v>0.0</v>
      </c>
      <c r="K3761" s="22">
        <v>0.0</v>
      </c>
      <c r="L3761" s="22">
        <v>132.14</v>
      </c>
      <c r="M3761" s="22">
        <v>127.491</v>
      </c>
      <c r="N3761" s="22">
        <v>115.93</v>
      </c>
      <c r="O3761" s="24">
        <v>27.3</v>
      </c>
      <c r="P3761" s="18">
        <f t="shared" si="1"/>
        <v>132.14</v>
      </c>
    </row>
    <row r="3762" ht="15.75" customHeight="1">
      <c r="A3762" s="13" t="s">
        <v>239</v>
      </c>
      <c r="B3762" s="13" t="s">
        <v>133</v>
      </c>
      <c r="C3762" s="14" t="s">
        <v>141</v>
      </c>
      <c r="D3762" s="14" t="str">
        <f>VLOOKUP(C3762,'State Key'!$A$2:$B$210,2,False)</f>
        <v>Chhattisgarh</v>
      </c>
      <c r="E3762" s="15">
        <v>1200.0</v>
      </c>
      <c r="F3762" s="16">
        <v>727.07131</v>
      </c>
      <c r="G3762" s="16">
        <v>0.0</v>
      </c>
      <c r="H3762" s="16">
        <v>0.0</v>
      </c>
      <c r="I3762" s="16">
        <v>0.0</v>
      </c>
      <c r="J3762" s="16">
        <v>0.0</v>
      </c>
      <c r="K3762" s="16">
        <v>0.0</v>
      </c>
      <c r="L3762" s="16">
        <v>727.07131</v>
      </c>
      <c r="M3762" s="16">
        <v>529.398</v>
      </c>
      <c r="N3762" s="16">
        <v>439.72</v>
      </c>
      <c r="O3762" s="24">
        <v>24.9</v>
      </c>
      <c r="P3762" s="18">
        <f t="shared" si="1"/>
        <v>727.07131</v>
      </c>
    </row>
    <row r="3763" ht="15.75" customHeight="1">
      <c r="A3763" s="19" t="s">
        <v>239</v>
      </c>
      <c r="B3763" s="19" t="s">
        <v>133</v>
      </c>
      <c r="C3763" s="20" t="s">
        <v>142</v>
      </c>
      <c r="D3763" s="14" t="str">
        <f>VLOOKUP(C3763,'State Key'!$A$2:$B$210,2,False)</f>
        <v>Maharashtra</v>
      </c>
      <c r="E3763" s="21">
        <v>270.0</v>
      </c>
      <c r="F3763" s="22">
        <v>111.857</v>
      </c>
      <c r="G3763" s="22">
        <v>0.0</v>
      </c>
      <c r="H3763" s="22">
        <v>0.0</v>
      </c>
      <c r="I3763" s="22">
        <v>27.387</v>
      </c>
      <c r="J3763" s="22">
        <v>0.0</v>
      </c>
      <c r="K3763" s="22">
        <v>0.0</v>
      </c>
      <c r="L3763" s="22">
        <v>139.244</v>
      </c>
      <c r="M3763" s="22">
        <v>118.12</v>
      </c>
      <c r="N3763" s="22">
        <v>101.43</v>
      </c>
      <c r="O3763" s="24">
        <v>25.8</v>
      </c>
      <c r="P3763" s="18">
        <f t="shared" si="1"/>
        <v>139.244</v>
      </c>
    </row>
    <row r="3764" ht="15.75" customHeight="1">
      <c r="A3764" s="13" t="s">
        <v>239</v>
      </c>
      <c r="B3764" s="13" t="s">
        <v>133</v>
      </c>
      <c r="C3764" s="14" t="s">
        <v>143</v>
      </c>
      <c r="D3764" s="14" t="str">
        <f>VLOOKUP(C3764,'State Key'!$A$2:$B$210,2,False)</f>
        <v>Chhattisgarh</v>
      </c>
      <c r="E3764" s="15">
        <v>500.0</v>
      </c>
      <c r="F3764" s="16">
        <v>210.823</v>
      </c>
      <c r="G3764" s="16">
        <v>12.251</v>
      </c>
      <c r="H3764" s="16">
        <v>0.0</v>
      </c>
      <c r="I3764" s="16">
        <v>0.0</v>
      </c>
      <c r="J3764" s="16">
        <v>0.0</v>
      </c>
      <c r="K3764" s="16">
        <v>0.0</v>
      </c>
      <c r="L3764" s="16">
        <v>223.074</v>
      </c>
      <c r="M3764" s="16">
        <v>217.309</v>
      </c>
      <c r="N3764" s="16">
        <v>247.59</v>
      </c>
      <c r="O3764" s="24">
        <v>34.2</v>
      </c>
      <c r="P3764" s="18">
        <f t="shared" si="1"/>
        <v>223.074</v>
      </c>
    </row>
    <row r="3765" ht="15.75" customHeight="1">
      <c r="A3765" s="19" t="s">
        <v>239</v>
      </c>
      <c r="B3765" s="19" t="s">
        <v>133</v>
      </c>
      <c r="C3765" s="20" t="s">
        <v>144</v>
      </c>
      <c r="D3765" s="14" t="str">
        <f>VLOOKUP(C3765,'State Key'!$A$2:$B$210,2,False)</f>
        <v>Maharashtra</v>
      </c>
      <c r="E3765" s="21">
        <v>1210.0</v>
      </c>
      <c r="F3765" s="22">
        <v>464.274</v>
      </c>
      <c r="G3765" s="22">
        <v>35.779</v>
      </c>
      <c r="H3765" s="22">
        <v>0.0</v>
      </c>
      <c r="I3765" s="22">
        <v>0.0</v>
      </c>
      <c r="J3765" s="22">
        <v>59.754</v>
      </c>
      <c r="K3765" s="22">
        <v>0.0</v>
      </c>
      <c r="L3765" s="22">
        <v>559.807</v>
      </c>
      <c r="M3765" s="22">
        <v>493.745</v>
      </c>
      <c r="N3765" s="22">
        <v>685.101</v>
      </c>
      <c r="O3765" s="24">
        <v>41.6</v>
      </c>
      <c r="P3765" s="18">
        <f t="shared" si="1"/>
        <v>559.807</v>
      </c>
    </row>
    <row r="3766" ht="15.75" customHeight="1">
      <c r="A3766" s="13" t="s">
        <v>239</v>
      </c>
      <c r="B3766" s="13" t="s">
        <v>133</v>
      </c>
      <c r="C3766" s="14" t="s">
        <v>145</v>
      </c>
      <c r="D3766" s="14" t="str">
        <f>VLOOKUP(C3766,'State Key'!$A$2:$B$210,2,False)</f>
        <v>Madhya Pradesh</v>
      </c>
      <c r="E3766" s="15">
        <v>500.0</v>
      </c>
      <c r="F3766" s="16">
        <v>157.0</v>
      </c>
      <c r="G3766" s="16">
        <v>0.0</v>
      </c>
      <c r="H3766" s="16">
        <v>0.0</v>
      </c>
      <c r="I3766" s="16">
        <v>77.27</v>
      </c>
      <c r="J3766" s="16">
        <v>0.0</v>
      </c>
      <c r="K3766" s="16">
        <v>0.0</v>
      </c>
      <c r="L3766" s="16">
        <v>234.27</v>
      </c>
      <c r="M3766" s="16">
        <v>218.55</v>
      </c>
      <c r="N3766" s="16">
        <v>119.79</v>
      </c>
      <c r="O3766" s="24">
        <v>16.4</v>
      </c>
      <c r="P3766" s="18">
        <f t="shared" si="1"/>
        <v>234.27</v>
      </c>
    </row>
    <row r="3767" ht="15.75" customHeight="1">
      <c r="A3767" s="19" t="s">
        <v>239</v>
      </c>
      <c r="B3767" s="19" t="s">
        <v>133</v>
      </c>
      <c r="C3767" s="20" t="s">
        <v>146</v>
      </c>
      <c r="D3767" s="14" t="str">
        <f>VLOOKUP(C3767,'State Key'!$A$2:$B$210,2,False)</f>
        <v>Chhattisgarh</v>
      </c>
      <c r="E3767" s="21">
        <v>600.0</v>
      </c>
      <c r="F3767" s="22">
        <v>19.173</v>
      </c>
      <c r="G3767" s="22">
        <v>0.0</v>
      </c>
      <c r="H3767" s="22">
        <v>0.0</v>
      </c>
      <c r="I3767" s="22">
        <v>252.075</v>
      </c>
      <c r="J3767" s="22">
        <v>0.0</v>
      </c>
      <c r="K3767" s="22">
        <v>133.183</v>
      </c>
      <c r="L3767" s="22">
        <v>404.431</v>
      </c>
      <c r="M3767" s="22">
        <v>267.676</v>
      </c>
      <c r="N3767" s="22">
        <v>155.49</v>
      </c>
      <c r="O3767" s="24">
        <v>17.4</v>
      </c>
      <c r="P3767" s="18">
        <f t="shared" si="1"/>
        <v>404.431</v>
      </c>
    </row>
    <row r="3768" ht="15.75" customHeight="1">
      <c r="A3768" s="13" t="s">
        <v>239</v>
      </c>
      <c r="B3768" s="13" t="s">
        <v>133</v>
      </c>
      <c r="C3768" s="14" t="s">
        <v>147</v>
      </c>
      <c r="D3768" s="14" t="str">
        <f>VLOOKUP(C3768,'State Key'!$A$2:$B$210,2,False)</f>
        <v>Maharashtra</v>
      </c>
      <c r="E3768" s="15">
        <v>600.0</v>
      </c>
      <c r="F3768" s="16">
        <v>0.0</v>
      </c>
      <c r="G3768" s="16">
        <v>0.0</v>
      </c>
      <c r="H3768" s="16">
        <v>0.0</v>
      </c>
      <c r="I3768" s="16">
        <v>0.0</v>
      </c>
      <c r="J3768" s="16">
        <v>0.0</v>
      </c>
      <c r="K3768" s="16">
        <v>0.0</v>
      </c>
      <c r="L3768" s="16">
        <v>0.0</v>
      </c>
      <c r="M3768" s="16">
        <v>0.0</v>
      </c>
      <c r="N3768" s="16">
        <v>0.0</v>
      </c>
      <c r="O3768" s="13" t="s">
        <v>58</v>
      </c>
      <c r="P3768" s="18">
        <f t="shared" si="1"/>
        <v>0</v>
      </c>
    </row>
    <row r="3769" ht="15.75" customHeight="1">
      <c r="A3769" s="19" t="s">
        <v>239</v>
      </c>
      <c r="B3769" s="19" t="s">
        <v>133</v>
      </c>
      <c r="C3769" s="20" t="s">
        <v>148</v>
      </c>
      <c r="D3769" s="14" t="str">
        <f>VLOOKUP(C3769,'State Key'!$A$2:$B$210,2,False)</f>
        <v>Chhattisgarh</v>
      </c>
      <c r="E3769" s="21">
        <v>30.0</v>
      </c>
      <c r="F3769" s="22">
        <v>6.54</v>
      </c>
      <c r="G3769" s="22">
        <v>0.0</v>
      </c>
      <c r="H3769" s="22">
        <v>0.0</v>
      </c>
      <c r="I3769" s="22">
        <v>0.0</v>
      </c>
      <c r="J3769" s="22">
        <v>0.0</v>
      </c>
      <c r="K3769" s="22">
        <v>9.5716</v>
      </c>
      <c r="L3769" s="22">
        <v>16.1116</v>
      </c>
      <c r="M3769" s="22">
        <v>49.629</v>
      </c>
      <c r="N3769" s="22">
        <v>7.3</v>
      </c>
      <c r="O3769" s="17">
        <v>4.4</v>
      </c>
      <c r="P3769" s="18">
        <f t="shared" si="1"/>
        <v>16.1116</v>
      </c>
    </row>
    <row r="3770" ht="15.75" customHeight="1">
      <c r="A3770" s="13" t="s">
        <v>239</v>
      </c>
      <c r="B3770" s="13" t="s">
        <v>133</v>
      </c>
      <c r="C3770" s="14" t="s">
        <v>149</v>
      </c>
      <c r="D3770" s="14" t="str">
        <f>VLOOKUP(C3770,'State Key'!$A$2:$B$210,2,False)</f>
        <v>Maharashtra</v>
      </c>
      <c r="E3770" s="15">
        <v>2920.0</v>
      </c>
      <c r="F3770" s="16">
        <v>881.071</v>
      </c>
      <c r="G3770" s="16">
        <v>203.052</v>
      </c>
      <c r="H3770" s="16">
        <v>0.0</v>
      </c>
      <c r="I3770" s="16">
        <v>0.0</v>
      </c>
      <c r="J3770" s="16">
        <v>37.062</v>
      </c>
      <c r="K3770" s="16">
        <v>0.0</v>
      </c>
      <c r="L3770" s="16">
        <v>1121.185</v>
      </c>
      <c r="M3770" s="16">
        <v>1032.57</v>
      </c>
      <c r="N3770" s="16">
        <v>445.49</v>
      </c>
      <c r="O3770" s="23">
        <v>12.9</v>
      </c>
      <c r="P3770" s="18">
        <f t="shared" si="1"/>
        <v>1121.185</v>
      </c>
    </row>
    <row r="3771" ht="15.75" customHeight="1">
      <c r="A3771" s="19" t="s">
        <v>239</v>
      </c>
      <c r="B3771" s="19" t="s">
        <v>133</v>
      </c>
      <c r="C3771" s="20" t="s">
        <v>150</v>
      </c>
      <c r="D3771" s="14" t="str">
        <f>VLOOKUP(C3771,'State Key'!$A$2:$B$210,2,False)</f>
        <v>Maharashtra</v>
      </c>
      <c r="E3771" s="21">
        <v>500.0</v>
      </c>
      <c r="F3771" s="22">
        <v>194.315</v>
      </c>
      <c r="G3771" s="22">
        <v>0.0</v>
      </c>
      <c r="H3771" s="22">
        <v>0.0</v>
      </c>
      <c r="I3771" s="22">
        <v>0.0</v>
      </c>
      <c r="J3771" s="22">
        <v>0.0</v>
      </c>
      <c r="K3771" s="22">
        <v>0.0</v>
      </c>
      <c r="L3771" s="22">
        <v>194.315</v>
      </c>
      <c r="M3771" s="22">
        <v>161.567</v>
      </c>
      <c r="N3771" s="22">
        <v>67.58</v>
      </c>
      <c r="O3771" s="23">
        <v>12.5</v>
      </c>
      <c r="P3771" s="18">
        <f t="shared" si="1"/>
        <v>194.315</v>
      </c>
    </row>
    <row r="3772" ht="15.75" customHeight="1">
      <c r="A3772" s="13" t="s">
        <v>239</v>
      </c>
      <c r="B3772" s="13" t="s">
        <v>133</v>
      </c>
      <c r="C3772" s="14" t="s">
        <v>151</v>
      </c>
      <c r="D3772" s="14" t="str">
        <f>VLOOKUP(C3772,'State Key'!$A$2:$B$210,2,False)</f>
        <v>Maharashtra</v>
      </c>
      <c r="E3772" s="15">
        <v>600.0</v>
      </c>
      <c r="F3772" s="16">
        <v>252.661</v>
      </c>
      <c r="G3772" s="16">
        <v>0.0</v>
      </c>
      <c r="H3772" s="16">
        <v>0.0</v>
      </c>
      <c r="I3772" s="16">
        <v>18.272</v>
      </c>
      <c r="J3772" s="16">
        <v>0.0</v>
      </c>
      <c r="K3772" s="16">
        <v>0.0</v>
      </c>
      <c r="L3772" s="16">
        <v>270.933</v>
      </c>
      <c r="M3772" s="16">
        <v>247.179</v>
      </c>
      <c r="N3772" s="16">
        <v>201.39</v>
      </c>
      <c r="O3772" s="24">
        <v>24.4</v>
      </c>
      <c r="P3772" s="18">
        <f t="shared" si="1"/>
        <v>270.933</v>
      </c>
    </row>
    <row r="3773" ht="15.75" customHeight="1">
      <c r="A3773" s="19" t="s">
        <v>239</v>
      </c>
      <c r="B3773" s="19" t="s">
        <v>133</v>
      </c>
      <c r="C3773" s="20" t="s">
        <v>152</v>
      </c>
      <c r="D3773" s="14" t="str">
        <f>VLOOKUP(C3773,'State Key'!$A$2:$B$210,2,False)</f>
        <v>Chhattisgarh</v>
      </c>
      <c r="E3773" s="21">
        <v>500.0</v>
      </c>
      <c r="F3773" s="22">
        <v>362.596</v>
      </c>
      <c r="G3773" s="22">
        <v>0.0</v>
      </c>
      <c r="H3773" s="22">
        <v>0.0</v>
      </c>
      <c r="I3773" s="22">
        <v>0.0</v>
      </c>
      <c r="J3773" s="22">
        <v>0.0</v>
      </c>
      <c r="K3773" s="22">
        <v>0.0</v>
      </c>
      <c r="L3773" s="22">
        <v>362.596</v>
      </c>
      <c r="M3773" s="22">
        <v>255.528</v>
      </c>
      <c r="N3773" s="22">
        <v>244.464</v>
      </c>
      <c r="O3773" s="24">
        <v>28.7</v>
      </c>
      <c r="P3773" s="18">
        <f t="shared" si="1"/>
        <v>362.596</v>
      </c>
    </row>
    <row r="3774" ht="15.75" customHeight="1">
      <c r="A3774" s="13" t="s">
        <v>239</v>
      </c>
      <c r="B3774" s="13" t="s">
        <v>133</v>
      </c>
      <c r="C3774" s="14" t="s">
        <v>153</v>
      </c>
      <c r="D3774" s="14" t="str">
        <f>VLOOKUP(C3774,'State Key'!$A$2:$B$210,2,False)</f>
        <v>Madhya Pradesh</v>
      </c>
      <c r="E3774" s="15">
        <v>1600.0</v>
      </c>
      <c r="F3774" s="16">
        <v>309.19</v>
      </c>
      <c r="G3774" s="16">
        <v>40.86</v>
      </c>
      <c r="H3774" s="16">
        <v>159.95</v>
      </c>
      <c r="I3774" s="16">
        <v>0.0</v>
      </c>
      <c r="J3774" s="16">
        <v>0.0</v>
      </c>
      <c r="K3774" s="16">
        <v>48.01</v>
      </c>
      <c r="L3774" s="16">
        <v>558.01</v>
      </c>
      <c r="M3774" s="16">
        <v>527.037</v>
      </c>
      <c r="N3774" s="16">
        <v>288.097</v>
      </c>
      <c r="O3774" s="24">
        <v>16.4</v>
      </c>
      <c r="P3774" s="18">
        <f t="shared" si="1"/>
        <v>558.01</v>
      </c>
    </row>
    <row r="3775" ht="15.75" customHeight="1">
      <c r="A3775" s="19" t="s">
        <v>239</v>
      </c>
      <c r="B3775" s="19" t="s">
        <v>133</v>
      </c>
      <c r="C3775" s="20" t="s">
        <v>154</v>
      </c>
      <c r="D3775" s="14" t="str">
        <f>VLOOKUP(C3775,'State Key'!$A$2:$B$210,2,False)</f>
        <v>Gujarat</v>
      </c>
      <c r="E3775" s="21">
        <v>630.0</v>
      </c>
      <c r="F3775" s="22">
        <v>27.80523</v>
      </c>
      <c r="G3775" s="22">
        <v>0.0</v>
      </c>
      <c r="H3775" s="22">
        <v>0.0</v>
      </c>
      <c r="I3775" s="22">
        <v>0.0</v>
      </c>
      <c r="J3775" s="22">
        <v>0.0</v>
      </c>
      <c r="K3775" s="22">
        <v>0.0</v>
      </c>
      <c r="L3775" s="22">
        <v>27.80523</v>
      </c>
      <c r="M3775" s="22">
        <v>48.238</v>
      </c>
      <c r="N3775" s="22">
        <v>273.82</v>
      </c>
      <c r="O3775" s="24">
        <v>170.3</v>
      </c>
      <c r="P3775" s="18">
        <f t="shared" si="1"/>
        <v>27.80523</v>
      </c>
    </row>
    <row r="3776" ht="15.75" customHeight="1">
      <c r="A3776" s="13" t="s">
        <v>239</v>
      </c>
      <c r="B3776" s="13" t="s">
        <v>133</v>
      </c>
      <c r="C3776" s="14" t="s">
        <v>155</v>
      </c>
      <c r="D3776" s="14" t="str">
        <f>VLOOKUP(C3776,'State Key'!$A$2:$B$210,2,False)</f>
        <v>Maharashtra</v>
      </c>
      <c r="E3776" s="15">
        <v>120.0</v>
      </c>
      <c r="F3776" s="16">
        <v>0.0</v>
      </c>
      <c r="G3776" s="16">
        <v>0.0</v>
      </c>
      <c r="H3776" s="16">
        <v>0.0</v>
      </c>
      <c r="I3776" s="16">
        <v>0.0</v>
      </c>
      <c r="J3776" s="16">
        <v>0.0</v>
      </c>
      <c r="K3776" s="16">
        <v>0.0</v>
      </c>
      <c r="L3776" s="16">
        <v>0.0</v>
      </c>
      <c r="M3776" s="16">
        <v>0.0</v>
      </c>
      <c r="N3776" s="16">
        <v>0.0</v>
      </c>
      <c r="O3776" s="13" t="s">
        <v>58</v>
      </c>
      <c r="P3776" s="18">
        <f t="shared" si="1"/>
        <v>0</v>
      </c>
    </row>
    <row r="3777" ht="15.75" customHeight="1">
      <c r="A3777" s="19" t="s">
        <v>239</v>
      </c>
      <c r="B3777" s="19" t="s">
        <v>133</v>
      </c>
      <c r="C3777" s="20" t="s">
        <v>156</v>
      </c>
      <c r="D3777" s="14" t="str">
        <f>VLOOKUP(C3777,'State Key'!$A$2:$B$210,2,False)</f>
        <v>Maharashtra</v>
      </c>
      <c r="E3777" s="21">
        <v>600.0</v>
      </c>
      <c r="F3777" s="22">
        <v>217.178</v>
      </c>
      <c r="G3777" s="22">
        <v>0.0</v>
      </c>
      <c r="H3777" s="22">
        <v>0.0</v>
      </c>
      <c r="I3777" s="22">
        <v>71.83</v>
      </c>
      <c r="J3777" s="22">
        <v>0.0</v>
      </c>
      <c r="K3777" s="22">
        <v>0.0</v>
      </c>
      <c r="L3777" s="22">
        <v>289.008</v>
      </c>
      <c r="M3777" s="22">
        <v>254.433</v>
      </c>
      <c r="N3777" s="22">
        <v>115.76</v>
      </c>
      <c r="O3777" s="23">
        <v>13.6</v>
      </c>
      <c r="P3777" s="18">
        <f t="shared" si="1"/>
        <v>289.008</v>
      </c>
    </row>
    <row r="3778" ht="15.75" customHeight="1">
      <c r="A3778" s="13" t="s">
        <v>239</v>
      </c>
      <c r="B3778" s="13" t="s">
        <v>133</v>
      </c>
      <c r="C3778" s="14" t="s">
        <v>157</v>
      </c>
      <c r="D3778" s="14" t="str">
        <f>VLOOKUP(C3778,'State Key'!$A$2:$B$210,2,False)</f>
        <v>Maharashtra</v>
      </c>
      <c r="E3778" s="15">
        <v>300.0</v>
      </c>
      <c r="F3778" s="16">
        <v>0.0</v>
      </c>
      <c r="G3778" s="16">
        <v>0.0</v>
      </c>
      <c r="H3778" s="16">
        <v>0.0</v>
      </c>
      <c r="I3778" s="16">
        <v>0.0</v>
      </c>
      <c r="J3778" s="16">
        <v>0.0</v>
      </c>
      <c r="K3778" s="16">
        <v>0.0</v>
      </c>
      <c r="L3778" s="16">
        <v>0.0</v>
      </c>
      <c r="M3778" s="16">
        <v>25.28</v>
      </c>
      <c r="N3778" s="16">
        <v>42.5</v>
      </c>
      <c r="O3778" s="24">
        <v>50.4</v>
      </c>
      <c r="P3778" s="18">
        <f t="shared" si="1"/>
        <v>0</v>
      </c>
    </row>
    <row r="3779" ht="15.75" customHeight="1">
      <c r="A3779" s="19" t="s">
        <v>239</v>
      </c>
      <c r="B3779" s="19" t="s">
        <v>133</v>
      </c>
      <c r="C3779" s="20" t="s">
        <v>158</v>
      </c>
      <c r="D3779" s="14" t="str">
        <f>VLOOKUP(C3779,'State Key'!$A$2:$B$210,2,False)</f>
        <v>Chhattisgarh</v>
      </c>
      <c r="E3779" s="21">
        <v>270.0</v>
      </c>
      <c r="F3779" s="22">
        <v>60.8578</v>
      </c>
      <c r="G3779" s="22">
        <v>0.0</v>
      </c>
      <c r="H3779" s="22">
        <v>0.0</v>
      </c>
      <c r="I3779" s="22">
        <v>0.0</v>
      </c>
      <c r="J3779" s="22">
        <v>0.0</v>
      </c>
      <c r="K3779" s="22">
        <v>75.985</v>
      </c>
      <c r="L3779" s="22">
        <v>136.8428</v>
      </c>
      <c r="M3779" s="22">
        <v>138.88</v>
      </c>
      <c r="N3779" s="22">
        <v>16.89</v>
      </c>
      <c r="O3779" s="17">
        <v>3.6</v>
      </c>
      <c r="P3779" s="18">
        <f t="shared" si="1"/>
        <v>136.8428</v>
      </c>
    </row>
    <row r="3780" ht="15.75" customHeight="1">
      <c r="A3780" s="13" t="s">
        <v>239</v>
      </c>
      <c r="B3780" s="13" t="s">
        <v>133</v>
      </c>
      <c r="C3780" s="14" t="s">
        <v>159</v>
      </c>
      <c r="D3780" s="14" t="str">
        <f>VLOOKUP(C3780,'State Key'!$A$2:$B$210,2,False)</f>
        <v>Chhattisgarh</v>
      </c>
      <c r="E3780" s="15">
        <v>35.0</v>
      </c>
      <c r="F3780" s="16">
        <v>0.0</v>
      </c>
      <c r="G3780" s="16">
        <v>0.0</v>
      </c>
      <c r="H3780" s="16">
        <v>0.0</v>
      </c>
      <c r="I3780" s="16">
        <v>0.0</v>
      </c>
      <c r="J3780" s="16">
        <v>0.0</v>
      </c>
      <c r="K3780" s="16">
        <v>0.0</v>
      </c>
      <c r="L3780" s="16">
        <v>0.0</v>
      </c>
      <c r="M3780" s="16">
        <v>0.0</v>
      </c>
      <c r="N3780" s="16">
        <v>0.0</v>
      </c>
      <c r="O3780" s="13" t="s">
        <v>58</v>
      </c>
      <c r="P3780" s="18">
        <f t="shared" si="1"/>
        <v>0</v>
      </c>
    </row>
    <row r="3781" ht="15.75" customHeight="1">
      <c r="A3781" s="19" t="s">
        <v>239</v>
      </c>
      <c r="B3781" s="19" t="s">
        <v>133</v>
      </c>
      <c r="C3781" s="20" t="s">
        <v>160</v>
      </c>
      <c r="D3781" s="14" t="str">
        <f>VLOOKUP(C3781,'State Key'!$A$2:$B$210,2,False)</f>
        <v>Maharashtra</v>
      </c>
      <c r="E3781" s="21">
        <v>1340.0</v>
      </c>
      <c r="F3781" s="22">
        <v>591.541</v>
      </c>
      <c r="G3781" s="22">
        <v>0.0</v>
      </c>
      <c r="H3781" s="22">
        <v>0.0</v>
      </c>
      <c r="I3781" s="22">
        <v>0.0</v>
      </c>
      <c r="J3781" s="22">
        <v>59.373</v>
      </c>
      <c r="K3781" s="22">
        <v>0.404</v>
      </c>
      <c r="L3781" s="22">
        <v>651.318</v>
      </c>
      <c r="M3781" s="22">
        <v>566.663</v>
      </c>
      <c r="N3781" s="22">
        <v>264.84</v>
      </c>
      <c r="O3781" s="24">
        <v>14.0</v>
      </c>
      <c r="P3781" s="18">
        <f t="shared" si="1"/>
        <v>651.318</v>
      </c>
    </row>
    <row r="3782" ht="15.75" customHeight="1">
      <c r="A3782" s="13" t="s">
        <v>239</v>
      </c>
      <c r="B3782" s="13" t="s">
        <v>133</v>
      </c>
      <c r="C3782" s="14" t="s">
        <v>161</v>
      </c>
      <c r="D3782" s="14" t="str">
        <f>VLOOKUP(C3782,'State Key'!$A$2:$B$210,2,False)</f>
        <v>Madhya Pradesh</v>
      </c>
      <c r="E3782" s="15">
        <v>1320.0</v>
      </c>
      <c r="F3782" s="16">
        <v>225.57</v>
      </c>
      <c r="G3782" s="16">
        <v>88.97</v>
      </c>
      <c r="H3782" s="16">
        <v>144.99</v>
      </c>
      <c r="I3782" s="16">
        <v>0.0</v>
      </c>
      <c r="J3782" s="16">
        <v>0.0</v>
      </c>
      <c r="K3782" s="16">
        <v>64.86</v>
      </c>
      <c r="L3782" s="16">
        <v>524.39</v>
      </c>
      <c r="M3782" s="16">
        <v>440.099</v>
      </c>
      <c r="N3782" s="16">
        <v>215.777</v>
      </c>
      <c r="O3782" s="24">
        <v>14.7</v>
      </c>
      <c r="P3782" s="18">
        <f t="shared" si="1"/>
        <v>524.39</v>
      </c>
    </row>
    <row r="3783" ht="15.75" customHeight="1">
      <c r="A3783" s="19" t="s">
        <v>239</v>
      </c>
      <c r="B3783" s="19" t="s">
        <v>133</v>
      </c>
      <c r="C3783" s="20" t="s">
        <v>162</v>
      </c>
      <c r="D3783" s="14" t="str">
        <f>VLOOKUP(C3783,'State Key'!$A$2:$B$210,2,False)</f>
        <v>Maharashtra</v>
      </c>
      <c r="E3783" s="21">
        <v>2190.0</v>
      </c>
      <c r="F3783" s="22">
        <v>867.973</v>
      </c>
      <c r="G3783" s="22">
        <v>60.338</v>
      </c>
      <c r="H3783" s="22">
        <v>0.0</v>
      </c>
      <c r="I3783" s="22">
        <v>0.0</v>
      </c>
      <c r="J3783" s="22">
        <v>0.0</v>
      </c>
      <c r="K3783" s="22">
        <v>0.0</v>
      </c>
      <c r="L3783" s="22">
        <v>928.311</v>
      </c>
      <c r="M3783" s="22">
        <v>844.307</v>
      </c>
      <c r="N3783" s="22">
        <v>311.608</v>
      </c>
      <c r="O3783" s="23">
        <v>11.1</v>
      </c>
      <c r="P3783" s="18">
        <f t="shared" si="1"/>
        <v>928.311</v>
      </c>
    </row>
    <row r="3784" ht="15.75" customHeight="1">
      <c r="A3784" s="13" t="s">
        <v>239</v>
      </c>
      <c r="B3784" s="13" t="s">
        <v>133</v>
      </c>
      <c r="C3784" s="14" t="s">
        <v>163</v>
      </c>
      <c r="D3784" s="14" t="str">
        <f>VLOOKUP(C3784,'State Key'!$A$2:$B$210,2,False)</f>
        <v>Chhattisgarh</v>
      </c>
      <c r="E3784" s="15">
        <v>2600.0</v>
      </c>
      <c r="F3784" s="16">
        <v>1241.83</v>
      </c>
      <c r="G3784" s="16">
        <v>0.0</v>
      </c>
      <c r="H3784" s="16">
        <v>0.0</v>
      </c>
      <c r="I3784" s="16">
        <v>0.0</v>
      </c>
      <c r="J3784" s="16">
        <v>0.0</v>
      </c>
      <c r="K3784" s="16">
        <v>0.0</v>
      </c>
      <c r="L3784" s="16">
        <v>1241.83</v>
      </c>
      <c r="M3784" s="16">
        <v>1212.947</v>
      </c>
      <c r="N3784" s="16">
        <v>471.132</v>
      </c>
      <c r="O3784" s="23">
        <v>11.7</v>
      </c>
      <c r="P3784" s="18">
        <f t="shared" si="1"/>
        <v>1241.83</v>
      </c>
    </row>
    <row r="3785" ht="15.75" customHeight="1">
      <c r="A3785" s="19" t="s">
        <v>239</v>
      </c>
      <c r="B3785" s="19" t="s">
        <v>133</v>
      </c>
      <c r="C3785" s="20" t="s">
        <v>164</v>
      </c>
      <c r="D3785" s="14" t="str">
        <f>VLOOKUP(C3785,'State Key'!$A$2:$B$210,2,False)</f>
        <v>Chhattisgarh</v>
      </c>
      <c r="E3785" s="21">
        <v>1340.0</v>
      </c>
      <c r="F3785" s="22">
        <v>522.834</v>
      </c>
      <c r="G3785" s="22">
        <v>0.0</v>
      </c>
      <c r="H3785" s="22">
        <v>0.0</v>
      </c>
      <c r="I3785" s="22">
        <v>0.0</v>
      </c>
      <c r="J3785" s="22">
        <v>0.0</v>
      </c>
      <c r="K3785" s="22">
        <v>0.0</v>
      </c>
      <c r="L3785" s="22">
        <v>522.834</v>
      </c>
      <c r="M3785" s="22">
        <v>540.698</v>
      </c>
      <c r="N3785" s="22">
        <v>61.96</v>
      </c>
      <c r="O3785" s="17">
        <v>3.4</v>
      </c>
      <c r="P3785" s="18">
        <f t="shared" si="1"/>
        <v>522.834</v>
      </c>
    </row>
    <row r="3786" ht="15.75" customHeight="1">
      <c r="A3786" s="13" t="s">
        <v>239</v>
      </c>
      <c r="B3786" s="13" t="s">
        <v>133</v>
      </c>
      <c r="C3786" s="14" t="s">
        <v>165</v>
      </c>
      <c r="D3786" s="14" t="str">
        <f>VLOOKUP(C3786,'State Key'!$A$2:$B$210,2,False)</f>
        <v>Chhattisgarh</v>
      </c>
      <c r="E3786" s="15">
        <v>1600.0</v>
      </c>
      <c r="F3786" s="16">
        <v>0.0</v>
      </c>
      <c r="G3786" s="16">
        <v>0.0</v>
      </c>
      <c r="H3786" s="16">
        <v>676.99</v>
      </c>
      <c r="I3786" s="16">
        <v>0.0</v>
      </c>
      <c r="J3786" s="16">
        <v>0.0</v>
      </c>
      <c r="K3786" s="16">
        <v>0.0</v>
      </c>
      <c r="L3786" s="16">
        <v>676.99</v>
      </c>
      <c r="M3786" s="16">
        <v>742.767</v>
      </c>
      <c r="N3786" s="16">
        <v>420.53</v>
      </c>
      <c r="O3786" s="24">
        <v>17.0</v>
      </c>
      <c r="P3786" s="18">
        <f t="shared" si="1"/>
        <v>676.99</v>
      </c>
    </row>
    <row r="3787" ht="15.75" customHeight="1">
      <c r="A3787" s="19" t="s">
        <v>239</v>
      </c>
      <c r="B3787" s="19" t="s">
        <v>133</v>
      </c>
      <c r="C3787" s="20" t="s">
        <v>166</v>
      </c>
      <c r="D3787" s="14" t="str">
        <f>VLOOKUP(C3787,'State Key'!$A$2:$B$210,2,False)</f>
        <v>Madhya Pradesh</v>
      </c>
      <c r="E3787" s="21">
        <v>1200.0</v>
      </c>
      <c r="F3787" s="22">
        <v>68.992</v>
      </c>
      <c r="G3787" s="22">
        <v>0.0</v>
      </c>
      <c r="H3787" s="22">
        <v>0.0</v>
      </c>
      <c r="I3787" s="22">
        <v>0.0</v>
      </c>
      <c r="J3787" s="22">
        <v>0.0</v>
      </c>
      <c r="K3787" s="22">
        <v>190.788</v>
      </c>
      <c r="L3787" s="22">
        <v>259.78</v>
      </c>
      <c r="M3787" s="22">
        <v>236.636</v>
      </c>
      <c r="N3787" s="22">
        <v>310.2</v>
      </c>
      <c r="O3787" s="24">
        <v>39.3</v>
      </c>
      <c r="P3787" s="18">
        <f t="shared" si="1"/>
        <v>259.78</v>
      </c>
    </row>
    <row r="3788" ht="15.75" customHeight="1">
      <c r="A3788" s="13" t="s">
        <v>239</v>
      </c>
      <c r="B3788" s="13" t="s">
        <v>133</v>
      </c>
      <c r="C3788" s="14" t="s">
        <v>167</v>
      </c>
      <c r="D3788" s="14" t="str">
        <f>VLOOKUP(C3788,'State Key'!$A$2:$B$210,2,False)</f>
        <v>Chhattisgarh</v>
      </c>
      <c r="E3788" s="15">
        <v>1000.0</v>
      </c>
      <c r="F3788" s="16">
        <v>190.296</v>
      </c>
      <c r="G3788" s="16">
        <v>0.0</v>
      </c>
      <c r="H3788" s="16">
        <v>255.103</v>
      </c>
      <c r="I3788" s="16">
        <v>0.0</v>
      </c>
      <c r="J3788" s="16">
        <v>0.0</v>
      </c>
      <c r="K3788" s="16">
        <v>0.0</v>
      </c>
      <c r="L3788" s="16">
        <v>445.399</v>
      </c>
      <c r="M3788" s="16">
        <v>466.028</v>
      </c>
      <c r="N3788" s="16">
        <v>130.66</v>
      </c>
      <c r="O3788" s="23">
        <v>8.4</v>
      </c>
      <c r="P3788" s="18">
        <f t="shared" si="1"/>
        <v>445.399</v>
      </c>
    </row>
    <row r="3789" ht="15.75" customHeight="1">
      <c r="A3789" s="19" t="s">
        <v>239</v>
      </c>
      <c r="B3789" s="19" t="s">
        <v>133</v>
      </c>
      <c r="C3789" s="20" t="s">
        <v>168</v>
      </c>
      <c r="D3789" s="14" t="str">
        <f>VLOOKUP(C3789,'State Key'!$A$2:$B$210,2,False)</f>
        <v>Maharashtra</v>
      </c>
      <c r="E3789" s="21">
        <v>2320.0</v>
      </c>
      <c r="F3789" s="22">
        <v>611.13</v>
      </c>
      <c r="G3789" s="22">
        <v>88.72</v>
      </c>
      <c r="H3789" s="22">
        <v>181.98</v>
      </c>
      <c r="I3789" s="22">
        <v>0.0</v>
      </c>
      <c r="J3789" s="22">
        <v>0.0</v>
      </c>
      <c r="K3789" s="22">
        <v>11.91</v>
      </c>
      <c r="L3789" s="22">
        <v>893.74</v>
      </c>
      <c r="M3789" s="22">
        <v>859.977</v>
      </c>
      <c r="N3789" s="22">
        <v>451.621</v>
      </c>
      <c r="O3789" s="24">
        <v>15.8</v>
      </c>
      <c r="P3789" s="18">
        <f t="shared" si="1"/>
        <v>893.74</v>
      </c>
    </row>
    <row r="3790" ht="15.75" customHeight="1">
      <c r="A3790" s="13" t="s">
        <v>239</v>
      </c>
      <c r="B3790" s="13" t="s">
        <v>133</v>
      </c>
      <c r="C3790" s="14" t="s">
        <v>169</v>
      </c>
      <c r="D3790" s="14" t="str">
        <f>VLOOKUP(C3790,'State Key'!$A$2:$B$210,2,False)</f>
        <v>Madhya Pradesh</v>
      </c>
      <c r="E3790" s="15">
        <v>246.01</v>
      </c>
      <c r="F3790" s="16">
        <v>0.0</v>
      </c>
      <c r="G3790" s="16">
        <v>0.0</v>
      </c>
      <c r="H3790" s="16">
        <v>0.0</v>
      </c>
      <c r="I3790" s="16">
        <v>0.0</v>
      </c>
      <c r="J3790" s="16">
        <v>0.0</v>
      </c>
      <c r="K3790" s="16">
        <v>0.0</v>
      </c>
      <c r="L3790" s="16">
        <v>0.0</v>
      </c>
      <c r="M3790" s="16">
        <v>0.0</v>
      </c>
      <c r="N3790" s="16">
        <v>0.0</v>
      </c>
      <c r="O3790" s="13" t="s">
        <v>58</v>
      </c>
      <c r="P3790" s="18">
        <f t="shared" si="1"/>
        <v>0</v>
      </c>
    </row>
    <row r="3791" ht="15.75" customHeight="1">
      <c r="A3791" s="19" t="s">
        <v>239</v>
      </c>
      <c r="B3791" s="19" t="s">
        <v>133</v>
      </c>
      <c r="C3791" s="20" t="s">
        <v>172</v>
      </c>
      <c r="D3791" s="14" t="str">
        <f>VLOOKUP(C3791,'State Key'!$A$2:$B$210,2,False)</f>
        <v>Gujarat</v>
      </c>
      <c r="E3791" s="21">
        <v>4000.0</v>
      </c>
      <c r="F3791" s="22">
        <v>0.0</v>
      </c>
      <c r="G3791" s="22">
        <v>0.0</v>
      </c>
      <c r="H3791" s="22">
        <v>0.0</v>
      </c>
      <c r="I3791" s="22">
        <v>0.0</v>
      </c>
      <c r="J3791" s="22">
        <v>664.938</v>
      </c>
      <c r="K3791" s="22">
        <v>0.0</v>
      </c>
      <c r="L3791" s="22">
        <v>664.938</v>
      </c>
      <c r="M3791" s="22">
        <v>990.5139</v>
      </c>
      <c r="N3791" s="22">
        <v>391.79</v>
      </c>
      <c r="O3791" s="23">
        <v>11.9</v>
      </c>
      <c r="P3791" s="18">
        <f t="shared" si="1"/>
        <v>664.938</v>
      </c>
    </row>
    <row r="3792" ht="15.75" customHeight="1">
      <c r="A3792" s="13" t="s">
        <v>239</v>
      </c>
      <c r="B3792" s="13" t="s">
        <v>133</v>
      </c>
      <c r="C3792" s="14" t="s">
        <v>173</v>
      </c>
      <c r="D3792" s="14" t="str">
        <f>VLOOKUP(C3792,'State Key'!$A$2:$B$210,2,False)</f>
        <v>Maharashtra</v>
      </c>
      <c r="E3792" s="15">
        <v>1350.0</v>
      </c>
      <c r="F3792" s="16">
        <v>0.0</v>
      </c>
      <c r="G3792" s="16">
        <v>0.0</v>
      </c>
      <c r="H3792" s="16">
        <v>0.0</v>
      </c>
      <c r="I3792" s="16">
        <v>0.0</v>
      </c>
      <c r="J3792" s="16">
        <v>0.0</v>
      </c>
      <c r="K3792" s="16">
        <v>0.0</v>
      </c>
      <c r="L3792" s="16">
        <v>0.0</v>
      </c>
      <c r="M3792" s="16">
        <v>0.0</v>
      </c>
      <c r="N3792" s="16">
        <v>0.0</v>
      </c>
      <c r="O3792" s="13" t="s">
        <v>58</v>
      </c>
      <c r="P3792" s="18">
        <f t="shared" si="1"/>
        <v>0</v>
      </c>
    </row>
    <row r="3793" ht="15.75" customHeight="1">
      <c r="A3793" s="19" t="s">
        <v>239</v>
      </c>
      <c r="B3793" s="19" t="s">
        <v>133</v>
      </c>
      <c r="C3793" s="20" t="s">
        <v>174</v>
      </c>
      <c r="D3793" s="14" t="str">
        <f>VLOOKUP(C3793,'State Key'!$A$2:$B$210,2,False)</f>
        <v>Maharashtra</v>
      </c>
      <c r="E3793" s="21">
        <v>630.0</v>
      </c>
      <c r="F3793" s="22">
        <v>214.094</v>
      </c>
      <c r="G3793" s="22">
        <v>0.0</v>
      </c>
      <c r="H3793" s="22">
        <v>0.0</v>
      </c>
      <c r="I3793" s="22">
        <v>0.0</v>
      </c>
      <c r="J3793" s="22">
        <v>19.152</v>
      </c>
      <c r="K3793" s="22">
        <v>0.0</v>
      </c>
      <c r="L3793" s="22">
        <v>233.246</v>
      </c>
      <c r="M3793" s="22">
        <v>238.588</v>
      </c>
      <c r="N3793" s="22">
        <v>241.12</v>
      </c>
      <c r="O3793" s="24">
        <v>30.3</v>
      </c>
      <c r="P3793" s="18">
        <f t="shared" si="1"/>
        <v>233.246</v>
      </c>
    </row>
    <row r="3794" ht="15.75" customHeight="1">
      <c r="A3794" s="13" t="s">
        <v>239</v>
      </c>
      <c r="B3794" s="13" t="s">
        <v>133</v>
      </c>
      <c r="C3794" s="14" t="s">
        <v>175</v>
      </c>
      <c r="D3794" s="14" t="str">
        <f>VLOOKUP(C3794,'State Key'!$A$2:$B$210,2,False)</f>
        <v>Chhattisgarh</v>
      </c>
      <c r="E3794" s="15">
        <v>600.0</v>
      </c>
      <c r="F3794" s="16">
        <v>266.379</v>
      </c>
      <c r="G3794" s="16">
        <v>0.0</v>
      </c>
      <c r="H3794" s="16">
        <v>0.0</v>
      </c>
      <c r="I3794" s="16">
        <v>39.804</v>
      </c>
      <c r="J3794" s="16">
        <v>0.0</v>
      </c>
      <c r="K3794" s="16">
        <v>0.0</v>
      </c>
      <c r="L3794" s="16">
        <v>306.183</v>
      </c>
      <c r="M3794" s="16">
        <v>255.609</v>
      </c>
      <c r="N3794" s="16">
        <v>212.08</v>
      </c>
      <c r="O3794" s="24">
        <v>24.9</v>
      </c>
      <c r="P3794" s="18">
        <f t="shared" si="1"/>
        <v>306.183</v>
      </c>
    </row>
    <row r="3795" ht="15.75" customHeight="1">
      <c r="A3795" s="19" t="s">
        <v>239</v>
      </c>
      <c r="B3795" s="19" t="s">
        <v>133</v>
      </c>
      <c r="C3795" s="20" t="s">
        <v>176</v>
      </c>
      <c r="D3795" s="14" t="str">
        <f>VLOOKUP(C3795,'State Key'!$A$2:$B$210,2,False)</f>
        <v>Madhya Pradesh</v>
      </c>
      <c r="E3795" s="21">
        <v>1320.0</v>
      </c>
      <c r="F3795" s="22">
        <v>0.0</v>
      </c>
      <c r="G3795" s="22">
        <v>0.0</v>
      </c>
      <c r="H3795" s="22">
        <v>480.2909</v>
      </c>
      <c r="I3795" s="22">
        <v>86.1746</v>
      </c>
      <c r="J3795" s="22">
        <v>0.0</v>
      </c>
      <c r="K3795" s="22">
        <v>0.0</v>
      </c>
      <c r="L3795" s="22">
        <v>566.4655</v>
      </c>
      <c r="M3795" s="22">
        <v>399.977</v>
      </c>
      <c r="N3795" s="22">
        <v>309.6162</v>
      </c>
      <c r="O3795" s="24">
        <v>23.2</v>
      </c>
      <c r="P3795" s="18">
        <f t="shared" si="1"/>
        <v>566.4655</v>
      </c>
    </row>
    <row r="3796" ht="15.75" customHeight="1">
      <c r="A3796" s="13" t="s">
        <v>239</v>
      </c>
      <c r="B3796" s="13" t="s">
        <v>133</v>
      </c>
      <c r="C3796" s="14" t="s">
        <v>177</v>
      </c>
      <c r="D3796" s="14" t="str">
        <f>VLOOKUP(C3796,'State Key'!$A$2:$B$210,2,False)</f>
        <v>Madhya Pradesh</v>
      </c>
      <c r="E3796" s="15">
        <v>90.0</v>
      </c>
      <c r="F3796" s="16">
        <v>18.373</v>
      </c>
      <c r="G3796" s="16">
        <v>0.0</v>
      </c>
      <c r="H3796" s="16">
        <v>0.0</v>
      </c>
      <c r="I3796" s="16">
        <v>0.0</v>
      </c>
      <c r="J3796" s="16">
        <v>0.0</v>
      </c>
      <c r="K3796" s="16">
        <v>16.737</v>
      </c>
      <c r="L3796" s="16">
        <v>35.11</v>
      </c>
      <c r="M3796" s="16">
        <v>26.014</v>
      </c>
      <c r="N3796" s="16">
        <v>78.93</v>
      </c>
      <c r="O3796" s="24">
        <v>91.0</v>
      </c>
      <c r="P3796" s="18">
        <f t="shared" si="1"/>
        <v>35.11</v>
      </c>
    </row>
    <row r="3797" ht="15.75" customHeight="1">
      <c r="A3797" s="19" t="s">
        <v>239</v>
      </c>
      <c r="B3797" s="19" t="s">
        <v>133</v>
      </c>
      <c r="C3797" s="20" t="s">
        <v>178</v>
      </c>
      <c r="D3797" s="14" t="str">
        <f>VLOOKUP(C3797,'State Key'!$A$2:$B$210,2,False)</f>
        <v>Chhattisgarh</v>
      </c>
      <c r="E3797" s="21">
        <v>1000.0</v>
      </c>
      <c r="F3797" s="22">
        <v>25.722</v>
      </c>
      <c r="G3797" s="22">
        <v>0.0</v>
      </c>
      <c r="H3797" s="22">
        <v>381.896</v>
      </c>
      <c r="I3797" s="22">
        <v>0.0</v>
      </c>
      <c r="J3797" s="22">
        <v>0.0</v>
      </c>
      <c r="K3797" s="22">
        <v>0.0</v>
      </c>
      <c r="L3797" s="22">
        <v>407.618</v>
      </c>
      <c r="M3797" s="22">
        <v>474.815</v>
      </c>
      <c r="N3797" s="22">
        <v>448.811</v>
      </c>
      <c r="O3797" s="24">
        <v>28.4</v>
      </c>
      <c r="P3797" s="18">
        <f t="shared" si="1"/>
        <v>407.618</v>
      </c>
    </row>
    <row r="3798" ht="15.75" customHeight="1">
      <c r="A3798" s="13" t="s">
        <v>239</v>
      </c>
      <c r="B3798" s="13" t="s">
        <v>133</v>
      </c>
      <c r="C3798" s="14" t="s">
        <v>179</v>
      </c>
      <c r="D3798" s="14" t="str">
        <f>VLOOKUP(C3798,'State Key'!$A$2:$B$210,2,False)</f>
        <v>Maharashtra</v>
      </c>
      <c r="E3798" s="15">
        <v>500.0</v>
      </c>
      <c r="F3798" s="16">
        <v>187.363</v>
      </c>
      <c r="G3798" s="16">
        <v>0.0</v>
      </c>
      <c r="H3798" s="16">
        <v>0.0</v>
      </c>
      <c r="I3798" s="16">
        <v>0.0</v>
      </c>
      <c r="J3798" s="16">
        <v>0.0</v>
      </c>
      <c r="K3798" s="16">
        <v>0.0</v>
      </c>
      <c r="L3798" s="16">
        <v>187.363</v>
      </c>
      <c r="M3798" s="16">
        <v>172.925</v>
      </c>
      <c r="N3798" s="16">
        <v>100.0</v>
      </c>
      <c r="O3798" s="24">
        <v>17.3</v>
      </c>
      <c r="P3798" s="18">
        <f t="shared" si="1"/>
        <v>187.363</v>
      </c>
    </row>
    <row r="3799" ht="15.75" customHeight="1">
      <c r="A3799" s="19" t="s">
        <v>239</v>
      </c>
      <c r="B3799" s="19" t="s">
        <v>133</v>
      </c>
      <c r="C3799" s="20" t="s">
        <v>180</v>
      </c>
      <c r="D3799" s="14" t="str">
        <f>VLOOKUP(C3799,'State Key'!$A$2:$B$210,2,False)</f>
        <v>Maharashtra</v>
      </c>
      <c r="E3799" s="21">
        <v>750.0</v>
      </c>
      <c r="F3799" s="22">
        <v>100.115</v>
      </c>
      <c r="G3799" s="22">
        <v>162.306</v>
      </c>
      <c r="H3799" s="22">
        <v>0.0</v>
      </c>
      <c r="I3799" s="22">
        <v>0.0</v>
      </c>
      <c r="J3799" s="22">
        <v>0.0</v>
      </c>
      <c r="K3799" s="22">
        <v>0.0</v>
      </c>
      <c r="L3799" s="22">
        <v>262.421</v>
      </c>
      <c r="M3799" s="22">
        <v>310.569</v>
      </c>
      <c r="N3799" s="22">
        <v>142.1</v>
      </c>
      <c r="O3799" s="23">
        <v>13.7</v>
      </c>
      <c r="P3799" s="18">
        <f t="shared" si="1"/>
        <v>262.421</v>
      </c>
    </row>
    <row r="3800" ht="15.75" customHeight="1">
      <c r="A3800" s="13" t="s">
        <v>239</v>
      </c>
      <c r="B3800" s="13" t="s">
        <v>133</v>
      </c>
      <c r="C3800" s="14" t="s">
        <v>181</v>
      </c>
      <c r="D3800" s="14" t="str">
        <f>VLOOKUP(C3800,'State Key'!$A$2:$B$210,2,False)</f>
        <v>Chhattisgarh</v>
      </c>
      <c r="E3800" s="15">
        <v>600.0</v>
      </c>
      <c r="F3800" s="16">
        <v>271.799</v>
      </c>
      <c r="G3800" s="16">
        <v>0.0</v>
      </c>
      <c r="H3800" s="16">
        <v>0.0</v>
      </c>
      <c r="I3800" s="16">
        <v>0.0</v>
      </c>
      <c r="J3800" s="16">
        <v>0.0</v>
      </c>
      <c r="K3800" s="16">
        <v>0.0</v>
      </c>
      <c r="L3800" s="16">
        <v>271.799</v>
      </c>
      <c r="M3800" s="16">
        <v>278.623</v>
      </c>
      <c r="N3800" s="16">
        <v>161.29</v>
      </c>
      <c r="O3800" s="24">
        <v>17.4</v>
      </c>
      <c r="P3800" s="18">
        <f t="shared" si="1"/>
        <v>271.799</v>
      </c>
    </row>
    <row r="3801" ht="15.75" customHeight="1">
      <c r="A3801" s="19" t="s">
        <v>239</v>
      </c>
      <c r="B3801" s="19" t="s">
        <v>133</v>
      </c>
      <c r="C3801" s="20" t="s">
        <v>183</v>
      </c>
      <c r="D3801" s="14" t="str">
        <f>VLOOKUP(C3801,'State Key'!$A$2:$B$210,2,False)</f>
        <v>Chhattisgarh</v>
      </c>
      <c r="E3801" s="21">
        <v>100.0</v>
      </c>
      <c r="F3801" s="22">
        <v>7.3</v>
      </c>
      <c r="G3801" s="22">
        <v>0.0</v>
      </c>
      <c r="H3801" s="22">
        <v>0.0</v>
      </c>
      <c r="I3801" s="22">
        <v>0.0</v>
      </c>
      <c r="J3801" s="22">
        <v>0.0</v>
      </c>
      <c r="K3801" s="22">
        <v>50.182</v>
      </c>
      <c r="L3801" s="22">
        <v>57.482</v>
      </c>
      <c r="M3801" s="22">
        <v>67.966</v>
      </c>
      <c r="N3801" s="22">
        <v>21.26</v>
      </c>
      <c r="O3801" s="23">
        <v>9.4</v>
      </c>
      <c r="P3801" s="18">
        <f t="shared" si="1"/>
        <v>57.482</v>
      </c>
    </row>
    <row r="3802" ht="15.75" customHeight="1">
      <c r="A3802" s="13" t="s">
        <v>239</v>
      </c>
      <c r="B3802" s="13" t="s">
        <v>133</v>
      </c>
      <c r="C3802" s="14" t="s">
        <v>184</v>
      </c>
      <c r="D3802" s="14" t="str">
        <f>VLOOKUP(C3802,'State Key'!$A$2:$B$210,2,False)</f>
        <v>Gujarat</v>
      </c>
      <c r="E3802" s="15">
        <v>362.0</v>
      </c>
      <c r="F3802" s="16">
        <v>110.986</v>
      </c>
      <c r="G3802" s="16">
        <v>0.0</v>
      </c>
      <c r="H3802" s="16">
        <v>0.0</v>
      </c>
      <c r="I3802" s="16">
        <v>0.0</v>
      </c>
      <c r="J3802" s="16">
        <v>39.905</v>
      </c>
      <c r="K3802" s="16">
        <v>0.0</v>
      </c>
      <c r="L3802" s="16">
        <v>150.891</v>
      </c>
      <c r="M3802" s="16">
        <v>94.277</v>
      </c>
      <c r="N3802" s="16">
        <v>111.0901</v>
      </c>
      <c r="O3802" s="24">
        <v>35.4</v>
      </c>
      <c r="P3802" s="18">
        <f t="shared" si="1"/>
        <v>150.891</v>
      </c>
    </row>
    <row r="3803" ht="15.75" customHeight="1">
      <c r="A3803" s="19" t="s">
        <v>239</v>
      </c>
      <c r="B3803" s="19" t="s">
        <v>133</v>
      </c>
      <c r="C3803" s="20" t="s">
        <v>185</v>
      </c>
      <c r="D3803" s="14" t="str">
        <f>VLOOKUP(C3803,'State Key'!$A$2:$B$210,2,False)</f>
        <v>Gujarat</v>
      </c>
      <c r="E3803" s="21">
        <v>1200.0</v>
      </c>
      <c r="F3803" s="22">
        <v>0.0</v>
      </c>
      <c r="G3803" s="22">
        <v>0.0</v>
      </c>
      <c r="H3803" s="22">
        <v>0.0</v>
      </c>
      <c r="I3803" s="22">
        <v>0.0</v>
      </c>
      <c r="J3803" s="22">
        <v>164.999</v>
      </c>
      <c r="K3803" s="22">
        <v>0.0</v>
      </c>
      <c r="L3803" s="22">
        <v>164.999</v>
      </c>
      <c r="M3803" s="22">
        <v>206.693</v>
      </c>
      <c r="N3803" s="22">
        <v>170.12</v>
      </c>
      <c r="O3803" s="24">
        <v>24.7</v>
      </c>
      <c r="P3803" s="18">
        <f t="shared" si="1"/>
        <v>164.999</v>
      </c>
    </row>
    <row r="3804" ht="15.75" customHeight="1">
      <c r="A3804" s="13" t="s">
        <v>239</v>
      </c>
      <c r="B3804" s="13" t="s">
        <v>133</v>
      </c>
      <c r="C3804" s="14" t="s">
        <v>186</v>
      </c>
      <c r="D3804" s="14" t="str">
        <f>VLOOKUP(C3804,'State Key'!$A$2:$B$210,2,False)</f>
        <v>Chhattisgarh</v>
      </c>
      <c r="E3804" s="15">
        <v>135.0</v>
      </c>
      <c r="F3804" s="16">
        <v>0.0</v>
      </c>
      <c r="G3804" s="16">
        <v>0.0</v>
      </c>
      <c r="H3804" s="16">
        <v>0.0</v>
      </c>
      <c r="I3804" s="16">
        <v>0.0</v>
      </c>
      <c r="J3804" s="16">
        <v>0.0</v>
      </c>
      <c r="K3804" s="16">
        <v>0.0</v>
      </c>
      <c r="L3804" s="16">
        <v>0.0</v>
      </c>
      <c r="M3804" s="16">
        <v>0.0</v>
      </c>
      <c r="N3804" s="16">
        <v>0.0</v>
      </c>
      <c r="O3804" s="13" t="s">
        <v>58</v>
      </c>
      <c r="P3804" s="18">
        <f t="shared" si="1"/>
        <v>0</v>
      </c>
    </row>
    <row r="3805" ht="15.75" customHeight="1">
      <c r="A3805" s="19" t="s">
        <v>239</v>
      </c>
      <c r="B3805" s="19" t="s">
        <v>133</v>
      </c>
      <c r="C3805" s="20" t="s">
        <v>187</v>
      </c>
      <c r="D3805" s="14" t="str">
        <f>VLOOKUP(C3805,'State Key'!$A$2:$B$210,2,False)</f>
        <v>Madhya Pradesh</v>
      </c>
      <c r="E3805" s="21">
        <v>1340.0</v>
      </c>
      <c r="F3805" s="22">
        <v>442.387</v>
      </c>
      <c r="G3805" s="22">
        <v>0.0</v>
      </c>
      <c r="H3805" s="22">
        <v>0.0</v>
      </c>
      <c r="I3805" s="22">
        <v>0.0</v>
      </c>
      <c r="J3805" s="22">
        <v>0.0</v>
      </c>
      <c r="K3805" s="22">
        <v>0.0</v>
      </c>
      <c r="L3805" s="22">
        <v>442.387</v>
      </c>
      <c r="M3805" s="22">
        <v>485.077</v>
      </c>
      <c r="N3805" s="22">
        <v>177.751</v>
      </c>
      <c r="O3805" s="23">
        <v>11.0</v>
      </c>
      <c r="P3805" s="18">
        <f t="shared" si="1"/>
        <v>442.387</v>
      </c>
    </row>
    <row r="3806" ht="15.75" customHeight="1">
      <c r="A3806" s="13" t="s">
        <v>239</v>
      </c>
      <c r="B3806" s="13" t="s">
        <v>133</v>
      </c>
      <c r="C3806" s="14" t="s">
        <v>188</v>
      </c>
      <c r="D3806" s="14" t="str">
        <f>VLOOKUP(C3806,'State Key'!$A$2:$B$210,2,False)</f>
        <v>Madhya Pradesh</v>
      </c>
      <c r="E3806" s="15">
        <v>3960.0</v>
      </c>
      <c r="F3806" s="16">
        <v>0.0</v>
      </c>
      <c r="G3806" s="16">
        <v>0.0</v>
      </c>
      <c r="H3806" s="16">
        <v>1549.387</v>
      </c>
      <c r="I3806" s="16">
        <v>0.0</v>
      </c>
      <c r="J3806" s="16">
        <v>0.0</v>
      </c>
      <c r="K3806" s="16">
        <v>0.0</v>
      </c>
      <c r="L3806" s="16">
        <v>1549.387</v>
      </c>
      <c r="M3806" s="16">
        <v>1609.99</v>
      </c>
      <c r="N3806" s="16">
        <v>17.95</v>
      </c>
      <c r="O3806" s="17">
        <v>0.3</v>
      </c>
      <c r="P3806" s="18">
        <f t="shared" si="1"/>
        <v>1549.387</v>
      </c>
    </row>
    <row r="3807" ht="15.75" customHeight="1">
      <c r="A3807" s="19" t="s">
        <v>239</v>
      </c>
      <c r="B3807" s="19" t="s">
        <v>133</v>
      </c>
      <c r="C3807" s="20" t="s">
        <v>189</v>
      </c>
      <c r="D3807" s="14" t="str">
        <f>VLOOKUP(C3807,'State Key'!$A$2:$B$210,2,False)</f>
        <v>Madhya Pradesh</v>
      </c>
      <c r="E3807" s="21">
        <v>1330.0</v>
      </c>
      <c r="F3807" s="22">
        <v>273.01411</v>
      </c>
      <c r="G3807" s="22">
        <v>0.0</v>
      </c>
      <c r="H3807" s="22">
        <v>0.0</v>
      </c>
      <c r="I3807" s="22">
        <v>0.0</v>
      </c>
      <c r="J3807" s="22">
        <v>0.0</v>
      </c>
      <c r="K3807" s="22">
        <v>0.0</v>
      </c>
      <c r="L3807" s="22">
        <v>273.01411</v>
      </c>
      <c r="M3807" s="22">
        <v>204.184</v>
      </c>
      <c r="N3807" s="22">
        <v>152.42</v>
      </c>
      <c r="O3807" s="24">
        <v>22.4</v>
      </c>
      <c r="P3807" s="18">
        <f t="shared" si="1"/>
        <v>273.01411</v>
      </c>
    </row>
    <row r="3808" ht="15.75" customHeight="1">
      <c r="A3808" s="13" t="s">
        <v>239</v>
      </c>
      <c r="B3808" s="13" t="s">
        <v>133</v>
      </c>
      <c r="C3808" s="14" t="s">
        <v>190</v>
      </c>
      <c r="D3808" s="14" t="str">
        <f>VLOOKUP(C3808,'State Key'!$A$2:$B$210,2,False)</f>
        <v>Madhya Pradesh</v>
      </c>
      <c r="E3808" s="15">
        <v>600.0</v>
      </c>
      <c r="F3808" s="16">
        <v>201.703</v>
      </c>
      <c r="G3808" s="16">
        <v>0.0</v>
      </c>
      <c r="H3808" s="16">
        <v>0.0</v>
      </c>
      <c r="I3808" s="16">
        <v>163.587</v>
      </c>
      <c r="J3808" s="16">
        <v>0.0</v>
      </c>
      <c r="K3808" s="16">
        <v>0.0</v>
      </c>
      <c r="L3808" s="16">
        <v>365.29</v>
      </c>
      <c r="M3808" s="16">
        <v>291.568</v>
      </c>
      <c r="N3808" s="16">
        <v>184.63</v>
      </c>
      <c r="O3808" s="24">
        <v>19.0</v>
      </c>
      <c r="P3808" s="18">
        <f t="shared" si="1"/>
        <v>365.29</v>
      </c>
    </row>
    <row r="3809" ht="15.75" customHeight="1">
      <c r="A3809" s="19" t="s">
        <v>239</v>
      </c>
      <c r="B3809" s="19" t="s">
        <v>133</v>
      </c>
      <c r="C3809" s="20" t="s">
        <v>191</v>
      </c>
      <c r="D3809" s="14" t="str">
        <f>VLOOKUP(C3809,'State Key'!$A$2:$B$210,2,False)</f>
        <v>Maharashtra</v>
      </c>
      <c r="E3809" s="21">
        <v>300.0</v>
      </c>
      <c r="F3809" s="22">
        <v>0.0</v>
      </c>
      <c r="G3809" s="22">
        <v>0.0</v>
      </c>
      <c r="H3809" s="22">
        <v>0.0</v>
      </c>
      <c r="I3809" s="22">
        <v>0.0</v>
      </c>
      <c r="J3809" s="22">
        <v>0.0</v>
      </c>
      <c r="K3809" s="22">
        <v>50.668</v>
      </c>
      <c r="L3809" s="22">
        <v>50.668</v>
      </c>
      <c r="M3809" s="22">
        <v>51.373</v>
      </c>
      <c r="N3809" s="22">
        <v>29.3</v>
      </c>
      <c r="O3809" s="24">
        <v>17.1</v>
      </c>
      <c r="P3809" s="18">
        <f t="shared" si="1"/>
        <v>50.668</v>
      </c>
    </row>
    <row r="3810" ht="15.75" customHeight="1">
      <c r="A3810" s="13" t="s">
        <v>239</v>
      </c>
      <c r="B3810" s="13" t="s">
        <v>133</v>
      </c>
      <c r="C3810" s="14" t="s">
        <v>192</v>
      </c>
      <c r="D3810" s="14" t="str">
        <f>VLOOKUP(C3810,'State Key'!$A$2:$B$210,2,False)</f>
        <v>Madhya Pradesh</v>
      </c>
      <c r="E3810" s="15">
        <v>2520.0</v>
      </c>
      <c r="F3810" s="16">
        <v>971.164</v>
      </c>
      <c r="G3810" s="16">
        <v>0.0</v>
      </c>
      <c r="H3810" s="16">
        <v>0.0</v>
      </c>
      <c r="I3810" s="16">
        <v>0.0</v>
      </c>
      <c r="J3810" s="16">
        <v>0.0</v>
      </c>
      <c r="K3810" s="16">
        <v>0.0</v>
      </c>
      <c r="L3810" s="16">
        <v>971.164</v>
      </c>
      <c r="M3810" s="16">
        <v>940.847</v>
      </c>
      <c r="N3810" s="16">
        <v>368.48</v>
      </c>
      <c r="O3810" s="23">
        <v>11.7</v>
      </c>
      <c r="P3810" s="18">
        <f t="shared" si="1"/>
        <v>971.164</v>
      </c>
    </row>
    <row r="3811" ht="15.75" customHeight="1">
      <c r="A3811" s="19" t="s">
        <v>239</v>
      </c>
      <c r="B3811" s="19" t="s">
        <v>133</v>
      </c>
      <c r="C3811" s="20" t="s">
        <v>193</v>
      </c>
      <c r="D3811" s="14" t="str">
        <f>VLOOKUP(C3811,'State Key'!$A$2:$B$210,2,False)</f>
        <v>Gujarat</v>
      </c>
      <c r="E3811" s="21">
        <v>500.0</v>
      </c>
      <c r="F3811" s="22">
        <v>0.0</v>
      </c>
      <c r="G3811" s="22">
        <v>0.0</v>
      </c>
      <c r="H3811" s="22">
        <v>0.0</v>
      </c>
      <c r="I3811" s="22">
        <v>0.0</v>
      </c>
      <c r="J3811" s="22">
        <v>12.2785</v>
      </c>
      <c r="K3811" s="22">
        <v>0.0</v>
      </c>
      <c r="L3811" s="22">
        <v>12.2785</v>
      </c>
      <c r="M3811" s="22">
        <v>0.0</v>
      </c>
      <c r="N3811" s="22">
        <v>122.0</v>
      </c>
      <c r="O3811" s="19" t="s">
        <v>58</v>
      </c>
      <c r="P3811" s="18">
        <f t="shared" si="1"/>
        <v>12.2785</v>
      </c>
    </row>
    <row r="3812" ht="15.75" customHeight="1">
      <c r="A3812" s="13" t="s">
        <v>239</v>
      </c>
      <c r="B3812" s="13" t="s">
        <v>133</v>
      </c>
      <c r="C3812" s="14" t="s">
        <v>194</v>
      </c>
      <c r="D3812" s="14" t="str">
        <f>VLOOKUP(C3812,'State Key'!$A$2:$B$210,2,False)</f>
        <v>Chhattisgarh</v>
      </c>
      <c r="E3812" s="15">
        <v>2980.0</v>
      </c>
      <c r="F3812" s="16">
        <v>1519.46</v>
      </c>
      <c r="G3812" s="16">
        <v>0.0</v>
      </c>
      <c r="H3812" s="16">
        <v>76.74</v>
      </c>
      <c r="I3812" s="16">
        <v>0.0</v>
      </c>
      <c r="J3812" s="16">
        <v>0.0</v>
      </c>
      <c r="K3812" s="16">
        <v>4.13</v>
      </c>
      <c r="L3812" s="16">
        <v>1600.33</v>
      </c>
      <c r="M3812" s="16">
        <v>1405.118</v>
      </c>
      <c r="N3812" s="16">
        <v>392.42</v>
      </c>
      <c r="O3812" s="23">
        <v>8.4</v>
      </c>
      <c r="P3812" s="18">
        <f t="shared" si="1"/>
        <v>1600.33</v>
      </c>
    </row>
    <row r="3813" ht="15.75" customHeight="1">
      <c r="A3813" s="19" t="s">
        <v>239</v>
      </c>
      <c r="B3813" s="19" t="s">
        <v>133</v>
      </c>
      <c r="C3813" s="20" t="s">
        <v>195</v>
      </c>
      <c r="D3813" s="14" t="str">
        <f>VLOOKUP(C3813,'State Key'!$A$2:$B$210,2,False)</f>
        <v>Maharashtra</v>
      </c>
      <c r="E3813" s="21">
        <v>1320.0</v>
      </c>
      <c r="F3813" s="22">
        <v>201.09</v>
      </c>
      <c r="G3813" s="22">
        <v>40.39</v>
      </c>
      <c r="H3813" s="22">
        <v>177.22</v>
      </c>
      <c r="I3813" s="22">
        <v>0.0</v>
      </c>
      <c r="J3813" s="22">
        <v>0.0</v>
      </c>
      <c r="K3813" s="22">
        <v>23.39</v>
      </c>
      <c r="L3813" s="22">
        <v>442.09</v>
      </c>
      <c r="M3813" s="22">
        <v>444.691</v>
      </c>
      <c r="N3813" s="22">
        <v>143.92</v>
      </c>
      <c r="O3813" s="23">
        <v>9.7</v>
      </c>
      <c r="P3813" s="18">
        <f t="shared" si="1"/>
        <v>442.09</v>
      </c>
    </row>
    <row r="3814" ht="15.75" customHeight="1">
      <c r="A3814" s="13" t="s">
        <v>239</v>
      </c>
      <c r="B3814" s="13" t="s">
        <v>133</v>
      </c>
      <c r="C3814" s="14" t="s">
        <v>196</v>
      </c>
      <c r="D3814" s="14" t="str">
        <f>VLOOKUP(C3814,'State Key'!$A$2:$B$210,2,False)</f>
        <v>Chhattisgarh</v>
      </c>
      <c r="E3814" s="15">
        <v>63.0</v>
      </c>
      <c r="F3814" s="16">
        <v>10.0</v>
      </c>
      <c r="G3814" s="16">
        <v>0.0</v>
      </c>
      <c r="H3814" s="16">
        <v>0.0</v>
      </c>
      <c r="I3814" s="16">
        <v>0.0</v>
      </c>
      <c r="J3814" s="16">
        <v>0.0</v>
      </c>
      <c r="K3814" s="16">
        <v>65.9</v>
      </c>
      <c r="L3814" s="16">
        <v>75.9</v>
      </c>
      <c r="M3814" s="16">
        <v>63.24</v>
      </c>
      <c r="N3814" s="16">
        <v>26.72</v>
      </c>
      <c r="O3814" s="23">
        <v>12.7</v>
      </c>
      <c r="P3814" s="18">
        <f t="shared" si="1"/>
        <v>75.9</v>
      </c>
    </row>
    <row r="3815" ht="15.75" customHeight="1">
      <c r="A3815" s="19" t="s">
        <v>239</v>
      </c>
      <c r="B3815" s="19" t="s">
        <v>133</v>
      </c>
      <c r="C3815" s="20" t="s">
        <v>197</v>
      </c>
      <c r="D3815" s="14" t="str">
        <f>VLOOKUP(C3815,'State Key'!$A$2:$B$210,2,False)</f>
        <v>Chhattisgarh</v>
      </c>
      <c r="E3815" s="21">
        <v>25.0</v>
      </c>
      <c r="F3815" s="22">
        <v>0.0</v>
      </c>
      <c r="G3815" s="22">
        <v>0.0</v>
      </c>
      <c r="H3815" s="22">
        <v>0.0</v>
      </c>
      <c r="I3815" s="22">
        <v>0.0</v>
      </c>
      <c r="J3815" s="22">
        <v>0.0</v>
      </c>
      <c r="K3815" s="22">
        <v>0.0</v>
      </c>
      <c r="L3815" s="22">
        <v>0.0</v>
      </c>
      <c r="M3815" s="22">
        <v>0.0</v>
      </c>
      <c r="N3815" s="22">
        <v>0.0</v>
      </c>
      <c r="O3815" s="19" t="s">
        <v>58</v>
      </c>
      <c r="P3815" s="18">
        <f t="shared" si="1"/>
        <v>0</v>
      </c>
    </row>
    <row r="3816" ht="15.75" customHeight="1">
      <c r="A3816" s="13" t="s">
        <v>239</v>
      </c>
      <c r="B3816" s="13" t="s">
        <v>133</v>
      </c>
      <c r="C3816" s="14" t="s">
        <v>198</v>
      </c>
      <c r="D3816" s="14" t="str">
        <f>VLOOKUP(C3816,'State Key'!$A$2:$B$210,2,False)</f>
        <v>Chhattisgarh</v>
      </c>
      <c r="E3816" s="15">
        <v>2400.0</v>
      </c>
      <c r="F3816" s="16">
        <v>323.731</v>
      </c>
      <c r="G3816" s="16">
        <v>0.0</v>
      </c>
      <c r="H3816" s="16">
        <v>986.4</v>
      </c>
      <c r="I3816" s="16">
        <v>0.0</v>
      </c>
      <c r="J3816" s="16">
        <v>0.0</v>
      </c>
      <c r="K3816" s="16">
        <v>0.0</v>
      </c>
      <c r="L3816" s="16">
        <v>1310.131</v>
      </c>
      <c r="M3816" s="16">
        <v>1286.399</v>
      </c>
      <c r="N3816" s="16">
        <v>280.05</v>
      </c>
      <c r="O3816" s="17">
        <v>6.5</v>
      </c>
      <c r="P3816" s="18">
        <f t="shared" si="1"/>
        <v>1310.131</v>
      </c>
    </row>
    <row r="3817" ht="15.75" customHeight="1">
      <c r="A3817" s="19" t="s">
        <v>239</v>
      </c>
      <c r="B3817" s="19" t="s">
        <v>133</v>
      </c>
      <c r="C3817" s="20" t="s">
        <v>200</v>
      </c>
      <c r="D3817" s="14" t="str">
        <f>VLOOKUP(C3817,'State Key'!$A$2:$B$210,2,False)</f>
        <v>Maharashtra</v>
      </c>
      <c r="E3817" s="21">
        <v>750.0</v>
      </c>
      <c r="F3817" s="22">
        <v>0.0</v>
      </c>
      <c r="G3817" s="22">
        <v>0.0</v>
      </c>
      <c r="H3817" s="22">
        <v>0.0</v>
      </c>
      <c r="I3817" s="22">
        <v>0.0</v>
      </c>
      <c r="J3817" s="22">
        <v>0.0</v>
      </c>
      <c r="K3817" s="22">
        <v>0.0</v>
      </c>
      <c r="L3817" s="22">
        <v>0.0</v>
      </c>
      <c r="M3817" s="22">
        <v>64.0</v>
      </c>
      <c r="N3817" s="22">
        <v>170.0</v>
      </c>
      <c r="O3817" s="24">
        <v>79.7</v>
      </c>
      <c r="P3817" s="18">
        <f t="shared" si="1"/>
        <v>0</v>
      </c>
    </row>
    <row r="3818" ht="15.75" customHeight="1">
      <c r="A3818" s="13" t="s">
        <v>239</v>
      </c>
      <c r="B3818" s="13" t="s">
        <v>133</v>
      </c>
      <c r="C3818" s="14" t="s">
        <v>201</v>
      </c>
      <c r="D3818" s="14" t="str">
        <f>VLOOKUP(C3818,'State Key'!$A$2:$B$210,2,False)</f>
        <v>Chhattisgarh</v>
      </c>
      <c r="E3818" s="15">
        <v>1440.0</v>
      </c>
      <c r="F3818" s="16">
        <v>446.25</v>
      </c>
      <c r="G3818" s="16">
        <v>0.0</v>
      </c>
      <c r="H3818" s="16">
        <v>0.0</v>
      </c>
      <c r="I3818" s="16">
        <v>108.852</v>
      </c>
      <c r="J3818" s="16">
        <v>0.0</v>
      </c>
      <c r="K3818" s="16">
        <v>40.82</v>
      </c>
      <c r="L3818" s="16">
        <v>595.922</v>
      </c>
      <c r="M3818" s="16">
        <v>410.09</v>
      </c>
      <c r="N3818" s="16">
        <v>718.52</v>
      </c>
      <c r="O3818" s="24">
        <v>52.6</v>
      </c>
      <c r="P3818" s="18">
        <f t="shared" si="1"/>
        <v>595.922</v>
      </c>
    </row>
    <row r="3819" ht="15.75" customHeight="1">
      <c r="A3819" s="19" t="s">
        <v>239</v>
      </c>
      <c r="B3819" s="19" t="s">
        <v>133</v>
      </c>
      <c r="C3819" s="20" t="s">
        <v>202</v>
      </c>
      <c r="D3819" s="14" t="str">
        <f>VLOOKUP(C3819,'State Key'!$A$2:$B$210,2,False)</f>
        <v>Gujarat</v>
      </c>
      <c r="E3819" s="21">
        <v>1110.0</v>
      </c>
      <c r="F3819" s="22">
        <v>253.06491</v>
      </c>
      <c r="G3819" s="22">
        <v>0.0</v>
      </c>
      <c r="H3819" s="22">
        <v>0.0</v>
      </c>
      <c r="I3819" s="22">
        <v>0.0</v>
      </c>
      <c r="J3819" s="22">
        <v>0.0</v>
      </c>
      <c r="K3819" s="22">
        <v>0.0</v>
      </c>
      <c r="L3819" s="22">
        <v>253.06491</v>
      </c>
      <c r="M3819" s="22">
        <v>277.895</v>
      </c>
      <c r="N3819" s="22">
        <v>286.73</v>
      </c>
      <c r="O3819" s="24">
        <v>31.0</v>
      </c>
      <c r="P3819" s="18">
        <f t="shared" si="1"/>
        <v>253.06491</v>
      </c>
    </row>
    <row r="3820" ht="15.75" customHeight="1">
      <c r="A3820" s="13" t="s">
        <v>239</v>
      </c>
      <c r="B3820" s="13" t="s">
        <v>133</v>
      </c>
      <c r="C3820" s="14" t="s">
        <v>203</v>
      </c>
      <c r="D3820" s="14" t="str">
        <f>VLOOKUP(C3820,'State Key'!$A$2:$B$210,2,False)</f>
        <v>Madhya Pradesh</v>
      </c>
      <c r="E3820" s="15">
        <v>4760.0</v>
      </c>
      <c r="F3820" s="16">
        <v>2065.8</v>
      </c>
      <c r="G3820" s="16">
        <v>0.0</v>
      </c>
      <c r="H3820" s="16">
        <v>30.81</v>
      </c>
      <c r="I3820" s="16">
        <v>0.0</v>
      </c>
      <c r="J3820" s="16">
        <v>0.0</v>
      </c>
      <c r="K3820" s="16">
        <v>0.0</v>
      </c>
      <c r="L3820" s="16">
        <v>2096.61</v>
      </c>
      <c r="M3820" s="16">
        <v>1926.585</v>
      </c>
      <c r="N3820" s="16">
        <v>1177.463</v>
      </c>
      <c r="O3820" s="24">
        <v>18.3</v>
      </c>
      <c r="P3820" s="18">
        <f t="shared" si="1"/>
        <v>2096.61</v>
      </c>
    </row>
    <row r="3821" ht="15.75" customHeight="1">
      <c r="A3821" s="19" t="s">
        <v>239</v>
      </c>
      <c r="B3821" s="19" t="s">
        <v>133</v>
      </c>
      <c r="C3821" s="20" t="s">
        <v>204</v>
      </c>
      <c r="D3821" s="14" t="str">
        <f>VLOOKUP(C3821,'State Key'!$A$2:$B$210,2,False)</f>
        <v>Gujarat</v>
      </c>
      <c r="E3821" s="21">
        <v>2270.0</v>
      </c>
      <c r="F3821" s="22">
        <v>407.09066</v>
      </c>
      <c r="G3821" s="22">
        <v>0.0</v>
      </c>
      <c r="H3821" s="22">
        <v>0.0</v>
      </c>
      <c r="I3821" s="22">
        <v>0.0</v>
      </c>
      <c r="J3821" s="22">
        <v>0.0</v>
      </c>
      <c r="K3821" s="22">
        <v>0.0</v>
      </c>
      <c r="L3821" s="22">
        <v>407.09066</v>
      </c>
      <c r="M3821" s="22">
        <v>309.899</v>
      </c>
      <c r="N3821" s="22">
        <v>685.57</v>
      </c>
      <c r="O3821" s="24">
        <v>66.4</v>
      </c>
      <c r="P3821" s="18">
        <f t="shared" si="1"/>
        <v>407.09066</v>
      </c>
    </row>
    <row r="3822" ht="15.75" customHeight="1">
      <c r="A3822" s="13" t="s">
        <v>239</v>
      </c>
      <c r="B3822" s="13" t="s">
        <v>133</v>
      </c>
      <c r="C3822" s="14" t="s">
        <v>205</v>
      </c>
      <c r="D3822" s="14" t="str">
        <f>VLOOKUP(C3822,'State Key'!$A$2:$B$210,2,False)</f>
        <v>Maharashtra</v>
      </c>
      <c r="E3822" s="15">
        <v>540.0</v>
      </c>
      <c r="F3822" s="16">
        <v>261.09</v>
      </c>
      <c r="G3822" s="16">
        <v>0.0</v>
      </c>
      <c r="H3822" s="16">
        <v>0.0</v>
      </c>
      <c r="I3822" s="16">
        <v>0.0</v>
      </c>
      <c r="J3822" s="16">
        <v>0.0</v>
      </c>
      <c r="K3822" s="16">
        <v>1.13</v>
      </c>
      <c r="L3822" s="16">
        <v>262.22</v>
      </c>
      <c r="M3822" s="16">
        <v>180.911</v>
      </c>
      <c r="N3822" s="16">
        <v>236.66</v>
      </c>
      <c r="O3822" s="24">
        <v>39.2</v>
      </c>
      <c r="P3822" s="18">
        <f t="shared" si="1"/>
        <v>262.22</v>
      </c>
    </row>
    <row r="3823" ht="15.75" customHeight="1">
      <c r="A3823" s="19" t="s">
        <v>240</v>
      </c>
      <c r="B3823" s="19" t="s">
        <v>22</v>
      </c>
      <c r="C3823" s="20" t="s">
        <v>23</v>
      </c>
      <c r="D3823" s="14" t="str">
        <f>VLOOKUP(C3823,'State Key'!$A$2:$B$210,2,False)</f>
        <v>West Bengal</v>
      </c>
      <c r="E3823" s="21">
        <v>1050.0</v>
      </c>
      <c r="F3823" s="22">
        <v>0.0</v>
      </c>
      <c r="G3823" s="22">
        <v>0.0</v>
      </c>
      <c r="H3823" s="22">
        <v>486.857</v>
      </c>
      <c r="I3823" s="22">
        <v>0.0</v>
      </c>
      <c r="J3823" s="22">
        <v>0.0</v>
      </c>
      <c r="K3823" s="22">
        <v>0.0</v>
      </c>
      <c r="L3823" s="22">
        <v>486.857</v>
      </c>
      <c r="M3823" s="22">
        <v>477.705</v>
      </c>
      <c r="N3823" s="22">
        <v>32.775</v>
      </c>
      <c r="O3823" s="17">
        <v>2.1</v>
      </c>
      <c r="P3823" s="18">
        <f t="shared" si="1"/>
        <v>486.857</v>
      </c>
    </row>
    <row r="3824" ht="15.75" customHeight="1">
      <c r="A3824" s="13" t="s">
        <v>240</v>
      </c>
      <c r="B3824" s="13" t="s">
        <v>22</v>
      </c>
      <c r="C3824" s="14" t="s">
        <v>24</v>
      </c>
      <c r="D3824" s="14" t="str">
        <f>VLOOKUP(C3824,'State Key'!$A$2:$B$210,2,False)</f>
        <v>West Bengal</v>
      </c>
      <c r="E3824" s="15">
        <v>270.0</v>
      </c>
      <c r="F3824" s="16">
        <v>0.0</v>
      </c>
      <c r="G3824" s="16">
        <v>0.0</v>
      </c>
      <c r="H3824" s="16">
        <v>110.438</v>
      </c>
      <c r="I3824" s="16">
        <v>0.0</v>
      </c>
      <c r="J3824" s="16">
        <v>0.0</v>
      </c>
      <c r="K3824" s="16">
        <v>0.0</v>
      </c>
      <c r="L3824" s="16">
        <v>110.438</v>
      </c>
      <c r="M3824" s="16">
        <v>116.732</v>
      </c>
      <c r="N3824" s="16">
        <v>16.86</v>
      </c>
      <c r="O3824" s="17">
        <v>4.3</v>
      </c>
      <c r="P3824" s="18">
        <f t="shared" si="1"/>
        <v>110.438</v>
      </c>
    </row>
    <row r="3825" ht="15.75" customHeight="1">
      <c r="A3825" s="19" t="s">
        <v>240</v>
      </c>
      <c r="B3825" s="19" t="s">
        <v>22</v>
      </c>
      <c r="C3825" s="20" t="s">
        <v>25</v>
      </c>
      <c r="D3825" s="14" t="str">
        <f>VLOOKUP(C3825,'State Key'!$A$2:$B$210,2,False)</f>
        <v>Bihar</v>
      </c>
      <c r="E3825" s="21">
        <v>710.0</v>
      </c>
      <c r="F3825" s="22">
        <v>84.25</v>
      </c>
      <c r="G3825" s="22">
        <v>0.0</v>
      </c>
      <c r="H3825" s="22">
        <v>103.91</v>
      </c>
      <c r="I3825" s="22">
        <v>0.0</v>
      </c>
      <c r="J3825" s="22">
        <v>0.0</v>
      </c>
      <c r="K3825" s="22">
        <v>108.32</v>
      </c>
      <c r="L3825" s="22">
        <v>296.48</v>
      </c>
      <c r="M3825" s="22">
        <v>228.59</v>
      </c>
      <c r="N3825" s="22">
        <v>182.16</v>
      </c>
      <c r="O3825" s="24">
        <v>23.9</v>
      </c>
      <c r="P3825" s="18">
        <f t="shared" si="1"/>
        <v>296.48</v>
      </c>
    </row>
    <row r="3826" ht="15.75" customHeight="1">
      <c r="A3826" s="13" t="s">
        <v>240</v>
      </c>
      <c r="B3826" s="13" t="s">
        <v>22</v>
      </c>
      <c r="C3826" s="14" t="s">
        <v>26</v>
      </c>
      <c r="D3826" s="14" t="str">
        <f>VLOOKUP(C3826,'State Key'!$A$2:$B$210,2,False)</f>
        <v>Bihar</v>
      </c>
      <c r="E3826" s="15">
        <v>2640.0</v>
      </c>
      <c r="F3826" s="16">
        <v>546.09</v>
      </c>
      <c r="G3826" s="16">
        <v>0.0</v>
      </c>
      <c r="H3826" s="16">
        <v>437.52</v>
      </c>
      <c r="I3826" s="16">
        <v>0.0</v>
      </c>
      <c r="J3826" s="16">
        <v>0.0</v>
      </c>
      <c r="K3826" s="16">
        <v>88.62</v>
      </c>
      <c r="L3826" s="16">
        <v>1072.23</v>
      </c>
      <c r="M3826" s="16">
        <v>719.199</v>
      </c>
      <c r="N3826" s="16">
        <v>808.49</v>
      </c>
      <c r="O3826" s="24">
        <v>33.7</v>
      </c>
      <c r="P3826" s="18">
        <f t="shared" si="1"/>
        <v>1072.23</v>
      </c>
    </row>
    <row r="3827" ht="15.75" customHeight="1">
      <c r="A3827" s="19" t="s">
        <v>240</v>
      </c>
      <c r="B3827" s="19" t="s">
        <v>22</v>
      </c>
      <c r="C3827" s="20" t="s">
        <v>27</v>
      </c>
      <c r="D3827" s="14" t="str">
        <f>VLOOKUP(C3827,'State Key'!$A$2:$B$210,2,False)</f>
        <v>Jharkhand</v>
      </c>
      <c r="E3827" s="21">
        <v>500.0</v>
      </c>
      <c r="F3827" s="22">
        <v>123.994</v>
      </c>
      <c r="G3827" s="22">
        <v>0.0</v>
      </c>
      <c r="H3827" s="22">
        <v>3.568</v>
      </c>
      <c r="I3827" s="22">
        <v>0.0</v>
      </c>
      <c r="J3827" s="22">
        <v>0.0</v>
      </c>
      <c r="K3827" s="22">
        <v>0.0</v>
      </c>
      <c r="L3827" s="22">
        <v>127.562</v>
      </c>
      <c r="M3827" s="22">
        <v>173.882</v>
      </c>
      <c r="N3827" s="22">
        <v>181.4</v>
      </c>
      <c r="O3827" s="24">
        <v>31.3</v>
      </c>
      <c r="P3827" s="18">
        <f t="shared" si="1"/>
        <v>127.562</v>
      </c>
    </row>
    <row r="3828" ht="15.75" customHeight="1">
      <c r="A3828" s="13" t="s">
        <v>240</v>
      </c>
      <c r="B3828" s="13" t="s">
        <v>22</v>
      </c>
      <c r="C3828" s="14" t="s">
        <v>28</v>
      </c>
      <c r="D3828" s="14" t="str">
        <f>VLOOKUP(C3828,'State Key'!$A$2:$B$210,2,False)</f>
        <v>West Bengal</v>
      </c>
      <c r="E3828" s="15">
        <v>750.0</v>
      </c>
      <c r="F3828" s="16">
        <v>60.404</v>
      </c>
      <c r="G3828" s="16">
        <v>0.0</v>
      </c>
      <c r="H3828" s="16">
        <v>124.933</v>
      </c>
      <c r="I3828" s="16">
        <v>34.457</v>
      </c>
      <c r="J3828" s="16">
        <v>0.0</v>
      </c>
      <c r="K3828" s="16">
        <v>0.0</v>
      </c>
      <c r="L3828" s="16">
        <v>219.794</v>
      </c>
      <c r="M3828" s="16">
        <v>248.383</v>
      </c>
      <c r="N3828" s="16">
        <v>115.29</v>
      </c>
      <c r="O3828" s="23">
        <v>13.9</v>
      </c>
      <c r="P3828" s="18">
        <f t="shared" si="1"/>
        <v>219.794</v>
      </c>
    </row>
    <row r="3829" ht="15.75" customHeight="1">
      <c r="A3829" s="19" t="s">
        <v>240</v>
      </c>
      <c r="B3829" s="19" t="s">
        <v>22</v>
      </c>
      <c r="C3829" s="20" t="s">
        <v>29</v>
      </c>
      <c r="D3829" s="14" t="str">
        <f>VLOOKUP(C3829,'State Key'!$A$2:$B$210,2,False)</f>
        <v>Jharkhand</v>
      </c>
      <c r="E3829" s="21">
        <v>500.0</v>
      </c>
      <c r="F3829" s="22">
        <v>113.169</v>
      </c>
      <c r="G3829" s="22">
        <v>0.0</v>
      </c>
      <c r="H3829" s="22">
        <v>31.784</v>
      </c>
      <c r="I3829" s="22">
        <v>0.0</v>
      </c>
      <c r="J3829" s="22">
        <v>0.0</v>
      </c>
      <c r="K3829" s="22">
        <v>0.0</v>
      </c>
      <c r="L3829" s="22">
        <v>144.953</v>
      </c>
      <c r="M3829" s="22">
        <v>140.54</v>
      </c>
      <c r="N3829" s="22">
        <v>237.6</v>
      </c>
      <c r="O3829" s="24">
        <v>50.7</v>
      </c>
      <c r="P3829" s="18">
        <f t="shared" si="1"/>
        <v>144.953</v>
      </c>
    </row>
    <row r="3830" ht="15.75" customHeight="1">
      <c r="A3830" s="13" t="s">
        <v>240</v>
      </c>
      <c r="B3830" s="13" t="s">
        <v>22</v>
      </c>
      <c r="C3830" s="14" t="s">
        <v>30</v>
      </c>
      <c r="D3830" s="14" t="str">
        <f>VLOOKUP(C3830,'State Key'!$A$2:$B$210,2,False)</f>
        <v>West Bengal</v>
      </c>
      <c r="E3830" s="15">
        <v>550.0</v>
      </c>
      <c r="F3830" s="16">
        <v>119.072</v>
      </c>
      <c r="G3830" s="16">
        <v>0.0</v>
      </c>
      <c r="H3830" s="16">
        <v>0.0</v>
      </c>
      <c r="I3830" s="16">
        <v>20.188</v>
      </c>
      <c r="J3830" s="16">
        <v>0.0</v>
      </c>
      <c r="K3830" s="16">
        <v>121.67</v>
      </c>
      <c r="L3830" s="16">
        <v>260.93</v>
      </c>
      <c r="M3830" s="16">
        <v>260.0</v>
      </c>
      <c r="N3830" s="16">
        <v>24.55</v>
      </c>
      <c r="O3830" s="17">
        <v>2.8</v>
      </c>
      <c r="P3830" s="18">
        <f t="shared" si="1"/>
        <v>260.93</v>
      </c>
    </row>
    <row r="3831" ht="15.75" customHeight="1">
      <c r="A3831" s="19" t="s">
        <v>240</v>
      </c>
      <c r="B3831" s="19" t="s">
        <v>22</v>
      </c>
      <c r="C3831" s="20" t="s">
        <v>31</v>
      </c>
      <c r="D3831" s="14" t="str">
        <f>VLOOKUP(C3831,'State Key'!$A$2:$B$210,2,False)</f>
        <v>Odisha</v>
      </c>
      <c r="E3831" s="21">
        <v>1600.0</v>
      </c>
      <c r="F3831" s="22">
        <v>0.0</v>
      </c>
      <c r="G3831" s="22">
        <v>0.0</v>
      </c>
      <c r="H3831" s="22">
        <v>805.21</v>
      </c>
      <c r="I3831" s="22">
        <v>0.0</v>
      </c>
      <c r="J3831" s="22">
        <v>0.0</v>
      </c>
      <c r="K3831" s="22">
        <v>0.0</v>
      </c>
      <c r="L3831" s="22">
        <v>805.21</v>
      </c>
      <c r="M3831" s="22">
        <v>841.359</v>
      </c>
      <c r="N3831" s="22">
        <v>301.61</v>
      </c>
      <c r="O3831" s="23">
        <v>10.8</v>
      </c>
      <c r="P3831" s="18">
        <f t="shared" si="1"/>
        <v>805.21</v>
      </c>
    </row>
    <row r="3832" ht="15.75" customHeight="1">
      <c r="A3832" s="13" t="s">
        <v>240</v>
      </c>
      <c r="B3832" s="13" t="s">
        <v>22</v>
      </c>
      <c r="C3832" s="14" t="s">
        <v>32</v>
      </c>
      <c r="D3832" s="14" t="str">
        <f>VLOOKUP(C3832,'State Key'!$A$2:$B$210,2,False)</f>
        <v>Odisha</v>
      </c>
      <c r="E3832" s="15">
        <v>1200.0</v>
      </c>
      <c r="F3832" s="16">
        <v>476.745</v>
      </c>
      <c r="G3832" s="16">
        <v>0.0</v>
      </c>
      <c r="H3832" s="16">
        <v>0.0</v>
      </c>
      <c r="I3832" s="16">
        <v>92.332</v>
      </c>
      <c r="J3832" s="16">
        <v>0.0</v>
      </c>
      <c r="K3832" s="16">
        <v>0.0</v>
      </c>
      <c r="L3832" s="16">
        <v>569.077</v>
      </c>
      <c r="M3832" s="16">
        <v>574.107</v>
      </c>
      <c r="N3832" s="16">
        <v>760.79</v>
      </c>
      <c r="O3832" s="24">
        <v>39.8</v>
      </c>
      <c r="P3832" s="18">
        <f t="shared" si="1"/>
        <v>569.077</v>
      </c>
    </row>
    <row r="3833" ht="15.75" customHeight="1">
      <c r="A3833" s="19" t="s">
        <v>240</v>
      </c>
      <c r="B3833" s="19" t="s">
        <v>22</v>
      </c>
      <c r="C3833" s="20" t="s">
        <v>33</v>
      </c>
      <c r="D3833" s="14" t="str">
        <f>VLOOKUP(C3833,'State Key'!$A$2:$B$210,2,False)</f>
        <v>West Bengal</v>
      </c>
      <c r="E3833" s="21">
        <v>12.0</v>
      </c>
      <c r="F3833" s="22">
        <v>3.963</v>
      </c>
      <c r="G3833" s="22">
        <v>0.0</v>
      </c>
      <c r="H3833" s="22">
        <v>0.0</v>
      </c>
      <c r="I3833" s="22">
        <v>0.0</v>
      </c>
      <c r="J3833" s="22">
        <v>0.0</v>
      </c>
      <c r="K3833" s="22">
        <v>0.0</v>
      </c>
      <c r="L3833" s="22">
        <v>3.963</v>
      </c>
      <c r="M3833" s="22">
        <v>0.0</v>
      </c>
      <c r="N3833" s="22">
        <v>8.1</v>
      </c>
      <c r="O3833" s="19" t="s">
        <v>58</v>
      </c>
      <c r="P3833" s="18">
        <f t="shared" si="1"/>
        <v>3.963</v>
      </c>
    </row>
    <row r="3834" ht="15.75" customHeight="1">
      <c r="A3834" s="13" t="s">
        <v>240</v>
      </c>
      <c r="B3834" s="13" t="s">
        <v>22</v>
      </c>
      <c r="C3834" s="14" t="s">
        <v>34</v>
      </c>
      <c r="D3834" s="14" t="str">
        <f>VLOOKUP(C3834,'State Key'!$A$2:$B$210,2,False)</f>
        <v>West Bengal</v>
      </c>
      <c r="E3834" s="15">
        <v>1000.0</v>
      </c>
      <c r="F3834" s="16">
        <v>467.322</v>
      </c>
      <c r="G3834" s="16">
        <v>0.0</v>
      </c>
      <c r="H3834" s="16">
        <v>0.0</v>
      </c>
      <c r="I3834" s="16">
        <v>0.0</v>
      </c>
      <c r="J3834" s="16">
        <v>0.0</v>
      </c>
      <c r="K3834" s="16">
        <v>11.992</v>
      </c>
      <c r="L3834" s="16">
        <v>479.314</v>
      </c>
      <c r="M3834" s="16">
        <v>389.55</v>
      </c>
      <c r="N3834" s="16">
        <v>290.1</v>
      </c>
      <c r="O3834" s="24">
        <v>22.3</v>
      </c>
      <c r="P3834" s="18">
        <f t="shared" si="1"/>
        <v>479.314</v>
      </c>
    </row>
    <row r="3835" ht="15.75" customHeight="1">
      <c r="A3835" s="19" t="s">
        <v>240</v>
      </c>
      <c r="B3835" s="19" t="s">
        <v>22</v>
      </c>
      <c r="C3835" s="20" t="s">
        <v>35</v>
      </c>
      <c r="D3835" s="14" t="str">
        <f>VLOOKUP(C3835,'State Key'!$A$2:$B$210,2,False)</f>
        <v>West Bengal</v>
      </c>
      <c r="E3835" s="21">
        <v>2100.0</v>
      </c>
      <c r="F3835" s="22">
        <v>884.47</v>
      </c>
      <c r="G3835" s="22">
        <v>16.14</v>
      </c>
      <c r="H3835" s="22">
        <v>82.45</v>
      </c>
      <c r="I3835" s="22">
        <v>0.0</v>
      </c>
      <c r="J3835" s="22">
        <v>0.0</v>
      </c>
      <c r="K3835" s="22">
        <v>0.0</v>
      </c>
      <c r="L3835" s="22">
        <v>983.06</v>
      </c>
      <c r="M3835" s="22">
        <v>772.476</v>
      </c>
      <c r="N3835" s="22">
        <v>570.63</v>
      </c>
      <c r="O3835" s="24">
        <v>22.2</v>
      </c>
      <c r="P3835" s="18">
        <f t="shared" si="1"/>
        <v>983.06</v>
      </c>
    </row>
    <row r="3836" ht="15.75" customHeight="1">
      <c r="A3836" s="13" t="s">
        <v>240</v>
      </c>
      <c r="B3836" s="13" t="s">
        <v>22</v>
      </c>
      <c r="C3836" s="14" t="s">
        <v>36</v>
      </c>
      <c r="D3836" s="14" t="str">
        <f>VLOOKUP(C3836,'State Key'!$A$2:$B$210,2,False)</f>
        <v>West Bengal</v>
      </c>
      <c r="E3836" s="15">
        <v>600.0</v>
      </c>
      <c r="F3836" s="16">
        <v>246.9</v>
      </c>
      <c r="G3836" s="16">
        <v>0.0</v>
      </c>
      <c r="H3836" s="16">
        <v>0.0</v>
      </c>
      <c r="I3836" s="16">
        <v>0.0</v>
      </c>
      <c r="J3836" s="16">
        <v>0.0</v>
      </c>
      <c r="K3836" s="16">
        <v>0.0</v>
      </c>
      <c r="L3836" s="16">
        <v>246.9</v>
      </c>
      <c r="M3836" s="16">
        <v>266.412</v>
      </c>
      <c r="N3836" s="16">
        <v>144.74</v>
      </c>
      <c r="O3836" s="24">
        <v>16.3</v>
      </c>
      <c r="P3836" s="18">
        <f t="shared" si="1"/>
        <v>246.9</v>
      </c>
    </row>
    <row r="3837" ht="15.75" customHeight="1">
      <c r="A3837" s="19" t="s">
        <v>240</v>
      </c>
      <c r="B3837" s="19" t="s">
        <v>22</v>
      </c>
      <c r="C3837" s="20" t="s">
        <v>37</v>
      </c>
      <c r="D3837" s="14" t="str">
        <f>VLOOKUP(C3837,'State Key'!$A$2:$B$210,2,False)</f>
        <v>West Bengal</v>
      </c>
      <c r="E3837" s="21">
        <v>300.0</v>
      </c>
      <c r="F3837" s="22">
        <v>118.293</v>
      </c>
      <c r="G3837" s="22">
        <v>0.0</v>
      </c>
      <c r="H3837" s="22">
        <v>0.0</v>
      </c>
      <c r="I3837" s="22">
        <v>0.0</v>
      </c>
      <c r="J3837" s="22">
        <v>0.0</v>
      </c>
      <c r="K3837" s="22">
        <v>0.0</v>
      </c>
      <c r="L3837" s="22">
        <v>118.293</v>
      </c>
      <c r="M3837" s="22">
        <v>145.177</v>
      </c>
      <c r="N3837" s="22">
        <v>26.04</v>
      </c>
      <c r="O3837" s="17">
        <v>5.4</v>
      </c>
      <c r="P3837" s="18">
        <f t="shared" si="1"/>
        <v>118.293</v>
      </c>
    </row>
    <row r="3838" ht="15.75" customHeight="1">
      <c r="A3838" s="13" t="s">
        <v>240</v>
      </c>
      <c r="B3838" s="13" t="s">
        <v>22</v>
      </c>
      <c r="C3838" s="14" t="s">
        <v>38</v>
      </c>
      <c r="D3838" s="14" t="str">
        <f>VLOOKUP(C3838,'State Key'!$A$2:$B$210,2,False)</f>
        <v>Odisha</v>
      </c>
      <c r="E3838" s="15">
        <v>1740.0</v>
      </c>
      <c r="F3838" s="16">
        <v>30.936</v>
      </c>
      <c r="G3838" s="16">
        <v>0.0</v>
      </c>
      <c r="H3838" s="16">
        <v>656.11</v>
      </c>
      <c r="I3838" s="16">
        <v>0.0</v>
      </c>
      <c r="J3838" s="16">
        <v>0.0</v>
      </c>
      <c r="K3838" s="16">
        <v>0.0</v>
      </c>
      <c r="L3838" s="16">
        <v>687.046</v>
      </c>
      <c r="M3838" s="16">
        <v>711.408</v>
      </c>
      <c r="N3838" s="16">
        <v>249.7</v>
      </c>
      <c r="O3838" s="23">
        <v>10.5</v>
      </c>
      <c r="P3838" s="18">
        <f t="shared" si="1"/>
        <v>687.046</v>
      </c>
    </row>
    <row r="3839" ht="15.75" customHeight="1">
      <c r="A3839" s="19" t="s">
        <v>240</v>
      </c>
      <c r="B3839" s="19" t="s">
        <v>22</v>
      </c>
      <c r="C3839" s="20" t="s">
        <v>39</v>
      </c>
      <c r="D3839" s="14" t="str">
        <f>VLOOKUP(C3839,'State Key'!$A$2:$B$210,2,False)</f>
        <v>Jharkhand</v>
      </c>
      <c r="E3839" s="21">
        <v>240.0</v>
      </c>
      <c r="F3839" s="22">
        <v>68.79</v>
      </c>
      <c r="G3839" s="22">
        <v>0.0</v>
      </c>
      <c r="H3839" s="22">
        <v>0.0</v>
      </c>
      <c r="I3839" s="22">
        <v>0.0</v>
      </c>
      <c r="J3839" s="22">
        <v>0.0</v>
      </c>
      <c r="K3839" s="22">
        <v>0.0</v>
      </c>
      <c r="L3839" s="22">
        <v>68.79</v>
      </c>
      <c r="M3839" s="22">
        <v>75.84</v>
      </c>
      <c r="N3839" s="22">
        <v>167.34</v>
      </c>
      <c r="O3839" s="24">
        <v>66.2</v>
      </c>
      <c r="P3839" s="18">
        <f t="shared" si="1"/>
        <v>68.79</v>
      </c>
    </row>
    <row r="3840" ht="15.75" customHeight="1">
      <c r="A3840" s="13" t="s">
        <v>240</v>
      </c>
      <c r="B3840" s="13" t="s">
        <v>22</v>
      </c>
      <c r="C3840" s="14" t="s">
        <v>40</v>
      </c>
      <c r="D3840" s="14" t="str">
        <f>VLOOKUP(C3840,'State Key'!$A$2:$B$210,2,False)</f>
        <v>Bihar</v>
      </c>
      <c r="E3840" s="15">
        <v>2340.0</v>
      </c>
      <c r="F3840" s="16">
        <v>1182.04</v>
      </c>
      <c r="G3840" s="16">
        <v>0.0</v>
      </c>
      <c r="H3840" s="16">
        <v>15.98</v>
      </c>
      <c r="I3840" s="16">
        <v>0.0</v>
      </c>
      <c r="J3840" s="16">
        <v>0.0</v>
      </c>
      <c r="K3840" s="16">
        <v>0.0</v>
      </c>
      <c r="L3840" s="16">
        <v>1198.02</v>
      </c>
      <c r="M3840" s="16">
        <v>1068.871</v>
      </c>
      <c r="N3840" s="16">
        <v>715.48</v>
      </c>
      <c r="O3840" s="24">
        <v>20.1</v>
      </c>
      <c r="P3840" s="18">
        <f t="shared" si="1"/>
        <v>1198.02</v>
      </c>
    </row>
    <row r="3841" ht="15.75" customHeight="1">
      <c r="A3841" s="19" t="s">
        <v>240</v>
      </c>
      <c r="B3841" s="19" t="s">
        <v>22</v>
      </c>
      <c r="C3841" s="20" t="s">
        <v>41</v>
      </c>
      <c r="D3841" s="14" t="str">
        <f>VLOOKUP(C3841,'State Key'!$A$2:$B$210,2,False)</f>
        <v>Odisha</v>
      </c>
      <c r="E3841" s="21">
        <v>1050.0</v>
      </c>
      <c r="F3841" s="22">
        <v>444.153</v>
      </c>
      <c r="G3841" s="22">
        <v>0.0</v>
      </c>
      <c r="H3841" s="22">
        <v>0.0</v>
      </c>
      <c r="I3841" s="22">
        <v>168.131</v>
      </c>
      <c r="J3841" s="22">
        <v>0.0</v>
      </c>
      <c r="K3841" s="22">
        <v>0.0</v>
      </c>
      <c r="L3841" s="22">
        <v>612.284</v>
      </c>
      <c r="M3841" s="22">
        <v>581.619</v>
      </c>
      <c r="N3841" s="22">
        <v>375.37</v>
      </c>
      <c r="O3841" s="24">
        <v>19.4</v>
      </c>
      <c r="P3841" s="18">
        <f t="shared" si="1"/>
        <v>612.284</v>
      </c>
    </row>
    <row r="3842" ht="15.75" customHeight="1">
      <c r="A3842" s="13" t="s">
        <v>240</v>
      </c>
      <c r="B3842" s="13" t="s">
        <v>22</v>
      </c>
      <c r="C3842" s="14" t="s">
        <v>42</v>
      </c>
      <c r="D3842" s="14" t="str">
        <f>VLOOKUP(C3842,'State Key'!$A$2:$B$210,2,False)</f>
        <v>Jharkhand</v>
      </c>
      <c r="E3842" s="15">
        <v>1000.0</v>
      </c>
      <c r="F3842" s="16">
        <v>324.333</v>
      </c>
      <c r="G3842" s="16">
        <v>0.0</v>
      </c>
      <c r="H3842" s="16">
        <v>233.09</v>
      </c>
      <c r="I3842" s="16">
        <v>0.0</v>
      </c>
      <c r="J3842" s="16">
        <v>0.0</v>
      </c>
      <c r="K3842" s="16">
        <v>0.0</v>
      </c>
      <c r="L3842" s="16">
        <v>557.423</v>
      </c>
      <c r="M3842" s="16">
        <v>445.955</v>
      </c>
      <c r="N3842" s="16">
        <v>469.88</v>
      </c>
      <c r="O3842" s="24">
        <v>31.6</v>
      </c>
      <c r="P3842" s="18">
        <f t="shared" si="1"/>
        <v>557.423</v>
      </c>
    </row>
    <row r="3843" ht="15.75" customHeight="1">
      <c r="A3843" s="19" t="s">
        <v>240</v>
      </c>
      <c r="B3843" s="19" t="s">
        <v>22</v>
      </c>
      <c r="C3843" s="20" t="s">
        <v>43</v>
      </c>
      <c r="D3843" s="14" t="str">
        <f>VLOOKUP(C3843,'State Key'!$A$2:$B$210,2,False)</f>
        <v>West Bengal</v>
      </c>
      <c r="E3843" s="21">
        <v>840.0</v>
      </c>
      <c r="F3843" s="22">
        <v>0.0</v>
      </c>
      <c r="G3843" s="22">
        <v>0.0</v>
      </c>
      <c r="H3843" s="22">
        <v>346.411</v>
      </c>
      <c r="I3843" s="22">
        <v>0.0</v>
      </c>
      <c r="J3843" s="22">
        <v>0.0</v>
      </c>
      <c r="K3843" s="22">
        <v>0.0</v>
      </c>
      <c r="L3843" s="22">
        <v>346.411</v>
      </c>
      <c r="M3843" s="22">
        <v>322.676</v>
      </c>
      <c r="N3843" s="22">
        <v>51.66</v>
      </c>
      <c r="O3843" s="17">
        <v>4.8</v>
      </c>
      <c r="P3843" s="18">
        <f t="shared" si="1"/>
        <v>346.411</v>
      </c>
    </row>
    <row r="3844" ht="15.75" customHeight="1">
      <c r="A3844" s="13" t="s">
        <v>240</v>
      </c>
      <c r="B3844" s="13" t="s">
        <v>22</v>
      </c>
      <c r="C3844" s="14" t="s">
        <v>44</v>
      </c>
      <c r="D3844" s="14" t="str">
        <f>VLOOKUP(C3844,'State Key'!$A$2:$B$210,2,False)</f>
        <v>Jharkhand</v>
      </c>
      <c r="E3844" s="15">
        <v>540.0</v>
      </c>
      <c r="F3844" s="16">
        <v>208.148</v>
      </c>
      <c r="G3844" s="16">
        <v>0.0</v>
      </c>
      <c r="H3844" s="16">
        <v>0.0</v>
      </c>
      <c r="I3844" s="16">
        <v>0.0</v>
      </c>
      <c r="J3844" s="16">
        <v>0.0</v>
      </c>
      <c r="K3844" s="16">
        <v>43.022</v>
      </c>
      <c r="L3844" s="16">
        <v>251.17</v>
      </c>
      <c r="M3844" s="16">
        <v>244.97</v>
      </c>
      <c r="N3844" s="16">
        <v>79.77</v>
      </c>
      <c r="O3844" s="23">
        <v>9.8</v>
      </c>
      <c r="P3844" s="18">
        <f t="shared" si="1"/>
        <v>251.17</v>
      </c>
    </row>
    <row r="3845" ht="15.75" customHeight="1">
      <c r="A3845" s="19" t="s">
        <v>240</v>
      </c>
      <c r="B3845" s="19" t="s">
        <v>22</v>
      </c>
      <c r="C3845" s="20" t="s">
        <v>45</v>
      </c>
      <c r="D3845" s="14" t="str">
        <f>VLOOKUP(C3845,'State Key'!$A$2:$B$210,2,False)</f>
        <v>Jharkhand</v>
      </c>
      <c r="E3845" s="21">
        <v>1050.0</v>
      </c>
      <c r="F3845" s="22">
        <v>382.599</v>
      </c>
      <c r="G3845" s="22">
        <v>0.0</v>
      </c>
      <c r="H3845" s="22">
        <v>0.0</v>
      </c>
      <c r="I3845" s="22">
        <v>0.0</v>
      </c>
      <c r="J3845" s="22">
        <v>0.0</v>
      </c>
      <c r="K3845" s="22">
        <v>0.0</v>
      </c>
      <c r="L3845" s="22">
        <v>382.599</v>
      </c>
      <c r="M3845" s="22">
        <v>291.275</v>
      </c>
      <c r="N3845" s="22">
        <v>611.275</v>
      </c>
      <c r="O3845" s="24">
        <v>63.0</v>
      </c>
      <c r="P3845" s="18">
        <f t="shared" si="1"/>
        <v>382.599</v>
      </c>
    </row>
    <row r="3846" ht="15.75" customHeight="1">
      <c r="A3846" s="13" t="s">
        <v>240</v>
      </c>
      <c r="B3846" s="13" t="s">
        <v>22</v>
      </c>
      <c r="C3846" s="14" t="s">
        <v>46</v>
      </c>
      <c r="D3846" s="14" t="str">
        <f>VLOOKUP(C3846,'State Key'!$A$2:$B$210,2,False)</f>
        <v>West Bengal</v>
      </c>
      <c r="E3846" s="15">
        <v>2340.0</v>
      </c>
      <c r="F3846" s="16">
        <v>877.247</v>
      </c>
      <c r="G3846" s="16">
        <v>0.0</v>
      </c>
      <c r="H3846" s="16">
        <v>45.899</v>
      </c>
      <c r="I3846" s="16">
        <v>0.0</v>
      </c>
      <c r="J3846" s="16">
        <v>0.0</v>
      </c>
      <c r="K3846" s="16">
        <v>0.0</v>
      </c>
      <c r="L3846" s="16">
        <v>923.146</v>
      </c>
      <c r="M3846" s="16">
        <v>827.007</v>
      </c>
      <c r="N3846" s="16">
        <v>460.99</v>
      </c>
      <c r="O3846" s="24">
        <v>16.7</v>
      </c>
      <c r="P3846" s="18">
        <f t="shared" si="1"/>
        <v>923.146</v>
      </c>
    </row>
    <row r="3847" ht="15.75" customHeight="1">
      <c r="A3847" s="19" t="s">
        <v>240</v>
      </c>
      <c r="B3847" s="19" t="s">
        <v>22</v>
      </c>
      <c r="C3847" s="20" t="s">
        <v>47</v>
      </c>
      <c r="D3847" s="14" t="str">
        <f>VLOOKUP(C3847,'State Key'!$A$2:$B$210,2,False)</f>
        <v>Bihar</v>
      </c>
      <c r="E3847" s="21">
        <v>390.0</v>
      </c>
      <c r="F3847" s="22">
        <v>31.686</v>
      </c>
      <c r="G3847" s="22">
        <v>0.0</v>
      </c>
      <c r="H3847" s="22">
        <v>151.628</v>
      </c>
      <c r="I3847" s="22">
        <v>0.0</v>
      </c>
      <c r="J3847" s="22">
        <v>0.0</v>
      </c>
      <c r="K3847" s="22">
        <v>7.764</v>
      </c>
      <c r="L3847" s="22">
        <v>191.078</v>
      </c>
      <c r="M3847" s="22">
        <v>157.363</v>
      </c>
      <c r="N3847" s="22">
        <v>135.69</v>
      </c>
      <c r="O3847" s="24">
        <v>25.9</v>
      </c>
      <c r="P3847" s="18">
        <f t="shared" si="1"/>
        <v>191.078</v>
      </c>
    </row>
    <row r="3848" ht="15.75" customHeight="1">
      <c r="A3848" s="13" t="s">
        <v>240</v>
      </c>
      <c r="B3848" s="13" t="s">
        <v>22</v>
      </c>
      <c r="C3848" s="14" t="s">
        <v>241</v>
      </c>
      <c r="D3848" s="14" t="str">
        <f>VLOOKUP(C3848,'State Key'!$A$2:$B$210,2,False)</f>
        <v>Odisha</v>
      </c>
      <c r="E3848" s="15">
        <v>60.0</v>
      </c>
      <c r="F3848" s="16">
        <v>10.0</v>
      </c>
      <c r="G3848" s="16">
        <v>0.0</v>
      </c>
      <c r="H3848" s="16">
        <v>0.0</v>
      </c>
      <c r="I3848" s="16">
        <v>0.0</v>
      </c>
      <c r="J3848" s="16">
        <v>0.0</v>
      </c>
      <c r="K3848" s="16">
        <v>0.0</v>
      </c>
      <c r="L3848" s="16">
        <v>10.0</v>
      </c>
      <c r="M3848" s="16">
        <v>15.0</v>
      </c>
      <c r="N3848" s="16">
        <v>5.33</v>
      </c>
      <c r="O3848" s="23">
        <v>10.7</v>
      </c>
      <c r="P3848" s="18">
        <f t="shared" si="1"/>
        <v>10</v>
      </c>
    </row>
    <row r="3849" ht="15.75" customHeight="1">
      <c r="A3849" s="19" t="s">
        <v>240</v>
      </c>
      <c r="B3849" s="19" t="s">
        <v>22</v>
      </c>
      <c r="C3849" s="20" t="s">
        <v>48</v>
      </c>
      <c r="D3849" s="14" t="str">
        <f>VLOOKUP(C3849,'State Key'!$A$2:$B$210,2,False)</f>
        <v>Bihar</v>
      </c>
      <c r="E3849" s="21">
        <v>1980.0</v>
      </c>
      <c r="F3849" s="22">
        <v>773.882</v>
      </c>
      <c r="G3849" s="22">
        <v>0.0</v>
      </c>
      <c r="H3849" s="22">
        <v>134.7</v>
      </c>
      <c r="I3849" s="22">
        <v>30.837</v>
      </c>
      <c r="J3849" s="22">
        <v>0.0</v>
      </c>
      <c r="K3849" s="22">
        <v>0.0</v>
      </c>
      <c r="L3849" s="22">
        <v>939.419</v>
      </c>
      <c r="M3849" s="22">
        <v>614.409</v>
      </c>
      <c r="N3849" s="22">
        <v>915.22</v>
      </c>
      <c r="O3849" s="24">
        <v>44.7</v>
      </c>
      <c r="P3849" s="18">
        <f t="shared" si="1"/>
        <v>939.419</v>
      </c>
    </row>
    <row r="3850" ht="15.75" customHeight="1">
      <c r="A3850" s="13" t="s">
        <v>240</v>
      </c>
      <c r="B3850" s="13" t="s">
        <v>22</v>
      </c>
      <c r="C3850" s="14" t="s">
        <v>49</v>
      </c>
      <c r="D3850" s="14" t="str">
        <f>VLOOKUP(C3850,'State Key'!$A$2:$B$210,2,False)</f>
        <v>Bihar</v>
      </c>
      <c r="E3850" s="15">
        <v>1000.0</v>
      </c>
      <c r="F3850" s="16">
        <v>471.8525</v>
      </c>
      <c r="G3850" s="16">
        <v>0.0</v>
      </c>
      <c r="H3850" s="16">
        <v>0.0</v>
      </c>
      <c r="I3850" s="16">
        <v>0.0</v>
      </c>
      <c r="J3850" s="16">
        <v>0.0</v>
      </c>
      <c r="K3850" s="16">
        <v>0.0</v>
      </c>
      <c r="L3850" s="16">
        <v>471.8525</v>
      </c>
      <c r="M3850" s="16">
        <v>446.122</v>
      </c>
      <c r="N3850" s="16">
        <v>322.53</v>
      </c>
      <c r="O3850" s="24">
        <v>21.7</v>
      </c>
      <c r="P3850" s="18">
        <f t="shared" si="1"/>
        <v>471.8525</v>
      </c>
    </row>
    <row r="3851" ht="15.75" customHeight="1">
      <c r="A3851" s="19" t="s">
        <v>240</v>
      </c>
      <c r="B3851" s="19" t="s">
        <v>22</v>
      </c>
      <c r="C3851" s="20" t="s">
        <v>50</v>
      </c>
      <c r="D3851" s="14" t="str">
        <f>VLOOKUP(C3851,'State Key'!$A$2:$B$210,2,False)</f>
        <v>Jharkhand</v>
      </c>
      <c r="E3851" s="21">
        <v>1320.0</v>
      </c>
      <c r="F3851" s="22">
        <v>459.22</v>
      </c>
      <c r="G3851" s="22">
        <v>0.0</v>
      </c>
      <c r="H3851" s="22">
        <v>300.65</v>
      </c>
      <c r="I3851" s="22">
        <v>0.0</v>
      </c>
      <c r="J3851" s="22">
        <v>0.0</v>
      </c>
      <c r="K3851" s="22">
        <v>0.0</v>
      </c>
      <c r="L3851" s="22">
        <v>759.87</v>
      </c>
      <c r="M3851" s="22">
        <v>735.261</v>
      </c>
      <c r="N3851" s="22">
        <v>293.58</v>
      </c>
      <c r="O3851" s="23">
        <v>12.0</v>
      </c>
      <c r="P3851" s="18">
        <f t="shared" si="1"/>
        <v>759.87</v>
      </c>
    </row>
    <row r="3852" ht="15.75" customHeight="1">
      <c r="A3852" s="13" t="s">
        <v>240</v>
      </c>
      <c r="B3852" s="13" t="s">
        <v>22</v>
      </c>
      <c r="C3852" s="14" t="s">
        <v>51</v>
      </c>
      <c r="D3852" s="14" t="str">
        <f>VLOOKUP(C3852,'State Key'!$A$2:$B$210,2,False)</f>
        <v>West Bengal</v>
      </c>
      <c r="E3852" s="15">
        <v>1200.0</v>
      </c>
      <c r="F3852" s="16">
        <v>403.999</v>
      </c>
      <c r="G3852" s="16">
        <v>0.0</v>
      </c>
      <c r="H3852" s="16">
        <v>70.805</v>
      </c>
      <c r="I3852" s="16">
        <v>0.0</v>
      </c>
      <c r="J3852" s="16">
        <v>0.0</v>
      </c>
      <c r="K3852" s="16">
        <v>0.692</v>
      </c>
      <c r="L3852" s="16">
        <v>475.496</v>
      </c>
      <c r="M3852" s="16">
        <v>430.113</v>
      </c>
      <c r="N3852" s="16">
        <v>337.37</v>
      </c>
      <c r="O3852" s="24">
        <v>23.5</v>
      </c>
      <c r="P3852" s="18">
        <f t="shared" si="1"/>
        <v>475.496</v>
      </c>
    </row>
    <row r="3853" ht="15.75" customHeight="1">
      <c r="A3853" s="19" t="s">
        <v>240</v>
      </c>
      <c r="B3853" s="19" t="s">
        <v>22</v>
      </c>
      <c r="C3853" s="20" t="s">
        <v>52</v>
      </c>
      <c r="D3853" s="14" t="str">
        <f>VLOOKUP(C3853,'State Key'!$A$2:$B$210,2,False)</f>
        <v>West Bengal</v>
      </c>
      <c r="E3853" s="21">
        <v>1600.0</v>
      </c>
      <c r="F3853" s="22">
        <v>0.0</v>
      </c>
      <c r="G3853" s="22">
        <v>0.0</v>
      </c>
      <c r="H3853" s="22">
        <v>630.626</v>
      </c>
      <c r="I3853" s="22">
        <v>0.0</v>
      </c>
      <c r="J3853" s="22">
        <v>0.0</v>
      </c>
      <c r="K3853" s="22">
        <v>0.0</v>
      </c>
      <c r="L3853" s="22">
        <v>630.626</v>
      </c>
      <c r="M3853" s="22">
        <v>555.737</v>
      </c>
      <c r="N3853" s="22">
        <v>128.66</v>
      </c>
      <c r="O3853" s="17">
        <v>6.9</v>
      </c>
      <c r="P3853" s="18">
        <f t="shared" si="1"/>
        <v>630.626</v>
      </c>
    </row>
    <row r="3854" ht="15.75" customHeight="1">
      <c r="A3854" s="13" t="s">
        <v>240</v>
      </c>
      <c r="B3854" s="13" t="s">
        <v>22</v>
      </c>
      <c r="C3854" s="14" t="s">
        <v>53</v>
      </c>
      <c r="D3854" s="14" t="str">
        <f>VLOOKUP(C3854,'State Key'!$A$2:$B$210,2,False)</f>
        <v>West Bengal</v>
      </c>
      <c r="E3854" s="15">
        <v>500.0</v>
      </c>
      <c r="F3854" s="16">
        <v>0.0</v>
      </c>
      <c r="G3854" s="16">
        <v>0.0</v>
      </c>
      <c r="H3854" s="16">
        <v>196.733</v>
      </c>
      <c r="I3854" s="16">
        <v>0.0</v>
      </c>
      <c r="J3854" s="16">
        <v>0.0</v>
      </c>
      <c r="K3854" s="16">
        <v>0.0</v>
      </c>
      <c r="L3854" s="16">
        <v>196.733</v>
      </c>
      <c r="M3854" s="16">
        <v>247.726</v>
      </c>
      <c r="N3854" s="16">
        <v>27.25</v>
      </c>
      <c r="O3854" s="17">
        <v>3.3</v>
      </c>
      <c r="P3854" s="18">
        <f t="shared" si="1"/>
        <v>196.733</v>
      </c>
    </row>
    <row r="3855" ht="15.75" customHeight="1">
      <c r="A3855" s="19" t="s">
        <v>240</v>
      </c>
      <c r="B3855" s="19" t="s">
        <v>22</v>
      </c>
      <c r="C3855" s="20" t="s">
        <v>54</v>
      </c>
      <c r="D3855" s="14" t="str">
        <f>VLOOKUP(C3855,'State Key'!$A$2:$B$210,2,False)</f>
        <v>West Bengal</v>
      </c>
      <c r="E3855" s="21">
        <v>135.0</v>
      </c>
      <c r="F3855" s="22">
        <v>3.458</v>
      </c>
      <c r="G3855" s="22">
        <v>0.0</v>
      </c>
      <c r="H3855" s="22">
        <v>0.0</v>
      </c>
      <c r="I3855" s="22">
        <v>0.0</v>
      </c>
      <c r="J3855" s="22">
        <v>0.0</v>
      </c>
      <c r="K3855" s="22">
        <v>0.0</v>
      </c>
      <c r="L3855" s="22">
        <v>3.458</v>
      </c>
      <c r="M3855" s="22">
        <v>0.0</v>
      </c>
      <c r="N3855" s="22">
        <v>41.89</v>
      </c>
      <c r="O3855" s="19" t="s">
        <v>58</v>
      </c>
      <c r="P3855" s="18">
        <f t="shared" si="1"/>
        <v>3.458</v>
      </c>
    </row>
    <row r="3856" ht="15.75" customHeight="1">
      <c r="A3856" s="13" t="s">
        <v>240</v>
      </c>
      <c r="B3856" s="13" t="s">
        <v>22</v>
      </c>
      <c r="C3856" s="14" t="s">
        <v>55</v>
      </c>
      <c r="D3856" s="14" t="str">
        <f>VLOOKUP(C3856,'State Key'!$A$2:$B$210,2,False)</f>
        <v>Odisha</v>
      </c>
      <c r="E3856" s="15">
        <v>3000.0</v>
      </c>
      <c r="F3856" s="16">
        <v>1367.49</v>
      </c>
      <c r="G3856" s="16">
        <v>0.0</v>
      </c>
      <c r="H3856" s="16">
        <v>28.08</v>
      </c>
      <c r="I3856" s="16">
        <v>0.0</v>
      </c>
      <c r="J3856" s="16">
        <v>0.0</v>
      </c>
      <c r="K3856" s="16">
        <v>0.0</v>
      </c>
      <c r="L3856" s="16">
        <v>1395.57</v>
      </c>
      <c r="M3856" s="16">
        <v>1306.623</v>
      </c>
      <c r="N3856" s="16">
        <v>346.68</v>
      </c>
      <c r="O3856" s="23">
        <v>8.0</v>
      </c>
      <c r="P3856" s="18">
        <f t="shared" si="1"/>
        <v>1395.57</v>
      </c>
    </row>
    <row r="3857" ht="15.75" customHeight="1">
      <c r="A3857" s="19" t="s">
        <v>240</v>
      </c>
      <c r="B3857" s="19" t="s">
        <v>22</v>
      </c>
      <c r="C3857" s="20" t="s">
        <v>56</v>
      </c>
      <c r="D3857" s="14" t="str">
        <f>VLOOKUP(C3857,'State Key'!$A$2:$B$210,2,False)</f>
        <v>Jharkhand</v>
      </c>
      <c r="E3857" s="21">
        <v>420.0</v>
      </c>
      <c r="F3857" s="22">
        <v>261.64</v>
      </c>
      <c r="G3857" s="22">
        <v>0.0</v>
      </c>
      <c r="H3857" s="22">
        <v>0.0</v>
      </c>
      <c r="I3857" s="22">
        <v>0.0</v>
      </c>
      <c r="J3857" s="22">
        <v>0.0</v>
      </c>
      <c r="K3857" s="22">
        <v>0.0</v>
      </c>
      <c r="L3857" s="22">
        <v>261.64</v>
      </c>
      <c r="M3857" s="22">
        <v>147.24</v>
      </c>
      <c r="N3857" s="22">
        <v>127.68</v>
      </c>
      <c r="O3857" s="24">
        <v>26.0</v>
      </c>
      <c r="P3857" s="18">
        <f t="shared" si="1"/>
        <v>261.64</v>
      </c>
    </row>
    <row r="3858" ht="15.75" customHeight="1">
      <c r="A3858" s="13" t="s">
        <v>240</v>
      </c>
      <c r="B3858" s="13" t="s">
        <v>22</v>
      </c>
      <c r="C3858" s="14" t="s">
        <v>57</v>
      </c>
      <c r="D3858" s="14" t="str">
        <f>VLOOKUP(C3858,'State Key'!$A$2:$B$210,2,False)</f>
        <v>West Bengal</v>
      </c>
      <c r="E3858" s="15">
        <v>240.0</v>
      </c>
      <c r="F3858" s="16">
        <v>0.0</v>
      </c>
      <c r="G3858" s="16">
        <v>0.0</v>
      </c>
      <c r="H3858" s="16">
        <v>0.0</v>
      </c>
      <c r="I3858" s="16">
        <v>0.0</v>
      </c>
      <c r="J3858" s="16">
        <v>0.0</v>
      </c>
      <c r="K3858" s="16">
        <v>0.0</v>
      </c>
      <c r="L3858" s="16">
        <v>0.0</v>
      </c>
      <c r="M3858" s="16">
        <v>0.0</v>
      </c>
      <c r="N3858" s="16">
        <v>0.0</v>
      </c>
      <c r="O3858" s="13" t="s">
        <v>58</v>
      </c>
      <c r="P3858" s="18">
        <f t="shared" si="1"/>
        <v>0</v>
      </c>
    </row>
    <row r="3859" ht="15.75" customHeight="1">
      <c r="A3859" s="19" t="s">
        <v>240</v>
      </c>
      <c r="B3859" s="19" t="s">
        <v>22</v>
      </c>
      <c r="C3859" s="20" t="s">
        <v>59</v>
      </c>
      <c r="D3859" s="14" t="str">
        <f>VLOOKUP(C3859,'State Key'!$A$2:$B$210,2,False)</f>
        <v>Odisha</v>
      </c>
      <c r="E3859" s="21">
        <v>350.0</v>
      </c>
      <c r="F3859" s="22">
        <v>244.166</v>
      </c>
      <c r="G3859" s="22">
        <v>0.0</v>
      </c>
      <c r="H3859" s="22">
        <v>0.0</v>
      </c>
      <c r="I3859" s="22">
        <v>0.0</v>
      </c>
      <c r="J3859" s="22">
        <v>0.0</v>
      </c>
      <c r="K3859" s="22">
        <v>0.0</v>
      </c>
      <c r="L3859" s="22">
        <v>244.166</v>
      </c>
      <c r="M3859" s="22">
        <v>195.225</v>
      </c>
      <c r="N3859" s="22">
        <v>240.427</v>
      </c>
      <c r="O3859" s="24">
        <v>36.9</v>
      </c>
      <c r="P3859" s="18">
        <f t="shared" si="1"/>
        <v>244.166</v>
      </c>
    </row>
    <row r="3860" ht="15.75" customHeight="1">
      <c r="A3860" s="13" t="s">
        <v>240</v>
      </c>
      <c r="B3860" s="13" t="s">
        <v>22</v>
      </c>
      <c r="C3860" s="14" t="s">
        <v>60</v>
      </c>
      <c r="D3860" s="14" t="str">
        <f>VLOOKUP(C3860,'State Key'!$A$2:$B$210,2,False)</f>
        <v>Odisha</v>
      </c>
      <c r="E3860" s="15">
        <v>600.0</v>
      </c>
      <c r="F3860" s="16">
        <v>0.0</v>
      </c>
      <c r="G3860" s="16">
        <v>0.0</v>
      </c>
      <c r="H3860" s="16">
        <v>0.0</v>
      </c>
      <c r="I3860" s="16">
        <v>0.0</v>
      </c>
      <c r="J3860" s="16">
        <v>0.0</v>
      </c>
      <c r="K3860" s="16">
        <v>0.0</v>
      </c>
      <c r="L3860" s="16">
        <v>0.0</v>
      </c>
      <c r="M3860" s="16">
        <v>0.0</v>
      </c>
      <c r="N3860" s="16">
        <v>41.24</v>
      </c>
      <c r="O3860" s="13" t="s">
        <v>58</v>
      </c>
      <c r="P3860" s="18">
        <f t="shared" si="1"/>
        <v>0</v>
      </c>
    </row>
    <row r="3861" ht="15.75" customHeight="1">
      <c r="A3861" s="19" t="s">
        <v>240</v>
      </c>
      <c r="B3861" s="19" t="s">
        <v>61</v>
      </c>
      <c r="C3861" s="20" t="s">
        <v>209</v>
      </c>
      <c r="D3861" s="14" t="str">
        <f>VLOOKUP(C3861,'State Key'!$A$2:$B$210,2,False)</f>
        <v>Rajasthan</v>
      </c>
      <c r="E3861" s="21">
        <v>1320.0</v>
      </c>
      <c r="F3861" s="22">
        <v>379.554</v>
      </c>
      <c r="G3861" s="22">
        <v>0.0</v>
      </c>
      <c r="H3861" s="22">
        <v>0.0</v>
      </c>
      <c r="I3861" s="22">
        <v>0.0</v>
      </c>
      <c r="J3861" s="22">
        <v>4.148</v>
      </c>
      <c r="K3861" s="22">
        <v>0.0</v>
      </c>
      <c r="L3861" s="22">
        <v>383.702</v>
      </c>
      <c r="M3861" s="22">
        <v>435.672</v>
      </c>
      <c r="N3861" s="22">
        <v>234.76</v>
      </c>
      <c r="O3861" s="24">
        <v>16.2</v>
      </c>
      <c r="P3861" s="18">
        <f t="shared" si="1"/>
        <v>383.702</v>
      </c>
    </row>
    <row r="3862" ht="15.75" customHeight="1">
      <c r="A3862" s="13" t="s">
        <v>240</v>
      </c>
      <c r="B3862" s="13" t="s">
        <v>61</v>
      </c>
      <c r="C3862" s="14" t="s">
        <v>62</v>
      </c>
      <c r="D3862" s="14" t="str">
        <f>VLOOKUP(C3862,'State Key'!$A$2:$B$210,2,False)</f>
        <v>Uttar Pradesh</v>
      </c>
      <c r="E3862" s="15">
        <v>1200.0</v>
      </c>
      <c r="F3862" s="16">
        <v>441.46832</v>
      </c>
      <c r="G3862" s="16">
        <v>0.0</v>
      </c>
      <c r="H3862" s="16">
        <v>0.0</v>
      </c>
      <c r="I3862" s="16">
        <v>0.0</v>
      </c>
      <c r="J3862" s="16">
        <v>0.0</v>
      </c>
      <c r="K3862" s="16">
        <v>0.0</v>
      </c>
      <c r="L3862" s="16">
        <v>441.46832</v>
      </c>
      <c r="M3862" s="16">
        <v>360.047</v>
      </c>
      <c r="N3862" s="16">
        <v>320.58</v>
      </c>
      <c r="O3862" s="24">
        <v>26.7</v>
      </c>
      <c r="P3862" s="18">
        <f t="shared" si="1"/>
        <v>441.46832</v>
      </c>
    </row>
    <row r="3863" ht="15.75" customHeight="1">
      <c r="A3863" s="19" t="s">
        <v>240</v>
      </c>
      <c r="B3863" s="19" t="s">
        <v>61</v>
      </c>
      <c r="C3863" s="20" t="s">
        <v>63</v>
      </c>
      <c r="D3863" s="14" t="str">
        <f>VLOOKUP(C3863,'State Key'!$A$2:$B$210,2,False)</f>
        <v>Uttar Pradesh</v>
      </c>
      <c r="E3863" s="21">
        <v>2630.0</v>
      </c>
      <c r="F3863" s="22">
        <v>769.481</v>
      </c>
      <c r="G3863" s="22">
        <v>0.0</v>
      </c>
      <c r="H3863" s="22">
        <v>0.0</v>
      </c>
      <c r="I3863" s="22">
        <v>0.0</v>
      </c>
      <c r="J3863" s="22">
        <v>0.0</v>
      </c>
      <c r="K3863" s="22">
        <v>0.0</v>
      </c>
      <c r="L3863" s="22">
        <v>769.481</v>
      </c>
      <c r="M3863" s="22">
        <v>715.308</v>
      </c>
      <c r="N3863" s="22">
        <v>930.3</v>
      </c>
      <c r="O3863" s="24">
        <v>39.0</v>
      </c>
      <c r="P3863" s="18">
        <f t="shared" si="1"/>
        <v>769.481</v>
      </c>
    </row>
    <row r="3864" ht="15.75" customHeight="1">
      <c r="A3864" s="13" t="s">
        <v>240</v>
      </c>
      <c r="B3864" s="13" t="s">
        <v>61</v>
      </c>
      <c r="C3864" s="14" t="s">
        <v>64</v>
      </c>
      <c r="D3864" s="14" t="str">
        <f>VLOOKUP(C3864,'State Key'!$A$2:$B$210,2,False)</f>
        <v>Uttar Pradesh</v>
      </c>
      <c r="E3864" s="15">
        <v>90.0</v>
      </c>
      <c r="F3864" s="16">
        <v>27.94</v>
      </c>
      <c r="G3864" s="16">
        <v>0.0</v>
      </c>
      <c r="H3864" s="16">
        <v>0.0</v>
      </c>
      <c r="I3864" s="16">
        <v>0.0</v>
      </c>
      <c r="J3864" s="16">
        <v>0.0</v>
      </c>
      <c r="K3864" s="16">
        <v>0.0</v>
      </c>
      <c r="L3864" s="16">
        <v>27.94</v>
      </c>
      <c r="M3864" s="16">
        <v>34.82</v>
      </c>
      <c r="N3864" s="16">
        <v>38.36</v>
      </c>
      <c r="O3864" s="24">
        <v>33.0</v>
      </c>
      <c r="P3864" s="18">
        <f t="shared" si="1"/>
        <v>27.94</v>
      </c>
    </row>
    <row r="3865" ht="15.75" customHeight="1">
      <c r="A3865" s="19" t="s">
        <v>240</v>
      </c>
      <c r="B3865" s="19" t="s">
        <v>61</v>
      </c>
      <c r="C3865" s="20" t="s">
        <v>65</v>
      </c>
      <c r="D3865" s="14" t="str">
        <f>VLOOKUP(C3865,'State Key'!$A$2:$B$210,2,False)</f>
        <v>Rajasthan</v>
      </c>
      <c r="E3865" s="21">
        <v>500.0</v>
      </c>
      <c r="F3865" s="22">
        <v>141.46</v>
      </c>
      <c r="G3865" s="22">
        <v>0.0</v>
      </c>
      <c r="H3865" s="22">
        <v>0.0</v>
      </c>
      <c r="I3865" s="22">
        <v>0.0</v>
      </c>
      <c r="J3865" s="22">
        <v>0.0</v>
      </c>
      <c r="K3865" s="22">
        <v>0.0</v>
      </c>
      <c r="L3865" s="22">
        <v>141.46</v>
      </c>
      <c r="M3865" s="22">
        <v>212.4831</v>
      </c>
      <c r="N3865" s="22">
        <v>106.3516</v>
      </c>
      <c r="O3865" s="24">
        <v>15.0</v>
      </c>
      <c r="P3865" s="18">
        <f t="shared" si="1"/>
        <v>141.46</v>
      </c>
    </row>
    <row r="3866" ht="15.75" customHeight="1">
      <c r="A3866" s="13" t="s">
        <v>240</v>
      </c>
      <c r="B3866" s="13" t="s">
        <v>61</v>
      </c>
      <c r="C3866" s="14" t="s">
        <v>66</v>
      </c>
      <c r="D3866" s="14" t="str">
        <f>VLOOKUP(C3866,'State Key'!$A$2:$B$210,2,False)</f>
        <v>Rajasthan</v>
      </c>
      <c r="E3866" s="15">
        <v>500.0</v>
      </c>
      <c r="F3866" s="16">
        <v>200.8581</v>
      </c>
      <c r="G3866" s="16">
        <v>0.0</v>
      </c>
      <c r="H3866" s="16">
        <v>108.6847</v>
      </c>
      <c r="I3866" s="16">
        <v>0.0</v>
      </c>
      <c r="J3866" s="16">
        <v>0.0</v>
      </c>
      <c r="K3866" s="16">
        <v>0.0</v>
      </c>
      <c r="L3866" s="16">
        <v>309.5428</v>
      </c>
      <c r="M3866" s="16">
        <v>217.3656</v>
      </c>
      <c r="N3866" s="16">
        <v>105.0374</v>
      </c>
      <c r="O3866" s="24">
        <v>14.5</v>
      </c>
      <c r="P3866" s="18">
        <f t="shared" si="1"/>
        <v>309.5428</v>
      </c>
    </row>
    <row r="3867" ht="15.75" customHeight="1">
      <c r="A3867" s="19" t="s">
        <v>240</v>
      </c>
      <c r="B3867" s="19" t="s">
        <v>61</v>
      </c>
      <c r="C3867" s="20" t="s">
        <v>67</v>
      </c>
      <c r="D3867" s="14" t="str">
        <f>VLOOKUP(C3867,'State Key'!$A$2:$B$210,2,False)</f>
        <v>Rajasthan</v>
      </c>
      <c r="E3867" s="21">
        <v>1320.0</v>
      </c>
      <c r="F3867" s="22">
        <v>34.81092</v>
      </c>
      <c r="G3867" s="22">
        <v>0.0</v>
      </c>
      <c r="H3867" s="22">
        <v>473.76705</v>
      </c>
      <c r="I3867" s="22">
        <v>0.0</v>
      </c>
      <c r="J3867" s="22">
        <v>0.0</v>
      </c>
      <c r="K3867" s="22">
        <v>0.0</v>
      </c>
      <c r="L3867" s="22">
        <v>508.57797</v>
      </c>
      <c r="M3867" s="22">
        <v>446.087</v>
      </c>
      <c r="N3867" s="22">
        <v>269.02</v>
      </c>
      <c r="O3867" s="24">
        <v>18.1</v>
      </c>
      <c r="P3867" s="18">
        <f t="shared" si="1"/>
        <v>508.57797</v>
      </c>
    </row>
    <row r="3868" ht="15.75" customHeight="1">
      <c r="A3868" s="13" t="s">
        <v>240</v>
      </c>
      <c r="B3868" s="13" t="s">
        <v>61</v>
      </c>
      <c r="C3868" s="14" t="s">
        <v>68</v>
      </c>
      <c r="D3868" s="14" t="str">
        <f>VLOOKUP(C3868,'State Key'!$A$2:$B$210,2,False)</f>
        <v>Uttar Pradesh</v>
      </c>
      <c r="E3868" s="15">
        <v>1820.0</v>
      </c>
      <c r="F3868" s="16">
        <v>545.67</v>
      </c>
      <c r="G3868" s="16">
        <v>4.14</v>
      </c>
      <c r="H3868" s="16">
        <v>232.82</v>
      </c>
      <c r="I3868" s="16">
        <v>0.0</v>
      </c>
      <c r="J3868" s="16">
        <v>0.0</v>
      </c>
      <c r="K3868" s="16">
        <v>4.1</v>
      </c>
      <c r="L3868" s="16">
        <v>786.73</v>
      </c>
      <c r="M3868" s="16">
        <v>626.164</v>
      </c>
      <c r="N3868" s="16">
        <v>488.786</v>
      </c>
      <c r="O3868" s="24">
        <v>23.4</v>
      </c>
      <c r="P3868" s="18">
        <f t="shared" si="1"/>
        <v>786.73</v>
      </c>
    </row>
    <row r="3869" ht="15.75" customHeight="1">
      <c r="A3869" s="19" t="s">
        <v>240</v>
      </c>
      <c r="B3869" s="19" t="s">
        <v>61</v>
      </c>
      <c r="C3869" s="20" t="s">
        <v>69</v>
      </c>
      <c r="D3869" s="14" t="str">
        <f>VLOOKUP(C3869,'State Key'!$A$2:$B$210,2,False)</f>
        <v>Punjab</v>
      </c>
      <c r="E3869" s="21">
        <v>920.0</v>
      </c>
      <c r="F3869" s="22">
        <v>8.044</v>
      </c>
      <c r="G3869" s="22">
        <v>0.0</v>
      </c>
      <c r="H3869" s="22">
        <v>228.488</v>
      </c>
      <c r="I3869" s="22">
        <v>0.0</v>
      </c>
      <c r="J3869" s="22">
        <v>0.0</v>
      </c>
      <c r="K3869" s="22">
        <v>0.0</v>
      </c>
      <c r="L3869" s="22">
        <v>236.532</v>
      </c>
      <c r="M3869" s="22">
        <v>264.059</v>
      </c>
      <c r="N3869" s="22">
        <v>390.134</v>
      </c>
      <c r="O3869" s="24">
        <v>44.3</v>
      </c>
      <c r="P3869" s="18">
        <f t="shared" si="1"/>
        <v>236.532</v>
      </c>
    </row>
    <row r="3870" ht="15.75" customHeight="1">
      <c r="A3870" s="13" t="s">
        <v>240</v>
      </c>
      <c r="B3870" s="13" t="s">
        <v>61</v>
      </c>
      <c r="C3870" s="14" t="s">
        <v>242</v>
      </c>
      <c r="D3870" s="14" t="str">
        <f>VLOOKUP(C3870,'State Key'!$A$2:$B$210,2,False)</f>
        <v>Uttar Pradesh</v>
      </c>
      <c r="E3870" s="15">
        <v>660.0</v>
      </c>
      <c r="F3870" s="16">
        <v>0.0</v>
      </c>
      <c r="G3870" s="16">
        <v>0.0</v>
      </c>
      <c r="H3870" s="16">
        <v>0.0</v>
      </c>
      <c r="I3870" s="16">
        <v>0.0</v>
      </c>
      <c r="J3870" s="16">
        <v>0.0</v>
      </c>
      <c r="K3870" s="16">
        <v>0.0</v>
      </c>
      <c r="L3870" s="16">
        <v>0.0</v>
      </c>
      <c r="M3870" s="16">
        <v>0.0</v>
      </c>
      <c r="N3870" s="16">
        <v>0.0</v>
      </c>
      <c r="O3870" s="13" t="s">
        <v>58</v>
      </c>
      <c r="P3870" s="18">
        <f t="shared" si="1"/>
        <v>0</v>
      </c>
    </row>
    <row r="3871" ht="15.75" customHeight="1">
      <c r="A3871" s="19" t="s">
        <v>240</v>
      </c>
      <c r="B3871" s="19" t="s">
        <v>61</v>
      </c>
      <c r="C3871" s="20" t="s">
        <v>70</v>
      </c>
      <c r="D3871" s="14" t="str">
        <f>VLOOKUP(C3871,'State Key'!$A$2:$B$210,2,False)</f>
        <v>Punjab</v>
      </c>
      <c r="E3871" s="21">
        <v>540.0</v>
      </c>
      <c r="F3871" s="22">
        <v>0.0</v>
      </c>
      <c r="G3871" s="22">
        <v>0.0</v>
      </c>
      <c r="H3871" s="22">
        <v>132.0039</v>
      </c>
      <c r="I3871" s="22">
        <v>0.0</v>
      </c>
      <c r="J3871" s="22">
        <v>0.0</v>
      </c>
      <c r="K3871" s="22">
        <v>0.0</v>
      </c>
      <c r="L3871" s="22">
        <v>132.0039</v>
      </c>
      <c r="M3871" s="22">
        <v>136.455</v>
      </c>
      <c r="N3871" s="22">
        <v>245.57</v>
      </c>
      <c r="O3871" s="24">
        <v>54.0</v>
      </c>
      <c r="P3871" s="18">
        <f t="shared" si="1"/>
        <v>132.0039</v>
      </c>
    </row>
    <row r="3872" ht="15.75" customHeight="1">
      <c r="A3872" s="13" t="s">
        <v>240</v>
      </c>
      <c r="B3872" s="13" t="s">
        <v>61</v>
      </c>
      <c r="C3872" s="14" t="s">
        <v>71</v>
      </c>
      <c r="D3872" s="14" t="str">
        <f>VLOOKUP(C3872,'State Key'!$A$2:$B$210,2,False)</f>
        <v>Uttar Pradesh</v>
      </c>
      <c r="E3872" s="15">
        <v>1265.0</v>
      </c>
      <c r="F3872" s="16">
        <v>354.222</v>
      </c>
      <c r="G3872" s="16">
        <v>0.0</v>
      </c>
      <c r="H3872" s="16">
        <v>0.0</v>
      </c>
      <c r="I3872" s="16">
        <v>0.0</v>
      </c>
      <c r="J3872" s="16">
        <v>0.0</v>
      </c>
      <c r="K3872" s="16">
        <v>0.0</v>
      </c>
      <c r="L3872" s="16">
        <v>354.222</v>
      </c>
      <c r="M3872" s="16">
        <v>396.006</v>
      </c>
      <c r="N3872" s="16">
        <v>444.65</v>
      </c>
      <c r="O3872" s="24">
        <v>33.7</v>
      </c>
      <c r="P3872" s="18">
        <f t="shared" si="1"/>
        <v>354.222</v>
      </c>
    </row>
    <row r="3873" ht="15.75" customHeight="1">
      <c r="A3873" s="19" t="s">
        <v>240</v>
      </c>
      <c r="B3873" s="19" t="s">
        <v>61</v>
      </c>
      <c r="C3873" s="20" t="s">
        <v>72</v>
      </c>
      <c r="D3873" s="14" t="str">
        <f>VLOOKUP(C3873,'State Key'!$A$2:$B$210,2,False)</f>
        <v>Haryana</v>
      </c>
      <c r="E3873" s="21">
        <v>1500.0</v>
      </c>
      <c r="F3873" s="22">
        <v>601.827</v>
      </c>
      <c r="G3873" s="22">
        <v>0.0</v>
      </c>
      <c r="H3873" s="22">
        <v>0.0</v>
      </c>
      <c r="I3873" s="22">
        <v>0.0</v>
      </c>
      <c r="J3873" s="22">
        <v>0.0</v>
      </c>
      <c r="K3873" s="22">
        <v>0.0</v>
      </c>
      <c r="L3873" s="22">
        <v>601.827</v>
      </c>
      <c r="M3873" s="22">
        <v>527.978</v>
      </c>
      <c r="N3873" s="22">
        <v>675.84</v>
      </c>
      <c r="O3873" s="24">
        <v>38.4</v>
      </c>
      <c r="P3873" s="18">
        <f t="shared" si="1"/>
        <v>601.827</v>
      </c>
    </row>
    <row r="3874" ht="15.75" customHeight="1">
      <c r="A3874" s="13" t="s">
        <v>240</v>
      </c>
      <c r="B3874" s="13" t="s">
        <v>61</v>
      </c>
      <c r="C3874" s="14" t="s">
        <v>226</v>
      </c>
      <c r="D3874" s="14" t="str">
        <f>VLOOKUP(C3874,'State Key'!$A$2:$B$210,2,False)</f>
        <v>Uttar Pradesh</v>
      </c>
      <c r="E3874" s="15">
        <v>1320.0</v>
      </c>
      <c r="F3874" s="16">
        <v>78.813</v>
      </c>
      <c r="G3874" s="16">
        <v>0.0</v>
      </c>
      <c r="H3874" s="16">
        <v>0.0</v>
      </c>
      <c r="I3874" s="16">
        <v>0.0</v>
      </c>
      <c r="J3874" s="16">
        <v>0.0</v>
      </c>
      <c r="K3874" s="16">
        <v>0.0</v>
      </c>
      <c r="L3874" s="16">
        <v>78.813</v>
      </c>
      <c r="M3874" s="16">
        <v>0.0</v>
      </c>
      <c r="N3874" s="16">
        <v>237.32</v>
      </c>
      <c r="O3874" s="13" t="s">
        <v>58</v>
      </c>
      <c r="P3874" s="18">
        <f t="shared" si="1"/>
        <v>78.813</v>
      </c>
    </row>
    <row r="3875" ht="15.75" customHeight="1">
      <c r="A3875" s="19" t="s">
        <v>240</v>
      </c>
      <c r="B3875" s="19" t="s">
        <v>61</v>
      </c>
      <c r="C3875" s="20" t="s">
        <v>73</v>
      </c>
      <c r="D3875" s="14" t="str">
        <f>VLOOKUP(C3875,'State Key'!$A$2:$B$210,2,False)</f>
        <v>Rajasthan</v>
      </c>
      <c r="E3875" s="21">
        <v>1200.0</v>
      </c>
      <c r="F3875" s="22">
        <v>7.695</v>
      </c>
      <c r="G3875" s="22">
        <v>0.0</v>
      </c>
      <c r="H3875" s="22">
        <v>529.313</v>
      </c>
      <c r="I3875" s="22">
        <v>0.0</v>
      </c>
      <c r="J3875" s="22">
        <v>0.0</v>
      </c>
      <c r="K3875" s="22">
        <v>0.0</v>
      </c>
      <c r="L3875" s="22">
        <v>537.008</v>
      </c>
      <c r="M3875" s="22">
        <v>439.552</v>
      </c>
      <c r="N3875" s="22">
        <v>333.98</v>
      </c>
      <c r="O3875" s="24">
        <v>22.8</v>
      </c>
      <c r="P3875" s="18">
        <f t="shared" si="1"/>
        <v>537.008</v>
      </c>
    </row>
    <row r="3876" ht="15.75" customHeight="1">
      <c r="A3876" s="13" t="s">
        <v>240</v>
      </c>
      <c r="B3876" s="13" t="s">
        <v>61</v>
      </c>
      <c r="C3876" s="14" t="s">
        <v>75</v>
      </c>
      <c r="D3876" s="14" t="str">
        <f>VLOOKUP(C3876,'State Key'!$A$2:$B$210,2,False)</f>
        <v>Uttar Pradesh</v>
      </c>
      <c r="E3876" s="15">
        <v>90.0</v>
      </c>
      <c r="F3876" s="16">
        <v>34.63</v>
      </c>
      <c r="G3876" s="16">
        <v>0.0</v>
      </c>
      <c r="H3876" s="16">
        <v>0.0</v>
      </c>
      <c r="I3876" s="16">
        <v>0.0</v>
      </c>
      <c r="J3876" s="16">
        <v>0.0</v>
      </c>
      <c r="K3876" s="16">
        <v>0.0</v>
      </c>
      <c r="L3876" s="16">
        <v>34.63</v>
      </c>
      <c r="M3876" s="16">
        <v>33.87</v>
      </c>
      <c r="N3876" s="16">
        <v>32.98</v>
      </c>
      <c r="O3876" s="24">
        <v>29.2</v>
      </c>
      <c r="P3876" s="18">
        <f t="shared" si="1"/>
        <v>34.63</v>
      </c>
    </row>
    <row r="3877" ht="15.75" customHeight="1">
      <c r="A3877" s="19" t="s">
        <v>240</v>
      </c>
      <c r="B3877" s="19" t="s">
        <v>61</v>
      </c>
      <c r="C3877" s="20" t="s">
        <v>76</v>
      </c>
      <c r="D3877" s="14" t="str">
        <f>VLOOKUP(C3877,'State Key'!$A$2:$B$210,2,False)</f>
        <v>Rajasthan</v>
      </c>
      <c r="E3877" s="21">
        <v>1240.0</v>
      </c>
      <c r="F3877" s="22">
        <v>563.8043</v>
      </c>
      <c r="G3877" s="22">
        <v>0.0</v>
      </c>
      <c r="H3877" s="22">
        <v>0.0</v>
      </c>
      <c r="I3877" s="22">
        <v>0.0</v>
      </c>
      <c r="J3877" s="22">
        <v>0.0</v>
      </c>
      <c r="K3877" s="22">
        <v>0.0</v>
      </c>
      <c r="L3877" s="22">
        <v>563.8043</v>
      </c>
      <c r="M3877" s="22">
        <v>536.09</v>
      </c>
      <c r="N3877" s="22">
        <v>393.87</v>
      </c>
      <c r="O3877" s="24">
        <v>22.0</v>
      </c>
      <c r="P3877" s="18">
        <f t="shared" si="1"/>
        <v>563.8043</v>
      </c>
    </row>
    <row r="3878" ht="15.75" customHeight="1">
      <c r="A3878" s="13" t="s">
        <v>240</v>
      </c>
      <c r="B3878" s="13" t="s">
        <v>61</v>
      </c>
      <c r="C3878" s="14" t="s">
        <v>77</v>
      </c>
      <c r="D3878" s="14" t="str">
        <f>VLOOKUP(C3878,'State Key'!$A$2:$B$210,2,False)</f>
        <v>Uttar Pradesh</v>
      </c>
      <c r="E3878" s="15">
        <v>90.0</v>
      </c>
      <c r="F3878" s="16">
        <v>24.08</v>
      </c>
      <c r="G3878" s="16">
        <v>0.0</v>
      </c>
      <c r="H3878" s="16">
        <v>0.0</v>
      </c>
      <c r="I3878" s="16">
        <v>0.0</v>
      </c>
      <c r="J3878" s="16">
        <v>0.0</v>
      </c>
      <c r="K3878" s="16">
        <v>0.0</v>
      </c>
      <c r="L3878" s="16">
        <v>24.08</v>
      </c>
      <c r="M3878" s="16">
        <v>34.19</v>
      </c>
      <c r="N3878" s="16">
        <v>32.8</v>
      </c>
      <c r="O3878" s="24">
        <v>28.8</v>
      </c>
      <c r="P3878" s="18">
        <f t="shared" si="1"/>
        <v>24.08</v>
      </c>
    </row>
    <row r="3879" ht="15.75" customHeight="1">
      <c r="A3879" s="19" t="s">
        <v>240</v>
      </c>
      <c r="B3879" s="19" t="s">
        <v>61</v>
      </c>
      <c r="C3879" s="20" t="s">
        <v>78</v>
      </c>
      <c r="D3879" s="14" t="str">
        <f>VLOOKUP(C3879,'State Key'!$A$2:$B$210,2,False)</f>
        <v>Uttar Pradesh</v>
      </c>
      <c r="E3879" s="21">
        <v>1980.0</v>
      </c>
      <c r="F3879" s="22">
        <v>786.548</v>
      </c>
      <c r="G3879" s="22">
        <v>0.0</v>
      </c>
      <c r="H3879" s="22">
        <v>0.0</v>
      </c>
      <c r="I3879" s="22">
        <v>0.0</v>
      </c>
      <c r="J3879" s="22">
        <v>0.0</v>
      </c>
      <c r="K3879" s="22">
        <v>0.0</v>
      </c>
      <c r="L3879" s="22">
        <v>786.548</v>
      </c>
      <c r="M3879" s="22">
        <v>499.804</v>
      </c>
      <c r="N3879" s="22">
        <v>592.65</v>
      </c>
      <c r="O3879" s="24">
        <v>35.6</v>
      </c>
      <c r="P3879" s="18">
        <f t="shared" si="1"/>
        <v>786.548</v>
      </c>
    </row>
    <row r="3880" ht="15.75" customHeight="1">
      <c r="A3880" s="13" t="s">
        <v>240</v>
      </c>
      <c r="B3880" s="13" t="s">
        <v>61</v>
      </c>
      <c r="C3880" s="14" t="s">
        <v>79</v>
      </c>
      <c r="D3880" s="14" t="str">
        <f>VLOOKUP(C3880,'State Key'!$A$2:$B$210,2,False)</f>
        <v>Haryana</v>
      </c>
      <c r="E3880" s="15">
        <v>1320.0</v>
      </c>
      <c r="F3880" s="16">
        <v>598.921</v>
      </c>
      <c r="G3880" s="16">
        <v>0.0</v>
      </c>
      <c r="H3880" s="16">
        <v>0.0</v>
      </c>
      <c r="I3880" s="16">
        <v>0.0</v>
      </c>
      <c r="J3880" s="16">
        <v>0.0</v>
      </c>
      <c r="K3880" s="16">
        <v>0.0</v>
      </c>
      <c r="L3880" s="16">
        <v>598.921</v>
      </c>
      <c r="M3880" s="16">
        <v>430.711</v>
      </c>
      <c r="N3880" s="16">
        <v>489.85</v>
      </c>
      <c r="O3880" s="24">
        <v>34.1</v>
      </c>
      <c r="P3880" s="18">
        <f t="shared" si="1"/>
        <v>598.921</v>
      </c>
    </row>
    <row r="3881" ht="15.75" customHeight="1">
      <c r="A3881" s="19" t="s">
        <v>240</v>
      </c>
      <c r="B3881" s="19" t="s">
        <v>61</v>
      </c>
      <c r="C3881" s="20" t="s">
        <v>80</v>
      </c>
      <c r="D3881" s="14" t="str">
        <f>VLOOKUP(C3881,'State Key'!$A$2:$B$210,2,False)</f>
        <v>Uttar Pradesh</v>
      </c>
      <c r="E3881" s="21">
        <v>90.0</v>
      </c>
      <c r="F3881" s="22">
        <v>36.17</v>
      </c>
      <c r="G3881" s="22">
        <v>0.0</v>
      </c>
      <c r="H3881" s="22">
        <v>0.0</v>
      </c>
      <c r="I3881" s="22">
        <v>0.0</v>
      </c>
      <c r="J3881" s="22">
        <v>0.0</v>
      </c>
      <c r="K3881" s="22">
        <v>0.0</v>
      </c>
      <c r="L3881" s="22">
        <v>36.17</v>
      </c>
      <c r="M3881" s="22">
        <v>33.97</v>
      </c>
      <c r="N3881" s="22">
        <v>30.67</v>
      </c>
      <c r="O3881" s="24">
        <v>27.1</v>
      </c>
      <c r="P3881" s="18">
        <f t="shared" si="1"/>
        <v>36.17</v>
      </c>
    </row>
    <row r="3882" ht="15.75" customHeight="1">
      <c r="A3882" s="13" t="s">
        <v>240</v>
      </c>
      <c r="B3882" s="13" t="s">
        <v>61</v>
      </c>
      <c r="C3882" s="14" t="s">
        <v>81</v>
      </c>
      <c r="D3882" s="14" t="str">
        <f>VLOOKUP(C3882,'State Key'!$A$2:$B$210,2,False)</f>
        <v>Uttar Pradesh</v>
      </c>
      <c r="E3882" s="15">
        <v>1320.0</v>
      </c>
      <c r="F3882" s="16">
        <v>652.9353</v>
      </c>
      <c r="G3882" s="16">
        <v>0.0</v>
      </c>
      <c r="H3882" s="16">
        <v>23.8136</v>
      </c>
      <c r="I3882" s="16">
        <v>0.0</v>
      </c>
      <c r="J3882" s="16">
        <v>0.0</v>
      </c>
      <c r="K3882" s="16">
        <v>0.0</v>
      </c>
      <c r="L3882" s="16">
        <v>676.7489</v>
      </c>
      <c r="M3882" s="16">
        <v>526.875</v>
      </c>
      <c r="N3882" s="16">
        <v>446.0</v>
      </c>
      <c r="O3882" s="24">
        <v>25.4</v>
      </c>
      <c r="P3882" s="18">
        <f t="shared" si="1"/>
        <v>676.7489</v>
      </c>
    </row>
    <row r="3883" ht="15.75" customHeight="1">
      <c r="A3883" s="19" t="s">
        <v>240</v>
      </c>
      <c r="B3883" s="19" t="s">
        <v>61</v>
      </c>
      <c r="C3883" s="20" t="s">
        <v>82</v>
      </c>
      <c r="D3883" s="14" t="str">
        <f>VLOOKUP(C3883,'State Key'!$A$2:$B$210,2,False)</f>
        <v>Uttar Pradesh</v>
      </c>
      <c r="E3883" s="21">
        <v>1660.0</v>
      </c>
      <c r="F3883" s="22">
        <v>608.86</v>
      </c>
      <c r="G3883" s="22">
        <v>0.0</v>
      </c>
      <c r="H3883" s="22">
        <v>0.0</v>
      </c>
      <c r="I3883" s="22">
        <v>0.0</v>
      </c>
      <c r="J3883" s="22">
        <v>0.0</v>
      </c>
      <c r="K3883" s="22">
        <v>0.0</v>
      </c>
      <c r="L3883" s="22">
        <v>608.86</v>
      </c>
      <c r="M3883" s="22">
        <v>547.1163</v>
      </c>
      <c r="N3883" s="22">
        <v>262.28</v>
      </c>
      <c r="O3883" s="24">
        <v>14.4</v>
      </c>
      <c r="P3883" s="18">
        <f t="shared" si="1"/>
        <v>608.86</v>
      </c>
    </row>
    <row r="3884" ht="15.75" customHeight="1">
      <c r="A3884" s="13" t="s">
        <v>240</v>
      </c>
      <c r="B3884" s="13" t="s">
        <v>61</v>
      </c>
      <c r="C3884" s="14" t="s">
        <v>83</v>
      </c>
      <c r="D3884" s="14" t="str">
        <f>VLOOKUP(C3884,'State Key'!$A$2:$B$210,2,False)</f>
        <v>Haryana</v>
      </c>
      <c r="E3884" s="15">
        <v>710.0</v>
      </c>
      <c r="F3884" s="16">
        <v>206.794</v>
      </c>
      <c r="G3884" s="16">
        <v>0.0</v>
      </c>
      <c r="H3884" s="16">
        <v>0.0</v>
      </c>
      <c r="I3884" s="16">
        <v>7.898</v>
      </c>
      <c r="J3884" s="16">
        <v>0.0</v>
      </c>
      <c r="K3884" s="16">
        <v>7.956</v>
      </c>
      <c r="L3884" s="16">
        <v>222.648</v>
      </c>
      <c r="M3884" s="16">
        <v>222.53</v>
      </c>
      <c r="N3884" s="16">
        <v>298.31</v>
      </c>
      <c r="O3884" s="24">
        <v>40.2</v>
      </c>
      <c r="P3884" s="18">
        <f t="shared" si="1"/>
        <v>222.648</v>
      </c>
    </row>
    <row r="3885" ht="15.75" customHeight="1">
      <c r="A3885" s="19" t="s">
        <v>240</v>
      </c>
      <c r="B3885" s="19" t="s">
        <v>61</v>
      </c>
      <c r="C3885" s="20" t="s">
        <v>84</v>
      </c>
      <c r="D3885" s="14" t="str">
        <f>VLOOKUP(C3885,'State Key'!$A$2:$B$210,2,False)</f>
        <v>Uttar Pradesh</v>
      </c>
      <c r="E3885" s="21">
        <v>920.0</v>
      </c>
      <c r="F3885" s="22">
        <v>387.159</v>
      </c>
      <c r="G3885" s="22">
        <v>0.0</v>
      </c>
      <c r="H3885" s="22">
        <v>0.0</v>
      </c>
      <c r="I3885" s="22">
        <v>0.0</v>
      </c>
      <c r="J3885" s="22">
        <v>0.0</v>
      </c>
      <c r="K3885" s="22">
        <v>0.0</v>
      </c>
      <c r="L3885" s="22">
        <v>387.159</v>
      </c>
      <c r="M3885" s="22">
        <v>368.703</v>
      </c>
      <c r="N3885" s="22">
        <v>329.654</v>
      </c>
      <c r="O3885" s="24">
        <v>26.8</v>
      </c>
      <c r="P3885" s="18">
        <f t="shared" si="1"/>
        <v>387.159</v>
      </c>
    </row>
    <row r="3886" ht="15.75" customHeight="1">
      <c r="A3886" s="13" t="s">
        <v>240</v>
      </c>
      <c r="B3886" s="13" t="s">
        <v>61</v>
      </c>
      <c r="C3886" s="14" t="s">
        <v>85</v>
      </c>
      <c r="D3886" s="14" t="str">
        <f>VLOOKUP(C3886,'State Key'!$A$2:$B$210,2,False)</f>
        <v>Uttar Pradesh</v>
      </c>
      <c r="E3886" s="15">
        <v>1980.0</v>
      </c>
      <c r="F3886" s="16">
        <v>692.865</v>
      </c>
      <c r="G3886" s="16">
        <v>0.0</v>
      </c>
      <c r="H3886" s="16">
        <v>0.0</v>
      </c>
      <c r="I3886" s="16">
        <v>0.0</v>
      </c>
      <c r="J3886" s="16">
        <v>0.0</v>
      </c>
      <c r="K3886" s="16">
        <v>0.0</v>
      </c>
      <c r="L3886" s="16">
        <v>692.865</v>
      </c>
      <c r="M3886" s="16">
        <v>674.2099</v>
      </c>
      <c r="N3886" s="16">
        <v>696.77</v>
      </c>
      <c r="O3886" s="24">
        <v>31.0</v>
      </c>
      <c r="P3886" s="18">
        <f t="shared" si="1"/>
        <v>692.865</v>
      </c>
    </row>
    <row r="3887" ht="15.75" customHeight="1">
      <c r="A3887" s="19" t="s">
        <v>240</v>
      </c>
      <c r="B3887" s="19" t="s">
        <v>61</v>
      </c>
      <c r="C3887" s="20" t="s">
        <v>86</v>
      </c>
      <c r="D3887" s="14" t="str">
        <f>VLOOKUP(C3887,'State Key'!$A$2:$B$210,2,False)</f>
        <v>Haryana</v>
      </c>
      <c r="E3887" s="21">
        <v>1200.0</v>
      </c>
      <c r="F3887" s="22">
        <v>317.161</v>
      </c>
      <c r="G3887" s="22">
        <v>0.0</v>
      </c>
      <c r="H3887" s="22">
        <v>0.0</v>
      </c>
      <c r="I3887" s="22">
        <v>0.0</v>
      </c>
      <c r="J3887" s="22">
        <v>0.0</v>
      </c>
      <c r="K3887" s="22">
        <v>0.0</v>
      </c>
      <c r="L3887" s="22">
        <v>317.161</v>
      </c>
      <c r="M3887" s="22">
        <v>273.669</v>
      </c>
      <c r="N3887" s="22">
        <v>554.44</v>
      </c>
      <c r="O3887" s="24">
        <v>60.8</v>
      </c>
      <c r="P3887" s="18">
        <f t="shared" si="1"/>
        <v>317.161</v>
      </c>
    </row>
    <row r="3888" ht="15.75" customHeight="1">
      <c r="A3888" s="13" t="s">
        <v>240</v>
      </c>
      <c r="B3888" s="13" t="s">
        <v>61</v>
      </c>
      <c r="C3888" s="14" t="s">
        <v>87</v>
      </c>
      <c r="D3888" s="14" t="str">
        <f>VLOOKUP(C3888,'State Key'!$A$2:$B$210,2,False)</f>
        <v>Punjab</v>
      </c>
      <c r="E3888" s="15">
        <v>1400.0</v>
      </c>
      <c r="F3888" s="16">
        <v>356.4059</v>
      </c>
      <c r="G3888" s="16">
        <v>0.0</v>
      </c>
      <c r="H3888" s="16">
        <v>0.0</v>
      </c>
      <c r="I3888" s="16">
        <v>0.0</v>
      </c>
      <c r="J3888" s="16">
        <v>0.0</v>
      </c>
      <c r="K3888" s="16">
        <v>0.0</v>
      </c>
      <c r="L3888" s="16">
        <v>356.4059</v>
      </c>
      <c r="M3888" s="16">
        <v>431.8851</v>
      </c>
      <c r="N3888" s="16">
        <v>434.7</v>
      </c>
      <c r="O3888" s="24">
        <v>30.2</v>
      </c>
      <c r="P3888" s="18">
        <f t="shared" si="1"/>
        <v>356.4059</v>
      </c>
    </row>
    <row r="3889" ht="15.75" customHeight="1">
      <c r="A3889" s="19" t="s">
        <v>240</v>
      </c>
      <c r="B3889" s="19" t="s">
        <v>61</v>
      </c>
      <c r="C3889" s="20" t="s">
        <v>88</v>
      </c>
      <c r="D3889" s="14" t="str">
        <f>VLOOKUP(C3889,'State Key'!$A$2:$B$210,2,False)</f>
        <v>Uttar Pradesh</v>
      </c>
      <c r="E3889" s="21">
        <v>3000.0</v>
      </c>
      <c r="F3889" s="22">
        <v>1396.63</v>
      </c>
      <c r="G3889" s="22">
        <v>0.0</v>
      </c>
      <c r="H3889" s="22">
        <v>0.0</v>
      </c>
      <c r="I3889" s="22">
        <v>0.0</v>
      </c>
      <c r="J3889" s="22">
        <v>0.0</v>
      </c>
      <c r="K3889" s="22">
        <v>0.0</v>
      </c>
      <c r="L3889" s="22">
        <v>1396.63</v>
      </c>
      <c r="M3889" s="22">
        <v>1294.061</v>
      </c>
      <c r="N3889" s="22">
        <v>737.01</v>
      </c>
      <c r="O3889" s="24">
        <v>17.1</v>
      </c>
      <c r="P3889" s="18">
        <f t="shared" si="1"/>
        <v>1396.63</v>
      </c>
    </row>
    <row r="3890" ht="15.75" customHeight="1">
      <c r="A3890" s="13" t="s">
        <v>240</v>
      </c>
      <c r="B3890" s="13" t="s">
        <v>61</v>
      </c>
      <c r="C3890" s="14" t="s">
        <v>89</v>
      </c>
      <c r="D3890" s="14" t="str">
        <f>VLOOKUP(C3890,'State Key'!$A$2:$B$210,2,False)</f>
        <v>Punjab</v>
      </c>
      <c r="E3890" s="15">
        <v>840.0</v>
      </c>
      <c r="F3890" s="16">
        <v>0.0</v>
      </c>
      <c r="G3890" s="16">
        <v>0.0</v>
      </c>
      <c r="H3890" s="16">
        <v>221.172</v>
      </c>
      <c r="I3890" s="16">
        <v>0.0</v>
      </c>
      <c r="J3890" s="16">
        <v>0.0</v>
      </c>
      <c r="K3890" s="16">
        <v>0.0</v>
      </c>
      <c r="L3890" s="16">
        <v>221.172</v>
      </c>
      <c r="M3890" s="16">
        <v>234.871</v>
      </c>
      <c r="N3890" s="16">
        <v>534.06</v>
      </c>
      <c r="O3890" s="24">
        <v>68.2</v>
      </c>
      <c r="P3890" s="18">
        <f t="shared" si="1"/>
        <v>221.172</v>
      </c>
    </row>
    <row r="3891" ht="15.75" customHeight="1">
      <c r="A3891" s="19" t="s">
        <v>240</v>
      </c>
      <c r="B3891" s="19" t="s">
        <v>61</v>
      </c>
      <c r="C3891" s="20" t="s">
        <v>90</v>
      </c>
      <c r="D3891" s="14" t="str">
        <f>VLOOKUP(C3891,'State Key'!$A$2:$B$210,2,False)</f>
        <v>Uttar Pradesh</v>
      </c>
      <c r="E3891" s="21">
        <v>1200.0</v>
      </c>
      <c r="F3891" s="22">
        <v>430.76954</v>
      </c>
      <c r="G3891" s="22">
        <v>0.0</v>
      </c>
      <c r="H3891" s="22">
        <v>0.0</v>
      </c>
      <c r="I3891" s="22">
        <v>0.0</v>
      </c>
      <c r="J3891" s="22">
        <v>0.0</v>
      </c>
      <c r="K3891" s="22">
        <v>0.0</v>
      </c>
      <c r="L3891" s="22">
        <v>430.76954</v>
      </c>
      <c r="M3891" s="22">
        <v>404.959</v>
      </c>
      <c r="N3891" s="22">
        <v>391.08</v>
      </c>
      <c r="O3891" s="24">
        <v>29.0</v>
      </c>
      <c r="P3891" s="18">
        <f t="shared" si="1"/>
        <v>430.76954</v>
      </c>
    </row>
    <row r="3892" ht="15.75" customHeight="1">
      <c r="A3892" s="13" t="s">
        <v>240</v>
      </c>
      <c r="B3892" s="13" t="s">
        <v>61</v>
      </c>
      <c r="C3892" s="14" t="s">
        <v>219</v>
      </c>
      <c r="D3892" s="14" t="str">
        <f>VLOOKUP(C3892,'State Key'!$A$2:$B$210,2,False)</f>
        <v>Rajasthan</v>
      </c>
      <c r="E3892" s="15">
        <v>300.0</v>
      </c>
      <c r="F3892" s="16">
        <v>0.0</v>
      </c>
      <c r="G3892" s="16">
        <v>0.0</v>
      </c>
      <c r="H3892" s="16">
        <v>0.0</v>
      </c>
      <c r="I3892" s="16">
        <v>0.0</v>
      </c>
      <c r="J3892" s="16">
        <v>43.0</v>
      </c>
      <c r="K3892" s="16">
        <v>0.0</v>
      </c>
      <c r="L3892" s="16">
        <v>43.0</v>
      </c>
      <c r="M3892" s="16">
        <v>43.0</v>
      </c>
      <c r="N3892" s="16">
        <v>0.0</v>
      </c>
      <c r="O3892" s="17">
        <v>0.0</v>
      </c>
      <c r="P3892" s="18">
        <f t="shared" si="1"/>
        <v>43</v>
      </c>
    </row>
    <row r="3893" ht="15.75" customHeight="1">
      <c r="A3893" s="19" t="s">
        <v>240</v>
      </c>
      <c r="B3893" s="19" t="s">
        <v>61</v>
      </c>
      <c r="C3893" s="20" t="s">
        <v>91</v>
      </c>
      <c r="D3893" s="14" t="str">
        <f>VLOOKUP(C3893,'State Key'!$A$2:$B$210,2,False)</f>
        <v>Uttar Pradesh</v>
      </c>
      <c r="E3893" s="21">
        <v>2000.0</v>
      </c>
      <c r="F3893" s="22">
        <v>948.03</v>
      </c>
      <c r="G3893" s="22">
        <v>0.0</v>
      </c>
      <c r="H3893" s="22">
        <v>0.0</v>
      </c>
      <c r="I3893" s="22">
        <v>0.0</v>
      </c>
      <c r="J3893" s="22">
        <v>0.0</v>
      </c>
      <c r="K3893" s="22">
        <v>0.0</v>
      </c>
      <c r="L3893" s="22">
        <v>948.03</v>
      </c>
      <c r="M3893" s="22">
        <v>833.076</v>
      </c>
      <c r="N3893" s="22">
        <v>590.61</v>
      </c>
      <c r="O3893" s="24">
        <v>21.3</v>
      </c>
      <c r="P3893" s="18">
        <f t="shared" si="1"/>
        <v>948.03</v>
      </c>
    </row>
    <row r="3894" ht="15.75" customHeight="1">
      <c r="A3894" s="13" t="s">
        <v>240</v>
      </c>
      <c r="B3894" s="13" t="s">
        <v>61</v>
      </c>
      <c r="C3894" s="14" t="s">
        <v>92</v>
      </c>
      <c r="D3894" s="14" t="str">
        <f>VLOOKUP(C3894,'State Key'!$A$2:$B$210,2,False)</f>
        <v>Rajasthan</v>
      </c>
      <c r="E3894" s="15">
        <v>1320.0</v>
      </c>
      <c r="F3894" s="16">
        <v>203.89223</v>
      </c>
      <c r="G3894" s="16">
        <v>0.0</v>
      </c>
      <c r="H3894" s="16">
        <v>311.27742</v>
      </c>
      <c r="I3894" s="16">
        <v>0.0</v>
      </c>
      <c r="J3894" s="16">
        <v>0.0</v>
      </c>
      <c r="K3894" s="16">
        <v>0.0</v>
      </c>
      <c r="L3894" s="16">
        <v>515.16965</v>
      </c>
      <c r="M3894" s="16">
        <v>394.991</v>
      </c>
      <c r="N3894" s="16">
        <v>335.42</v>
      </c>
      <c r="O3894" s="24">
        <v>25.5</v>
      </c>
      <c r="P3894" s="18">
        <f t="shared" si="1"/>
        <v>515.16965</v>
      </c>
    </row>
    <row r="3895" ht="15.75" customHeight="1">
      <c r="A3895" s="19" t="s">
        <v>240</v>
      </c>
      <c r="B3895" s="19" t="s">
        <v>61</v>
      </c>
      <c r="C3895" s="20" t="s">
        <v>93</v>
      </c>
      <c r="D3895" s="14" t="str">
        <f>VLOOKUP(C3895,'State Key'!$A$2:$B$210,2,False)</f>
        <v>Rajasthan</v>
      </c>
      <c r="E3895" s="21">
        <v>1500.0</v>
      </c>
      <c r="F3895" s="22">
        <v>445.654</v>
      </c>
      <c r="G3895" s="22">
        <v>0.0</v>
      </c>
      <c r="H3895" s="22">
        <v>0.0</v>
      </c>
      <c r="I3895" s="22">
        <v>0.0</v>
      </c>
      <c r="J3895" s="22">
        <v>0.0</v>
      </c>
      <c r="K3895" s="22">
        <v>0.0</v>
      </c>
      <c r="L3895" s="22">
        <v>445.654</v>
      </c>
      <c r="M3895" s="22">
        <v>465.114</v>
      </c>
      <c r="N3895" s="22">
        <v>457.53</v>
      </c>
      <c r="O3895" s="24">
        <v>29.5</v>
      </c>
      <c r="P3895" s="18">
        <f t="shared" si="1"/>
        <v>445.654</v>
      </c>
    </row>
    <row r="3896" ht="15.75" customHeight="1">
      <c r="A3896" s="13" t="s">
        <v>240</v>
      </c>
      <c r="B3896" s="13" t="s">
        <v>61</v>
      </c>
      <c r="C3896" s="14" t="s">
        <v>94</v>
      </c>
      <c r="D3896" s="14" t="str">
        <f>VLOOKUP(C3896,'State Key'!$A$2:$B$210,2,False)</f>
        <v>Punjab</v>
      </c>
      <c r="E3896" s="15">
        <v>1980.0</v>
      </c>
      <c r="F3896" s="16">
        <v>389.443</v>
      </c>
      <c r="G3896" s="16">
        <v>0.0</v>
      </c>
      <c r="H3896" s="16">
        <v>0.0</v>
      </c>
      <c r="I3896" s="16">
        <v>0.0</v>
      </c>
      <c r="J3896" s="16">
        <v>0.0</v>
      </c>
      <c r="K3896" s="16">
        <v>0.0</v>
      </c>
      <c r="L3896" s="16">
        <v>389.443</v>
      </c>
      <c r="M3896" s="16">
        <v>458.47</v>
      </c>
      <c r="N3896" s="16">
        <v>122.37</v>
      </c>
      <c r="O3896" s="23">
        <v>8.0</v>
      </c>
      <c r="P3896" s="18">
        <f t="shared" si="1"/>
        <v>389.443</v>
      </c>
    </row>
    <row r="3897" ht="15.75" customHeight="1">
      <c r="A3897" s="19" t="s">
        <v>240</v>
      </c>
      <c r="B3897" s="19" t="s">
        <v>61</v>
      </c>
      <c r="C3897" s="20" t="s">
        <v>95</v>
      </c>
      <c r="D3897" s="14" t="str">
        <f>VLOOKUP(C3897,'State Key'!$A$2:$B$210,2,False)</f>
        <v>Uttar Pradesh</v>
      </c>
      <c r="E3897" s="21">
        <v>1760.0</v>
      </c>
      <c r="F3897" s="22">
        <v>265.27</v>
      </c>
      <c r="G3897" s="22">
        <v>0.0</v>
      </c>
      <c r="H3897" s="22">
        <v>219.33</v>
      </c>
      <c r="I3897" s="22">
        <v>0.0</v>
      </c>
      <c r="J3897" s="22">
        <v>0.0</v>
      </c>
      <c r="K3897" s="22">
        <v>39.22</v>
      </c>
      <c r="L3897" s="22">
        <v>523.82</v>
      </c>
      <c r="M3897" s="22">
        <v>536.167</v>
      </c>
      <c r="N3897" s="22">
        <v>660.64</v>
      </c>
      <c r="O3897" s="24">
        <v>37.0</v>
      </c>
      <c r="P3897" s="18">
        <f t="shared" si="1"/>
        <v>523.82</v>
      </c>
    </row>
    <row r="3898" ht="15.75" customHeight="1">
      <c r="A3898" s="13" t="s">
        <v>240</v>
      </c>
      <c r="B3898" s="13" t="s">
        <v>61</v>
      </c>
      <c r="C3898" s="14" t="s">
        <v>96</v>
      </c>
      <c r="D3898" s="14" t="str">
        <f>VLOOKUP(C3898,'State Key'!$A$2:$B$210,2,False)</f>
        <v>Uttar Pradesh</v>
      </c>
      <c r="E3898" s="15">
        <v>1550.0</v>
      </c>
      <c r="F3898" s="16">
        <v>456.82</v>
      </c>
      <c r="G3898" s="16">
        <v>0.0</v>
      </c>
      <c r="H3898" s="16">
        <v>154.06</v>
      </c>
      <c r="I3898" s="16">
        <v>0.0</v>
      </c>
      <c r="J3898" s="16">
        <v>0.0</v>
      </c>
      <c r="K3898" s="16">
        <v>0.0</v>
      </c>
      <c r="L3898" s="16">
        <v>610.88</v>
      </c>
      <c r="M3898" s="16">
        <v>582.232</v>
      </c>
      <c r="N3898" s="16">
        <v>506.558</v>
      </c>
      <c r="O3898" s="24">
        <v>26.1</v>
      </c>
      <c r="P3898" s="18">
        <f t="shared" si="1"/>
        <v>610.88</v>
      </c>
    </row>
    <row r="3899" ht="15.75" customHeight="1">
      <c r="A3899" s="19" t="s">
        <v>240</v>
      </c>
      <c r="B3899" s="19" t="s">
        <v>61</v>
      </c>
      <c r="C3899" s="20" t="s">
        <v>97</v>
      </c>
      <c r="D3899" s="14" t="str">
        <f>VLOOKUP(C3899,'State Key'!$A$2:$B$210,2,False)</f>
        <v>Uttar Pradesh</v>
      </c>
      <c r="E3899" s="21">
        <v>90.0</v>
      </c>
      <c r="F3899" s="22">
        <v>16.21</v>
      </c>
      <c r="G3899" s="22">
        <v>0.0</v>
      </c>
      <c r="H3899" s="22">
        <v>0.0</v>
      </c>
      <c r="I3899" s="22">
        <v>0.0</v>
      </c>
      <c r="J3899" s="22">
        <v>0.0</v>
      </c>
      <c r="K3899" s="22">
        <v>0.0</v>
      </c>
      <c r="L3899" s="22">
        <v>16.21</v>
      </c>
      <c r="M3899" s="22">
        <v>23.79</v>
      </c>
      <c r="N3899" s="22">
        <v>36.56</v>
      </c>
      <c r="O3899" s="24">
        <v>46.1</v>
      </c>
      <c r="P3899" s="18">
        <f t="shared" si="1"/>
        <v>16.21</v>
      </c>
    </row>
    <row r="3900" ht="15.75" customHeight="1">
      <c r="A3900" s="13" t="s">
        <v>240</v>
      </c>
      <c r="B3900" s="13" t="s">
        <v>61</v>
      </c>
      <c r="C3900" s="14" t="s">
        <v>98</v>
      </c>
      <c r="D3900" s="14" t="str">
        <f>VLOOKUP(C3900,'State Key'!$A$2:$B$210,2,False)</f>
        <v>Haryana</v>
      </c>
      <c r="E3900" s="15">
        <v>600.0</v>
      </c>
      <c r="F3900" s="16">
        <v>127.282</v>
      </c>
      <c r="G3900" s="16">
        <v>0.0</v>
      </c>
      <c r="H3900" s="16">
        <v>0.0</v>
      </c>
      <c r="I3900" s="16">
        <v>0.0</v>
      </c>
      <c r="J3900" s="16">
        <v>0.0</v>
      </c>
      <c r="K3900" s="16">
        <v>0.0</v>
      </c>
      <c r="L3900" s="16">
        <v>127.282</v>
      </c>
      <c r="M3900" s="16">
        <v>136.7</v>
      </c>
      <c r="N3900" s="16">
        <v>377.38</v>
      </c>
      <c r="O3900" s="24">
        <v>82.8</v>
      </c>
      <c r="P3900" s="18">
        <f t="shared" si="1"/>
        <v>127.282</v>
      </c>
    </row>
    <row r="3901" ht="15.75" customHeight="1">
      <c r="A3901" s="19" t="s">
        <v>240</v>
      </c>
      <c r="B3901" s="19" t="s">
        <v>99</v>
      </c>
      <c r="C3901" s="20" t="s">
        <v>210</v>
      </c>
      <c r="D3901" s="14" t="str">
        <f>VLOOKUP(C3901,'State Key'!$A$2:$B$210,2,False)</f>
        <v>Karnataka</v>
      </c>
      <c r="E3901" s="21">
        <v>1200.0</v>
      </c>
      <c r="F3901" s="22">
        <v>0.0</v>
      </c>
      <c r="G3901" s="22">
        <v>0.0</v>
      </c>
      <c r="H3901" s="22">
        <v>0.0</v>
      </c>
      <c r="I3901" s="22">
        <v>0.0</v>
      </c>
      <c r="J3901" s="22">
        <v>206.146</v>
      </c>
      <c r="K3901" s="22">
        <v>0.0</v>
      </c>
      <c r="L3901" s="22">
        <v>206.146</v>
      </c>
      <c r="M3901" s="22">
        <v>203.611</v>
      </c>
      <c r="N3901" s="22">
        <v>54.25</v>
      </c>
      <c r="O3901" s="23">
        <v>8.0</v>
      </c>
      <c r="P3901" s="18">
        <f t="shared" si="1"/>
        <v>206.146</v>
      </c>
    </row>
    <row r="3902" ht="15.75" customHeight="1">
      <c r="A3902" s="13" t="s">
        <v>240</v>
      </c>
      <c r="B3902" s="13" t="s">
        <v>99</v>
      </c>
      <c r="C3902" s="14" t="s">
        <v>100</v>
      </c>
      <c r="D3902" s="14" t="str">
        <f>VLOOKUP(C3902,'State Key'!$A$2:$B$210,2,False)</f>
        <v>Karnataka</v>
      </c>
      <c r="E3902" s="15">
        <v>1700.0</v>
      </c>
      <c r="F3902" s="16">
        <v>0.0</v>
      </c>
      <c r="G3902" s="16">
        <v>281.10496</v>
      </c>
      <c r="H3902" s="16">
        <v>137.41416</v>
      </c>
      <c r="I3902" s="16">
        <v>0.0</v>
      </c>
      <c r="J3902" s="16">
        <v>0.0</v>
      </c>
      <c r="K3902" s="16">
        <v>0.0</v>
      </c>
      <c r="L3902" s="16">
        <v>418.51912</v>
      </c>
      <c r="M3902" s="16">
        <v>524.324</v>
      </c>
      <c r="N3902" s="16">
        <v>141.7978</v>
      </c>
      <c r="O3902" s="23">
        <v>8.1</v>
      </c>
      <c r="P3902" s="18">
        <f t="shared" si="1"/>
        <v>418.51912</v>
      </c>
    </row>
    <row r="3903" ht="15.75" customHeight="1">
      <c r="A3903" s="19" t="s">
        <v>240</v>
      </c>
      <c r="B3903" s="19" t="s">
        <v>99</v>
      </c>
      <c r="C3903" s="20" t="s">
        <v>101</v>
      </c>
      <c r="D3903" s="14" t="str">
        <f>VLOOKUP(C3903,'State Key'!$A$2:$B$210,2,False)</f>
        <v>Telangana</v>
      </c>
      <c r="E3903" s="21">
        <v>1080.0</v>
      </c>
      <c r="F3903" s="22">
        <v>0.0</v>
      </c>
      <c r="G3903" s="22">
        <v>294.432</v>
      </c>
      <c r="H3903" s="22">
        <v>0.0</v>
      </c>
      <c r="I3903" s="22">
        <v>0.0</v>
      </c>
      <c r="J3903" s="22">
        <v>0.0</v>
      </c>
      <c r="K3903" s="22">
        <v>0.0</v>
      </c>
      <c r="L3903" s="22">
        <v>294.432</v>
      </c>
      <c r="M3903" s="22">
        <v>340.558</v>
      </c>
      <c r="N3903" s="22">
        <v>197.172</v>
      </c>
      <c r="O3903" s="24">
        <v>17.4</v>
      </c>
      <c r="P3903" s="18">
        <f t="shared" si="1"/>
        <v>294.432</v>
      </c>
    </row>
    <row r="3904" ht="15.75" customHeight="1">
      <c r="A3904" s="13" t="s">
        <v>240</v>
      </c>
      <c r="B3904" s="13" t="s">
        <v>99</v>
      </c>
      <c r="C3904" s="14" t="s">
        <v>102</v>
      </c>
      <c r="D3904" s="14" t="str">
        <f>VLOOKUP(C3904,'State Key'!$A$2:$B$210,2,False)</f>
        <v>Andhra Pradesh</v>
      </c>
      <c r="E3904" s="15">
        <v>2400.0</v>
      </c>
      <c r="F3904" s="16">
        <v>566.143</v>
      </c>
      <c r="G3904" s="16">
        <v>0.0</v>
      </c>
      <c r="H3904" s="16">
        <v>0.0</v>
      </c>
      <c r="I3904" s="16">
        <v>0.0</v>
      </c>
      <c r="J3904" s="16">
        <v>62.98</v>
      </c>
      <c r="K3904" s="16">
        <v>0.0</v>
      </c>
      <c r="L3904" s="16">
        <v>629.123</v>
      </c>
      <c r="M3904" s="16">
        <v>549.971</v>
      </c>
      <c r="N3904" s="16">
        <v>165.48</v>
      </c>
      <c r="O3904" s="23">
        <v>9.0</v>
      </c>
      <c r="P3904" s="18">
        <f t="shared" si="1"/>
        <v>629.123</v>
      </c>
    </row>
    <row r="3905" ht="15.75" customHeight="1">
      <c r="A3905" s="19" t="s">
        <v>240</v>
      </c>
      <c r="B3905" s="19" t="s">
        <v>99</v>
      </c>
      <c r="C3905" s="20" t="s">
        <v>103</v>
      </c>
      <c r="D3905" s="14" t="str">
        <f>VLOOKUP(C3905,'State Key'!$A$2:$B$210,2,False)</f>
        <v>Andhra Pradesh</v>
      </c>
      <c r="E3905" s="21">
        <v>2560.0</v>
      </c>
      <c r="F3905" s="22">
        <v>878.119</v>
      </c>
      <c r="G3905" s="22">
        <v>205.569</v>
      </c>
      <c r="H3905" s="22">
        <v>0.0</v>
      </c>
      <c r="I3905" s="22">
        <v>0.0</v>
      </c>
      <c r="J3905" s="22">
        <v>0.0</v>
      </c>
      <c r="K3905" s="22">
        <v>0.0</v>
      </c>
      <c r="L3905" s="22">
        <v>1083.688</v>
      </c>
      <c r="M3905" s="22">
        <v>1053.493</v>
      </c>
      <c r="N3905" s="22">
        <v>201.322</v>
      </c>
      <c r="O3905" s="17">
        <v>5.7</v>
      </c>
      <c r="P3905" s="18">
        <f t="shared" si="1"/>
        <v>1083.688</v>
      </c>
    </row>
    <row r="3906" ht="15.75" customHeight="1">
      <c r="A3906" s="13" t="s">
        <v>240</v>
      </c>
      <c r="B3906" s="13" t="s">
        <v>99</v>
      </c>
      <c r="C3906" s="14" t="s">
        <v>104</v>
      </c>
      <c r="D3906" s="14" t="str">
        <f>VLOOKUP(C3906,'State Key'!$A$2:$B$210,2,False)</f>
        <v>Tamil Nadu</v>
      </c>
      <c r="E3906" s="15">
        <v>1200.0</v>
      </c>
      <c r="F3906" s="16">
        <v>0.0</v>
      </c>
      <c r="G3906" s="16">
        <v>0.0</v>
      </c>
      <c r="H3906" s="16">
        <v>0.0</v>
      </c>
      <c r="I3906" s="16">
        <v>0.0</v>
      </c>
      <c r="J3906" s="16">
        <v>0.0</v>
      </c>
      <c r="K3906" s="16">
        <v>0.0</v>
      </c>
      <c r="L3906" s="16">
        <v>0.0</v>
      </c>
      <c r="M3906" s="16">
        <v>124.932</v>
      </c>
      <c r="N3906" s="16">
        <v>251.41</v>
      </c>
      <c r="O3906" s="24">
        <v>60.4</v>
      </c>
      <c r="P3906" s="18">
        <f t="shared" si="1"/>
        <v>0</v>
      </c>
    </row>
    <row r="3907" ht="15.75" customHeight="1">
      <c r="A3907" s="19" t="s">
        <v>240</v>
      </c>
      <c r="B3907" s="19" t="s">
        <v>99</v>
      </c>
      <c r="C3907" s="20" t="s">
        <v>105</v>
      </c>
      <c r="D3907" s="14" t="str">
        <f>VLOOKUP(C3907,'State Key'!$A$2:$B$210,2,False)</f>
        <v>Telangana</v>
      </c>
      <c r="E3907" s="21">
        <v>1100.0</v>
      </c>
      <c r="F3907" s="22">
        <v>0.0</v>
      </c>
      <c r="G3907" s="22">
        <v>65.135</v>
      </c>
      <c r="H3907" s="22">
        <v>232.96</v>
      </c>
      <c r="I3907" s="22">
        <v>0.0</v>
      </c>
      <c r="J3907" s="22">
        <v>0.0</v>
      </c>
      <c r="K3907" s="22">
        <v>0.0</v>
      </c>
      <c r="L3907" s="22">
        <v>298.095</v>
      </c>
      <c r="M3907" s="22">
        <v>330.053</v>
      </c>
      <c r="N3907" s="22">
        <v>392.544</v>
      </c>
      <c r="O3907" s="24">
        <v>35.7</v>
      </c>
      <c r="P3907" s="18">
        <f t="shared" si="1"/>
        <v>298.095</v>
      </c>
    </row>
    <row r="3908" ht="15.75" customHeight="1">
      <c r="A3908" s="13" t="s">
        <v>240</v>
      </c>
      <c r="B3908" s="13" t="s">
        <v>99</v>
      </c>
      <c r="C3908" s="14" t="s">
        <v>106</v>
      </c>
      <c r="D3908" s="14" t="str">
        <f>VLOOKUP(C3908,'State Key'!$A$2:$B$210,2,False)</f>
        <v>Telangana</v>
      </c>
      <c r="E3908" s="15">
        <v>1000.0</v>
      </c>
      <c r="F3908" s="16">
        <v>0.0</v>
      </c>
      <c r="G3908" s="16">
        <v>408.55</v>
      </c>
      <c r="H3908" s="16">
        <v>0.0</v>
      </c>
      <c r="I3908" s="16">
        <v>0.0</v>
      </c>
      <c r="J3908" s="16">
        <v>0.0</v>
      </c>
      <c r="K3908" s="16">
        <v>0.0</v>
      </c>
      <c r="L3908" s="16">
        <v>408.55</v>
      </c>
      <c r="M3908" s="16">
        <v>404.985</v>
      </c>
      <c r="N3908" s="16">
        <v>354.736</v>
      </c>
      <c r="O3908" s="24">
        <v>26.3</v>
      </c>
      <c r="P3908" s="18">
        <f t="shared" si="1"/>
        <v>408.55</v>
      </c>
    </row>
    <row r="3909" ht="15.75" customHeight="1">
      <c r="A3909" s="19" t="s">
        <v>240</v>
      </c>
      <c r="B3909" s="19" t="s">
        <v>99</v>
      </c>
      <c r="C3909" s="20" t="s">
        <v>107</v>
      </c>
      <c r="D3909" s="14" t="str">
        <f>VLOOKUP(C3909,'State Key'!$A$2:$B$210,2,False)</f>
        <v>Telangana</v>
      </c>
      <c r="E3909" s="21">
        <v>800.0</v>
      </c>
      <c r="F3909" s="22">
        <v>0.0</v>
      </c>
      <c r="G3909" s="22">
        <v>245.034</v>
      </c>
      <c r="H3909" s="22">
        <v>0.0</v>
      </c>
      <c r="I3909" s="22">
        <v>0.0</v>
      </c>
      <c r="J3909" s="22">
        <v>0.0</v>
      </c>
      <c r="K3909" s="22">
        <v>0.0</v>
      </c>
      <c r="L3909" s="22">
        <v>245.034</v>
      </c>
      <c r="M3909" s="22">
        <v>255.068</v>
      </c>
      <c r="N3909" s="22">
        <v>124.309</v>
      </c>
      <c r="O3909" s="24">
        <v>14.6</v>
      </c>
      <c r="P3909" s="18">
        <f t="shared" si="1"/>
        <v>245.034</v>
      </c>
    </row>
    <row r="3910" ht="15.75" customHeight="1">
      <c r="A3910" s="13" t="s">
        <v>240</v>
      </c>
      <c r="B3910" s="13" t="s">
        <v>99</v>
      </c>
      <c r="C3910" s="14" t="s">
        <v>108</v>
      </c>
      <c r="D3910" s="14" t="str">
        <f>VLOOKUP(C3910,'State Key'!$A$2:$B$210,2,False)</f>
        <v>Karnataka</v>
      </c>
      <c r="E3910" s="15">
        <v>2400.0</v>
      </c>
      <c r="F3910" s="16">
        <v>447.9</v>
      </c>
      <c r="G3910" s="16">
        <v>123.4</v>
      </c>
      <c r="H3910" s="16">
        <v>88.58</v>
      </c>
      <c r="I3910" s="16">
        <v>0.0</v>
      </c>
      <c r="J3910" s="16">
        <v>0.0</v>
      </c>
      <c r="K3910" s="16">
        <v>47.63</v>
      </c>
      <c r="L3910" s="16">
        <v>707.51</v>
      </c>
      <c r="M3910" s="16">
        <v>813.777</v>
      </c>
      <c r="N3910" s="16">
        <v>428.88</v>
      </c>
      <c r="O3910" s="24">
        <v>15.8</v>
      </c>
      <c r="P3910" s="18">
        <f t="shared" si="1"/>
        <v>707.51</v>
      </c>
    </row>
    <row r="3911" ht="15.75" customHeight="1">
      <c r="A3911" s="19" t="s">
        <v>240</v>
      </c>
      <c r="B3911" s="19" t="s">
        <v>99</v>
      </c>
      <c r="C3911" s="20" t="s">
        <v>109</v>
      </c>
      <c r="D3911" s="14" t="str">
        <f>VLOOKUP(C3911,'State Key'!$A$2:$B$210,2,False)</f>
        <v>Tamil Nadu</v>
      </c>
      <c r="E3911" s="21">
        <v>840.0</v>
      </c>
      <c r="F3911" s="22">
        <v>271.5174</v>
      </c>
      <c r="G3911" s="22">
        <v>26.4113</v>
      </c>
      <c r="H3911" s="22">
        <v>0.0</v>
      </c>
      <c r="I3911" s="22">
        <v>0.0</v>
      </c>
      <c r="J3911" s="22">
        <v>0.0</v>
      </c>
      <c r="K3911" s="22">
        <v>0.0</v>
      </c>
      <c r="L3911" s="22">
        <v>297.9287</v>
      </c>
      <c r="M3911" s="22">
        <v>315.2183</v>
      </c>
      <c r="N3911" s="22">
        <v>195.1275</v>
      </c>
      <c r="O3911" s="24">
        <v>18.6</v>
      </c>
      <c r="P3911" s="18">
        <f t="shared" si="1"/>
        <v>297.9287</v>
      </c>
    </row>
    <row r="3912" ht="15.75" customHeight="1">
      <c r="A3912" s="13" t="s">
        <v>240</v>
      </c>
      <c r="B3912" s="13" t="s">
        <v>99</v>
      </c>
      <c r="C3912" s="14" t="s">
        <v>110</v>
      </c>
      <c r="D3912" s="14" t="str">
        <f>VLOOKUP(C3912,'State Key'!$A$2:$B$210,2,False)</f>
        <v>Tamil Nadu</v>
      </c>
      <c r="E3912" s="15">
        <v>600.0</v>
      </c>
      <c r="F3912" s="16">
        <v>182.15</v>
      </c>
      <c r="G3912" s="16">
        <v>18.25</v>
      </c>
      <c r="H3912" s="16">
        <v>0.0</v>
      </c>
      <c r="I3912" s="16">
        <v>0.0</v>
      </c>
      <c r="J3912" s="16">
        <v>0.0</v>
      </c>
      <c r="K3912" s="16">
        <v>0.0</v>
      </c>
      <c r="L3912" s="16">
        <v>200.4</v>
      </c>
      <c r="M3912" s="16">
        <v>202.38</v>
      </c>
      <c r="N3912" s="16">
        <v>231.86</v>
      </c>
      <c r="O3912" s="24">
        <v>34.4</v>
      </c>
      <c r="P3912" s="18">
        <f t="shared" si="1"/>
        <v>200.4</v>
      </c>
    </row>
    <row r="3913" ht="15.75" customHeight="1">
      <c r="A3913" s="19" t="s">
        <v>240</v>
      </c>
      <c r="B3913" s="19" t="s">
        <v>99</v>
      </c>
      <c r="C3913" s="20" t="s">
        <v>111</v>
      </c>
      <c r="D3913" s="14" t="str">
        <f>VLOOKUP(C3913,'State Key'!$A$2:$B$210,2,False)</f>
        <v>Tamil Nadu</v>
      </c>
      <c r="E3913" s="21">
        <v>1200.0</v>
      </c>
      <c r="F3913" s="22">
        <v>0.0</v>
      </c>
      <c r="G3913" s="22">
        <v>0.0</v>
      </c>
      <c r="H3913" s="22">
        <v>0.0</v>
      </c>
      <c r="I3913" s="22">
        <v>0.0</v>
      </c>
      <c r="J3913" s="22">
        <v>206.0</v>
      </c>
      <c r="K3913" s="22">
        <v>0.0</v>
      </c>
      <c r="L3913" s="22">
        <v>206.0</v>
      </c>
      <c r="M3913" s="22">
        <v>255.0</v>
      </c>
      <c r="N3913" s="22">
        <v>93.56</v>
      </c>
      <c r="O3913" s="23">
        <v>11.0</v>
      </c>
      <c r="P3913" s="18">
        <f t="shared" si="1"/>
        <v>206</v>
      </c>
    </row>
    <row r="3914" ht="15.75" customHeight="1">
      <c r="A3914" s="13" t="s">
        <v>240</v>
      </c>
      <c r="B3914" s="13" t="s">
        <v>99</v>
      </c>
      <c r="C3914" s="14" t="s">
        <v>112</v>
      </c>
      <c r="D3914" s="14" t="str">
        <f>VLOOKUP(C3914,'State Key'!$A$2:$B$210,2,False)</f>
        <v>Tamil Nadu</v>
      </c>
      <c r="E3914" s="15">
        <v>1830.0</v>
      </c>
      <c r="F3914" s="16">
        <v>563.216</v>
      </c>
      <c r="G3914" s="16">
        <v>0.0</v>
      </c>
      <c r="H3914" s="16">
        <v>0.0</v>
      </c>
      <c r="I3914" s="16">
        <v>0.0</v>
      </c>
      <c r="J3914" s="16">
        <v>0.0</v>
      </c>
      <c r="K3914" s="16">
        <v>0.0</v>
      </c>
      <c r="L3914" s="16">
        <v>563.216</v>
      </c>
      <c r="M3914" s="16">
        <v>632.092</v>
      </c>
      <c r="N3914" s="16">
        <v>502.622</v>
      </c>
      <c r="O3914" s="24">
        <v>23.9</v>
      </c>
      <c r="P3914" s="18">
        <f t="shared" si="1"/>
        <v>563.216</v>
      </c>
    </row>
    <row r="3915" ht="15.75" customHeight="1">
      <c r="A3915" s="19" t="s">
        <v>240</v>
      </c>
      <c r="B3915" s="19" t="s">
        <v>99</v>
      </c>
      <c r="C3915" s="20" t="s">
        <v>113</v>
      </c>
      <c r="D3915" s="14" t="str">
        <f>VLOOKUP(C3915,'State Key'!$A$2:$B$210,2,False)</f>
        <v>Tamil Nadu</v>
      </c>
      <c r="E3915" s="21">
        <v>1000.0</v>
      </c>
      <c r="F3915" s="22">
        <v>0.0</v>
      </c>
      <c r="G3915" s="22">
        <v>0.0</v>
      </c>
      <c r="H3915" s="22">
        <v>152.353</v>
      </c>
      <c r="I3915" s="22">
        <v>0.0</v>
      </c>
      <c r="J3915" s="22">
        <v>76.093</v>
      </c>
      <c r="K3915" s="22">
        <v>0.0</v>
      </c>
      <c r="L3915" s="22">
        <v>228.446</v>
      </c>
      <c r="M3915" s="22">
        <v>192.59</v>
      </c>
      <c r="N3915" s="22">
        <v>465.58</v>
      </c>
      <c r="O3915" s="24">
        <v>72.5</v>
      </c>
      <c r="P3915" s="18">
        <f t="shared" si="1"/>
        <v>228.446</v>
      </c>
    </row>
    <row r="3916" ht="15.75" customHeight="1">
      <c r="A3916" s="13" t="s">
        <v>240</v>
      </c>
      <c r="B3916" s="13" t="s">
        <v>99</v>
      </c>
      <c r="C3916" s="14" t="s">
        <v>228</v>
      </c>
      <c r="D3916" s="14" t="str">
        <f>VLOOKUP(C3916,'State Key'!$A$2:$B$210,2,False)</f>
        <v>Tamil Nadu</v>
      </c>
      <c r="E3916" s="15">
        <v>414.0</v>
      </c>
      <c r="F3916" s="16">
        <v>0.0</v>
      </c>
      <c r="G3916" s="16">
        <v>0.0</v>
      </c>
      <c r="H3916" s="16">
        <v>0.0</v>
      </c>
      <c r="I3916" s="16">
        <v>0.0</v>
      </c>
      <c r="J3916" s="16">
        <v>53.92</v>
      </c>
      <c r="K3916" s="16">
        <v>0.0</v>
      </c>
      <c r="L3916" s="16">
        <v>53.92</v>
      </c>
      <c r="M3916" s="16">
        <v>91.368</v>
      </c>
      <c r="N3916" s="16">
        <v>51.56</v>
      </c>
      <c r="O3916" s="24">
        <v>16.9</v>
      </c>
      <c r="P3916" s="18">
        <f t="shared" si="1"/>
        <v>53.92</v>
      </c>
    </row>
    <row r="3917" ht="15.75" customHeight="1">
      <c r="A3917" s="19" t="s">
        <v>240</v>
      </c>
      <c r="B3917" s="19" t="s">
        <v>99</v>
      </c>
      <c r="C3917" s="20" t="s">
        <v>114</v>
      </c>
      <c r="D3917" s="14" t="str">
        <f>VLOOKUP(C3917,'State Key'!$A$2:$B$210,2,False)</f>
        <v>Andhra Pradesh</v>
      </c>
      <c r="E3917" s="21">
        <v>1320.0</v>
      </c>
      <c r="F3917" s="22">
        <v>373.55</v>
      </c>
      <c r="G3917" s="22">
        <v>0.0</v>
      </c>
      <c r="H3917" s="22">
        <v>0.0</v>
      </c>
      <c r="I3917" s="22">
        <v>0.0</v>
      </c>
      <c r="J3917" s="22">
        <v>245.04</v>
      </c>
      <c r="K3917" s="22">
        <v>0.0</v>
      </c>
      <c r="L3917" s="22">
        <v>618.59</v>
      </c>
      <c r="M3917" s="22">
        <v>451.546</v>
      </c>
      <c r="N3917" s="22">
        <v>318.99</v>
      </c>
      <c r="O3917" s="24">
        <v>21.2</v>
      </c>
      <c r="P3917" s="18">
        <f t="shared" si="1"/>
        <v>618.59</v>
      </c>
    </row>
    <row r="3918" ht="15.75" customHeight="1">
      <c r="A3918" s="13" t="s">
        <v>240</v>
      </c>
      <c r="B3918" s="13" t="s">
        <v>99</v>
      </c>
      <c r="C3918" s="14" t="s">
        <v>115</v>
      </c>
      <c r="D3918" s="14" t="str">
        <f>VLOOKUP(C3918,'State Key'!$A$2:$B$210,2,False)</f>
        <v>Karnataka</v>
      </c>
      <c r="E3918" s="15">
        <v>1720.0</v>
      </c>
      <c r="F3918" s="16">
        <v>437.372</v>
      </c>
      <c r="G3918" s="16">
        <v>148.737</v>
      </c>
      <c r="H3918" s="16">
        <v>0.0</v>
      </c>
      <c r="I3918" s="16">
        <v>0.0</v>
      </c>
      <c r="J3918" s="16">
        <v>0.0</v>
      </c>
      <c r="K3918" s="16">
        <v>0.0</v>
      </c>
      <c r="L3918" s="16">
        <v>586.109</v>
      </c>
      <c r="M3918" s="16">
        <v>552.445</v>
      </c>
      <c r="N3918" s="16">
        <v>582.093</v>
      </c>
      <c r="O3918" s="24">
        <v>31.6</v>
      </c>
      <c r="P3918" s="18">
        <f t="shared" si="1"/>
        <v>586.109</v>
      </c>
    </row>
    <row r="3919" ht="15.75" customHeight="1">
      <c r="A3919" s="19" t="s">
        <v>240</v>
      </c>
      <c r="B3919" s="19" t="s">
        <v>99</v>
      </c>
      <c r="C3919" s="20" t="s">
        <v>116</v>
      </c>
      <c r="D3919" s="14" t="str">
        <f>VLOOKUP(C3919,'State Key'!$A$2:$B$210,2,False)</f>
        <v>Telangana</v>
      </c>
      <c r="E3919" s="21">
        <v>2600.0</v>
      </c>
      <c r="F3919" s="22">
        <v>0.0</v>
      </c>
      <c r="G3919" s="22">
        <v>993.39</v>
      </c>
      <c r="H3919" s="22">
        <v>3.99</v>
      </c>
      <c r="I3919" s="22">
        <v>0.0</v>
      </c>
      <c r="J3919" s="22">
        <v>0.0</v>
      </c>
      <c r="K3919" s="22">
        <v>3.99</v>
      </c>
      <c r="L3919" s="22">
        <v>1001.37</v>
      </c>
      <c r="M3919" s="22">
        <v>931.396</v>
      </c>
      <c r="N3919" s="22">
        <v>780.94</v>
      </c>
      <c r="O3919" s="24">
        <v>25.2</v>
      </c>
      <c r="P3919" s="18">
        <f t="shared" si="1"/>
        <v>1001.37</v>
      </c>
    </row>
    <row r="3920" ht="15.75" customHeight="1">
      <c r="A3920" s="13" t="s">
        <v>240</v>
      </c>
      <c r="B3920" s="13" t="s">
        <v>99</v>
      </c>
      <c r="C3920" s="14" t="s">
        <v>117</v>
      </c>
      <c r="D3920" s="14" t="str">
        <f>VLOOKUP(C3920,'State Key'!$A$2:$B$210,2,False)</f>
        <v>Telangana</v>
      </c>
      <c r="E3920" s="15">
        <v>62.5</v>
      </c>
      <c r="F3920" s="16">
        <v>0.0</v>
      </c>
      <c r="G3920" s="16">
        <v>0.0</v>
      </c>
      <c r="H3920" s="16">
        <v>0.0</v>
      </c>
      <c r="I3920" s="16">
        <v>0.0</v>
      </c>
      <c r="J3920" s="16">
        <v>0.0</v>
      </c>
      <c r="K3920" s="16">
        <v>0.0</v>
      </c>
      <c r="L3920" s="16">
        <v>0.0</v>
      </c>
      <c r="M3920" s="16">
        <v>0.0</v>
      </c>
      <c r="N3920" s="16">
        <v>3.72</v>
      </c>
      <c r="O3920" s="13" t="s">
        <v>58</v>
      </c>
      <c r="P3920" s="18">
        <f t="shared" si="1"/>
        <v>0</v>
      </c>
    </row>
    <row r="3921" ht="15.75" customHeight="1">
      <c r="A3921" s="19" t="s">
        <v>240</v>
      </c>
      <c r="B3921" s="19" t="s">
        <v>99</v>
      </c>
      <c r="C3921" s="20" t="s">
        <v>118</v>
      </c>
      <c r="D3921" s="14" t="str">
        <f>VLOOKUP(C3921,'State Key'!$A$2:$B$210,2,False)</f>
        <v>Andhra Pradesh</v>
      </c>
      <c r="E3921" s="21">
        <v>1650.0</v>
      </c>
      <c r="F3921" s="22">
        <v>549.032</v>
      </c>
      <c r="G3921" s="22">
        <v>207.057</v>
      </c>
      <c r="H3921" s="22">
        <v>0.0</v>
      </c>
      <c r="I3921" s="22">
        <v>0.0</v>
      </c>
      <c r="J3921" s="22">
        <v>0.0</v>
      </c>
      <c r="K3921" s="22">
        <v>0.0</v>
      </c>
      <c r="L3921" s="22">
        <v>756.089</v>
      </c>
      <c r="M3921" s="22">
        <v>710.067</v>
      </c>
      <c r="N3921" s="22">
        <v>102.98</v>
      </c>
      <c r="O3921" s="17">
        <v>4.4</v>
      </c>
      <c r="P3921" s="18">
        <f t="shared" si="1"/>
        <v>756.089</v>
      </c>
    </row>
    <row r="3922" ht="15.75" customHeight="1">
      <c r="A3922" s="13" t="s">
        <v>240</v>
      </c>
      <c r="B3922" s="13" t="s">
        <v>99</v>
      </c>
      <c r="C3922" s="14" t="s">
        <v>119</v>
      </c>
      <c r="D3922" s="14" t="str">
        <f>VLOOKUP(C3922,'State Key'!$A$2:$B$210,2,False)</f>
        <v>Andhra Pradesh</v>
      </c>
      <c r="E3922" s="15">
        <v>1320.0</v>
      </c>
      <c r="F3922" s="16">
        <v>473.8</v>
      </c>
      <c r="G3922" s="16">
        <v>0.0</v>
      </c>
      <c r="H3922" s="16">
        <v>0.0</v>
      </c>
      <c r="I3922" s="16">
        <v>0.0</v>
      </c>
      <c r="J3922" s="16">
        <v>103.86</v>
      </c>
      <c r="K3922" s="16">
        <v>0.0</v>
      </c>
      <c r="L3922" s="16">
        <v>577.66</v>
      </c>
      <c r="M3922" s="16">
        <v>554.72</v>
      </c>
      <c r="N3922" s="16">
        <v>398.14</v>
      </c>
      <c r="O3922" s="24">
        <v>21.5</v>
      </c>
      <c r="P3922" s="18">
        <f t="shared" si="1"/>
        <v>577.66</v>
      </c>
    </row>
    <row r="3923" ht="15.75" customHeight="1">
      <c r="A3923" s="19" t="s">
        <v>240</v>
      </c>
      <c r="B3923" s="19" t="s">
        <v>99</v>
      </c>
      <c r="C3923" s="20" t="s">
        <v>120</v>
      </c>
      <c r="D3923" s="14" t="str">
        <f>VLOOKUP(C3923,'State Key'!$A$2:$B$210,2,False)</f>
        <v>Andhra Pradesh</v>
      </c>
      <c r="E3923" s="21">
        <v>2000.0</v>
      </c>
      <c r="F3923" s="22">
        <v>657.52</v>
      </c>
      <c r="G3923" s="22">
        <v>24.35</v>
      </c>
      <c r="H3923" s="22">
        <v>62.06</v>
      </c>
      <c r="I3923" s="22">
        <v>0.0</v>
      </c>
      <c r="J3923" s="22">
        <v>0.0</v>
      </c>
      <c r="K3923" s="22">
        <v>16.82</v>
      </c>
      <c r="L3923" s="22">
        <v>760.75</v>
      </c>
      <c r="M3923" s="22">
        <v>788.034</v>
      </c>
      <c r="N3923" s="22">
        <v>449.18</v>
      </c>
      <c r="O3923" s="24">
        <v>17.1</v>
      </c>
      <c r="P3923" s="18">
        <f t="shared" si="1"/>
        <v>760.75</v>
      </c>
    </row>
    <row r="3924" ht="15.75" customHeight="1">
      <c r="A3924" s="13" t="s">
        <v>240</v>
      </c>
      <c r="B3924" s="13" t="s">
        <v>99</v>
      </c>
      <c r="C3924" s="14" t="s">
        <v>121</v>
      </c>
      <c r="D3924" s="14" t="str">
        <f>VLOOKUP(C3924,'State Key'!$A$2:$B$210,2,False)</f>
        <v>Andhra Pradesh</v>
      </c>
      <c r="E3924" s="15">
        <v>600.0</v>
      </c>
      <c r="F3924" s="16">
        <v>0.0</v>
      </c>
      <c r="G3924" s="16">
        <v>0.0</v>
      </c>
      <c r="H3924" s="16">
        <v>0.0</v>
      </c>
      <c r="I3924" s="16">
        <v>0.0</v>
      </c>
      <c r="J3924" s="16">
        <v>29.032</v>
      </c>
      <c r="K3924" s="16">
        <v>0.0</v>
      </c>
      <c r="L3924" s="16">
        <v>29.032</v>
      </c>
      <c r="M3924" s="16">
        <v>123.371</v>
      </c>
      <c r="N3924" s="16">
        <v>324.894</v>
      </c>
      <c r="O3924" s="24">
        <v>79.0</v>
      </c>
      <c r="P3924" s="18">
        <f t="shared" si="1"/>
        <v>29.032</v>
      </c>
    </row>
    <row r="3925" ht="15.75" customHeight="1">
      <c r="A3925" s="19" t="s">
        <v>240</v>
      </c>
      <c r="B3925" s="19" t="s">
        <v>99</v>
      </c>
      <c r="C3925" s="20" t="s">
        <v>122</v>
      </c>
      <c r="D3925" s="14" t="str">
        <f>VLOOKUP(C3925,'State Key'!$A$2:$B$210,2,False)</f>
        <v>Telangana</v>
      </c>
      <c r="E3925" s="21">
        <v>1200.0</v>
      </c>
      <c r="F3925" s="22">
        <v>0.0</v>
      </c>
      <c r="G3925" s="22">
        <v>337.909</v>
      </c>
      <c r="H3925" s="22">
        <v>0.0</v>
      </c>
      <c r="I3925" s="22">
        <v>0.0</v>
      </c>
      <c r="J3925" s="22">
        <v>0.0</v>
      </c>
      <c r="K3925" s="22">
        <v>0.0</v>
      </c>
      <c r="L3925" s="22">
        <v>337.909</v>
      </c>
      <c r="M3925" s="22">
        <v>504.812</v>
      </c>
      <c r="N3925" s="22">
        <v>170.39</v>
      </c>
      <c r="O3925" s="23">
        <v>10.1</v>
      </c>
      <c r="P3925" s="18">
        <f t="shared" si="1"/>
        <v>337.909</v>
      </c>
    </row>
    <row r="3926" ht="15.75" customHeight="1">
      <c r="A3926" s="13" t="s">
        <v>240</v>
      </c>
      <c r="B3926" s="13" t="s">
        <v>99</v>
      </c>
      <c r="C3926" s="14" t="s">
        <v>243</v>
      </c>
      <c r="D3926" s="14" t="str">
        <f>VLOOKUP(C3926,'State Key'!$A$2:$B$210,2,False)</f>
        <v>Tamil Nadu</v>
      </c>
      <c r="E3926" s="15">
        <v>63.5</v>
      </c>
      <c r="F3926" s="16">
        <v>0.0</v>
      </c>
      <c r="G3926" s="16">
        <v>0.0</v>
      </c>
      <c r="H3926" s="16">
        <v>0.0</v>
      </c>
      <c r="I3926" s="16">
        <v>0.0</v>
      </c>
      <c r="J3926" s="16">
        <v>0.0</v>
      </c>
      <c r="K3926" s="16">
        <v>0.0</v>
      </c>
      <c r="L3926" s="16">
        <v>0.0</v>
      </c>
      <c r="M3926" s="16">
        <v>0.0</v>
      </c>
      <c r="N3926" s="16">
        <v>0.0</v>
      </c>
      <c r="O3926" s="13" t="s">
        <v>58</v>
      </c>
      <c r="P3926" s="18">
        <f t="shared" si="1"/>
        <v>0</v>
      </c>
    </row>
    <row r="3927" ht="15.75" customHeight="1">
      <c r="A3927" s="19" t="s">
        <v>240</v>
      </c>
      <c r="B3927" s="19" t="s">
        <v>99</v>
      </c>
      <c r="C3927" s="20" t="s">
        <v>220</v>
      </c>
      <c r="D3927" s="14" t="str">
        <f>VLOOKUP(C3927,'State Key'!$A$2:$B$210,2,False)</f>
        <v>Telangana</v>
      </c>
      <c r="E3927" s="21">
        <v>1600.0</v>
      </c>
      <c r="F3927" s="22">
        <v>93.68</v>
      </c>
      <c r="G3927" s="22">
        <v>538.01</v>
      </c>
      <c r="H3927" s="22">
        <v>72.34</v>
      </c>
      <c r="I3927" s="22">
        <v>0.0</v>
      </c>
      <c r="J3927" s="22">
        <v>0.0</v>
      </c>
      <c r="K3927" s="22">
        <v>44.69</v>
      </c>
      <c r="L3927" s="22">
        <v>748.72</v>
      </c>
      <c r="M3927" s="22">
        <v>609.581</v>
      </c>
      <c r="N3927" s="22">
        <v>560.94</v>
      </c>
      <c r="O3927" s="24">
        <v>27.6</v>
      </c>
      <c r="P3927" s="18">
        <f t="shared" si="1"/>
        <v>748.72</v>
      </c>
    </row>
    <row r="3928" ht="15.75" customHeight="1">
      <c r="A3928" s="13" t="s">
        <v>240</v>
      </c>
      <c r="B3928" s="13" t="s">
        <v>99</v>
      </c>
      <c r="C3928" s="14" t="s">
        <v>123</v>
      </c>
      <c r="D3928" s="14" t="str">
        <f>VLOOKUP(C3928,'State Key'!$A$2:$B$210,2,False)</f>
        <v>Andhra Pradesh</v>
      </c>
      <c r="E3928" s="15">
        <v>300.0</v>
      </c>
      <c r="F3928" s="16">
        <v>0.0</v>
      </c>
      <c r="G3928" s="16">
        <v>0.0</v>
      </c>
      <c r="H3928" s="16">
        <v>0.0</v>
      </c>
      <c r="I3928" s="16">
        <v>0.0</v>
      </c>
      <c r="J3928" s="16">
        <v>0.0</v>
      </c>
      <c r="K3928" s="16">
        <v>0.0</v>
      </c>
      <c r="L3928" s="16">
        <v>0.0</v>
      </c>
      <c r="M3928" s="16">
        <v>0.0</v>
      </c>
      <c r="N3928" s="16">
        <v>0.0</v>
      </c>
      <c r="O3928" s="13" t="s">
        <v>58</v>
      </c>
      <c r="P3928" s="18">
        <f t="shared" si="1"/>
        <v>0</v>
      </c>
    </row>
    <row r="3929" ht="15.75" customHeight="1">
      <c r="A3929" s="19" t="s">
        <v>240</v>
      </c>
      <c r="B3929" s="19" t="s">
        <v>99</v>
      </c>
      <c r="C3929" s="20" t="s">
        <v>124</v>
      </c>
      <c r="D3929" s="14" t="str">
        <f>VLOOKUP(C3929,'State Key'!$A$2:$B$210,2,False)</f>
        <v>Karnataka</v>
      </c>
      <c r="E3929" s="21">
        <v>260.0</v>
      </c>
      <c r="F3929" s="22">
        <v>0.0</v>
      </c>
      <c r="G3929" s="22">
        <v>0.0</v>
      </c>
      <c r="H3929" s="22">
        <v>0.0</v>
      </c>
      <c r="I3929" s="22">
        <v>0.0</v>
      </c>
      <c r="J3929" s="22">
        <v>46.65</v>
      </c>
      <c r="K3929" s="22">
        <v>0.0</v>
      </c>
      <c r="L3929" s="22">
        <v>46.65</v>
      </c>
      <c r="M3929" s="22">
        <v>46.65</v>
      </c>
      <c r="N3929" s="22">
        <v>0.0</v>
      </c>
      <c r="O3929" s="17">
        <v>0.0</v>
      </c>
      <c r="P3929" s="18">
        <f t="shared" si="1"/>
        <v>46.65</v>
      </c>
    </row>
    <row r="3930" ht="15.75" customHeight="1">
      <c r="A3930" s="13" t="s">
        <v>240</v>
      </c>
      <c r="B3930" s="13" t="s">
        <v>99</v>
      </c>
      <c r="C3930" s="14" t="s">
        <v>125</v>
      </c>
      <c r="D3930" s="14" t="str">
        <f>VLOOKUP(C3930,'State Key'!$A$2:$B$210,2,False)</f>
        <v>Karnataka</v>
      </c>
      <c r="E3930" s="15">
        <v>600.0</v>
      </c>
      <c r="F3930" s="16">
        <v>0.0</v>
      </c>
      <c r="G3930" s="16">
        <v>0.0</v>
      </c>
      <c r="H3930" s="16">
        <v>0.0</v>
      </c>
      <c r="I3930" s="16">
        <v>0.0</v>
      </c>
      <c r="J3930" s="16">
        <v>84.49</v>
      </c>
      <c r="K3930" s="16">
        <v>0.0</v>
      </c>
      <c r="L3930" s="16">
        <v>84.49</v>
      </c>
      <c r="M3930" s="16">
        <v>83.64</v>
      </c>
      <c r="N3930" s="16">
        <v>1.83</v>
      </c>
      <c r="O3930" s="17">
        <v>0.7</v>
      </c>
      <c r="P3930" s="18">
        <f t="shared" si="1"/>
        <v>84.49</v>
      </c>
    </row>
    <row r="3931" ht="15.75" customHeight="1">
      <c r="A3931" s="19" t="s">
        <v>240</v>
      </c>
      <c r="B3931" s="19" t="s">
        <v>99</v>
      </c>
      <c r="C3931" s="20" t="s">
        <v>126</v>
      </c>
      <c r="D3931" s="14" t="str">
        <f>VLOOKUP(C3931,'State Key'!$A$2:$B$210,2,False)</f>
        <v>Tamil Nadu</v>
      </c>
      <c r="E3931" s="21">
        <v>300.0</v>
      </c>
      <c r="F3931" s="22">
        <v>0.0</v>
      </c>
      <c r="G3931" s="22">
        <v>0.0</v>
      </c>
      <c r="H3931" s="22">
        <v>0.0</v>
      </c>
      <c r="I3931" s="22">
        <v>0.0</v>
      </c>
      <c r="J3931" s="22">
        <v>0.0</v>
      </c>
      <c r="K3931" s="22">
        <v>0.0</v>
      </c>
      <c r="L3931" s="22">
        <v>0.0</v>
      </c>
      <c r="M3931" s="22">
        <v>0.0</v>
      </c>
      <c r="N3931" s="22">
        <v>0.0</v>
      </c>
      <c r="O3931" s="19" t="s">
        <v>58</v>
      </c>
      <c r="P3931" s="18">
        <f t="shared" si="1"/>
        <v>0</v>
      </c>
    </row>
    <row r="3932" ht="15.75" customHeight="1">
      <c r="A3932" s="13" t="s">
        <v>240</v>
      </c>
      <c r="B3932" s="13" t="s">
        <v>99</v>
      </c>
      <c r="C3932" s="14" t="s">
        <v>127</v>
      </c>
      <c r="D3932" s="14" t="str">
        <f>VLOOKUP(C3932,'State Key'!$A$2:$B$210,2,False)</f>
        <v>Tamil Nadu</v>
      </c>
      <c r="E3932" s="15">
        <v>525.0</v>
      </c>
      <c r="F3932" s="16">
        <v>0.0</v>
      </c>
      <c r="G3932" s="16">
        <v>0.0</v>
      </c>
      <c r="H3932" s="16">
        <v>0.0</v>
      </c>
      <c r="I3932" s="16">
        <v>0.0</v>
      </c>
      <c r="J3932" s="16">
        <v>159.45</v>
      </c>
      <c r="K3932" s="16">
        <v>0.0</v>
      </c>
      <c r="L3932" s="16">
        <v>159.45</v>
      </c>
      <c r="M3932" s="16">
        <v>161.62</v>
      </c>
      <c r="N3932" s="16">
        <v>1.9</v>
      </c>
      <c r="O3932" s="17">
        <v>0.4</v>
      </c>
      <c r="P3932" s="18">
        <f t="shared" si="1"/>
        <v>159.45</v>
      </c>
    </row>
    <row r="3933" ht="15.75" customHeight="1">
      <c r="A3933" s="19" t="s">
        <v>240</v>
      </c>
      <c r="B3933" s="19" t="s">
        <v>99</v>
      </c>
      <c r="C3933" s="20" t="s">
        <v>128</v>
      </c>
      <c r="D3933" s="14" t="str">
        <f>VLOOKUP(C3933,'State Key'!$A$2:$B$210,2,False)</f>
        <v>Tamil Nadu</v>
      </c>
      <c r="E3933" s="21">
        <v>1050.0</v>
      </c>
      <c r="F3933" s="22">
        <v>339.107</v>
      </c>
      <c r="G3933" s="22">
        <v>0.0</v>
      </c>
      <c r="H3933" s="22">
        <v>0.0</v>
      </c>
      <c r="I3933" s="22">
        <v>0.0</v>
      </c>
      <c r="J3933" s="22">
        <v>0.0</v>
      </c>
      <c r="K3933" s="22">
        <v>0.0</v>
      </c>
      <c r="L3933" s="22">
        <v>339.107</v>
      </c>
      <c r="M3933" s="22">
        <v>372.244</v>
      </c>
      <c r="N3933" s="22">
        <v>316.73</v>
      </c>
      <c r="O3933" s="24">
        <v>25.5</v>
      </c>
      <c r="P3933" s="18">
        <f t="shared" si="1"/>
        <v>339.107</v>
      </c>
    </row>
    <row r="3934" ht="15.75" customHeight="1">
      <c r="A3934" s="13" t="s">
        <v>240</v>
      </c>
      <c r="B3934" s="13" t="s">
        <v>99</v>
      </c>
      <c r="C3934" s="14" t="s">
        <v>130</v>
      </c>
      <c r="D3934" s="14" t="str">
        <f>VLOOKUP(C3934,'State Key'!$A$2:$B$210,2,False)</f>
        <v>Tamil Nadu</v>
      </c>
      <c r="E3934" s="15">
        <v>1500.0</v>
      </c>
      <c r="F3934" s="16">
        <v>749.625</v>
      </c>
      <c r="G3934" s="16">
        <v>73.603</v>
      </c>
      <c r="H3934" s="16">
        <v>0.0</v>
      </c>
      <c r="I3934" s="16">
        <v>0.0</v>
      </c>
      <c r="J3934" s="16">
        <v>0.0</v>
      </c>
      <c r="K3934" s="16">
        <v>0.0</v>
      </c>
      <c r="L3934" s="16">
        <v>823.228</v>
      </c>
      <c r="M3934" s="16">
        <v>670.389</v>
      </c>
      <c r="N3934" s="16">
        <v>305.67</v>
      </c>
      <c r="O3934" s="23">
        <v>13.7</v>
      </c>
      <c r="P3934" s="18">
        <f t="shared" si="1"/>
        <v>823.228</v>
      </c>
    </row>
    <row r="3935" ht="15.75" customHeight="1">
      <c r="A3935" s="19" t="s">
        <v>240</v>
      </c>
      <c r="B3935" s="19" t="s">
        <v>99</v>
      </c>
      <c r="C3935" s="20" t="s">
        <v>131</v>
      </c>
      <c r="D3935" s="14" t="str">
        <f>VLOOKUP(C3935,'State Key'!$A$2:$B$210,2,False)</f>
        <v>Andhra Pradesh</v>
      </c>
      <c r="E3935" s="21">
        <v>1040.0</v>
      </c>
      <c r="F3935" s="22">
        <v>281.75535</v>
      </c>
      <c r="G3935" s="22">
        <v>0.0</v>
      </c>
      <c r="H3935" s="22">
        <v>0.0</v>
      </c>
      <c r="I3935" s="22">
        <v>0.0</v>
      </c>
      <c r="J3935" s="22">
        <v>0.0</v>
      </c>
      <c r="K3935" s="22">
        <v>0.0</v>
      </c>
      <c r="L3935" s="22">
        <v>281.75535</v>
      </c>
      <c r="M3935" s="22">
        <v>220.238</v>
      </c>
      <c r="N3935" s="22">
        <v>98.8691</v>
      </c>
      <c r="O3935" s="23">
        <v>13.5</v>
      </c>
      <c r="P3935" s="18">
        <f t="shared" si="1"/>
        <v>281.75535</v>
      </c>
    </row>
    <row r="3936" ht="15.75" customHeight="1">
      <c r="A3936" s="13" t="s">
        <v>240</v>
      </c>
      <c r="B3936" s="13" t="s">
        <v>99</v>
      </c>
      <c r="C3936" s="14" t="s">
        <v>132</v>
      </c>
      <c r="D3936" s="14" t="str">
        <f>VLOOKUP(C3936,'State Key'!$A$2:$B$210,2,False)</f>
        <v>Karnataka</v>
      </c>
      <c r="E3936" s="15">
        <v>1600.0</v>
      </c>
      <c r="F3936" s="16">
        <v>0.0</v>
      </c>
      <c r="G3936" s="16">
        <v>456.783</v>
      </c>
      <c r="H3936" s="16">
        <v>0.0</v>
      </c>
      <c r="I3936" s="16">
        <v>0.0</v>
      </c>
      <c r="J3936" s="16">
        <v>0.0</v>
      </c>
      <c r="K3936" s="16">
        <v>0.0</v>
      </c>
      <c r="L3936" s="16">
        <v>456.783</v>
      </c>
      <c r="M3936" s="16">
        <v>482.187</v>
      </c>
      <c r="N3936" s="16">
        <v>165.457</v>
      </c>
      <c r="O3936" s="23">
        <v>10.3</v>
      </c>
      <c r="P3936" s="18">
        <f t="shared" si="1"/>
        <v>456.783</v>
      </c>
    </row>
    <row r="3937" ht="15.75" customHeight="1">
      <c r="A3937" s="19" t="s">
        <v>240</v>
      </c>
      <c r="B3937" s="19" t="s">
        <v>133</v>
      </c>
      <c r="C3937" s="20" t="s">
        <v>211</v>
      </c>
      <c r="D3937" s="14" t="str">
        <f>VLOOKUP(C3937,'State Key'!$A$2:$B$210,2,False)</f>
        <v>Gujarat</v>
      </c>
      <c r="E3937" s="21">
        <v>2640.0</v>
      </c>
      <c r="F3937" s="22">
        <v>0.0</v>
      </c>
      <c r="G3937" s="22">
        <v>0.0</v>
      </c>
      <c r="H3937" s="22">
        <v>0.0</v>
      </c>
      <c r="I3937" s="22">
        <v>0.0</v>
      </c>
      <c r="J3937" s="22">
        <v>737.863</v>
      </c>
      <c r="K3937" s="22">
        <v>0.0</v>
      </c>
      <c r="L3937" s="22">
        <v>737.863</v>
      </c>
      <c r="M3937" s="22">
        <v>770.852</v>
      </c>
      <c r="N3937" s="22">
        <v>110.275</v>
      </c>
      <c r="O3937" s="17">
        <v>4.3</v>
      </c>
      <c r="P3937" s="18">
        <f t="shared" si="1"/>
        <v>737.863</v>
      </c>
    </row>
    <row r="3938" ht="15.75" customHeight="1">
      <c r="A3938" s="13" t="s">
        <v>240</v>
      </c>
      <c r="B3938" s="13" t="s">
        <v>133</v>
      </c>
      <c r="C3938" s="14" t="s">
        <v>212</v>
      </c>
      <c r="D3938" s="14" t="str">
        <f>VLOOKUP(C3938,'State Key'!$A$2:$B$210,2,False)</f>
        <v>Gujarat</v>
      </c>
      <c r="E3938" s="15">
        <v>1980.0</v>
      </c>
      <c r="F3938" s="16">
        <v>0.0</v>
      </c>
      <c r="G3938" s="16">
        <v>0.0</v>
      </c>
      <c r="H3938" s="16">
        <v>0.0</v>
      </c>
      <c r="I3938" s="16">
        <v>0.0</v>
      </c>
      <c r="J3938" s="16">
        <v>578.779</v>
      </c>
      <c r="K3938" s="16">
        <v>0.0</v>
      </c>
      <c r="L3938" s="16">
        <v>578.779</v>
      </c>
      <c r="M3938" s="16">
        <v>607.927</v>
      </c>
      <c r="N3938" s="16">
        <v>48.001</v>
      </c>
      <c r="O3938" s="17">
        <v>2.4</v>
      </c>
      <c r="P3938" s="18">
        <f t="shared" si="1"/>
        <v>578.779</v>
      </c>
    </row>
    <row r="3939" ht="15.75" customHeight="1">
      <c r="A3939" s="19" t="s">
        <v>240</v>
      </c>
      <c r="B3939" s="19" t="s">
        <v>133</v>
      </c>
      <c r="C3939" s="20" t="s">
        <v>213</v>
      </c>
      <c r="D3939" s="14" t="str">
        <f>VLOOKUP(C3939,'State Key'!$A$2:$B$210,2,False)</f>
        <v>Chhattisgarh</v>
      </c>
      <c r="E3939" s="21">
        <v>600.0</v>
      </c>
      <c r="F3939" s="22">
        <v>251.286</v>
      </c>
      <c r="G3939" s="22">
        <v>0.0</v>
      </c>
      <c r="H3939" s="22">
        <v>0.0</v>
      </c>
      <c r="I3939" s="22">
        <v>0.0</v>
      </c>
      <c r="J3939" s="22">
        <v>0.0</v>
      </c>
      <c r="K3939" s="22">
        <v>0.0</v>
      </c>
      <c r="L3939" s="22">
        <v>251.286</v>
      </c>
      <c r="M3939" s="22">
        <v>299.01</v>
      </c>
      <c r="N3939" s="22">
        <v>138.23</v>
      </c>
      <c r="O3939" s="23">
        <v>13.9</v>
      </c>
      <c r="P3939" s="18">
        <f t="shared" si="1"/>
        <v>251.286</v>
      </c>
    </row>
    <row r="3940" ht="15.75" customHeight="1">
      <c r="A3940" s="13" t="s">
        <v>240</v>
      </c>
      <c r="B3940" s="13" t="s">
        <v>133</v>
      </c>
      <c r="C3940" s="14" t="s">
        <v>214</v>
      </c>
      <c r="D3940" s="14" t="str">
        <f>VLOOKUP(C3940,'State Key'!$A$2:$B$210,2,False)</f>
        <v>Chhattisgarh</v>
      </c>
      <c r="E3940" s="15">
        <v>1370.0</v>
      </c>
      <c r="F3940" s="16">
        <v>478.61</v>
      </c>
      <c r="G3940" s="16">
        <v>32.66</v>
      </c>
      <c r="H3940" s="16">
        <v>0.0</v>
      </c>
      <c r="I3940" s="16">
        <v>0.0</v>
      </c>
      <c r="J3940" s="16">
        <v>0.0</v>
      </c>
      <c r="K3940" s="16">
        <v>22.72</v>
      </c>
      <c r="L3940" s="16">
        <v>533.99</v>
      </c>
      <c r="M3940" s="16">
        <v>608.83</v>
      </c>
      <c r="N3940" s="16">
        <v>34.83</v>
      </c>
      <c r="O3940" s="17">
        <v>1.7</v>
      </c>
      <c r="P3940" s="18">
        <f t="shared" si="1"/>
        <v>533.99</v>
      </c>
    </row>
    <row r="3941" ht="15.75" customHeight="1">
      <c r="A3941" s="19" t="s">
        <v>240</v>
      </c>
      <c r="B3941" s="19" t="s">
        <v>133</v>
      </c>
      <c r="C3941" s="20" t="s">
        <v>215</v>
      </c>
      <c r="D3941" s="14" t="str">
        <f>VLOOKUP(C3941,'State Key'!$A$2:$B$210,2,False)</f>
        <v>Maharashtra</v>
      </c>
      <c r="E3941" s="21">
        <v>3300.0</v>
      </c>
      <c r="F3941" s="22">
        <v>1215.356</v>
      </c>
      <c r="G3941" s="22">
        <v>0.0</v>
      </c>
      <c r="H3941" s="22">
        <v>0.0</v>
      </c>
      <c r="I3941" s="22">
        <v>0.0</v>
      </c>
      <c r="J3941" s="22">
        <v>0.0</v>
      </c>
      <c r="K3941" s="22">
        <v>0.0</v>
      </c>
      <c r="L3941" s="22">
        <v>1215.356</v>
      </c>
      <c r="M3941" s="22">
        <v>1164.945</v>
      </c>
      <c r="N3941" s="22">
        <v>321.58</v>
      </c>
      <c r="O3941" s="23">
        <v>8.3</v>
      </c>
      <c r="P3941" s="18">
        <f t="shared" si="1"/>
        <v>1215.356</v>
      </c>
    </row>
    <row r="3942" ht="15.75" customHeight="1">
      <c r="A3942" s="13" t="s">
        <v>240</v>
      </c>
      <c r="B3942" s="13" t="s">
        <v>133</v>
      </c>
      <c r="C3942" s="14" t="s">
        <v>134</v>
      </c>
      <c r="D3942" s="14" t="str">
        <f>VLOOKUP(C3942,'State Key'!$A$2:$B$210,2,False)</f>
        <v>Chhattisgarh</v>
      </c>
      <c r="E3942" s="15">
        <v>1800.0</v>
      </c>
      <c r="F3942" s="16">
        <v>752.5637</v>
      </c>
      <c r="G3942" s="16">
        <v>0.0</v>
      </c>
      <c r="H3942" s="16">
        <v>0.0</v>
      </c>
      <c r="I3942" s="16">
        <v>0.0</v>
      </c>
      <c r="J3942" s="16">
        <v>0.0</v>
      </c>
      <c r="K3942" s="16">
        <v>82.66894</v>
      </c>
      <c r="L3942" s="16">
        <v>835.23264</v>
      </c>
      <c r="M3942" s="16">
        <v>662.963</v>
      </c>
      <c r="N3942" s="16">
        <v>603.22</v>
      </c>
      <c r="O3942" s="24">
        <v>27.3</v>
      </c>
      <c r="P3942" s="18">
        <f t="shared" si="1"/>
        <v>835.23264</v>
      </c>
    </row>
    <row r="3943" ht="15.75" customHeight="1">
      <c r="A3943" s="19" t="s">
        <v>240</v>
      </c>
      <c r="B3943" s="19" t="s">
        <v>133</v>
      </c>
      <c r="C3943" s="20" t="s">
        <v>135</v>
      </c>
      <c r="D3943" s="14" t="str">
        <f>VLOOKUP(C3943,'State Key'!$A$2:$B$210,2,False)</f>
        <v>Madhya Pradesh</v>
      </c>
      <c r="E3943" s="21">
        <v>210.0</v>
      </c>
      <c r="F3943" s="22">
        <v>104.876</v>
      </c>
      <c r="G3943" s="22">
        <v>0.0</v>
      </c>
      <c r="H3943" s="22">
        <v>0.0</v>
      </c>
      <c r="I3943" s="22">
        <v>0.0</v>
      </c>
      <c r="J3943" s="22">
        <v>0.0</v>
      </c>
      <c r="K3943" s="22">
        <v>0.0</v>
      </c>
      <c r="L3943" s="22">
        <v>104.876</v>
      </c>
      <c r="M3943" s="22">
        <v>88.07</v>
      </c>
      <c r="N3943" s="22">
        <v>94.8</v>
      </c>
      <c r="O3943" s="24">
        <v>32.3</v>
      </c>
      <c r="P3943" s="18">
        <f t="shared" si="1"/>
        <v>104.876</v>
      </c>
    </row>
    <row r="3944" ht="15.75" customHeight="1">
      <c r="A3944" s="13" t="s">
        <v>240</v>
      </c>
      <c r="B3944" s="13" t="s">
        <v>133</v>
      </c>
      <c r="C3944" s="14" t="s">
        <v>136</v>
      </c>
      <c r="D3944" s="14" t="str">
        <f>VLOOKUP(C3944,'State Key'!$A$2:$B$210,2,False)</f>
        <v>Maharashtra</v>
      </c>
      <c r="E3944" s="15">
        <v>1350.0</v>
      </c>
      <c r="F3944" s="16">
        <v>584.071</v>
      </c>
      <c r="G3944" s="16">
        <v>0.0</v>
      </c>
      <c r="H3944" s="16">
        <v>0.0</v>
      </c>
      <c r="I3944" s="16">
        <v>0.0</v>
      </c>
      <c r="J3944" s="16">
        <v>0.0</v>
      </c>
      <c r="K3944" s="16">
        <v>0.0</v>
      </c>
      <c r="L3944" s="16">
        <v>584.071</v>
      </c>
      <c r="M3944" s="16">
        <v>557.6</v>
      </c>
      <c r="N3944" s="16">
        <v>251.62</v>
      </c>
      <c r="O3944" s="23">
        <v>13.5</v>
      </c>
      <c r="P3944" s="18">
        <f t="shared" si="1"/>
        <v>584.071</v>
      </c>
    </row>
    <row r="3945" ht="15.75" customHeight="1">
      <c r="A3945" s="19" t="s">
        <v>240</v>
      </c>
      <c r="B3945" s="19" t="s">
        <v>133</v>
      </c>
      <c r="C3945" s="20" t="s">
        <v>137</v>
      </c>
      <c r="D3945" s="14" t="str">
        <f>VLOOKUP(C3945,'State Key'!$A$2:$B$210,2,False)</f>
        <v>Madhya Pradesh</v>
      </c>
      <c r="E3945" s="21">
        <v>1250.0</v>
      </c>
      <c r="F3945" s="22">
        <v>403.34</v>
      </c>
      <c r="G3945" s="22">
        <v>0.0</v>
      </c>
      <c r="H3945" s="22">
        <v>0.0</v>
      </c>
      <c r="I3945" s="22">
        <v>288.13</v>
      </c>
      <c r="J3945" s="22">
        <v>0.0</v>
      </c>
      <c r="K3945" s="22">
        <v>0.0</v>
      </c>
      <c r="L3945" s="22">
        <v>691.47</v>
      </c>
      <c r="M3945" s="22">
        <v>477.29</v>
      </c>
      <c r="N3945" s="22">
        <v>538.07</v>
      </c>
      <c r="O3945" s="24">
        <v>33.8</v>
      </c>
      <c r="P3945" s="18">
        <f t="shared" si="1"/>
        <v>691.47</v>
      </c>
    </row>
    <row r="3946" ht="15.75" customHeight="1">
      <c r="A3946" s="13" t="s">
        <v>240</v>
      </c>
      <c r="B3946" s="13" t="s">
        <v>133</v>
      </c>
      <c r="C3946" s="14" t="s">
        <v>139</v>
      </c>
      <c r="D3946" s="14" t="str">
        <f>VLOOKUP(C3946,'State Key'!$A$2:$B$210,2,False)</f>
        <v>Chhattisgarh</v>
      </c>
      <c r="E3946" s="15">
        <v>600.0</v>
      </c>
      <c r="F3946" s="16">
        <v>139.69</v>
      </c>
      <c r="G3946" s="16">
        <v>0.0</v>
      </c>
      <c r="H3946" s="16">
        <v>0.0</v>
      </c>
      <c r="I3946" s="16">
        <v>94.897</v>
      </c>
      <c r="J3946" s="16">
        <v>0.0</v>
      </c>
      <c r="K3946" s="16">
        <v>0.0</v>
      </c>
      <c r="L3946" s="16">
        <v>234.587</v>
      </c>
      <c r="M3946" s="16">
        <v>242.049</v>
      </c>
      <c r="N3946" s="16">
        <v>27.8</v>
      </c>
      <c r="O3946" s="17">
        <v>3.4</v>
      </c>
      <c r="P3946" s="18">
        <f t="shared" si="1"/>
        <v>234.587</v>
      </c>
    </row>
    <row r="3947" ht="15.75" customHeight="1">
      <c r="A3947" s="19" t="s">
        <v>240</v>
      </c>
      <c r="B3947" s="19" t="s">
        <v>133</v>
      </c>
      <c r="C3947" s="20" t="s">
        <v>140</v>
      </c>
      <c r="D3947" s="14" t="str">
        <f>VLOOKUP(C3947,'State Key'!$A$2:$B$210,2,False)</f>
        <v>Chhattisgarh</v>
      </c>
      <c r="E3947" s="21">
        <v>300.0</v>
      </c>
      <c r="F3947" s="22">
        <v>110.08</v>
      </c>
      <c r="G3947" s="22">
        <v>0.0</v>
      </c>
      <c r="H3947" s="22">
        <v>0.0</v>
      </c>
      <c r="I3947" s="22">
        <v>20.484</v>
      </c>
      <c r="J3947" s="22">
        <v>0.0</v>
      </c>
      <c r="K3947" s="22">
        <v>0.0</v>
      </c>
      <c r="L3947" s="22">
        <v>130.564</v>
      </c>
      <c r="M3947" s="22">
        <v>120.662</v>
      </c>
      <c r="N3947" s="22">
        <v>125.83</v>
      </c>
      <c r="O3947" s="24">
        <v>31.3</v>
      </c>
      <c r="P3947" s="18">
        <f t="shared" si="1"/>
        <v>130.564</v>
      </c>
    </row>
    <row r="3948" ht="15.75" customHeight="1">
      <c r="A3948" s="13" t="s">
        <v>240</v>
      </c>
      <c r="B3948" s="13" t="s">
        <v>133</v>
      </c>
      <c r="C3948" s="14" t="s">
        <v>141</v>
      </c>
      <c r="D3948" s="14" t="str">
        <f>VLOOKUP(C3948,'State Key'!$A$2:$B$210,2,False)</f>
        <v>Chhattisgarh</v>
      </c>
      <c r="E3948" s="15">
        <v>1200.0</v>
      </c>
      <c r="F3948" s="16">
        <v>576.27646</v>
      </c>
      <c r="G3948" s="16">
        <v>0.0</v>
      </c>
      <c r="H3948" s="16">
        <v>0.0</v>
      </c>
      <c r="I3948" s="16">
        <v>0.0</v>
      </c>
      <c r="J3948" s="16">
        <v>0.0</v>
      </c>
      <c r="K3948" s="16">
        <v>0.0</v>
      </c>
      <c r="L3948" s="16">
        <v>576.27646</v>
      </c>
      <c r="M3948" s="16">
        <v>516.9158</v>
      </c>
      <c r="N3948" s="16">
        <v>499.08</v>
      </c>
      <c r="O3948" s="24">
        <v>29.0</v>
      </c>
      <c r="P3948" s="18">
        <f t="shared" si="1"/>
        <v>576.27646</v>
      </c>
    </row>
    <row r="3949" ht="15.75" customHeight="1">
      <c r="A3949" s="19" t="s">
        <v>240</v>
      </c>
      <c r="B3949" s="19" t="s">
        <v>133</v>
      </c>
      <c r="C3949" s="20" t="s">
        <v>142</v>
      </c>
      <c r="D3949" s="14" t="str">
        <f>VLOOKUP(C3949,'State Key'!$A$2:$B$210,2,False)</f>
        <v>Maharashtra</v>
      </c>
      <c r="E3949" s="21">
        <v>270.0</v>
      </c>
      <c r="F3949" s="22">
        <v>106.734</v>
      </c>
      <c r="G3949" s="22">
        <v>0.0</v>
      </c>
      <c r="H3949" s="22">
        <v>0.0</v>
      </c>
      <c r="I3949" s="22">
        <v>20.766</v>
      </c>
      <c r="J3949" s="22">
        <v>0.0</v>
      </c>
      <c r="K3949" s="22">
        <v>0.0</v>
      </c>
      <c r="L3949" s="22">
        <v>127.5</v>
      </c>
      <c r="M3949" s="22">
        <v>101.43</v>
      </c>
      <c r="N3949" s="22">
        <v>127.5</v>
      </c>
      <c r="O3949" s="24">
        <v>37.7</v>
      </c>
      <c r="P3949" s="18">
        <f t="shared" si="1"/>
        <v>127.5</v>
      </c>
    </row>
    <row r="3950" ht="15.75" customHeight="1">
      <c r="A3950" s="13" t="s">
        <v>240</v>
      </c>
      <c r="B3950" s="13" t="s">
        <v>133</v>
      </c>
      <c r="C3950" s="14" t="s">
        <v>143</v>
      </c>
      <c r="D3950" s="14" t="str">
        <f>VLOOKUP(C3950,'State Key'!$A$2:$B$210,2,False)</f>
        <v>Chhattisgarh</v>
      </c>
      <c r="E3950" s="15">
        <v>500.0</v>
      </c>
      <c r="F3950" s="16">
        <v>153.374</v>
      </c>
      <c r="G3950" s="16">
        <v>0.0</v>
      </c>
      <c r="H3950" s="16">
        <v>0.0</v>
      </c>
      <c r="I3950" s="16">
        <v>0.0</v>
      </c>
      <c r="J3950" s="16">
        <v>0.0</v>
      </c>
      <c r="K3950" s="16">
        <v>0.0</v>
      </c>
      <c r="L3950" s="16">
        <v>153.374</v>
      </c>
      <c r="M3950" s="16">
        <v>230.127</v>
      </c>
      <c r="N3950" s="16">
        <v>170.84</v>
      </c>
      <c r="O3950" s="24">
        <v>22.3</v>
      </c>
      <c r="P3950" s="18">
        <f t="shared" si="1"/>
        <v>153.374</v>
      </c>
    </row>
    <row r="3951" ht="15.75" customHeight="1">
      <c r="A3951" s="19" t="s">
        <v>240</v>
      </c>
      <c r="B3951" s="19" t="s">
        <v>133</v>
      </c>
      <c r="C3951" s="20" t="s">
        <v>144</v>
      </c>
      <c r="D3951" s="14" t="str">
        <f>VLOOKUP(C3951,'State Key'!$A$2:$B$210,2,False)</f>
        <v>Maharashtra</v>
      </c>
      <c r="E3951" s="21">
        <v>1210.0</v>
      </c>
      <c r="F3951" s="22">
        <v>507.455</v>
      </c>
      <c r="G3951" s="22">
        <v>62.877</v>
      </c>
      <c r="H3951" s="22">
        <v>0.0</v>
      </c>
      <c r="I3951" s="22">
        <v>0.0</v>
      </c>
      <c r="J3951" s="22">
        <v>67.974</v>
      </c>
      <c r="K3951" s="22">
        <v>0.0</v>
      </c>
      <c r="L3951" s="22">
        <v>638.306</v>
      </c>
      <c r="M3951" s="22">
        <v>624.193</v>
      </c>
      <c r="N3951" s="22">
        <v>699.213</v>
      </c>
      <c r="O3951" s="24">
        <v>33.6</v>
      </c>
      <c r="P3951" s="18">
        <f t="shared" si="1"/>
        <v>638.306</v>
      </c>
    </row>
    <row r="3952" ht="15.75" customHeight="1">
      <c r="A3952" s="13" t="s">
        <v>240</v>
      </c>
      <c r="B3952" s="13" t="s">
        <v>133</v>
      </c>
      <c r="C3952" s="14" t="s">
        <v>145</v>
      </c>
      <c r="D3952" s="14" t="str">
        <f>VLOOKUP(C3952,'State Key'!$A$2:$B$210,2,False)</f>
        <v>Madhya Pradesh</v>
      </c>
      <c r="E3952" s="15">
        <v>500.0</v>
      </c>
      <c r="F3952" s="16">
        <v>142.59</v>
      </c>
      <c r="G3952" s="16">
        <v>0.0</v>
      </c>
      <c r="H3952" s="16">
        <v>0.0</v>
      </c>
      <c r="I3952" s="16">
        <v>114.62</v>
      </c>
      <c r="J3952" s="16">
        <v>0.0</v>
      </c>
      <c r="K3952" s="16">
        <v>0.056</v>
      </c>
      <c r="L3952" s="16">
        <v>257.266</v>
      </c>
      <c r="M3952" s="16">
        <v>199.47</v>
      </c>
      <c r="N3952" s="16">
        <v>177.59</v>
      </c>
      <c r="O3952" s="24">
        <v>26.7</v>
      </c>
      <c r="P3952" s="18">
        <f t="shared" si="1"/>
        <v>257.266</v>
      </c>
    </row>
    <row r="3953" ht="15.75" customHeight="1">
      <c r="A3953" s="19" t="s">
        <v>240</v>
      </c>
      <c r="B3953" s="19" t="s">
        <v>133</v>
      </c>
      <c r="C3953" s="20" t="s">
        <v>146</v>
      </c>
      <c r="D3953" s="14" t="str">
        <f>VLOOKUP(C3953,'State Key'!$A$2:$B$210,2,False)</f>
        <v>Chhattisgarh</v>
      </c>
      <c r="E3953" s="21">
        <v>600.0</v>
      </c>
      <c r="F3953" s="22">
        <v>8.244</v>
      </c>
      <c r="G3953" s="22">
        <v>0.0</v>
      </c>
      <c r="H3953" s="22">
        <v>0.0</v>
      </c>
      <c r="I3953" s="22">
        <v>193.51</v>
      </c>
      <c r="J3953" s="22">
        <v>0.0</v>
      </c>
      <c r="K3953" s="22">
        <v>133.071</v>
      </c>
      <c r="L3953" s="22">
        <v>334.825</v>
      </c>
      <c r="M3953" s="22">
        <v>323.412</v>
      </c>
      <c r="N3953" s="22">
        <v>171.88</v>
      </c>
      <c r="O3953" s="24">
        <v>15.9</v>
      </c>
      <c r="P3953" s="18">
        <f t="shared" si="1"/>
        <v>334.825</v>
      </c>
    </row>
    <row r="3954" ht="15.75" customHeight="1">
      <c r="A3954" s="13" t="s">
        <v>240</v>
      </c>
      <c r="B3954" s="13" t="s">
        <v>133</v>
      </c>
      <c r="C3954" s="14" t="s">
        <v>147</v>
      </c>
      <c r="D3954" s="14" t="str">
        <f>VLOOKUP(C3954,'State Key'!$A$2:$B$210,2,False)</f>
        <v>Maharashtra</v>
      </c>
      <c r="E3954" s="15">
        <v>600.0</v>
      </c>
      <c r="F3954" s="16">
        <v>0.0</v>
      </c>
      <c r="G3954" s="16">
        <v>0.0</v>
      </c>
      <c r="H3954" s="16">
        <v>0.0</v>
      </c>
      <c r="I3954" s="16">
        <v>0.0</v>
      </c>
      <c r="J3954" s="16">
        <v>0.0</v>
      </c>
      <c r="K3954" s="16">
        <v>0.0</v>
      </c>
      <c r="L3954" s="16">
        <v>0.0</v>
      </c>
      <c r="M3954" s="16">
        <v>0.0</v>
      </c>
      <c r="N3954" s="16">
        <v>0.0</v>
      </c>
      <c r="O3954" s="13" t="s">
        <v>58</v>
      </c>
      <c r="P3954" s="18">
        <f t="shared" si="1"/>
        <v>0</v>
      </c>
    </row>
    <row r="3955" ht="15.75" customHeight="1">
      <c r="A3955" s="19" t="s">
        <v>240</v>
      </c>
      <c r="B3955" s="19" t="s">
        <v>133</v>
      </c>
      <c r="C3955" s="20" t="s">
        <v>148</v>
      </c>
      <c r="D3955" s="14" t="str">
        <f>VLOOKUP(C3955,'State Key'!$A$2:$B$210,2,False)</f>
        <v>Chhattisgarh</v>
      </c>
      <c r="E3955" s="21">
        <v>30.0</v>
      </c>
      <c r="F3955" s="22">
        <v>17.007</v>
      </c>
      <c r="G3955" s="22">
        <v>0.0</v>
      </c>
      <c r="H3955" s="22">
        <v>0.0</v>
      </c>
      <c r="I3955" s="22">
        <v>0.0</v>
      </c>
      <c r="J3955" s="22">
        <v>0.0</v>
      </c>
      <c r="K3955" s="22">
        <v>14.2</v>
      </c>
      <c r="L3955" s="22">
        <v>31.207</v>
      </c>
      <c r="M3955" s="22">
        <v>26.891</v>
      </c>
      <c r="N3955" s="22">
        <v>11.62</v>
      </c>
      <c r="O3955" s="23">
        <v>13.0</v>
      </c>
      <c r="P3955" s="18">
        <f t="shared" si="1"/>
        <v>31.207</v>
      </c>
    </row>
    <row r="3956" ht="15.75" customHeight="1">
      <c r="A3956" s="13" t="s">
        <v>240</v>
      </c>
      <c r="B3956" s="13" t="s">
        <v>133</v>
      </c>
      <c r="C3956" s="14" t="s">
        <v>149</v>
      </c>
      <c r="D3956" s="14" t="str">
        <f>VLOOKUP(C3956,'State Key'!$A$2:$B$210,2,False)</f>
        <v>Maharashtra</v>
      </c>
      <c r="E3956" s="15">
        <v>2920.0</v>
      </c>
      <c r="F3956" s="16">
        <v>1093.548</v>
      </c>
      <c r="G3956" s="16">
        <v>169.279</v>
      </c>
      <c r="H3956" s="16">
        <v>0.0</v>
      </c>
      <c r="I3956" s="16">
        <v>0.0</v>
      </c>
      <c r="J3956" s="16">
        <v>81.179</v>
      </c>
      <c r="K3956" s="16">
        <v>0.0</v>
      </c>
      <c r="L3956" s="16">
        <v>1344.006</v>
      </c>
      <c r="M3956" s="16">
        <v>935.1231</v>
      </c>
      <c r="N3956" s="16">
        <v>854.37</v>
      </c>
      <c r="O3956" s="24">
        <v>27.4</v>
      </c>
      <c r="P3956" s="18">
        <f t="shared" si="1"/>
        <v>1344.006</v>
      </c>
    </row>
    <row r="3957" ht="15.75" customHeight="1">
      <c r="A3957" s="19" t="s">
        <v>240</v>
      </c>
      <c r="B3957" s="19" t="s">
        <v>133</v>
      </c>
      <c r="C3957" s="20" t="s">
        <v>150</v>
      </c>
      <c r="D3957" s="14" t="str">
        <f>VLOOKUP(C3957,'State Key'!$A$2:$B$210,2,False)</f>
        <v>Maharashtra</v>
      </c>
      <c r="E3957" s="21">
        <v>500.0</v>
      </c>
      <c r="F3957" s="22">
        <v>231.591</v>
      </c>
      <c r="G3957" s="22">
        <v>0.0</v>
      </c>
      <c r="H3957" s="22">
        <v>0.0</v>
      </c>
      <c r="I3957" s="22">
        <v>0.0</v>
      </c>
      <c r="J3957" s="22">
        <v>0.0</v>
      </c>
      <c r="K3957" s="22">
        <v>0.0</v>
      </c>
      <c r="L3957" s="22">
        <v>231.591</v>
      </c>
      <c r="M3957" s="22">
        <v>185.135</v>
      </c>
      <c r="N3957" s="22">
        <v>67.58</v>
      </c>
      <c r="O3957" s="23">
        <v>11.0</v>
      </c>
      <c r="P3957" s="18">
        <f t="shared" si="1"/>
        <v>231.591</v>
      </c>
    </row>
    <row r="3958" ht="15.75" customHeight="1">
      <c r="A3958" s="13" t="s">
        <v>240</v>
      </c>
      <c r="B3958" s="13" t="s">
        <v>133</v>
      </c>
      <c r="C3958" s="14" t="s">
        <v>151</v>
      </c>
      <c r="D3958" s="14" t="str">
        <f>VLOOKUP(C3958,'State Key'!$A$2:$B$210,2,False)</f>
        <v>Maharashtra</v>
      </c>
      <c r="E3958" s="15">
        <v>600.0</v>
      </c>
      <c r="F3958" s="16">
        <v>216.061</v>
      </c>
      <c r="G3958" s="16">
        <v>0.0</v>
      </c>
      <c r="H3958" s="16">
        <v>0.0</v>
      </c>
      <c r="I3958" s="16">
        <v>6.552</v>
      </c>
      <c r="J3958" s="16">
        <v>0.0</v>
      </c>
      <c r="K3958" s="16">
        <v>0.0</v>
      </c>
      <c r="L3958" s="16">
        <v>222.613</v>
      </c>
      <c r="M3958" s="16">
        <v>195.371</v>
      </c>
      <c r="N3958" s="16">
        <v>228.63</v>
      </c>
      <c r="O3958" s="24">
        <v>35.1</v>
      </c>
      <c r="P3958" s="18">
        <f t="shared" si="1"/>
        <v>222.613</v>
      </c>
    </row>
    <row r="3959" ht="15.75" customHeight="1">
      <c r="A3959" s="19" t="s">
        <v>240</v>
      </c>
      <c r="B3959" s="19" t="s">
        <v>133</v>
      </c>
      <c r="C3959" s="20" t="s">
        <v>152</v>
      </c>
      <c r="D3959" s="14" t="str">
        <f>VLOOKUP(C3959,'State Key'!$A$2:$B$210,2,False)</f>
        <v>Chhattisgarh</v>
      </c>
      <c r="E3959" s="21">
        <v>500.0</v>
      </c>
      <c r="F3959" s="22">
        <v>206.984</v>
      </c>
      <c r="G3959" s="22">
        <v>0.0</v>
      </c>
      <c r="H3959" s="22">
        <v>0.0</v>
      </c>
      <c r="I3959" s="22">
        <v>0.0</v>
      </c>
      <c r="J3959" s="22">
        <v>0.0</v>
      </c>
      <c r="K3959" s="22">
        <v>0.0</v>
      </c>
      <c r="L3959" s="22">
        <v>206.984</v>
      </c>
      <c r="M3959" s="22">
        <v>260.461</v>
      </c>
      <c r="N3959" s="22">
        <v>188.65</v>
      </c>
      <c r="O3959" s="24">
        <v>21.7</v>
      </c>
      <c r="P3959" s="18">
        <f t="shared" si="1"/>
        <v>206.984</v>
      </c>
    </row>
    <row r="3960" ht="15.75" customHeight="1">
      <c r="A3960" s="13" t="s">
        <v>240</v>
      </c>
      <c r="B3960" s="13" t="s">
        <v>133</v>
      </c>
      <c r="C3960" s="14" t="s">
        <v>153</v>
      </c>
      <c r="D3960" s="14" t="str">
        <f>VLOOKUP(C3960,'State Key'!$A$2:$B$210,2,False)</f>
        <v>Madhya Pradesh</v>
      </c>
      <c r="E3960" s="15">
        <v>1600.0</v>
      </c>
      <c r="F3960" s="16">
        <v>228.15</v>
      </c>
      <c r="G3960" s="16">
        <v>24.49</v>
      </c>
      <c r="H3960" s="16">
        <v>309.93</v>
      </c>
      <c r="I3960" s="16">
        <v>0.0</v>
      </c>
      <c r="J3960" s="16">
        <v>0.0</v>
      </c>
      <c r="K3960" s="16">
        <v>51.54</v>
      </c>
      <c r="L3960" s="16">
        <v>614.11</v>
      </c>
      <c r="M3960" s="16">
        <v>530.887</v>
      </c>
      <c r="N3960" s="16">
        <v>371.38</v>
      </c>
      <c r="O3960" s="24">
        <v>21.0</v>
      </c>
      <c r="P3960" s="18">
        <f t="shared" si="1"/>
        <v>614.11</v>
      </c>
    </row>
    <row r="3961" ht="15.75" customHeight="1">
      <c r="A3961" s="19" t="s">
        <v>240</v>
      </c>
      <c r="B3961" s="19" t="s">
        <v>133</v>
      </c>
      <c r="C3961" s="20" t="s">
        <v>154</v>
      </c>
      <c r="D3961" s="14" t="str">
        <f>VLOOKUP(C3961,'State Key'!$A$2:$B$210,2,False)</f>
        <v>Gujarat</v>
      </c>
      <c r="E3961" s="21">
        <v>630.0</v>
      </c>
      <c r="F3961" s="22">
        <v>8.17964</v>
      </c>
      <c r="G3961" s="22">
        <v>0.0</v>
      </c>
      <c r="H3961" s="22">
        <v>0.0</v>
      </c>
      <c r="I3961" s="22">
        <v>0.0</v>
      </c>
      <c r="J3961" s="22">
        <v>4.11209</v>
      </c>
      <c r="K3961" s="22">
        <v>0.0</v>
      </c>
      <c r="L3961" s="22">
        <v>12.29173</v>
      </c>
      <c r="M3961" s="22">
        <v>74.339</v>
      </c>
      <c r="N3961" s="22">
        <v>211.77</v>
      </c>
      <c r="O3961" s="24">
        <v>85.5</v>
      </c>
      <c r="P3961" s="18">
        <f t="shared" si="1"/>
        <v>12.29173</v>
      </c>
    </row>
    <row r="3962" ht="15.75" customHeight="1">
      <c r="A3962" s="13" t="s">
        <v>240</v>
      </c>
      <c r="B3962" s="13" t="s">
        <v>133</v>
      </c>
      <c r="C3962" s="14" t="s">
        <v>155</v>
      </c>
      <c r="D3962" s="14" t="str">
        <f>VLOOKUP(C3962,'State Key'!$A$2:$B$210,2,False)</f>
        <v>Maharashtra</v>
      </c>
      <c r="E3962" s="15">
        <v>120.0</v>
      </c>
      <c r="F3962" s="16">
        <v>0.0</v>
      </c>
      <c r="G3962" s="16">
        <v>0.0</v>
      </c>
      <c r="H3962" s="16">
        <v>0.0</v>
      </c>
      <c r="I3962" s="16">
        <v>0.0</v>
      </c>
      <c r="J3962" s="16">
        <v>0.0</v>
      </c>
      <c r="K3962" s="16">
        <v>0.0</v>
      </c>
      <c r="L3962" s="16">
        <v>0.0</v>
      </c>
      <c r="M3962" s="16">
        <v>0.0</v>
      </c>
      <c r="N3962" s="16">
        <v>0.0</v>
      </c>
      <c r="O3962" s="13" t="s">
        <v>58</v>
      </c>
      <c r="P3962" s="18">
        <f t="shared" si="1"/>
        <v>0</v>
      </c>
    </row>
    <row r="3963" ht="15.75" customHeight="1">
      <c r="A3963" s="19" t="s">
        <v>240</v>
      </c>
      <c r="B3963" s="19" t="s">
        <v>133</v>
      </c>
      <c r="C3963" s="20" t="s">
        <v>156</v>
      </c>
      <c r="D3963" s="14" t="str">
        <f>VLOOKUP(C3963,'State Key'!$A$2:$B$210,2,False)</f>
        <v>Maharashtra</v>
      </c>
      <c r="E3963" s="21">
        <v>600.0</v>
      </c>
      <c r="F3963" s="22">
        <v>193.793</v>
      </c>
      <c r="G3963" s="22">
        <v>0.0</v>
      </c>
      <c r="H3963" s="22">
        <v>0.0</v>
      </c>
      <c r="I3963" s="22">
        <v>79.241</v>
      </c>
      <c r="J3963" s="22">
        <v>0.0</v>
      </c>
      <c r="K3963" s="22">
        <v>0.0</v>
      </c>
      <c r="L3963" s="22">
        <v>273.034</v>
      </c>
      <c r="M3963" s="22">
        <v>258.325</v>
      </c>
      <c r="N3963" s="22">
        <v>130.47</v>
      </c>
      <c r="O3963" s="24">
        <v>15.2</v>
      </c>
      <c r="P3963" s="18">
        <f t="shared" si="1"/>
        <v>273.034</v>
      </c>
    </row>
    <row r="3964" ht="15.75" customHeight="1">
      <c r="A3964" s="13" t="s">
        <v>240</v>
      </c>
      <c r="B3964" s="13" t="s">
        <v>133</v>
      </c>
      <c r="C3964" s="14" t="s">
        <v>157</v>
      </c>
      <c r="D3964" s="14" t="str">
        <f>VLOOKUP(C3964,'State Key'!$A$2:$B$210,2,False)</f>
        <v>Maharashtra</v>
      </c>
      <c r="E3964" s="15">
        <v>300.0</v>
      </c>
      <c r="F3964" s="16">
        <v>0.0</v>
      </c>
      <c r="G3964" s="16">
        <v>0.0</v>
      </c>
      <c r="H3964" s="16">
        <v>0.0</v>
      </c>
      <c r="I3964" s="16">
        <v>0.0</v>
      </c>
      <c r="J3964" s="16">
        <v>75.0</v>
      </c>
      <c r="K3964" s="16">
        <v>0.0</v>
      </c>
      <c r="L3964" s="16">
        <v>75.0</v>
      </c>
      <c r="M3964" s="16">
        <v>76.02</v>
      </c>
      <c r="N3964" s="16">
        <v>41.48</v>
      </c>
      <c r="O3964" s="24">
        <v>16.4</v>
      </c>
      <c r="P3964" s="18">
        <f t="shared" si="1"/>
        <v>75</v>
      </c>
    </row>
    <row r="3965" ht="15.75" customHeight="1">
      <c r="A3965" s="19" t="s">
        <v>240</v>
      </c>
      <c r="B3965" s="19" t="s">
        <v>133</v>
      </c>
      <c r="C3965" s="20" t="s">
        <v>158</v>
      </c>
      <c r="D3965" s="14" t="str">
        <f>VLOOKUP(C3965,'State Key'!$A$2:$B$210,2,False)</f>
        <v>Chhattisgarh</v>
      </c>
      <c r="E3965" s="21">
        <v>270.0</v>
      </c>
      <c r="F3965" s="22">
        <v>61.4502</v>
      </c>
      <c r="G3965" s="22">
        <v>0.0</v>
      </c>
      <c r="H3965" s="22">
        <v>0.0</v>
      </c>
      <c r="I3965" s="22">
        <v>0.0</v>
      </c>
      <c r="J3965" s="22">
        <v>0.0</v>
      </c>
      <c r="K3965" s="22">
        <v>89.187</v>
      </c>
      <c r="L3965" s="22">
        <v>150.6372</v>
      </c>
      <c r="M3965" s="22">
        <v>145.8</v>
      </c>
      <c r="N3965" s="22">
        <v>21.73</v>
      </c>
      <c r="O3965" s="17">
        <v>4.5</v>
      </c>
      <c r="P3965" s="18">
        <f t="shared" si="1"/>
        <v>150.6372</v>
      </c>
    </row>
    <row r="3966" ht="15.75" customHeight="1">
      <c r="A3966" s="13" t="s">
        <v>240</v>
      </c>
      <c r="B3966" s="13" t="s">
        <v>133</v>
      </c>
      <c r="C3966" s="14" t="s">
        <v>159</v>
      </c>
      <c r="D3966" s="14" t="str">
        <f>VLOOKUP(C3966,'State Key'!$A$2:$B$210,2,False)</f>
        <v>Chhattisgarh</v>
      </c>
      <c r="E3966" s="15">
        <v>35.0</v>
      </c>
      <c r="F3966" s="16">
        <v>0.0</v>
      </c>
      <c r="G3966" s="16">
        <v>0.0</v>
      </c>
      <c r="H3966" s="16">
        <v>0.0</v>
      </c>
      <c r="I3966" s="16">
        <v>0.0</v>
      </c>
      <c r="J3966" s="16">
        <v>0.0</v>
      </c>
      <c r="K3966" s="16">
        <v>0.0</v>
      </c>
      <c r="L3966" s="16">
        <v>0.0</v>
      </c>
      <c r="M3966" s="16">
        <v>0.0</v>
      </c>
      <c r="N3966" s="16">
        <v>0.0</v>
      </c>
      <c r="O3966" s="13" t="s">
        <v>58</v>
      </c>
      <c r="P3966" s="18">
        <f t="shared" si="1"/>
        <v>0</v>
      </c>
    </row>
    <row r="3967" ht="15.75" customHeight="1">
      <c r="A3967" s="19" t="s">
        <v>240</v>
      </c>
      <c r="B3967" s="19" t="s">
        <v>133</v>
      </c>
      <c r="C3967" s="20" t="s">
        <v>160</v>
      </c>
      <c r="D3967" s="14" t="str">
        <f>VLOOKUP(C3967,'State Key'!$A$2:$B$210,2,False)</f>
        <v>Maharashtra</v>
      </c>
      <c r="E3967" s="21">
        <v>1340.0</v>
      </c>
      <c r="F3967" s="22">
        <v>586.393</v>
      </c>
      <c r="G3967" s="22">
        <v>0.0</v>
      </c>
      <c r="H3967" s="22">
        <v>0.0</v>
      </c>
      <c r="I3967" s="22">
        <v>0.0</v>
      </c>
      <c r="J3967" s="22">
        <v>61.935</v>
      </c>
      <c r="K3967" s="22">
        <v>0.133</v>
      </c>
      <c r="L3967" s="22">
        <v>648.461</v>
      </c>
      <c r="M3967" s="22">
        <v>675.001</v>
      </c>
      <c r="N3967" s="22">
        <v>238.3</v>
      </c>
      <c r="O3967" s="23">
        <v>10.6</v>
      </c>
      <c r="P3967" s="18">
        <f t="shared" si="1"/>
        <v>648.461</v>
      </c>
    </row>
    <row r="3968" ht="15.75" customHeight="1">
      <c r="A3968" s="13" t="s">
        <v>240</v>
      </c>
      <c r="B3968" s="13" t="s">
        <v>133</v>
      </c>
      <c r="C3968" s="14" t="s">
        <v>161</v>
      </c>
      <c r="D3968" s="14" t="str">
        <f>VLOOKUP(C3968,'State Key'!$A$2:$B$210,2,False)</f>
        <v>Madhya Pradesh</v>
      </c>
      <c r="E3968" s="15">
        <v>1320.0</v>
      </c>
      <c r="F3968" s="16">
        <v>286.07</v>
      </c>
      <c r="G3968" s="16">
        <v>85.22</v>
      </c>
      <c r="H3968" s="16">
        <v>137.09</v>
      </c>
      <c r="I3968" s="16">
        <v>0.0</v>
      </c>
      <c r="J3968" s="16">
        <v>0.0</v>
      </c>
      <c r="K3968" s="16">
        <v>48.2</v>
      </c>
      <c r="L3968" s="16">
        <v>556.58</v>
      </c>
      <c r="M3968" s="16">
        <v>472.658</v>
      </c>
      <c r="N3968" s="16">
        <v>303.16</v>
      </c>
      <c r="O3968" s="24">
        <v>19.2</v>
      </c>
      <c r="P3968" s="18">
        <f t="shared" si="1"/>
        <v>556.58</v>
      </c>
    </row>
    <row r="3969" ht="15.75" customHeight="1">
      <c r="A3969" s="19" t="s">
        <v>240</v>
      </c>
      <c r="B3969" s="19" t="s">
        <v>133</v>
      </c>
      <c r="C3969" s="20" t="s">
        <v>162</v>
      </c>
      <c r="D3969" s="14" t="str">
        <f>VLOOKUP(C3969,'State Key'!$A$2:$B$210,2,False)</f>
        <v>Maharashtra</v>
      </c>
      <c r="E3969" s="21">
        <v>2190.0</v>
      </c>
      <c r="F3969" s="22">
        <v>636.043</v>
      </c>
      <c r="G3969" s="22">
        <v>136.29</v>
      </c>
      <c r="H3969" s="22">
        <v>0.0</v>
      </c>
      <c r="I3969" s="22">
        <v>0.0</v>
      </c>
      <c r="J3969" s="22">
        <v>0.0</v>
      </c>
      <c r="K3969" s="22">
        <v>0.0</v>
      </c>
      <c r="L3969" s="22">
        <v>772.333</v>
      </c>
      <c r="M3969" s="22">
        <v>652.41</v>
      </c>
      <c r="N3969" s="22">
        <v>431.53</v>
      </c>
      <c r="O3969" s="24">
        <v>19.8</v>
      </c>
      <c r="P3969" s="18">
        <f t="shared" si="1"/>
        <v>772.333</v>
      </c>
    </row>
    <row r="3970" ht="15.75" customHeight="1">
      <c r="A3970" s="13" t="s">
        <v>240</v>
      </c>
      <c r="B3970" s="13" t="s">
        <v>133</v>
      </c>
      <c r="C3970" s="14" t="s">
        <v>163</v>
      </c>
      <c r="D3970" s="14" t="str">
        <f>VLOOKUP(C3970,'State Key'!$A$2:$B$210,2,False)</f>
        <v>Chhattisgarh</v>
      </c>
      <c r="E3970" s="15">
        <v>2600.0</v>
      </c>
      <c r="F3970" s="16">
        <v>1321.97</v>
      </c>
      <c r="G3970" s="16">
        <v>0.0</v>
      </c>
      <c r="H3970" s="16">
        <v>0.0</v>
      </c>
      <c r="I3970" s="16">
        <v>0.0</v>
      </c>
      <c r="J3970" s="16">
        <v>0.0</v>
      </c>
      <c r="K3970" s="16">
        <v>0.0</v>
      </c>
      <c r="L3970" s="16">
        <v>1321.97</v>
      </c>
      <c r="M3970" s="16">
        <v>1189.456</v>
      </c>
      <c r="N3970" s="16">
        <v>603.0</v>
      </c>
      <c r="O3970" s="24">
        <v>15.2</v>
      </c>
      <c r="P3970" s="18">
        <f t="shared" si="1"/>
        <v>1321.97</v>
      </c>
    </row>
    <row r="3971" ht="15.75" customHeight="1">
      <c r="A3971" s="19" t="s">
        <v>240</v>
      </c>
      <c r="B3971" s="19" t="s">
        <v>133</v>
      </c>
      <c r="C3971" s="20" t="s">
        <v>164</v>
      </c>
      <c r="D3971" s="14" t="str">
        <f>VLOOKUP(C3971,'State Key'!$A$2:$B$210,2,False)</f>
        <v>Chhattisgarh</v>
      </c>
      <c r="E3971" s="21">
        <v>1340.0</v>
      </c>
      <c r="F3971" s="22">
        <v>641.384</v>
      </c>
      <c r="G3971" s="22">
        <v>0.0</v>
      </c>
      <c r="H3971" s="22">
        <v>0.0</v>
      </c>
      <c r="I3971" s="22">
        <v>0.0</v>
      </c>
      <c r="J3971" s="22">
        <v>0.0</v>
      </c>
      <c r="K3971" s="22">
        <v>0.0</v>
      </c>
      <c r="L3971" s="22">
        <v>641.384</v>
      </c>
      <c r="M3971" s="22">
        <v>555.064</v>
      </c>
      <c r="N3971" s="22">
        <v>145.269</v>
      </c>
      <c r="O3971" s="23">
        <v>7.9</v>
      </c>
      <c r="P3971" s="18">
        <f t="shared" si="1"/>
        <v>641.384</v>
      </c>
    </row>
    <row r="3972" ht="15.75" customHeight="1">
      <c r="A3972" s="13" t="s">
        <v>240</v>
      </c>
      <c r="B3972" s="13" t="s">
        <v>133</v>
      </c>
      <c r="C3972" s="14" t="s">
        <v>165</v>
      </c>
      <c r="D3972" s="14" t="str">
        <f>VLOOKUP(C3972,'State Key'!$A$2:$B$210,2,False)</f>
        <v>Chhattisgarh</v>
      </c>
      <c r="E3972" s="15">
        <v>1600.0</v>
      </c>
      <c r="F3972" s="16">
        <v>3.7</v>
      </c>
      <c r="G3972" s="16">
        <v>0.0</v>
      </c>
      <c r="H3972" s="16">
        <v>745.39</v>
      </c>
      <c r="I3972" s="16">
        <v>0.0</v>
      </c>
      <c r="J3972" s="16">
        <v>0.0</v>
      </c>
      <c r="K3972" s="16">
        <v>0.0</v>
      </c>
      <c r="L3972" s="16">
        <v>749.09</v>
      </c>
      <c r="M3972" s="16">
        <v>747.645</v>
      </c>
      <c r="N3972" s="16">
        <v>422.59</v>
      </c>
      <c r="O3972" s="24">
        <v>17.0</v>
      </c>
      <c r="P3972" s="18">
        <f t="shared" si="1"/>
        <v>749.09</v>
      </c>
    </row>
    <row r="3973" ht="15.75" customHeight="1">
      <c r="A3973" s="19" t="s">
        <v>240</v>
      </c>
      <c r="B3973" s="19" t="s">
        <v>133</v>
      </c>
      <c r="C3973" s="20" t="s">
        <v>166</v>
      </c>
      <c r="D3973" s="14" t="str">
        <f>VLOOKUP(C3973,'State Key'!$A$2:$B$210,2,False)</f>
        <v>Madhya Pradesh</v>
      </c>
      <c r="E3973" s="21">
        <v>1200.0</v>
      </c>
      <c r="F3973" s="22">
        <v>83.545</v>
      </c>
      <c r="G3973" s="22">
        <v>0.0</v>
      </c>
      <c r="H3973" s="22">
        <v>0.0</v>
      </c>
      <c r="I3973" s="22">
        <v>0.0</v>
      </c>
      <c r="J3973" s="22">
        <v>0.0</v>
      </c>
      <c r="K3973" s="22">
        <v>264.862</v>
      </c>
      <c r="L3973" s="22">
        <v>348.407</v>
      </c>
      <c r="M3973" s="22">
        <v>442.527</v>
      </c>
      <c r="N3973" s="22">
        <v>216.08</v>
      </c>
      <c r="O3973" s="24">
        <v>14.6</v>
      </c>
      <c r="P3973" s="18">
        <f t="shared" si="1"/>
        <v>348.407</v>
      </c>
    </row>
    <row r="3974" ht="15.75" customHeight="1">
      <c r="A3974" s="13" t="s">
        <v>240</v>
      </c>
      <c r="B3974" s="13" t="s">
        <v>133</v>
      </c>
      <c r="C3974" s="14" t="s">
        <v>167</v>
      </c>
      <c r="D3974" s="14" t="str">
        <f>VLOOKUP(C3974,'State Key'!$A$2:$B$210,2,False)</f>
        <v>Chhattisgarh</v>
      </c>
      <c r="E3974" s="15">
        <v>1000.0</v>
      </c>
      <c r="F3974" s="16">
        <v>145.59</v>
      </c>
      <c r="G3974" s="16">
        <v>0.0</v>
      </c>
      <c r="H3974" s="16">
        <v>433.82</v>
      </c>
      <c r="I3974" s="16">
        <v>0.0</v>
      </c>
      <c r="J3974" s="16">
        <v>0.0</v>
      </c>
      <c r="K3974" s="16">
        <v>0.0</v>
      </c>
      <c r="L3974" s="16">
        <v>579.41</v>
      </c>
      <c r="M3974" s="16">
        <v>250.122</v>
      </c>
      <c r="N3974" s="16">
        <v>459.95</v>
      </c>
      <c r="O3974" s="24">
        <v>55.2</v>
      </c>
      <c r="P3974" s="18">
        <f t="shared" si="1"/>
        <v>579.41</v>
      </c>
    </row>
    <row r="3975" ht="15.75" customHeight="1">
      <c r="A3975" s="19" t="s">
        <v>240</v>
      </c>
      <c r="B3975" s="19" t="s">
        <v>133</v>
      </c>
      <c r="C3975" s="20" t="s">
        <v>168</v>
      </c>
      <c r="D3975" s="14" t="str">
        <f>VLOOKUP(C3975,'State Key'!$A$2:$B$210,2,False)</f>
        <v>Maharashtra</v>
      </c>
      <c r="E3975" s="21">
        <v>2320.0</v>
      </c>
      <c r="F3975" s="22">
        <v>658.64</v>
      </c>
      <c r="G3975" s="22">
        <v>44.85</v>
      </c>
      <c r="H3975" s="22">
        <v>176.02</v>
      </c>
      <c r="I3975" s="22">
        <v>0.0</v>
      </c>
      <c r="J3975" s="22">
        <v>0.0</v>
      </c>
      <c r="K3975" s="22">
        <v>43.88</v>
      </c>
      <c r="L3975" s="22">
        <v>923.39</v>
      </c>
      <c r="M3975" s="22">
        <v>935.34</v>
      </c>
      <c r="N3975" s="22">
        <v>424.95</v>
      </c>
      <c r="O3975" s="23">
        <v>13.6</v>
      </c>
      <c r="P3975" s="18">
        <f t="shared" si="1"/>
        <v>923.39</v>
      </c>
    </row>
    <row r="3976" ht="15.75" customHeight="1">
      <c r="A3976" s="13" t="s">
        <v>240</v>
      </c>
      <c r="B3976" s="13" t="s">
        <v>133</v>
      </c>
      <c r="C3976" s="14" t="s">
        <v>169</v>
      </c>
      <c r="D3976" s="14" t="str">
        <f>VLOOKUP(C3976,'State Key'!$A$2:$B$210,2,False)</f>
        <v>Madhya Pradesh</v>
      </c>
      <c r="E3976" s="15">
        <v>246.01</v>
      </c>
      <c r="F3976" s="16">
        <v>0.0</v>
      </c>
      <c r="G3976" s="16">
        <v>0.0</v>
      </c>
      <c r="H3976" s="16">
        <v>0.0</v>
      </c>
      <c r="I3976" s="16">
        <v>0.0</v>
      </c>
      <c r="J3976" s="16">
        <v>0.0</v>
      </c>
      <c r="K3976" s="16">
        <v>0.0</v>
      </c>
      <c r="L3976" s="16">
        <v>0.0</v>
      </c>
      <c r="M3976" s="16">
        <v>0.0</v>
      </c>
      <c r="N3976" s="16">
        <v>0.0</v>
      </c>
      <c r="O3976" s="13" t="s">
        <v>58</v>
      </c>
      <c r="P3976" s="18">
        <f t="shared" si="1"/>
        <v>0</v>
      </c>
    </row>
    <row r="3977" ht="15.75" customHeight="1">
      <c r="A3977" s="19" t="s">
        <v>240</v>
      </c>
      <c r="B3977" s="19" t="s">
        <v>133</v>
      </c>
      <c r="C3977" s="20" t="s">
        <v>172</v>
      </c>
      <c r="D3977" s="14" t="str">
        <f>VLOOKUP(C3977,'State Key'!$A$2:$B$210,2,False)</f>
        <v>Gujarat</v>
      </c>
      <c r="E3977" s="21">
        <v>4000.0</v>
      </c>
      <c r="F3977" s="22">
        <v>0.0</v>
      </c>
      <c r="G3977" s="22">
        <v>0.0</v>
      </c>
      <c r="H3977" s="22">
        <v>0.0</v>
      </c>
      <c r="I3977" s="22">
        <v>0.0</v>
      </c>
      <c r="J3977" s="22">
        <v>817.543</v>
      </c>
      <c r="K3977" s="22">
        <v>0.0</v>
      </c>
      <c r="L3977" s="22">
        <v>817.543</v>
      </c>
      <c r="M3977" s="22">
        <v>929.0439</v>
      </c>
      <c r="N3977" s="22">
        <v>280.29</v>
      </c>
      <c r="O3977" s="23">
        <v>9.1</v>
      </c>
      <c r="P3977" s="18">
        <f t="shared" si="1"/>
        <v>817.543</v>
      </c>
    </row>
    <row r="3978" ht="15.75" customHeight="1">
      <c r="A3978" s="13" t="s">
        <v>240</v>
      </c>
      <c r="B3978" s="13" t="s">
        <v>133</v>
      </c>
      <c r="C3978" s="14" t="s">
        <v>173</v>
      </c>
      <c r="D3978" s="14" t="str">
        <f>VLOOKUP(C3978,'State Key'!$A$2:$B$210,2,False)</f>
        <v>Maharashtra</v>
      </c>
      <c r="E3978" s="15">
        <v>1350.0</v>
      </c>
      <c r="F3978" s="16">
        <v>0.0</v>
      </c>
      <c r="G3978" s="16">
        <v>0.0</v>
      </c>
      <c r="H3978" s="16">
        <v>0.0</v>
      </c>
      <c r="I3978" s="16">
        <v>0.0</v>
      </c>
      <c r="J3978" s="16">
        <v>0.0</v>
      </c>
      <c r="K3978" s="16">
        <v>0.0</v>
      </c>
      <c r="L3978" s="16">
        <v>0.0</v>
      </c>
      <c r="M3978" s="16">
        <v>0.0</v>
      </c>
      <c r="N3978" s="16">
        <v>0.0</v>
      </c>
      <c r="O3978" s="13" t="s">
        <v>58</v>
      </c>
      <c r="P3978" s="18">
        <f t="shared" si="1"/>
        <v>0</v>
      </c>
    </row>
    <row r="3979" ht="15.75" customHeight="1">
      <c r="A3979" s="19" t="s">
        <v>240</v>
      </c>
      <c r="B3979" s="19" t="s">
        <v>133</v>
      </c>
      <c r="C3979" s="20" t="s">
        <v>174</v>
      </c>
      <c r="D3979" s="14" t="str">
        <f>VLOOKUP(C3979,'State Key'!$A$2:$B$210,2,False)</f>
        <v>Maharashtra</v>
      </c>
      <c r="E3979" s="21">
        <v>630.0</v>
      </c>
      <c r="F3979" s="22">
        <v>198.47</v>
      </c>
      <c r="G3979" s="22">
        <v>0.0</v>
      </c>
      <c r="H3979" s="22">
        <v>0.0</v>
      </c>
      <c r="I3979" s="22">
        <v>0.0</v>
      </c>
      <c r="J3979" s="22">
        <v>3.951</v>
      </c>
      <c r="K3979" s="22">
        <v>0.0</v>
      </c>
      <c r="L3979" s="22">
        <v>202.421</v>
      </c>
      <c r="M3979" s="22">
        <v>243.552</v>
      </c>
      <c r="N3979" s="22">
        <v>199.99</v>
      </c>
      <c r="O3979" s="24">
        <v>24.6</v>
      </c>
      <c r="P3979" s="18">
        <f t="shared" si="1"/>
        <v>202.421</v>
      </c>
    </row>
    <row r="3980" ht="15.75" customHeight="1">
      <c r="A3980" s="13" t="s">
        <v>240</v>
      </c>
      <c r="B3980" s="13" t="s">
        <v>133</v>
      </c>
      <c r="C3980" s="14" t="s">
        <v>175</v>
      </c>
      <c r="D3980" s="14" t="str">
        <f>VLOOKUP(C3980,'State Key'!$A$2:$B$210,2,False)</f>
        <v>Chhattisgarh</v>
      </c>
      <c r="E3980" s="15">
        <v>600.0</v>
      </c>
      <c r="F3980" s="16">
        <v>176.383</v>
      </c>
      <c r="G3980" s="16">
        <v>0.0</v>
      </c>
      <c r="H3980" s="16">
        <v>0.0</v>
      </c>
      <c r="I3980" s="16">
        <v>5.606</v>
      </c>
      <c r="J3980" s="16">
        <v>0.0</v>
      </c>
      <c r="K3980" s="16">
        <v>0.0</v>
      </c>
      <c r="L3980" s="16">
        <v>181.989</v>
      </c>
      <c r="M3980" s="16">
        <v>261.49</v>
      </c>
      <c r="N3980" s="16">
        <v>132.58</v>
      </c>
      <c r="O3980" s="24">
        <v>15.2</v>
      </c>
      <c r="P3980" s="18">
        <f t="shared" si="1"/>
        <v>181.989</v>
      </c>
    </row>
    <row r="3981" ht="15.75" customHeight="1">
      <c r="A3981" s="19" t="s">
        <v>240</v>
      </c>
      <c r="B3981" s="19" t="s">
        <v>133</v>
      </c>
      <c r="C3981" s="20" t="s">
        <v>176</v>
      </c>
      <c r="D3981" s="14" t="str">
        <f>VLOOKUP(C3981,'State Key'!$A$2:$B$210,2,False)</f>
        <v>Madhya Pradesh</v>
      </c>
      <c r="E3981" s="21">
        <v>1320.0</v>
      </c>
      <c r="F3981" s="22">
        <v>0.0</v>
      </c>
      <c r="G3981" s="22">
        <v>0.0</v>
      </c>
      <c r="H3981" s="22">
        <v>483.0787</v>
      </c>
      <c r="I3981" s="22">
        <v>74.6552</v>
      </c>
      <c r="J3981" s="22">
        <v>0.0</v>
      </c>
      <c r="K3981" s="22">
        <v>0.0</v>
      </c>
      <c r="L3981" s="22">
        <v>557.7339</v>
      </c>
      <c r="M3981" s="22">
        <v>459.404</v>
      </c>
      <c r="N3981" s="22">
        <v>403.4843</v>
      </c>
      <c r="O3981" s="24">
        <v>26.3</v>
      </c>
      <c r="P3981" s="18">
        <f t="shared" si="1"/>
        <v>557.7339</v>
      </c>
    </row>
    <row r="3982" ht="15.75" customHeight="1">
      <c r="A3982" s="13" t="s">
        <v>240</v>
      </c>
      <c r="B3982" s="13" t="s">
        <v>133</v>
      </c>
      <c r="C3982" s="14" t="s">
        <v>177</v>
      </c>
      <c r="D3982" s="14" t="str">
        <f>VLOOKUP(C3982,'State Key'!$A$2:$B$210,2,False)</f>
        <v>Madhya Pradesh</v>
      </c>
      <c r="E3982" s="15">
        <v>90.0</v>
      </c>
      <c r="F3982" s="16">
        <v>12.625</v>
      </c>
      <c r="G3982" s="16">
        <v>0.0</v>
      </c>
      <c r="H3982" s="16">
        <v>0.0</v>
      </c>
      <c r="I3982" s="16">
        <v>0.0</v>
      </c>
      <c r="J3982" s="16">
        <v>0.0</v>
      </c>
      <c r="K3982" s="16">
        <v>22.293</v>
      </c>
      <c r="L3982" s="16">
        <v>34.918</v>
      </c>
      <c r="M3982" s="16">
        <v>39.104</v>
      </c>
      <c r="N3982" s="16">
        <v>74.74</v>
      </c>
      <c r="O3982" s="24">
        <v>57.3</v>
      </c>
      <c r="P3982" s="18">
        <f t="shared" si="1"/>
        <v>34.918</v>
      </c>
    </row>
    <row r="3983" ht="15.75" customHeight="1">
      <c r="A3983" s="19" t="s">
        <v>240</v>
      </c>
      <c r="B3983" s="19" t="s">
        <v>133</v>
      </c>
      <c r="C3983" s="20" t="s">
        <v>178</v>
      </c>
      <c r="D3983" s="14" t="str">
        <f>VLOOKUP(C3983,'State Key'!$A$2:$B$210,2,False)</f>
        <v>Chhattisgarh</v>
      </c>
      <c r="E3983" s="21">
        <v>1000.0</v>
      </c>
      <c r="F3983" s="22">
        <v>37.344</v>
      </c>
      <c r="G3983" s="22">
        <v>0.0</v>
      </c>
      <c r="H3983" s="22">
        <v>492.811</v>
      </c>
      <c r="I3983" s="22">
        <v>0.0</v>
      </c>
      <c r="J3983" s="22">
        <v>0.0</v>
      </c>
      <c r="K3983" s="22">
        <v>0.0</v>
      </c>
      <c r="L3983" s="22">
        <v>530.155</v>
      </c>
      <c r="M3983" s="22">
        <v>569.073</v>
      </c>
      <c r="N3983" s="22">
        <v>409.917</v>
      </c>
      <c r="O3983" s="24">
        <v>21.6</v>
      </c>
      <c r="P3983" s="18">
        <f t="shared" si="1"/>
        <v>530.155</v>
      </c>
    </row>
    <row r="3984" ht="15.75" customHeight="1">
      <c r="A3984" s="13" t="s">
        <v>240</v>
      </c>
      <c r="B3984" s="13" t="s">
        <v>133</v>
      </c>
      <c r="C3984" s="14" t="s">
        <v>179</v>
      </c>
      <c r="D3984" s="14" t="str">
        <f>VLOOKUP(C3984,'State Key'!$A$2:$B$210,2,False)</f>
        <v>Maharashtra</v>
      </c>
      <c r="E3984" s="15">
        <v>500.0</v>
      </c>
      <c r="F3984" s="16">
        <v>212.897</v>
      </c>
      <c r="G3984" s="16">
        <v>0.0</v>
      </c>
      <c r="H3984" s="16">
        <v>0.0</v>
      </c>
      <c r="I3984" s="16">
        <v>0.0</v>
      </c>
      <c r="J3984" s="16">
        <v>0.0</v>
      </c>
      <c r="K3984" s="16">
        <v>0.0</v>
      </c>
      <c r="L3984" s="16">
        <v>212.897</v>
      </c>
      <c r="M3984" s="16">
        <v>203.483</v>
      </c>
      <c r="N3984" s="16">
        <v>109.42</v>
      </c>
      <c r="O3984" s="24">
        <v>16.1</v>
      </c>
      <c r="P3984" s="18">
        <f t="shared" si="1"/>
        <v>212.897</v>
      </c>
    </row>
    <row r="3985" ht="15.75" customHeight="1">
      <c r="A3985" s="19" t="s">
        <v>240</v>
      </c>
      <c r="B3985" s="19" t="s">
        <v>133</v>
      </c>
      <c r="C3985" s="20" t="s">
        <v>180</v>
      </c>
      <c r="D3985" s="14" t="str">
        <f>VLOOKUP(C3985,'State Key'!$A$2:$B$210,2,False)</f>
        <v>Maharashtra</v>
      </c>
      <c r="E3985" s="21">
        <v>750.0</v>
      </c>
      <c r="F3985" s="22">
        <v>103.22</v>
      </c>
      <c r="G3985" s="22">
        <v>171.18</v>
      </c>
      <c r="H3985" s="22">
        <v>0.0</v>
      </c>
      <c r="I3985" s="22">
        <v>0.0</v>
      </c>
      <c r="J3985" s="22">
        <v>0.0</v>
      </c>
      <c r="K3985" s="22">
        <v>0.0</v>
      </c>
      <c r="L3985" s="22">
        <v>274.4</v>
      </c>
      <c r="M3985" s="22">
        <v>290.416</v>
      </c>
      <c r="N3985" s="22">
        <v>126.08</v>
      </c>
      <c r="O3985" s="23">
        <v>13.0</v>
      </c>
      <c r="P3985" s="18">
        <f t="shared" si="1"/>
        <v>274.4</v>
      </c>
    </row>
    <row r="3986" ht="15.75" customHeight="1">
      <c r="A3986" s="13" t="s">
        <v>240</v>
      </c>
      <c r="B3986" s="13" t="s">
        <v>133</v>
      </c>
      <c r="C3986" s="14" t="s">
        <v>181</v>
      </c>
      <c r="D3986" s="14" t="str">
        <f>VLOOKUP(C3986,'State Key'!$A$2:$B$210,2,False)</f>
        <v>Chhattisgarh</v>
      </c>
      <c r="E3986" s="15">
        <v>600.0</v>
      </c>
      <c r="F3986" s="16">
        <v>237.141</v>
      </c>
      <c r="G3986" s="16">
        <v>0.0</v>
      </c>
      <c r="H3986" s="16">
        <v>0.0</v>
      </c>
      <c r="I3986" s="16">
        <v>0.0</v>
      </c>
      <c r="J3986" s="16">
        <v>0.0</v>
      </c>
      <c r="K3986" s="16">
        <v>0.0</v>
      </c>
      <c r="L3986" s="16">
        <v>237.141</v>
      </c>
      <c r="M3986" s="16">
        <v>304.489</v>
      </c>
      <c r="N3986" s="16">
        <v>93.94</v>
      </c>
      <c r="O3986" s="23">
        <v>9.3</v>
      </c>
      <c r="P3986" s="18">
        <f t="shared" si="1"/>
        <v>237.141</v>
      </c>
    </row>
    <row r="3987" ht="15.75" customHeight="1">
      <c r="A3987" s="19" t="s">
        <v>240</v>
      </c>
      <c r="B3987" s="19" t="s">
        <v>133</v>
      </c>
      <c r="C3987" s="20" t="s">
        <v>183</v>
      </c>
      <c r="D3987" s="14" t="str">
        <f>VLOOKUP(C3987,'State Key'!$A$2:$B$210,2,False)</f>
        <v>Chhattisgarh</v>
      </c>
      <c r="E3987" s="21">
        <v>100.0</v>
      </c>
      <c r="F3987" s="22">
        <v>2.0</v>
      </c>
      <c r="G3987" s="22">
        <v>0.0</v>
      </c>
      <c r="H3987" s="22">
        <v>0.0</v>
      </c>
      <c r="I3987" s="22">
        <v>0.0</v>
      </c>
      <c r="J3987" s="22">
        <v>0.0</v>
      </c>
      <c r="K3987" s="22">
        <v>49.731</v>
      </c>
      <c r="L3987" s="22">
        <v>51.731</v>
      </c>
      <c r="M3987" s="22">
        <v>70.449</v>
      </c>
      <c r="N3987" s="22">
        <v>2.54</v>
      </c>
      <c r="O3987" s="17">
        <v>1.1</v>
      </c>
      <c r="P3987" s="18">
        <f t="shared" si="1"/>
        <v>51.731</v>
      </c>
    </row>
    <row r="3988" ht="15.75" customHeight="1">
      <c r="A3988" s="13" t="s">
        <v>240</v>
      </c>
      <c r="B3988" s="13" t="s">
        <v>133</v>
      </c>
      <c r="C3988" s="14" t="s">
        <v>184</v>
      </c>
      <c r="D3988" s="14" t="str">
        <f>VLOOKUP(C3988,'State Key'!$A$2:$B$210,2,False)</f>
        <v>Gujarat</v>
      </c>
      <c r="E3988" s="15">
        <v>362.0</v>
      </c>
      <c r="F3988" s="16">
        <v>98.02</v>
      </c>
      <c r="G3988" s="16">
        <v>0.0</v>
      </c>
      <c r="H3988" s="16">
        <v>0.0</v>
      </c>
      <c r="I3988" s="16">
        <v>0.0</v>
      </c>
      <c r="J3988" s="16">
        <v>23.6</v>
      </c>
      <c r="K3988" s="16">
        <v>0.0</v>
      </c>
      <c r="L3988" s="16">
        <v>121.62</v>
      </c>
      <c r="M3988" s="16">
        <v>98.21</v>
      </c>
      <c r="N3988" s="16">
        <v>134.5</v>
      </c>
      <c r="O3988" s="24">
        <v>41.1</v>
      </c>
      <c r="P3988" s="18">
        <f t="shared" si="1"/>
        <v>121.62</v>
      </c>
    </row>
    <row r="3989" ht="15.75" customHeight="1">
      <c r="A3989" s="19" t="s">
        <v>240</v>
      </c>
      <c r="B3989" s="19" t="s">
        <v>133</v>
      </c>
      <c r="C3989" s="20" t="s">
        <v>185</v>
      </c>
      <c r="D3989" s="14" t="str">
        <f>VLOOKUP(C3989,'State Key'!$A$2:$B$210,2,False)</f>
        <v>Gujarat</v>
      </c>
      <c r="E3989" s="21">
        <v>1200.0</v>
      </c>
      <c r="F3989" s="22">
        <v>0.0</v>
      </c>
      <c r="G3989" s="22">
        <v>0.0</v>
      </c>
      <c r="H3989" s="22">
        <v>0.0</v>
      </c>
      <c r="I3989" s="22">
        <v>0.0</v>
      </c>
      <c r="J3989" s="22">
        <v>211.114</v>
      </c>
      <c r="K3989" s="22">
        <v>0.0</v>
      </c>
      <c r="L3989" s="22">
        <v>211.114</v>
      </c>
      <c r="M3989" s="22">
        <v>237.379</v>
      </c>
      <c r="N3989" s="22">
        <v>140.86</v>
      </c>
      <c r="O3989" s="24">
        <v>17.8</v>
      </c>
      <c r="P3989" s="18">
        <f t="shared" si="1"/>
        <v>211.114</v>
      </c>
    </row>
    <row r="3990" ht="15.75" customHeight="1">
      <c r="A3990" s="13" t="s">
        <v>240</v>
      </c>
      <c r="B3990" s="13" t="s">
        <v>133</v>
      </c>
      <c r="C3990" s="14" t="s">
        <v>186</v>
      </c>
      <c r="D3990" s="14" t="str">
        <f>VLOOKUP(C3990,'State Key'!$A$2:$B$210,2,False)</f>
        <v>Chhattisgarh</v>
      </c>
      <c r="E3990" s="15">
        <v>135.0</v>
      </c>
      <c r="F3990" s="16">
        <v>0.0</v>
      </c>
      <c r="G3990" s="16">
        <v>0.0</v>
      </c>
      <c r="H3990" s="16">
        <v>0.0</v>
      </c>
      <c r="I3990" s="16">
        <v>0.0</v>
      </c>
      <c r="J3990" s="16">
        <v>0.0</v>
      </c>
      <c r="K3990" s="16">
        <v>0.0</v>
      </c>
      <c r="L3990" s="16">
        <v>0.0</v>
      </c>
      <c r="M3990" s="16">
        <v>0.0</v>
      </c>
      <c r="N3990" s="16">
        <v>0.0</v>
      </c>
      <c r="O3990" s="13" t="s">
        <v>58</v>
      </c>
      <c r="P3990" s="18">
        <f t="shared" si="1"/>
        <v>0</v>
      </c>
    </row>
    <row r="3991" ht="15.75" customHeight="1">
      <c r="A3991" s="19" t="s">
        <v>240</v>
      </c>
      <c r="B3991" s="19" t="s">
        <v>133</v>
      </c>
      <c r="C3991" s="20" t="s">
        <v>187</v>
      </c>
      <c r="D3991" s="14" t="str">
        <f>VLOOKUP(C3991,'State Key'!$A$2:$B$210,2,False)</f>
        <v>Madhya Pradesh</v>
      </c>
      <c r="E3991" s="21">
        <v>1340.0</v>
      </c>
      <c r="F3991" s="22">
        <v>544.44</v>
      </c>
      <c r="G3991" s="22">
        <v>0.0</v>
      </c>
      <c r="H3991" s="22">
        <v>0.0</v>
      </c>
      <c r="I3991" s="22">
        <v>0.0</v>
      </c>
      <c r="J3991" s="22">
        <v>0.0</v>
      </c>
      <c r="K3991" s="22">
        <v>0.0</v>
      </c>
      <c r="L3991" s="22">
        <v>544.44</v>
      </c>
      <c r="M3991" s="22">
        <v>505.977</v>
      </c>
      <c r="N3991" s="22">
        <v>211.4</v>
      </c>
      <c r="O3991" s="23">
        <v>12.5</v>
      </c>
      <c r="P3991" s="18">
        <f t="shared" si="1"/>
        <v>544.44</v>
      </c>
    </row>
    <row r="3992" ht="15.75" customHeight="1">
      <c r="A3992" s="13" t="s">
        <v>240</v>
      </c>
      <c r="B3992" s="13" t="s">
        <v>133</v>
      </c>
      <c r="C3992" s="14" t="s">
        <v>188</v>
      </c>
      <c r="D3992" s="14" t="str">
        <f>VLOOKUP(C3992,'State Key'!$A$2:$B$210,2,False)</f>
        <v>Madhya Pradesh</v>
      </c>
      <c r="E3992" s="15">
        <v>3960.0</v>
      </c>
      <c r="F3992" s="16">
        <v>0.0</v>
      </c>
      <c r="G3992" s="16">
        <v>0.0</v>
      </c>
      <c r="H3992" s="16">
        <v>1366.868</v>
      </c>
      <c r="I3992" s="16">
        <v>0.0</v>
      </c>
      <c r="J3992" s="16">
        <v>0.0</v>
      </c>
      <c r="K3992" s="16">
        <v>0.0</v>
      </c>
      <c r="L3992" s="16">
        <v>1366.868</v>
      </c>
      <c r="M3992" s="16">
        <v>1451.805</v>
      </c>
      <c r="N3992" s="16">
        <v>19.59</v>
      </c>
      <c r="O3992" s="17">
        <v>0.4</v>
      </c>
      <c r="P3992" s="18">
        <f t="shared" si="1"/>
        <v>1366.868</v>
      </c>
    </row>
    <row r="3993" ht="15.75" customHeight="1">
      <c r="A3993" s="19" t="s">
        <v>240</v>
      </c>
      <c r="B3993" s="19" t="s">
        <v>133</v>
      </c>
      <c r="C3993" s="20" t="s">
        <v>189</v>
      </c>
      <c r="D3993" s="14" t="str">
        <f>VLOOKUP(C3993,'State Key'!$A$2:$B$210,2,False)</f>
        <v>Madhya Pradesh</v>
      </c>
      <c r="E3993" s="21">
        <v>1330.0</v>
      </c>
      <c r="F3993" s="22">
        <v>252.81003</v>
      </c>
      <c r="G3993" s="22">
        <v>0.0</v>
      </c>
      <c r="H3993" s="22">
        <v>0.0</v>
      </c>
      <c r="I3993" s="22">
        <v>0.0</v>
      </c>
      <c r="J3993" s="22">
        <v>0.0</v>
      </c>
      <c r="K3993" s="22">
        <v>0.0</v>
      </c>
      <c r="L3993" s="22">
        <v>252.81003</v>
      </c>
      <c r="M3993" s="22">
        <v>224.225</v>
      </c>
      <c r="N3993" s="22">
        <v>181.01</v>
      </c>
      <c r="O3993" s="24">
        <v>24.2</v>
      </c>
      <c r="P3993" s="18">
        <f t="shared" si="1"/>
        <v>252.81003</v>
      </c>
    </row>
    <row r="3994" ht="15.75" customHeight="1">
      <c r="A3994" s="13" t="s">
        <v>240</v>
      </c>
      <c r="B3994" s="13" t="s">
        <v>133</v>
      </c>
      <c r="C3994" s="14" t="s">
        <v>190</v>
      </c>
      <c r="D3994" s="14" t="str">
        <f>VLOOKUP(C3994,'State Key'!$A$2:$B$210,2,False)</f>
        <v>Madhya Pradesh</v>
      </c>
      <c r="E3994" s="15">
        <v>600.0</v>
      </c>
      <c r="F3994" s="16">
        <v>213.159</v>
      </c>
      <c r="G3994" s="16">
        <v>0.0</v>
      </c>
      <c r="H3994" s="16">
        <v>0.0</v>
      </c>
      <c r="I3994" s="16">
        <v>101.525</v>
      </c>
      <c r="J3994" s="16">
        <v>0.0</v>
      </c>
      <c r="K3994" s="16">
        <v>0.0</v>
      </c>
      <c r="L3994" s="16">
        <v>314.684</v>
      </c>
      <c r="M3994" s="16">
        <v>278.348</v>
      </c>
      <c r="N3994" s="16">
        <v>220.97</v>
      </c>
      <c r="O3994" s="24">
        <v>23.8</v>
      </c>
      <c r="P3994" s="18">
        <f t="shared" si="1"/>
        <v>314.684</v>
      </c>
    </row>
    <row r="3995" ht="15.75" customHeight="1">
      <c r="A3995" s="19" t="s">
        <v>240</v>
      </c>
      <c r="B3995" s="19" t="s">
        <v>133</v>
      </c>
      <c r="C3995" s="20" t="s">
        <v>191</v>
      </c>
      <c r="D3995" s="14" t="str">
        <f>VLOOKUP(C3995,'State Key'!$A$2:$B$210,2,False)</f>
        <v>Maharashtra</v>
      </c>
      <c r="E3995" s="21">
        <v>300.0</v>
      </c>
      <c r="F3995" s="22">
        <v>0.0</v>
      </c>
      <c r="G3995" s="22">
        <v>0.0</v>
      </c>
      <c r="H3995" s="22">
        <v>0.0</v>
      </c>
      <c r="I3995" s="22">
        <v>0.0</v>
      </c>
      <c r="J3995" s="22">
        <v>0.0</v>
      </c>
      <c r="K3995" s="22">
        <v>64.03</v>
      </c>
      <c r="L3995" s="22">
        <v>64.03</v>
      </c>
      <c r="M3995" s="22">
        <v>53.51</v>
      </c>
      <c r="N3995" s="22">
        <v>39.82</v>
      </c>
      <c r="O3995" s="24">
        <v>22.3</v>
      </c>
      <c r="P3995" s="18">
        <f t="shared" si="1"/>
        <v>64.03</v>
      </c>
    </row>
    <row r="3996" ht="15.75" customHeight="1">
      <c r="A3996" s="13" t="s">
        <v>240</v>
      </c>
      <c r="B3996" s="13" t="s">
        <v>133</v>
      </c>
      <c r="C3996" s="14" t="s">
        <v>192</v>
      </c>
      <c r="D3996" s="14" t="str">
        <f>VLOOKUP(C3996,'State Key'!$A$2:$B$210,2,False)</f>
        <v>Madhya Pradesh</v>
      </c>
      <c r="E3996" s="15">
        <v>2520.0</v>
      </c>
      <c r="F3996" s="16">
        <v>988.093</v>
      </c>
      <c r="G3996" s="16">
        <v>0.0</v>
      </c>
      <c r="H3996" s="16">
        <v>0.0</v>
      </c>
      <c r="I3996" s="16">
        <v>0.0</v>
      </c>
      <c r="J3996" s="16">
        <v>0.0</v>
      </c>
      <c r="K3996" s="16">
        <v>0.0</v>
      </c>
      <c r="L3996" s="16">
        <v>988.093</v>
      </c>
      <c r="M3996" s="16">
        <v>836.341</v>
      </c>
      <c r="N3996" s="16">
        <v>519.68</v>
      </c>
      <c r="O3996" s="24">
        <v>18.6</v>
      </c>
      <c r="P3996" s="18">
        <f t="shared" si="1"/>
        <v>988.093</v>
      </c>
    </row>
    <row r="3997" ht="15.75" customHeight="1">
      <c r="A3997" s="19" t="s">
        <v>240</v>
      </c>
      <c r="B3997" s="19" t="s">
        <v>133</v>
      </c>
      <c r="C3997" s="20" t="s">
        <v>193</v>
      </c>
      <c r="D3997" s="14" t="str">
        <f>VLOOKUP(C3997,'State Key'!$A$2:$B$210,2,False)</f>
        <v>Gujarat</v>
      </c>
      <c r="E3997" s="21">
        <v>500.0</v>
      </c>
      <c r="F3997" s="22">
        <v>0.0</v>
      </c>
      <c r="G3997" s="22">
        <v>0.0</v>
      </c>
      <c r="H3997" s="22">
        <v>0.0</v>
      </c>
      <c r="I3997" s="22">
        <v>0.0</v>
      </c>
      <c r="J3997" s="22">
        <v>0.0</v>
      </c>
      <c r="K3997" s="22">
        <v>0.0</v>
      </c>
      <c r="L3997" s="22">
        <v>0.0</v>
      </c>
      <c r="M3997" s="22">
        <v>6.5929</v>
      </c>
      <c r="N3997" s="22">
        <v>115.41</v>
      </c>
      <c r="O3997" s="24">
        <v>525.2</v>
      </c>
      <c r="P3997" s="18">
        <f t="shared" si="1"/>
        <v>0</v>
      </c>
    </row>
    <row r="3998" ht="15.75" customHeight="1">
      <c r="A3998" s="13" t="s">
        <v>240</v>
      </c>
      <c r="B3998" s="13" t="s">
        <v>133</v>
      </c>
      <c r="C3998" s="14" t="s">
        <v>194</v>
      </c>
      <c r="D3998" s="14" t="str">
        <f>VLOOKUP(C3998,'State Key'!$A$2:$B$210,2,False)</f>
        <v>Chhattisgarh</v>
      </c>
      <c r="E3998" s="15">
        <v>2980.0</v>
      </c>
      <c r="F3998" s="16">
        <v>1500.32</v>
      </c>
      <c r="G3998" s="16">
        <v>0.0</v>
      </c>
      <c r="H3998" s="16">
        <v>59.8</v>
      </c>
      <c r="I3998" s="16">
        <v>0.0</v>
      </c>
      <c r="J3998" s="16">
        <v>0.0</v>
      </c>
      <c r="K3998" s="16">
        <v>4.06</v>
      </c>
      <c r="L3998" s="16">
        <v>1564.18</v>
      </c>
      <c r="M3998" s="16">
        <v>1326.493</v>
      </c>
      <c r="N3998" s="16">
        <v>643.32</v>
      </c>
      <c r="O3998" s="24">
        <v>14.5</v>
      </c>
      <c r="P3998" s="18">
        <f t="shared" si="1"/>
        <v>1564.18</v>
      </c>
    </row>
    <row r="3999" ht="15.75" customHeight="1">
      <c r="A3999" s="19" t="s">
        <v>240</v>
      </c>
      <c r="B3999" s="19" t="s">
        <v>133</v>
      </c>
      <c r="C3999" s="20" t="s">
        <v>195</v>
      </c>
      <c r="D3999" s="14" t="str">
        <f>VLOOKUP(C3999,'State Key'!$A$2:$B$210,2,False)</f>
        <v>Maharashtra</v>
      </c>
      <c r="E3999" s="21">
        <v>1320.0</v>
      </c>
      <c r="F3999" s="22">
        <v>218.72</v>
      </c>
      <c r="G3999" s="22">
        <v>141.76</v>
      </c>
      <c r="H3999" s="22">
        <v>73.49</v>
      </c>
      <c r="I3999" s="22">
        <v>0.0</v>
      </c>
      <c r="J3999" s="22">
        <v>0.0</v>
      </c>
      <c r="K3999" s="22">
        <v>55.16</v>
      </c>
      <c r="L3999" s="22">
        <v>489.13</v>
      </c>
      <c r="M3999" s="22">
        <v>461.222</v>
      </c>
      <c r="N3999" s="22">
        <v>209.35</v>
      </c>
      <c r="O3999" s="23">
        <v>13.6</v>
      </c>
      <c r="P3999" s="18">
        <f t="shared" si="1"/>
        <v>489.13</v>
      </c>
    </row>
    <row r="4000" ht="15.75" customHeight="1">
      <c r="A4000" s="13" t="s">
        <v>240</v>
      </c>
      <c r="B4000" s="13" t="s">
        <v>133</v>
      </c>
      <c r="C4000" s="14" t="s">
        <v>196</v>
      </c>
      <c r="D4000" s="14" t="str">
        <f>VLOOKUP(C4000,'State Key'!$A$2:$B$210,2,False)</f>
        <v>Chhattisgarh</v>
      </c>
      <c r="E4000" s="15">
        <v>63.0</v>
      </c>
      <c r="F4000" s="16">
        <v>3.0</v>
      </c>
      <c r="G4000" s="16">
        <v>0.0</v>
      </c>
      <c r="H4000" s="16">
        <v>0.0</v>
      </c>
      <c r="I4000" s="16">
        <v>0.0</v>
      </c>
      <c r="J4000" s="16">
        <v>0.0</v>
      </c>
      <c r="K4000" s="16">
        <v>55.5643</v>
      </c>
      <c r="L4000" s="16">
        <v>58.5643</v>
      </c>
      <c r="M4000" s="16">
        <v>41.651</v>
      </c>
      <c r="N4000" s="16">
        <v>43.63</v>
      </c>
      <c r="O4000" s="24">
        <v>31.4</v>
      </c>
      <c r="P4000" s="18">
        <f t="shared" si="1"/>
        <v>58.5643</v>
      </c>
    </row>
    <row r="4001" ht="15.75" customHeight="1">
      <c r="A4001" s="19" t="s">
        <v>240</v>
      </c>
      <c r="B4001" s="19" t="s">
        <v>133</v>
      </c>
      <c r="C4001" s="20" t="s">
        <v>197</v>
      </c>
      <c r="D4001" s="14" t="str">
        <f>VLOOKUP(C4001,'State Key'!$A$2:$B$210,2,False)</f>
        <v>Chhattisgarh</v>
      </c>
      <c r="E4001" s="21">
        <v>25.0</v>
      </c>
      <c r="F4001" s="22">
        <v>0.0</v>
      </c>
      <c r="G4001" s="22">
        <v>0.0</v>
      </c>
      <c r="H4001" s="22">
        <v>0.0</v>
      </c>
      <c r="I4001" s="22">
        <v>0.0</v>
      </c>
      <c r="J4001" s="22">
        <v>0.0</v>
      </c>
      <c r="K4001" s="22">
        <v>0.0</v>
      </c>
      <c r="L4001" s="22">
        <v>0.0</v>
      </c>
      <c r="M4001" s="22">
        <v>0.0</v>
      </c>
      <c r="N4001" s="22">
        <v>0.0</v>
      </c>
      <c r="O4001" s="19" t="s">
        <v>58</v>
      </c>
      <c r="P4001" s="18">
        <f t="shared" si="1"/>
        <v>0</v>
      </c>
    </row>
    <row r="4002" ht="15.75" customHeight="1">
      <c r="A4002" s="13" t="s">
        <v>240</v>
      </c>
      <c r="B4002" s="13" t="s">
        <v>133</v>
      </c>
      <c r="C4002" s="14" t="s">
        <v>198</v>
      </c>
      <c r="D4002" s="14" t="str">
        <f>VLOOKUP(C4002,'State Key'!$A$2:$B$210,2,False)</f>
        <v>Chhattisgarh</v>
      </c>
      <c r="E4002" s="15">
        <v>2400.0</v>
      </c>
      <c r="F4002" s="16">
        <v>326.911</v>
      </c>
      <c r="G4002" s="16">
        <v>0.0</v>
      </c>
      <c r="H4002" s="16">
        <v>1048.0</v>
      </c>
      <c r="I4002" s="16">
        <v>0.0</v>
      </c>
      <c r="J4002" s="16">
        <v>0.0</v>
      </c>
      <c r="K4002" s="16">
        <v>0.0</v>
      </c>
      <c r="L4002" s="16">
        <v>1374.911</v>
      </c>
      <c r="M4002" s="16">
        <v>1348.42</v>
      </c>
      <c r="N4002" s="16">
        <v>306.54</v>
      </c>
      <c r="O4002" s="17">
        <v>6.8</v>
      </c>
      <c r="P4002" s="18">
        <f t="shared" si="1"/>
        <v>1374.911</v>
      </c>
    </row>
    <row r="4003" ht="15.75" customHeight="1">
      <c r="A4003" s="19" t="s">
        <v>240</v>
      </c>
      <c r="B4003" s="19" t="s">
        <v>133</v>
      </c>
      <c r="C4003" s="20" t="s">
        <v>200</v>
      </c>
      <c r="D4003" s="14" t="str">
        <f>VLOOKUP(C4003,'State Key'!$A$2:$B$210,2,False)</f>
        <v>Maharashtra</v>
      </c>
      <c r="E4003" s="21">
        <v>750.0</v>
      </c>
      <c r="F4003" s="22">
        <v>0.0</v>
      </c>
      <c r="G4003" s="22">
        <v>0.0</v>
      </c>
      <c r="H4003" s="22">
        <v>0.0</v>
      </c>
      <c r="I4003" s="22">
        <v>0.0</v>
      </c>
      <c r="J4003" s="22">
        <v>123.686</v>
      </c>
      <c r="K4003" s="22">
        <v>0.0</v>
      </c>
      <c r="L4003" s="22">
        <v>123.686</v>
      </c>
      <c r="M4003" s="22">
        <v>76.988</v>
      </c>
      <c r="N4003" s="22">
        <v>216.35</v>
      </c>
      <c r="O4003" s="24">
        <v>84.3</v>
      </c>
      <c r="P4003" s="18">
        <f t="shared" si="1"/>
        <v>123.686</v>
      </c>
    </row>
    <row r="4004" ht="15.75" customHeight="1">
      <c r="A4004" s="13" t="s">
        <v>240</v>
      </c>
      <c r="B4004" s="13" t="s">
        <v>133</v>
      </c>
      <c r="C4004" s="14" t="s">
        <v>201</v>
      </c>
      <c r="D4004" s="14" t="str">
        <f>VLOOKUP(C4004,'State Key'!$A$2:$B$210,2,False)</f>
        <v>Chhattisgarh</v>
      </c>
      <c r="E4004" s="15">
        <v>1440.0</v>
      </c>
      <c r="F4004" s="16">
        <v>406.584</v>
      </c>
      <c r="G4004" s="16">
        <v>0.0</v>
      </c>
      <c r="H4004" s="16">
        <v>0.0</v>
      </c>
      <c r="I4004" s="16">
        <v>62.272</v>
      </c>
      <c r="J4004" s="16">
        <v>0.0</v>
      </c>
      <c r="K4004" s="16">
        <v>92.225</v>
      </c>
      <c r="L4004" s="16">
        <v>561.081</v>
      </c>
      <c r="M4004" s="16">
        <v>398.004</v>
      </c>
      <c r="N4004" s="16">
        <v>881.6</v>
      </c>
      <c r="O4004" s="24">
        <v>66.5</v>
      </c>
      <c r="P4004" s="18">
        <f t="shared" si="1"/>
        <v>561.081</v>
      </c>
    </row>
    <row r="4005" ht="15.75" customHeight="1">
      <c r="A4005" s="19" t="s">
        <v>240</v>
      </c>
      <c r="B4005" s="19" t="s">
        <v>133</v>
      </c>
      <c r="C4005" s="20" t="s">
        <v>202</v>
      </c>
      <c r="D4005" s="14" t="str">
        <f>VLOOKUP(C4005,'State Key'!$A$2:$B$210,2,False)</f>
        <v>Gujarat</v>
      </c>
      <c r="E4005" s="21">
        <v>1110.0</v>
      </c>
      <c r="F4005" s="22">
        <v>302.80063</v>
      </c>
      <c r="G4005" s="22">
        <v>0.0</v>
      </c>
      <c r="H4005" s="22">
        <v>0.0</v>
      </c>
      <c r="I4005" s="22">
        <v>0.0</v>
      </c>
      <c r="J4005" s="22">
        <v>0.0</v>
      </c>
      <c r="K4005" s="22">
        <v>0.0</v>
      </c>
      <c r="L4005" s="22">
        <v>302.80063</v>
      </c>
      <c r="M4005" s="22">
        <v>317.702</v>
      </c>
      <c r="N4005" s="22">
        <v>271.83</v>
      </c>
      <c r="O4005" s="24">
        <v>25.7</v>
      </c>
      <c r="P4005" s="18">
        <f t="shared" si="1"/>
        <v>302.80063</v>
      </c>
    </row>
    <row r="4006" ht="15.75" customHeight="1">
      <c r="A4006" s="13" t="s">
        <v>240</v>
      </c>
      <c r="B4006" s="13" t="s">
        <v>133</v>
      </c>
      <c r="C4006" s="14" t="s">
        <v>203</v>
      </c>
      <c r="D4006" s="14" t="str">
        <f>VLOOKUP(C4006,'State Key'!$A$2:$B$210,2,False)</f>
        <v>Madhya Pradesh</v>
      </c>
      <c r="E4006" s="15">
        <v>4760.0</v>
      </c>
      <c r="F4006" s="16">
        <v>1978.69</v>
      </c>
      <c r="G4006" s="16">
        <v>0.0</v>
      </c>
      <c r="H4006" s="16">
        <v>13.67</v>
      </c>
      <c r="I4006" s="16">
        <v>0.0</v>
      </c>
      <c r="J4006" s="16">
        <v>0.0</v>
      </c>
      <c r="K4006" s="16">
        <v>0.0</v>
      </c>
      <c r="L4006" s="16">
        <v>1992.36</v>
      </c>
      <c r="M4006" s="16">
        <v>1954.857</v>
      </c>
      <c r="N4006" s="16">
        <v>1234.51</v>
      </c>
      <c r="O4006" s="24">
        <v>18.9</v>
      </c>
      <c r="P4006" s="18">
        <f t="shared" si="1"/>
        <v>1992.36</v>
      </c>
    </row>
    <row r="4007" ht="15.75" customHeight="1">
      <c r="A4007" s="19" t="s">
        <v>240</v>
      </c>
      <c r="B4007" s="19" t="s">
        <v>133</v>
      </c>
      <c r="C4007" s="20" t="s">
        <v>204</v>
      </c>
      <c r="D4007" s="14" t="str">
        <f>VLOOKUP(C4007,'State Key'!$A$2:$B$210,2,False)</f>
        <v>Gujarat</v>
      </c>
      <c r="E4007" s="21">
        <v>2270.0</v>
      </c>
      <c r="F4007" s="22">
        <v>315.50826</v>
      </c>
      <c r="G4007" s="22">
        <v>0.0</v>
      </c>
      <c r="H4007" s="22">
        <v>0.0</v>
      </c>
      <c r="I4007" s="22">
        <v>0.0</v>
      </c>
      <c r="J4007" s="22">
        <v>0.0</v>
      </c>
      <c r="K4007" s="22">
        <v>0.0</v>
      </c>
      <c r="L4007" s="22">
        <v>315.50826</v>
      </c>
      <c r="M4007" s="22">
        <v>229.6664</v>
      </c>
      <c r="N4007" s="22">
        <v>775.41</v>
      </c>
      <c r="O4007" s="24">
        <v>101.3</v>
      </c>
      <c r="P4007" s="18">
        <f t="shared" si="1"/>
        <v>315.50826</v>
      </c>
    </row>
    <row r="4008" ht="15.75" customHeight="1">
      <c r="A4008" s="13" t="s">
        <v>240</v>
      </c>
      <c r="B4008" s="13" t="s">
        <v>133</v>
      </c>
      <c r="C4008" s="14" t="s">
        <v>205</v>
      </c>
      <c r="D4008" s="14" t="str">
        <f>VLOOKUP(C4008,'State Key'!$A$2:$B$210,2,False)</f>
        <v>Maharashtra</v>
      </c>
      <c r="E4008" s="15">
        <v>540.0</v>
      </c>
      <c r="F4008" s="16">
        <v>222.27</v>
      </c>
      <c r="G4008" s="16">
        <v>0.0</v>
      </c>
      <c r="H4008" s="16">
        <v>0.0</v>
      </c>
      <c r="I4008" s="16">
        <v>0.0</v>
      </c>
      <c r="J4008" s="16">
        <v>0.0</v>
      </c>
      <c r="K4008" s="16">
        <v>22.15</v>
      </c>
      <c r="L4008" s="16">
        <v>244.42</v>
      </c>
      <c r="M4008" s="16">
        <v>220.04</v>
      </c>
      <c r="N4008" s="16">
        <v>261.04</v>
      </c>
      <c r="O4008" s="24">
        <v>35.6</v>
      </c>
      <c r="P4008" s="18">
        <f t="shared" si="1"/>
        <v>244.42</v>
      </c>
    </row>
    <row r="4009" ht="15.75" customHeight="1">
      <c r="A4009" s="19" t="s">
        <v>244</v>
      </c>
      <c r="B4009" s="19" t="s">
        <v>22</v>
      </c>
      <c r="C4009" s="20" t="s">
        <v>23</v>
      </c>
      <c r="D4009" s="14" t="str">
        <f>VLOOKUP(C4009,'State Key'!$A$2:$B$210,2,False)</f>
        <v>West Bengal</v>
      </c>
      <c r="E4009" s="21">
        <v>1050.0</v>
      </c>
      <c r="F4009" s="22">
        <v>0.0</v>
      </c>
      <c r="G4009" s="22">
        <v>0.0</v>
      </c>
      <c r="H4009" s="22">
        <v>483.308</v>
      </c>
      <c r="I4009" s="22">
        <v>0.0</v>
      </c>
      <c r="J4009" s="22">
        <v>0.0</v>
      </c>
      <c r="K4009" s="22">
        <v>0.0</v>
      </c>
      <c r="L4009" s="22">
        <v>483.308</v>
      </c>
      <c r="M4009" s="22">
        <v>431.052</v>
      </c>
      <c r="N4009" s="22">
        <v>85.03</v>
      </c>
      <c r="O4009" s="17">
        <v>5.9</v>
      </c>
      <c r="P4009" s="18">
        <f t="shared" si="1"/>
        <v>483.308</v>
      </c>
    </row>
    <row r="4010" ht="15.75" customHeight="1">
      <c r="A4010" s="13" t="s">
        <v>244</v>
      </c>
      <c r="B4010" s="13" t="s">
        <v>22</v>
      </c>
      <c r="C4010" s="14" t="s">
        <v>24</v>
      </c>
      <c r="D4010" s="14" t="str">
        <f>VLOOKUP(C4010,'State Key'!$A$2:$B$210,2,False)</f>
        <v>West Bengal</v>
      </c>
      <c r="E4010" s="15">
        <v>270.0</v>
      </c>
      <c r="F4010" s="16">
        <v>0.0</v>
      </c>
      <c r="G4010" s="16">
        <v>0.0</v>
      </c>
      <c r="H4010" s="16">
        <v>131.578</v>
      </c>
      <c r="I4010" s="16">
        <v>0.0</v>
      </c>
      <c r="J4010" s="16">
        <v>0.0</v>
      </c>
      <c r="K4010" s="16">
        <v>0.0</v>
      </c>
      <c r="L4010" s="16">
        <v>131.578</v>
      </c>
      <c r="M4010" s="16">
        <v>111.016</v>
      </c>
      <c r="N4010" s="16">
        <v>37.42</v>
      </c>
      <c r="O4010" s="23">
        <v>10.1</v>
      </c>
      <c r="P4010" s="18">
        <f t="shared" si="1"/>
        <v>131.578</v>
      </c>
    </row>
    <row r="4011" ht="15.75" customHeight="1">
      <c r="A4011" s="19" t="s">
        <v>244</v>
      </c>
      <c r="B4011" s="19" t="s">
        <v>22</v>
      </c>
      <c r="C4011" s="20" t="s">
        <v>25</v>
      </c>
      <c r="D4011" s="14" t="str">
        <f>VLOOKUP(C4011,'State Key'!$A$2:$B$210,2,False)</f>
        <v>Bihar</v>
      </c>
      <c r="E4011" s="21">
        <v>710.0</v>
      </c>
      <c r="F4011" s="22">
        <v>40.15</v>
      </c>
      <c r="G4011" s="22">
        <v>0.0</v>
      </c>
      <c r="H4011" s="22">
        <v>112.0</v>
      </c>
      <c r="I4011" s="22">
        <v>0.0</v>
      </c>
      <c r="J4011" s="22">
        <v>0.0</v>
      </c>
      <c r="K4011" s="22">
        <v>81.28</v>
      </c>
      <c r="L4011" s="22">
        <v>233.43</v>
      </c>
      <c r="M4011" s="22">
        <v>192.77</v>
      </c>
      <c r="N4011" s="22">
        <v>220.56</v>
      </c>
      <c r="O4011" s="24">
        <v>34.3</v>
      </c>
      <c r="P4011" s="18">
        <f t="shared" si="1"/>
        <v>233.43</v>
      </c>
    </row>
    <row r="4012" ht="15.75" customHeight="1">
      <c r="A4012" s="13" t="s">
        <v>244</v>
      </c>
      <c r="B4012" s="13" t="s">
        <v>22</v>
      </c>
      <c r="C4012" s="14" t="s">
        <v>26</v>
      </c>
      <c r="D4012" s="14" t="str">
        <f>VLOOKUP(C4012,'State Key'!$A$2:$B$210,2,False)</f>
        <v>Bihar</v>
      </c>
      <c r="E4012" s="15">
        <v>2640.0</v>
      </c>
      <c r="F4012" s="16">
        <v>587.43</v>
      </c>
      <c r="G4012" s="16">
        <v>0.0</v>
      </c>
      <c r="H4012" s="16">
        <v>320.63</v>
      </c>
      <c r="I4012" s="16">
        <v>0.0</v>
      </c>
      <c r="J4012" s="16">
        <v>0.0</v>
      </c>
      <c r="K4012" s="16">
        <v>88.89</v>
      </c>
      <c r="L4012" s="16">
        <v>996.95</v>
      </c>
      <c r="M4012" s="16">
        <v>843.395</v>
      </c>
      <c r="N4012" s="16">
        <v>973.63</v>
      </c>
      <c r="O4012" s="24">
        <v>34.6</v>
      </c>
      <c r="P4012" s="18">
        <f t="shared" si="1"/>
        <v>996.95</v>
      </c>
    </row>
    <row r="4013" ht="15.75" customHeight="1">
      <c r="A4013" s="19" t="s">
        <v>244</v>
      </c>
      <c r="B4013" s="19" t="s">
        <v>22</v>
      </c>
      <c r="C4013" s="20" t="s">
        <v>27</v>
      </c>
      <c r="D4013" s="14" t="str">
        <f>VLOOKUP(C4013,'State Key'!$A$2:$B$210,2,False)</f>
        <v>Jharkhand</v>
      </c>
      <c r="E4013" s="21">
        <v>500.0</v>
      </c>
      <c r="F4013" s="22">
        <v>175.4</v>
      </c>
      <c r="G4013" s="22">
        <v>0.0</v>
      </c>
      <c r="H4013" s="22">
        <v>14.098</v>
      </c>
      <c r="I4013" s="22">
        <v>0.0</v>
      </c>
      <c r="J4013" s="22">
        <v>0.0</v>
      </c>
      <c r="K4013" s="22">
        <v>0.0</v>
      </c>
      <c r="L4013" s="22">
        <v>189.498</v>
      </c>
      <c r="M4013" s="22">
        <v>141.091</v>
      </c>
      <c r="N4013" s="22">
        <v>226.53</v>
      </c>
      <c r="O4013" s="24">
        <v>48.2</v>
      </c>
      <c r="P4013" s="18">
        <f t="shared" si="1"/>
        <v>189.498</v>
      </c>
    </row>
    <row r="4014" ht="15.75" customHeight="1">
      <c r="A4014" s="13" t="s">
        <v>244</v>
      </c>
      <c r="B4014" s="13" t="s">
        <v>22</v>
      </c>
      <c r="C4014" s="14" t="s">
        <v>28</v>
      </c>
      <c r="D4014" s="14" t="str">
        <f>VLOOKUP(C4014,'State Key'!$A$2:$B$210,2,False)</f>
        <v>West Bengal</v>
      </c>
      <c r="E4014" s="15">
        <v>750.0</v>
      </c>
      <c r="F4014" s="16">
        <v>115.986</v>
      </c>
      <c r="G4014" s="16">
        <v>0.0</v>
      </c>
      <c r="H4014" s="16">
        <v>116.966</v>
      </c>
      <c r="I4014" s="16">
        <v>96.97</v>
      </c>
      <c r="J4014" s="16">
        <v>0.0</v>
      </c>
      <c r="K4014" s="16">
        <v>0.0</v>
      </c>
      <c r="L4014" s="16">
        <v>329.922</v>
      </c>
      <c r="M4014" s="16">
        <v>272.7</v>
      </c>
      <c r="N4014" s="16">
        <v>172.51</v>
      </c>
      <c r="O4014" s="24">
        <v>19.0</v>
      </c>
      <c r="P4014" s="18">
        <f t="shared" si="1"/>
        <v>329.922</v>
      </c>
    </row>
    <row r="4015" ht="15.75" customHeight="1">
      <c r="A4015" s="19" t="s">
        <v>244</v>
      </c>
      <c r="B4015" s="19" t="s">
        <v>22</v>
      </c>
      <c r="C4015" s="20" t="s">
        <v>29</v>
      </c>
      <c r="D4015" s="14" t="str">
        <f>VLOOKUP(C4015,'State Key'!$A$2:$B$210,2,False)</f>
        <v>Jharkhand</v>
      </c>
      <c r="E4015" s="21">
        <v>500.0</v>
      </c>
      <c r="F4015" s="22">
        <v>167.872</v>
      </c>
      <c r="G4015" s="22">
        <v>0.0</v>
      </c>
      <c r="H4015" s="22">
        <v>21.159</v>
      </c>
      <c r="I4015" s="22">
        <v>0.0</v>
      </c>
      <c r="J4015" s="22">
        <v>0.0</v>
      </c>
      <c r="K4015" s="22">
        <v>0.0</v>
      </c>
      <c r="L4015" s="22">
        <v>189.031</v>
      </c>
      <c r="M4015" s="22">
        <v>193.856</v>
      </c>
      <c r="N4015" s="22">
        <v>232.77</v>
      </c>
      <c r="O4015" s="24">
        <v>36.0</v>
      </c>
      <c r="P4015" s="18">
        <f t="shared" si="1"/>
        <v>189.031</v>
      </c>
    </row>
    <row r="4016" ht="15.75" customHeight="1">
      <c r="A4016" s="13" t="s">
        <v>244</v>
      </c>
      <c r="B4016" s="13" t="s">
        <v>22</v>
      </c>
      <c r="C4016" s="14" t="s">
        <v>30</v>
      </c>
      <c r="D4016" s="14" t="str">
        <f>VLOOKUP(C4016,'State Key'!$A$2:$B$210,2,False)</f>
        <v>West Bengal</v>
      </c>
      <c r="E4016" s="15">
        <v>550.0</v>
      </c>
      <c r="F4016" s="16">
        <v>212.413</v>
      </c>
      <c r="G4016" s="16">
        <v>0.0</v>
      </c>
      <c r="H4016" s="16">
        <v>0.0</v>
      </c>
      <c r="I4016" s="16">
        <v>16.229</v>
      </c>
      <c r="J4016" s="16">
        <v>0.0</v>
      </c>
      <c r="K4016" s="16">
        <v>28.159</v>
      </c>
      <c r="L4016" s="16">
        <v>256.801</v>
      </c>
      <c r="M4016" s="16">
        <v>251.618</v>
      </c>
      <c r="N4016" s="16">
        <v>29.73</v>
      </c>
      <c r="O4016" s="17">
        <v>3.5</v>
      </c>
      <c r="P4016" s="18">
        <f t="shared" si="1"/>
        <v>256.801</v>
      </c>
    </row>
    <row r="4017" ht="15.75" customHeight="1">
      <c r="A4017" s="19" t="s">
        <v>244</v>
      </c>
      <c r="B4017" s="19" t="s">
        <v>22</v>
      </c>
      <c r="C4017" s="20" t="s">
        <v>31</v>
      </c>
      <c r="D4017" s="14" t="str">
        <f>VLOOKUP(C4017,'State Key'!$A$2:$B$210,2,False)</f>
        <v>Odisha</v>
      </c>
      <c r="E4017" s="21">
        <v>1600.0</v>
      </c>
      <c r="F4017" s="22">
        <v>0.0</v>
      </c>
      <c r="G4017" s="22">
        <v>0.0</v>
      </c>
      <c r="H4017" s="22">
        <v>806.91</v>
      </c>
      <c r="I4017" s="22">
        <v>0.0</v>
      </c>
      <c r="J4017" s="22">
        <v>0.0</v>
      </c>
      <c r="K4017" s="22">
        <v>0.0</v>
      </c>
      <c r="L4017" s="22">
        <v>806.91</v>
      </c>
      <c r="M4017" s="22">
        <v>767.898</v>
      </c>
      <c r="N4017" s="22">
        <v>332.37</v>
      </c>
      <c r="O4017" s="23">
        <v>13.0</v>
      </c>
      <c r="P4017" s="18">
        <f t="shared" si="1"/>
        <v>806.91</v>
      </c>
    </row>
    <row r="4018" ht="15.75" customHeight="1">
      <c r="A4018" s="13" t="s">
        <v>244</v>
      </c>
      <c r="B4018" s="13" t="s">
        <v>22</v>
      </c>
      <c r="C4018" s="14" t="s">
        <v>32</v>
      </c>
      <c r="D4018" s="14" t="str">
        <f>VLOOKUP(C4018,'State Key'!$A$2:$B$210,2,False)</f>
        <v>Odisha</v>
      </c>
      <c r="E4018" s="15">
        <v>1200.0</v>
      </c>
      <c r="F4018" s="16">
        <v>468.83</v>
      </c>
      <c r="G4018" s="16">
        <v>0.0</v>
      </c>
      <c r="H4018" s="16">
        <v>0.0</v>
      </c>
      <c r="I4018" s="16">
        <v>266.699</v>
      </c>
      <c r="J4018" s="16">
        <v>0.0</v>
      </c>
      <c r="K4018" s="16">
        <v>0.0</v>
      </c>
      <c r="L4018" s="16">
        <v>735.529</v>
      </c>
      <c r="M4018" s="16">
        <v>461.171</v>
      </c>
      <c r="N4018" s="16">
        <v>1035.15</v>
      </c>
      <c r="O4018" s="24">
        <v>67.3</v>
      </c>
      <c r="P4018" s="18">
        <f t="shared" si="1"/>
        <v>735.529</v>
      </c>
    </row>
    <row r="4019" ht="15.75" customHeight="1">
      <c r="A4019" s="19" t="s">
        <v>244</v>
      </c>
      <c r="B4019" s="19" t="s">
        <v>22</v>
      </c>
      <c r="C4019" s="20" t="s">
        <v>33</v>
      </c>
      <c r="D4019" s="14" t="str">
        <f>VLOOKUP(C4019,'State Key'!$A$2:$B$210,2,False)</f>
        <v>West Bengal</v>
      </c>
      <c r="E4019" s="21">
        <v>12.0</v>
      </c>
      <c r="F4019" s="22">
        <v>0.0</v>
      </c>
      <c r="G4019" s="22">
        <v>0.0</v>
      </c>
      <c r="H4019" s="22">
        <v>0.0</v>
      </c>
      <c r="I4019" s="22">
        <v>0.0</v>
      </c>
      <c r="J4019" s="22">
        <v>0.0</v>
      </c>
      <c r="K4019" s="22">
        <v>0.0</v>
      </c>
      <c r="L4019" s="22">
        <v>0.0</v>
      </c>
      <c r="M4019" s="22">
        <v>0.0</v>
      </c>
      <c r="N4019" s="22">
        <v>8.1</v>
      </c>
      <c r="O4019" s="19" t="s">
        <v>58</v>
      </c>
      <c r="P4019" s="18">
        <f t="shared" si="1"/>
        <v>0</v>
      </c>
    </row>
    <row r="4020" ht="15.75" customHeight="1">
      <c r="A4020" s="13" t="s">
        <v>244</v>
      </c>
      <c r="B4020" s="13" t="s">
        <v>22</v>
      </c>
      <c r="C4020" s="14" t="s">
        <v>34</v>
      </c>
      <c r="D4020" s="14" t="str">
        <f>VLOOKUP(C4020,'State Key'!$A$2:$B$210,2,False)</f>
        <v>West Bengal</v>
      </c>
      <c r="E4020" s="15">
        <v>1000.0</v>
      </c>
      <c r="F4020" s="16">
        <v>340.169</v>
      </c>
      <c r="G4020" s="16">
        <v>0.0</v>
      </c>
      <c r="H4020" s="16">
        <v>0.0</v>
      </c>
      <c r="I4020" s="16">
        <v>0.0</v>
      </c>
      <c r="J4020" s="16">
        <v>0.0</v>
      </c>
      <c r="K4020" s="16">
        <v>11.564</v>
      </c>
      <c r="L4020" s="16">
        <v>351.733</v>
      </c>
      <c r="M4020" s="16">
        <v>305.913</v>
      </c>
      <c r="N4020" s="16">
        <v>330.22</v>
      </c>
      <c r="O4020" s="24">
        <v>32.4</v>
      </c>
      <c r="P4020" s="18">
        <f t="shared" si="1"/>
        <v>351.733</v>
      </c>
    </row>
    <row r="4021" ht="15.75" customHeight="1">
      <c r="A4021" s="19" t="s">
        <v>244</v>
      </c>
      <c r="B4021" s="19" t="s">
        <v>22</v>
      </c>
      <c r="C4021" s="20" t="s">
        <v>35</v>
      </c>
      <c r="D4021" s="14" t="str">
        <f>VLOOKUP(C4021,'State Key'!$A$2:$B$210,2,False)</f>
        <v>West Bengal</v>
      </c>
      <c r="E4021" s="21">
        <v>2100.0</v>
      </c>
      <c r="F4021" s="22">
        <v>907.05</v>
      </c>
      <c r="G4021" s="22">
        <v>0.0</v>
      </c>
      <c r="H4021" s="22">
        <v>38.49</v>
      </c>
      <c r="I4021" s="22">
        <v>0.0</v>
      </c>
      <c r="J4021" s="22">
        <v>0.0</v>
      </c>
      <c r="K4021" s="22">
        <v>0.0</v>
      </c>
      <c r="L4021" s="22">
        <v>945.54</v>
      </c>
      <c r="M4021" s="22">
        <v>834.177</v>
      </c>
      <c r="N4021" s="22">
        <v>688.1</v>
      </c>
      <c r="O4021" s="24">
        <v>24.7</v>
      </c>
      <c r="P4021" s="18">
        <f t="shared" si="1"/>
        <v>945.54</v>
      </c>
    </row>
    <row r="4022" ht="15.75" customHeight="1">
      <c r="A4022" s="13" t="s">
        <v>244</v>
      </c>
      <c r="B4022" s="13" t="s">
        <v>22</v>
      </c>
      <c r="C4022" s="14" t="s">
        <v>36</v>
      </c>
      <c r="D4022" s="14" t="str">
        <f>VLOOKUP(C4022,'State Key'!$A$2:$B$210,2,False)</f>
        <v>West Bengal</v>
      </c>
      <c r="E4022" s="15">
        <v>600.0</v>
      </c>
      <c r="F4022" s="16">
        <v>215.589</v>
      </c>
      <c r="G4022" s="16">
        <v>0.0</v>
      </c>
      <c r="H4022" s="16">
        <v>0.0</v>
      </c>
      <c r="I4022" s="16">
        <v>0.0</v>
      </c>
      <c r="J4022" s="16">
        <v>0.0</v>
      </c>
      <c r="K4022" s="16">
        <v>0.0</v>
      </c>
      <c r="L4022" s="16">
        <v>215.589</v>
      </c>
      <c r="M4022" s="16">
        <v>251.559</v>
      </c>
      <c r="N4022" s="16">
        <v>108.77</v>
      </c>
      <c r="O4022" s="23">
        <v>13.0</v>
      </c>
      <c r="P4022" s="18">
        <f t="shared" si="1"/>
        <v>215.589</v>
      </c>
    </row>
    <row r="4023" ht="15.75" customHeight="1">
      <c r="A4023" s="19" t="s">
        <v>244</v>
      </c>
      <c r="B4023" s="19" t="s">
        <v>22</v>
      </c>
      <c r="C4023" s="20" t="s">
        <v>37</v>
      </c>
      <c r="D4023" s="14" t="str">
        <f>VLOOKUP(C4023,'State Key'!$A$2:$B$210,2,False)</f>
        <v>West Bengal</v>
      </c>
      <c r="E4023" s="21">
        <v>300.0</v>
      </c>
      <c r="F4023" s="22">
        <v>135.043</v>
      </c>
      <c r="G4023" s="22">
        <v>0.0</v>
      </c>
      <c r="H4023" s="22">
        <v>0.0</v>
      </c>
      <c r="I4023" s="22">
        <v>0.0</v>
      </c>
      <c r="J4023" s="22">
        <v>0.0</v>
      </c>
      <c r="K4023" s="22">
        <v>0.0</v>
      </c>
      <c r="L4023" s="22">
        <v>135.043</v>
      </c>
      <c r="M4023" s="22">
        <v>129.03</v>
      </c>
      <c r="N4023" s="22">
        <v>32.05</v>
      </c>
      <c r="O4023" s="23">
        <v>7.5</v>
      </c>
      <c r="P4023" s="18">
        <f t="shared" si="1"/>
        <v>135.043</v>
      </c>
    </row>
    <row r="4024" ht="15.75" customHeight="1">
      <c r="A4024" s="13" t="s">
        <v>244</v>
      </c>
      <c r="B4024" s="13" t="s">
        <v>22</v>
      </c>
      <c r="C4024" s="14" t="s">
        <v>38</v>
      </c>
      <c r="D4024" s="14" t="str">
        <f>VLOOKUP(C4024,'State Key'!$A$2:$B$210,2,False)</f>
        <v>Odisha</v>
      </c>
      <c r="E4024" s="15">
        <v>1740.0</v>
      </c>
      <c r="F4024" s="16">
        <v>49.822</v>
      </c>
      <c r="G4024" s="16">
        <v>0.0</v>
      </c>
      <c r="H4024" s="16">
        <v>583.613</v>
      </c>
      <c r="I4024" s="16">
        <v>0.0</v>
      </c>
      <c r="J4024" s="16">
        <v>0.0</v>
      </c>
      <c r="K4024" s="16">
        <v>0.0</v>
      </c>
      <c r="L4024" s="16">
        <v>633.435</v>
      </c>
      <c r="M4024" s="16">
        <v>666.891</v>
      </c>
      <c r="N4024" s="16">
        <v>216.24</v>
      </c>
      <c r="O4024" s="23">
        <v>9.7</v>
      </c>
      <c r="P4024" s="18">
        <f t="shared" si="1"/>
        <v>633.435</v>
      </c>
    </row>
    <row r="4025" ht="15.75" customHeight="1">
      <c r="A4025" s="19" t="s">
        <v>244</v>
      </c>
      <c r="B4025" s="19" t="s">
        <v>22</v>
      </c>
      <c r="C4025" s="20" t="s">
        <v>39</v>
      </c>
      <c r="D4025" s="14" t="str">
        <f>VLOOKUP(C4025,'State Key'!$A$2:$B$210,2,False)</f>
        <v>Jharkhand</v>
      </c>
      <c r="E4025" s="21">
        <v>240.0</v>
      </c>
      <c r="F4025" s="22">
        <v>133.742</v>
      </c>
      <c r="G4025" s="22">
        <v>0.0</v>
      </c>
      <c r="H4025" s="22">
        <v>0.0</v>
      </c>
      <c r="I4025" s="22">
        <v>0.0</v>
      </c>
      <c r="J4025" s="22">
        <v>0.0</v>
      </c>
      <c r="K4025" s="22">
        <v>0.0</v>
      </c>
      <c r="L4025" s="22">
        <v>133.742</v>
      </c>
      <c r="M4025" s="22">
        <v>77.585</v>
      </c>
      <c r="N4025" s="22">
        <v>223.5</v>
      </c>
      <c r="O4025" s="24">
        <v>86.4</v>
      </c>
      <c r="P4025" s="18">
        <f t="shared" si="1"/>
        <v>133.742</v>
      </c>
    </row>
    <row r="4026" ht="15.75" customHeight="1">
      <c r="A4026" s="13" t="s">
        <v>244</v>
      </c>
      <c r="B4026" s="13" t="s">
        <v>22</v>
      </c>
      <c r="C4026" s="14" t="s">
        <v>245</v>
      </c>
      <c r="D4026" s="14" t="str">
        <f>VLOOKUP(C4026,'State Key'!$A$2:$B$210,2,False)</f>
        <v>Odisha</v>
      </c>
      <c r="E4026" s="15">
        <v>350.0</v>
      </c>
      <c r="F4026" s="16">
        <v>139.0</v>
      </c>
      <c r="G4026" s="16">
        <v>0.0</v>
      </c>
      <c r="H4026" s="16">
        <v>0.0</v>
      </c>
      <c r="I4026" s="16">
        <v>0.0</v>
      </c>
      <c r="J4026" s="16">
        <v>0.0</v>
      </c>
      <c r="K4026" s="16">
        <v>0.0</v>
      </c>
      <c r="L4026" s="16">
        <v>139.0</v>
      </c>
      <c r="M4026" s="16">
        <v>109.0</v>
      </c>
      <c r="N4026" s="16">
        <v>270.43</v>
      </c>
      <c r="O4026" s="24">
        <v>74.4</v>
      </c>
      <c r="P4026" s="18">
        <f t="shared" si="1"/>
        <v>139</v>
      </c>
    </row>
    <row r="4027" ht="15.75" customHeight="1">
      <c r="A4027" s="19" t="s">
        <v>244</v>
      </c>
      <c r="B4027" s="19" t="s">
        <v>22</v>
      </c>
      <c r="C4027" s="20" t="s">
        <v>40</v>
      </c>
      <c r="D4027" s="14" t="str">
        <f>VLOOKUP(C4027,'State Key'!$A$2:$B$210,2,False)</f>
        <v>Bihar</v>
      </c>
      <c r="E4027" s="21">
        <v>2340.0</v>
      </c>
      <c r="F4027" s="22">
        <v>1096.4</v>
      </c>
      <c r="G4027" s="22">
        <v>0.0</v>
      </c>
      <c r="H4027" s="22">
        <v>23.41</v>
      </c>
      <c r="I4027" s="22">
        <v>0.0</v>
      </c>
      <c r="J4027" s="22">
        <v>0.0</v>
      </c>
      <c r="K4027" s="22">
        <v>0.0</v>
      </c>
      <c r="L4027" s="22">
        <v>1119.81</v>
      </c>
      <c r="M4027" s="22">
        <v>1084.752</v>
      </c>
      <c r="N4027" s="22">
        <v>736.75</v>
      </c>
      <c r="O4027" s="24">
        <v>20.4</v>
      </c>
      <c r="P4027" s="18">
        <f t="shared" si="1"/>
        <v>1119.81</v>
      </c>
    </row>
    <row r="4028" ht="15.75" customHeight="1">
      <c r="A4028" s="13" t="s">
        <v>244</v>
      </c>
      <c r="B4028" s="13" t="s">
        <v>22</v>
      </c>
      <c r="C4028" s="14" t="s">
        <v>41</v>
      </c>
      <c r="D4028" s="14" t="str">
        <f>VLOOKUP(C4028,'State Key'!$A$2:$B$210,2,False)</f>
        <v>Odisha</v>
      </c>
      <c r="E4028" s="15">
        <v>1050.0</v>
      </c>
      <c r="F4028" s="16">
        <v>404.26</v>
      </c>
      <c r="G4028" s="16">
        <v>0.0</v>
      </c>
      <c r="H4028" s="16">
        <v>0.0</v>
      </c>
      <c r="I4028" s="16">
        <v>48.703</v>
      </c>
      <c r="J4028" s="16">
        <v>0.0</v>
      </c>
      <c r="K4028" s="16">
        <v>0.0</v>
      </c>
      <c r="L4028" s="16">
        <v>452.963</v>
      </c>
      <c r="M4028" s="16">
        <v>504.52</v>
      </c>
      <c r="N4028" s="16">
        <v>323.81</v>
      </c>
      <c r="O4028" s="24">
        <v>19.3</v>
      </c>
      <c r="P4028" s="18">
        <f t="shared" si="1"/>
        <v>452.963</v>
      </c>
    </row>
    <row r="4029" ht="15.75" customHeight="1">
      <c r="A4029" s="19" t="s">
        <v>244</v>
      </c>
      <c r="B4029" s="19" t="s">
        <v>22</v>
      </c>
      <c r="C4029" s="20" t="s">
        <v>42</v>
      </c>
      <c r="D4029" s="14" t="str">
        <f>VLOOKUP(C4029,'State Key'!$A$2:$B$210,2,False)</f>
        <v>Jharkhand</v>
      </c>
      <c r="E4029" s="21">
        <v>1000.0</v>
      </c>
      <c r="F4029" s="22">
        <v>280.02</v>
      </c>
      <c r="G4029" s="22">
        <v>0.0</v>
      </c>
      <c r="H4029" s="22">
        <v>97.058</v>
      </c>
      <c r="I4029" s="22">
        <v>0.0</v>
      </c>
      <c r="J4029" s="22">
        <v>0.0</v>
      </c>
      <c r="K4029" s="22">
        <v>0.0</v>
      </c>
      <c r="L4029" s="22">
        <v>377.078</v>
      </c>
      <c r="M4029" s="22">
        <v>396.481</v>
      </c>
      <c r="N4029" s="22">
        <v>445.51</v>
      </c>
      <c r="O4029" s="24">
        <v>33.7</v>
      </c>
      <c r="P4029" s="18">
        <f t="shared" si="1"/>
        <v>377.078</v>
      </c>
    </row>
    <row r="4030" ht="15.75" customHeight="1">
      <c r="A4030" s="13" t="s">
        <v>244</v>
      </c>
      <c r="B4030" s="13" t="s">
        <v>22</v>
      </c>
      <c r="C4030" s="14" t="s">
        <v>43</v>
      </c>
      <c r="D4030" s="14" t="str">
        <f>VLOOKUP(C4030,'State Key'!$A$2:$B$210,2,False)</f>
        <v>West Bengal</v>
      </c>
      <c r="E4030" s="15">
        <v>840.0</v>
      </c>
      <c r="F4030" s="16">
        <v>0.0</v>
      </c>
      <c r="G4030" s="16">
        <v>0.0</v>
      </c>
      <c r="H4030" s="16">
        <v>331.468</v>
      </c>
      <c r="I4030" s="16">
        <v>0.0</v>
      </c>
      <c r="J4030" s="16">
        <v>0.0</v>
      </c>
      <c r="K4030" s="16">
        <v>0.0</v>
      </c>
      <c r="L4030" s="16">
        <v>331.468</v>
      </c>
      <c r="M4030" s="16">
        <v>290.778</v>
      </c>
      <c r="N4030" s="16">
        <v>92.35</v>
      </c>
      <c r="O4030" s="23">
        <v>9.5</v>
      </c>
      <c r="P4030" s="18">
        <f t="shared" si="1"/>
        <v>331.468</v>
      </c>
    </row>
    <row r="4031" ht="15.75" customHeight="1">
      <c r="A4031" s="19" t="s">
        <v>244</v>
      </c>
      <c r="B4031" s="19" t="s">
        <v>22</v>
      </c>
      <c r="C4031" s="20" t="s">
        <v>44</v>
      </c>
      <c r="D4031" s="14" t="str">
        <f>VLOOKUP(C4031,'State Key'!$A$2:$B$210,2,False)</f>
        <v>Jharkhand</v>
      </c>
      <c r="E4031" s="21">
        <v>540.0</v>
      </c>
      <c r="F4031" s="22">
        <v>141.15</v>
      </c>
      <c r="G4031" s="22">
        <v>0.0</v>
      </c>
      <c r="H4031" s="22">
        <v>0.0</v>
      </c>
      <c r="I4031" s="22">
        <v>0.0</v>
      </c>
      <c r="J4031" s="22">
        <v>0.0</v>
      </c>
      <c r="K4031" s="22">
        <v>94.413</v>
      </c>
      <c r="L4031" s="22">
        <v>235.563</v>
      </c>
      <c r="M4031" s="22">
        <v>233.199</v>
      </c>
      <c r="N4031" s="22">
        <v>82.13</v>
      </c>
      <c r="O4031" s="23">
        <v>10.6</v>
      </c>
      <c r="P4031" s="18">
        <f t="shared" si="1"/>
        <v>235.563</v>
      </c>
    </row>
    <row r="4032" ht="15.75" customHeight="1">
      <c r="A4032" s="13" t="s">
        <v>244</v>
      </c>
      <c r="B4032" s="13" t="s">
        <v>22</v>
      </c>
      <c r="C4032" s="14" t="s">
        <v>45</v>
      </c>
      <c r="D4032" s="14" t="str">
        <f>VLOOKUP(C4032,'State Key'!$A$2:$B$210,2,False)</f>
        <v>Jharkhand</v>
      </c>
      <c r="E4032" s="15">
        <v>1050.0</v>
      </c>
      <c r="F4032" s="16">
        <v>348.375</v>
      </c>
      <c r="G4032" s="16">
        <v>0.0</v>
      </c>
      <c r="H4032" s="16">
        <v>0.0</v>
      </c>
      <c r="I4032" s="16">
        <v>0.0</v>
      </c>
      <c r="J4032" s="16">
        <v>0.0</v>
      </c>
      <c r="K4032" s="16">
        <v>0.0</v>
      </c>
      <c r="L4032" s="16">
        <v>348.375</v>
      </c>
      <c r="M4032" s="16">
        <v>359.149</v>
      </c>
      <c r="N4032" s="16">
        <v>598.89</v>
      </c>
      <c r="O4032" s="24">
        <v>50.0</v>
      </c>
      <c r="P4032" s="18">
        <f t="shared" si="1"/>
        <v>348.375</v>
      </c>
    </row>
    <row r="4033" ht="15.75" customHeight="1">
      <c r="A4033" s="19" t="s">
        <v>244</v>
      </c>
      <c r="B4033" s="19" t="s">
        <v>22</v>
      </c>
      <c r="C4033" s="20" t="s">
        <v>46</v>
      </c>
      <c r="D4033" s="14" t="str">
        <f>VLOOKUP(C4033,'State Key'!$A$2:$B$210,2,False)</f>
        <v>West Bengal</v>
      </c>
      <c r="E4033" s="21">
        <v>2340.0</v>
      </c>
      <c r="F4033" s="22">
        <v>767.402</v>
      </c>
      <c r="G4033" s="22">
        <v>0.0</v>
      </c>
      <c r="H4033" s="22">
        <v>56.596</v>
      </c>
      <c r="I4033" s="22">
        <v>0.0</v>
      </c>
      <c r="J4033" s="22">
        <v>0.0</v>
      </c>
      <c r="K4033" s="22">
        <v>0.0</v>
      </c>
      <c r="L4033" s="22">
        <v>823.998</v>
      </c>
      <c r="M4033" s="22">
        <v>766.16</v>
      </c>
      <c r="N4033" s="22">
        <v>518.83</v>
      </c>
      <c r="O4033" s="24">
        <v>20.3</v>
      </c>
      <c r="P4033" s="18">
        <f t="shared" si="1"/>
        <v>823.998</v>
      </c>
    </row>
    <row r="4034" ht="15.75" customHeight="1">
      <c r="A4034" s="13" t="s">
        <v>244</v>
      </c>
      <c r="B4034" s="13" t="s">
        <v>22</v>
      </c>
      <c r="C4034" s="14" t="s">
        <v>47</v>
      </c>
      <c r="D4034" s="14" t="str">
        <f>VLOOKUP(C4034,'State Key'!$A$2:$B$210,2,False)</f>
        <v>Bihar</v>
      </c>
      <c r="E4034" s="15">
        <v>390.0</v>
      </c>
      <c r="F4034" s="16">
        <v>102.157</v>
      </c>
      <c r="G4034" s="16">
        <v>0.0</v>
      </c>
      <c r="H4034" s="16">
        <v>78.343</v>
      </c>
      <c r="I4034" s="16">
        <v>0.0</v>
      </c>
      <c r="J4034" s="16">
        <v>0.0</v>
      </c>
      <c r="K4034" s="16">
        <v>0.0</v>
      </c>
      <c r="L4034" s="16">
        <v>180.5</v>
      </c>
      <c r="M4034" s="16">
        <v>147.128</v>
      </c>
      <c r="N4034" s="16">
        <v>169.06</v>
      </c>
      <c r="O4034" s="24">
        <v>34.5</v>
      </c>
      <c r="P4034" s="18">
        <f t="shared" si="1"/>
        <v>180.5</v>
      </c>
    </row>
    <row r="4035" ht="15.75" customHeight="1">
      <c r="A4035" s="19" t="s">
        <v>244</v>
      </c>
      <c r="B4035" s="19" t="s">
        <v>22</v>
      </c>
      <c r="C4035" s="20" t="s">
        <v>241</v>
      </c>
      <c r="D4035" s="14" t="str">
        <f>VLOOKUP(C4035,'State Key'!$A$2:$B$210,2,False)</f>
        <v>Odisha</v>
      </c>
      <c r="E4035" s="21">
        <v>60.0</v>
      </c>
      <c r="F4035" s="22">
        <v>35.0</v>
      </c>
      <c r="G4035" s="22">
        <v>0.0</v>
      </c>
      <c r="H4035" s="22">
        <v>0.0</v>
      </c>
      <c r="I4035" s="22">
        <v>0.0</v>
      </c>
      <c r="J4035" s="22">
        <v>0.0</v>
      </c>
      <c r="K4035" s="22">
        <v>0.0</v>
      </c>
      <c r="L4035" s="22">
        <v>35.0</v>
      </c>
      <c r="M4035" s="22">
        <v>30.0</v>
      </c>
      <c r="N4035" s="22">
        <v>10.33</v>
      </c>
      <c r="O4035" s="23">
        <v>10.3</v>
      </c>
      <c r="P4035" s="18">
        <f t="shared" si="1"/>
        <v>35</v>
      </c>
    </row>
    <row r="4036" ht="15.75" customHeight="1">
      <c r="A4036" s="13" t="s">
        <v>244</v>
      </c>
      <c r="B4036" s="13" t="s">
        <v>22</v>
      </c>
      <c r="C4036" s="14" t="s">
        <v>48</v>
      </c>
      <c r="D4036" s="14" t="str">
        <f>VLOOKUP(C4036,'State Key'!$A$2:$B$210,2,False)</f>
        <v>Bihar</v>
      </c>
      <c r="E4036" s="15">
        <v>1980.0</v>
      </c>
      <c r="F4036" s="16">
        <v>596.703</v>
      </c>
      <c r="G4036" s="16">
        <v>0.0</v>
      </c>
      <c r="H4036" s="16">
        <v>172.253</v>
      </c>
      <c r="I4036" s="16">
        <v>57.93</v>
      </c>
      <c r="J4036" s="16">
        <v>0.0</v>
      </c>
      <c r="K4036" s="16">
        <v>0.0</v>
      </c>
      <c r="L4036" s="16">
        <v>826.886</v>
      </c>
      <c r="M4036" s="16">
        <v>708.601</v>
      </c>
      <c r="N4036" s="16">
        <v>1030.32</v>
      </c>
      <c r="O4036" s="24">
        <v>43.6</v>
      </c>
      <c r="P4036" s="18">
        <f t="shared" si="1"/>
        <v>826.886</v>
      </c>
    </row>
    <row r="4037" ht="15.75" customHeight="1">
      <c r="A4037" s="19" t="s">
        <v>244</v>
      </c>
      <c r="B4037" s="19" t="s">
        <v>22</v>
      </c>
      <c r="C4037" s="20" t="s">
        <v>49</v>
      </c>
      <c r="D4037" s="14" t="str">
        <f>VLOOKUP(C4037,'State Key'!$A$2:$B$210,2,False)</f>
        <v>Bihar</v>
      </c>
      <c r="E4037" s="21">
        <v>1000.0</v>
      </c>
      <c r="F4037" s="22">
        <v>418.5814</v>
      </c>
      <c r="G4037" s="22">
        <v>0.0</v>
      </c>
      <c r="H4037" s="22">
        <v>0.0</v>
      </c>
      <c r="I4037" s="22">
        <v>0.0</v>
      </c>
      <c r="J4037" s="22">
        <v>0.0</v>
      </c>
      <c r="K4037" s="22">
        <v>0.0</v>
      </c>
      <c r="L4037" s="22">
        <v>418.5814</v>
      </c>
      <c r="M4037" s="22">
        <v>400.691</v>
      </c>
      <c r="N4037" s="22">
        <v>340.42</v>
      </c>
      <c r="O4037" s="24">
        <v>25.5</v>
      </c>
      <c r="P4037" s="18">
        <f t="shared" si="1"/>
        <v>418.5814</v>
      </c>
    </row>
    <row r="4038" ht="15.75" customHeight="1">
      <c r="A4038" s="13" t="s">
        <v>244</v>
      </c>
      <c r="B4038" s="13" t="s">
        <v>22</v>
      </c>
      <c r="C4038" s="14" t="s">
        <v>50</v>
      </c>
      <c r="D4038" s="14" t="str">
        <f>VLOOKUP(C4038,'State Key'!$A$2:$B$210,2,False)</f>
        <v>Jharkhand</v>
      </c>
      <c r="E4038" s="15">
        <v>1320.0</v>
      </c>
      <c r="F4038" s="16">
        <v>376.26</v>
      </c>
      <c r="G4038" s="16">
        <v>0.0</v>
      </c>
      <c r="H4038" s="16">
        <v>371.53</v>
      </c>
      <c r="I4038" s="16">
        <v>0.0</v>
      </c>
      <c r="J4038" s="16">
        <v>0.0</v>
      </c>
      <c r="K4038" s="16">
        <v>0.0</v>
      </c>
      <c r="L4038" s="16">
        <v>747.79</v>
      </c>
      <c r="M4038" s="16">
        <v>556.849</v>
      </c>
      <c r="N4038" s="16">
        <v>484.853</v>
      </c>
      <c r="O4038" s="24">
        <v>26.1</v>
      </c>
      <c r="P4038" s="18">
        <f t="shared" si="1"/>
        <v>747.79</v>
      </c>
    </row>
    <row r="4039" ht="15.75" customHeight="1">
      <c r="A4039" s="19" t="s">
        <v>244</v>
      </c>
      <c r="B4039" s="19" t="s">
        <v>22</v>
      </c>
      <c r="C4039" s="20" t="s">
        <v>51</v>
      </c>
      <c r="D4039" s="14" t="str">
        <f>VLOOKUP(C4039,'State Key'!$A$2:$B$210,2,False)</f>
        <v>West Bengal</v>
      </c>
      <c r="E4039" s="21">
        <v>1200.0</v>
      </c>
      <c r="F4039" s="22">
        <v>387.696</v>
      </c>
      <c r="G4039" s="22">
        <v>0.0</v>
      </c>
      <c r="H4039" s="22">
        <v>11.736</v>
      </c>
      <c r="I4039" s="22">
        <v>0.0</v>
      </c>
      <c r="J4039" s="22">
        <v>0.0</v>
      </c>
      <c r="K4039" s="22">
        <v>3.585</v>
      </c>
      <c r="L4039" s="22">
        <v>403.017</v>
      </c>
      <c r="M4039" s="22">
        <v>404.362</v>
      </c>
      <c r="N4039" s="22">
        <v>336.02</v>
      </c>
      <c r="O4039" s="24">
        <v>24.9</v>
      </c>
      <c r="P4039" s="18">
        <f t="shared" si="1"/>
        <v>403.017</v>
      </c>
    </row>
    <row r="4040" ht="15.75" customHeight="1">
      <c r="A4040" s="13" t="s">
        <v>244</v>
      </c>
      <c r="B4040" s="13" t="s">
        <v>22</v>
      </c>
      <c r="C4040" s="14" t="s">
        <v>52</v>
      </c>
      <c r="D4040" s="14" t="str">
        <f>VLOOKUP(C4040,'State Key'!$A$2:$B$210,2,False)</f>
        <v>West Bengal</v>
      </c>
      <c r="E4040" s="15">
        <v>1600.0</v>
      </c>
      <c r="F4040" s="16">
        <v>0.0</v>
      </c>
      <c r="G4040" s="16">
        <v>0.0</v>
      </c>
      <c r="H4040" s="16">
        <v>558.916</v>
      </c>
      <c r="I4040" s="16">
        <v>0.0</v>
      </c>
      <c r="J4040" s="16">
        <v>0.0</v>
      </c>
      <c r="K4040" s="16">
        <v>0.0</v>
      </c>
      <c r="L4040" s="16">
        <v>558.916</v>
      </c>
      <c r="M4040" s="16">
        <v>435.973</v>
      </c>
      <c r="N4040" s="16">
        <v>251.6</v>
      </c>
      <c r="O4040" s="24">
        <v>17.3</v>
      </c>
      <c r="P4040" s="18">
        <f t="shared" si="1"/>
        <v>558.916</v>
      </c>
    </row>
    <row r="4041" ht="15.75" customHeight="1">
      <c r="A4041" s="19" t="s">
        <v>244</v>
      </c>
      <c r="B4041" s="19" t="s">
        <v>22</v>
      </c>
      <c r="C4041" s="20" t="s">
        <v>53</v>
      </c>
      <c r="D4041" s="14" t="str">
        <f>VLOOKUP(C4041,'State Key'!$A$2:$B$210,2,False)</f>
        <v>West Bengal</v>
      </c>
      <c r="E4041" s="21">
        <v>500.0</v>
      </c>
      <c r="F4041" s="22">
        <v>0.0</v>
      </c>
      <c r="G4041" s="22">
        <v>0.0</v>
      </c>
      <c r="H4041" s="22">
        <v>226.727</v>
      </c>
      <c r="I4041" s="22">
        <v>0.0</v>
      </c>
      <c r="J4041" s="22">
        <v>0.0</v>
      </c>
      <c r="K4041" s="22">
        <v>0.0</v>
      </c>
      <c r="L4041" s="22">
        <v>226.727</v>
      </c>
      <c r="M4041" s="22">
        <v>217.651</v>
      </c>
      <c r="N4041" s="22">
        <v>36.33</v>
      </c>
      <c r="O4041" s="17">
        <v>5.0</v>
      </c>
      <c r="P4041" s="18">
        <f t="shared" si="1"/>
        <v>226.727</v>
      </c>
    </row>
    <row r="4042" ht="15.75" customHeight="1">
      <c r="A4042" s="13" t="s">
        <v>244</v>
      </c>
      <c r="B4042" s="13" t="s">
        <v>22</v>
      </c>
      <c r="C4042" s="14" t="s">
        <v>54</v>
      </c>
      <c r="D4042" s="14" t="str">
        <f>VLOOKUP(C4042,'State Key'!$A$2:$B$210,2,False)</f>
        <v>West Bengal</v>
      </c>
      <c r="E4042" s="15">
        <v>135.0</v>
      </c>
      <c r="F4042" s="16">
        <v>13.395</v>
      </c>
      <c r="G4042" s="16">
        <v>0.0</v>
      </c>
      <c r="H4042" s="16">
        <v>0.0</v>
      </c>
      <c r="I4042" s="16">
        <v>0.0</v>
      </c>
      <c r="J4042" s="16">
        <v>0.0</v>
      </c>
      <c r="K4042" s="16">
        <v>0.0</v>
      </c>
      <c r="L4042" s="16">
        <v>13.395</v>
      </c>
      <c r="M4042" s="16">
        <v>0.0</v>
      </c>
      <c r="N4042" s="16">
        <v>55.28</v>
      </c>
      <c r="O4042" s="13" t="s">
        <v>58</v>
      </c>
      <c r="P4042" s="18">
        <f t="shared" si="1"/>
        <v>13.395</v>
      </c>
    </row>
    <row r="4043" ht="15.75" customHeight="1">
      <c r="A4043" s="19" t="s">
        <v>244</v>
      </c>
      <c r="B4043" s="19" t="s">
        <v>22</v>
      </c>
      <c r="C4043" s="20" t="s">
        <v>55</v>
      </c>
      <c r="D4043" s="14" t="str">
        <f>VLOOKUP(C4043,'State Key'!$A$2:$B$210,2,False)</f>
        <v>Odisha</v>
      </c>
      <c r="E4043" s="21">
        <v>3000.0</v>
      </c>
      <c r="F4043" s="22">
        <v>1283.56</v>
      </c>
      <c r="G4043" s="22">
        <v>0.0</v>
      </c>
      <c r="H4043" s="22">
        <v>18.84</v>
      </c>
      <c r="I4043" s="22">
        <v>0.0</v>
      </c>
      <c r="J4043" s="22">
        <v>0.0</v>
      </c>
      <c r="K4043" s="22">
        <v>0.0</v>
      </c>
      <c r="L4043" s="22">
        <v>1302.4</v>
      </c>
      <c r="M4043" s="22">
        <v>1171.593</v>
      </c>
      <c r="N4043" s="22">
        <v>487.67</v>
      </c>
      <c r="O4043" s="23">
        <v>12.5</v>
      </c>
      <c r="P4043" s="18">
        <f t="shared" si="1"/>
        <v>1302.4</v>
      </c>
    </row>
    <row r="4044" ht="15.75" customHeight="1">
      <c r="A4044" s="13" t="s">
        <v>244</v>
      </c>
      <c r="B4044" s="13" t="s">
        <v>22</v>
      </c>
      <c r="C4044" s="14" t="s">
        <v>56</v>
      </c>
      <c r="D4044" s="14" t="str">
        <f>VLOOKUP(C4044,'State Key'!$A$2:$B$210,2,False)</f>
        <v>Jharkhand</v>
      </c>
      <c r="E4044" s="15">
        <v>420.0</v>
      </c>
      <c r="F4044" s="16">
        <v>164.98</v>
      </c>
      <c r="G4044" s="16">
        <v>0.0</v>
      </c>
      <c r="H4044" s="16">
        <v>0.0</v>
      </c>
      <c r="I4044" s="16">
        <v>0.0</v>
      </c>
      <c r="J4044" s="16">
        <v>0.0</v>
      </c>
      <c r="K4044" s="16">
        <v>0.0</v>
      </c>
      <c r="L4044" s="16">
        <v>164.98</v>
      </c>
      <c r="M4044" s="16">
        <v>137.23</v>
      </c>
      <c r="N4044" s="16">
        <v>155.43</v>
      </c>
      <c r="O4044" s="24">
        <v>34.0</v>
      </c>
      <c r="P4044" s="18">
        <f t="shared" si="1"/>
        <v>164.98</v>
      </c>
    </row>
    <row r="4045" ht="15.75" customHeight="1">
      <c r="A4045" s="19" t="s">
        <v>244</v>
      </c>
      <c r="B4045" s="19" t="s">
        <v>22</v>
      </c>
      <c r="C4045" s="20" t="s">
        <v>57</v>
      </c>
      <c r="D4045" s="14" t="str">
        <f>VLOOKUP(C4045,'State Key'!$A$2:$B$210,2,False)</f>
        <v>West Bengal</v>
      </c>
      <c r="E4045" s="21">
        <v>240.0</v>
      </c>
      <c r="F4045" s="22">
        <v>0.0</v>
      </c>
      <c r="G4045" s="22">
        <v>0.0</v>
      </c>
      <c r="H4045" s="22">
        <v>0.0</v>
      </c>
      <c r="I4045" s="22">
        <v>0.0</v>
      </c>
      <c r="J4045" s="22">
        <v>0.0</v>
      </c>
      <c r="K4045" s="22">
        <v>0.0</v>
      </c>
      <c r="L4045" s="22">
        <v>0.0</v>
      </c>
      <c r="M4045" s="22">
        <v>0.0</v>
      </c>
      <c r="N4045" s="22">
        <v>0.0</v>
      </c>
      <c r="O4045" s="19" t="s">
        <v>58</v>
      </c>
      <c r="P4045" s="18">
        <f t="shared" si="1"/>
        <v>0</v>
      </c>
    </row>
    <row r="4046" ht="15.75" customHeight="1">
      <c r="A4046" s="13" t="s">
        <v>244</v>
      </c>
      <c r="B4046" s="13" t="s">
        <v>22</v>
      </c>
      <c r="C4046" s="14" t="s">
        <v>60</v>
      </c>
      <c r="D4046" s="14" t="str">
        <f>VLOOKUP(C4046,'State Key'!$A$2:$B$210,2,False)</f>
        <v>Odisha</v>
      </c>
      <c r="E4046" s="15">
        <v>600.0</v>
      </c>
      <c r="F4046" s="16">
        <v>42.53</v>
      </c>
      <c r="G4046" s="16">
        <v>0.0</v>
      </c>
      <c r="H4046" s="16">
        <v>0.0</v>
      </c>
      <c r="I4046" s="16">
        <v>0.0</v>
      </c>
      <c r="J4046" s="16">
        <v>0.0</v>
      </c>
      <c r="K4046" s="16">
        <v>0.0</v>
      </c>
      <c r="L4046" s="16">
        <v>42.53</v>
      </c>
      <c r="M4046" s="16">
        <v>43.75</v>
      </c>
      <c r="N4046" s="16">
        <v>40.02</v>
      </c>
      <c r="O4046" s="24">
        <v>27.4</v>
      </c>
      <c r="P4046" s="18">
        <f t="shared" si="1"/>
        <v>42.53</v>
      </c>
    </row>
    <row r="4047" ht="15.75" customHeight="1">
      <c r="A4047" s="19" t="s">
        <v>244</v>
      </c>
      <c r="B4047" s="19" t="s">
        <v>61</v>
      </c>
      <c r="C4047" s="20" t="s">
        <v>209</v>
      </c>
      <c r="D4047" s="14" t="str">
        <f>VLOOKUP(C4047,'State Key'!$A$2:$B$210,2,False)</f>
        <v>Rajasthan</v>
      </c>
      <c r="E4047" s="21">
        <v>1320.0</v>
      </c>
      <c r="F4047" s="22">
        <v>393.457</v>
      </c>
      <c r="G4047" s="22">
        <v>0.0</v>
      </c>
      <c r="H4047" s="22">
        <v>0.0</v>
      </c>
      <c r="I4047" s="22">
        <v>0.0</v>
      </c>
      <c r="J4047" s="22">
        <v>24.08</v>
      </c>
      <c r="K4047" s="22">
        <v>0.0</v>
      </c>
      <c r="L4047" s="22">
        <v>417.537</v>
      </c>
      <c r="M4047" s="22">
        <v>432.202</v>
      </c>
      <c r="N4047" s="22">
        <v>220.1</v>
      </c>
      <c r="O4047" s="24">
        <v>15.3</v>
      </c>
      <c r="P4047" s="18">
        <f t="shared" si="1"/>
        <v>417.537</v>
      </c>
    </row>
    <row r="4048" ht="15.75" customHeight="1">
      <c r="A4048" s="13" t="s">
        <v>244</v>
      </c>
      <c r="B4048" s="13" t="s">
        <v>61</v>
      </c>
      <c r="C4048" s="14" t="s">
        <v>62</v>
      </c>
      <c r="D4048" s="14" t="str">
        <f>VLOOKUP(C4048,'State Key'!$A$2:$B$210,2,False)</f>
        <v>Uttar Pradesh</v>
      </c>
      <c r="E4048" s="15">
        <v>1200.0</v>
      </c>
      <c r="F4048" s="16">
        <v>302.13214</v>
      </c>
      <c r="G4048" s="16">
        <v>0.0</v>
      </c>
      <c r="H4048" s="16">
        <v>0.0</v>
      </c>
      <c r="I4048" s="16">
        <v>0.0</v>
      </c>
      <c r="J4048" s="16">
        <v>0.0</v>
      </c>
      <c r="K4048" s="16">
        <v>0.0</v>
      </c>
      <c r="L4048" s="16">
        <v>302.13214</v>
      </c>
      <c r="M4048" s="16">
        <v>217.462</v>
      </c>
      <c r="N4048" s="16">
        <v>405.25</v>
      </c>
      <c r="O4048" s="24">
        <v>55.9</v>
      </c>
      <c r="P4048" s="18">
        <f t="shared" si="1"/>
        <v>302.13214</v>
      </c>
    </row>
    <row r="4049" ht="15.75" customHeight="1">
      <c r="A4049" s="19" t="s">
        <v>244</v>
      </c>
      <c r="B4049" s="19" t="s">
        <v>61</v>
      </c>
      <c r="C4049" s="20" t="s">
        <v>63</v>
      </c>
      <c r="D4049" s="14" t="str">
        <f>VLOOKUP(C4049,'State Key'!$A$2:$B$210,2,False)</f>
        <v>Uttar Pradesh</v>
      </c>
      <c r="E4049" s="21">
        <v>2630.0</v>
      </c>
      <c r="F4049" s="22">
        <v>837.698</v>
      </c>
      <c r="G4049" s="22">
        <v>0.0</v>
      </c>
      <c r="H4049" s="22">
        <v>0.0</v>
      </c>
      <c r="I4049" s="22">
        <v>0.0</v>
      </c>
      <c r="J4049" s="22">
        <v>0.0</v>
      </c>
      <c r="K4049" s="22">
        <v>0.0</v>
      </c>
      <c r="L4049" s="22">
        <v>837.698</v>
      </c>
      <c r="M4049" s="22">
        <v>833.64</v>
      </c>
      <c r="N4049" s="22">
        <v>934.36</v>
      </c>
      <c r="O4049" s="24">
        <v>33.6</v>
      </c>
      <c r="P4049" s="18">
        <f t="shared" si="1"/>
        <v>837.698</v>
      </c>
    </row>
    <row r="4050" ht="15.75" customHeight="1">
      <c r="A4050" s="13" t="s">
        <v>244</v>
      </c>
      <c r="B4050" s="13" t="s">
        <v>61</v>
      </c>
      <c r="C4050" s="14" t="s">
        <v>64</v>
      </c>
      <c r="D4050" s="14" t="str">
        <f>VLOOKUP(C4050,'State Key'!$A$2:$B$210,2,False)</f>
        <v>Uttar Pradesh</v>
      </c>
      <c r="E4050" s="15">
        <v>90.0</v>
      </c>
      <c r="F4050" s="16">
        <v>15.557</v>
      </c>
      <c r="G4050" s="16">
        <v>0.0</v>
      </c>
      <c r="H4050" s="16">
        <v>0.0</v>
      </c>
      <c r="I4050" s="16">
        <v>0.0</v>
      </c>
      <c r="J4050" s="16">
        <v>0.0</v>
      </c>
      <c r="K4050" s="16">
        <v>0.0</v>
      </c>
      <c r="L4050" s="16">
        <v>15.557</v>
      </c>
      <c r="M4050" s="16">
        <v>17.184</v>
      </c>
      <c r="N4050" s="16">
        <v>36.6</v>
      </c>
      <c r="O4050" s="24">
        <v>63.9</v>
      </c>
      <c r="P4050" s="18">
        <f t="shared" si="1"/>
        <v>15.557</v>
      </c>
    </row>
    <row r="4051" ht="15.75" customHeight="1">
      <c r="A4051" s="19" t="s">
        <v>244</v>
      </c>
      <c r="B4051" s="19" t="s">
        <v>61</v>
      </c>
      <c r="C4051" s="20" t="s">
        <v>65</v>
      </c>
      <c r="D4051" s="14" t="str">
        <f>VLOOKUP(C4051,'State Key'!$A$2:$B$210,2,False)</f>
        <v>Rajasthan</v>
      </c>
      <c r="E4051" s="21">
        <v>500.0</v>
      </c>
      <c r="F4051" s="22">
        <v>175.7247</v>
      </c>
      <c r="G4051" s="22">
        <v>0.0</v>
      </c>
      <c r="H4051" s="22">
        <v>0.0</v>
      </c>
      <c r="I4051" s="22">
        <v>0.0</v>
      </c>
      <c r="J4051" s="22">
        <v>0.0</v>
      </c>
      <c r="K4051" s="22">
        <v>0.0</v>
      </c>
      <c r="L4051" s="22">
        <v>175.7247</v>
      </c>
      <c r="M4051" s="22">
        <v>189.9468</v>
      </c>
      <c r="N4051" s="22">
        <v>134.1566</v>
      </c>
      <c r="O4051" s="24">
        <v>21.2</v>
      </c>
      <c r="P4051" s="18">
        <f t="shared" si="1"/>
        <v>175.7247</v>
      </c>
    </row>
    <row r="4052" ht="15.75" customHeight="1">
      <c r="A4052" s="13" t="s">
        <v>244</v>
      </c>
      <c r="B4052" s="13" t="s">
        <v>61</v>
      </c>
      <c r="C4052" s="14" t="s">
        <v>66</v>
      </c>
      <c r="D4052" s="14" t="str">
        <f>VLOOKUP(C4052,'State Key'!$A$2:$B$210,2,False)</f>
        <v>Rajasthan</v>
      </c>
      <c r="E4052" s="15">
        <v>500.0</v>
      </c>
      <c r="F4052" s="16">
        <v>98.2135</v>
      </c>
      <c r="G4052" s="16">
        <v>0.0</v>
      </c>
      <c r="H4052" s="16">
        <v>165.6429</v>
      </c>
      <c r="I4052" s="16">
        <v>0.0</v>
      </c>
      <c r="J4052" s="16">
        <v>0.0</v>
      </c>
      <c r="K4052" s="16">
        <v>0.0</v>
      </c>
      <c r="L4052" s="16">
        <v>263.8564</v>
      </c>
      <c r="M4052" s="16">
        <v>193.0372</v>
      </c>
      <c r="N4052" s="16">
        <v>133.8294</v>
      </c>
      <c r="O4052" s="24">
        <v>20.8</v>
      </c>
      <c r="P4052" s="18">
        <f t="shared" si="1"/>
        <v>263.8564</v>
      </c>
    </row>
    <row r="4053" ht="15.75" customHeight="1">
      <c r="A4053" s="19" t="s">
        <v>244</v>
      </c>
      <c r="B4053" s="19" t="s">
        <v>61</v>
      </c>
      <c r="C4053" s="20" t="s">
        <v>67</v>
      </c>
      <c r="D4053" s="14" t="str">
        <f>VLOOKUP(C4053,'State Key'!$A$2:$B$210,2,False)</f>
        <v>Rajasthan</v>
      </c>
      <c r="E4053" s="21">
        <v>1320.0</v>
      </c>
      <c r="F4053" s="22">
        <v>7.919</v>
      </c>
      <c r="G4053" s="22">
        <v>0.0</v>
      </c>
      <c r="H4053" s="22">
        <v>535.5757</v>
      </c>
      <c r="I4053" s="22">
        <v>0.0</v>
      </c>
      <c r="J4053" s="22">
        <v>0.0</v>
      </c>
      <c r="K4053" s="22">
        <v>0.0</v>
      </c>
      <c r="L4053" s="22">
        <v>543.4947</v>
      </c>
      <c r="M4053" s="22">
        <v>441.615</v>
      </c>
      <c r="N4053" s="22">
        <v>370.9</v>
      </c>
      <c r="O4053" s="24">
        <v>25.2</v>
      </c>
      <c r="P4053" s="18">
        <f t="shared" si="1"/>
        <v>543.4947</v>
      </c>
    </row>
    <row r="4054" ht="15.75" customHeight="1">
      <c r="A4054" s="13" t="s">
        <v>244</v>
      </c>
      <c r="B4054" s="13" t="s">
        <v>61</v>
      </c>
      <c r="C4054" s="14" t="s">
        <v>68</v>
      </c>
      <c r="D4054" s="14" t="str">
        <f>VLOOKUP(C4054,'State Key'!$A$2:$B$210,2,False)</f>
        <v>Uttar Pradesh</v>
      </c>
      <c r="E4054" s="15">
        <v>1820.0</v>
      </c>
      <c r="F4054" s="16">
        <v>507.56</v>
      </c>
      <c r="G4054" s="16">
        <v>0.0</v>
      </c>
      <c r="H4054" s="16">
        <v>140.74</v>
      </c>
      <c r="I4054" s="16">
        <v>0.0</v>
      </c>
      <c r="J4054" s="16">
        <v>0.0</v>
      </c>
      <c r="K4054" s="16">
        <v>0.0</v>
      </c>
      <c r="L4054" s="16">
        <v>648.3</v>
      </c>
      <c r="M4054" s="16">
        <v>523.274</v>
      </c>
      <c r="N4054" s="16">
        <v>600.411</v>
      </c>
      <c r="O4054" s="24">
        <v>34.4</v>
      </c>
      <c r="P4054" s="18">
        <f t="shared" si="1"/>
        <v>648.3</v>
      </c>
    </row>
    <row r="4055" ht="15.75" customHeight="1">
      <c r="A4055" s="19" t="s">
        <v>244</v>
      </c>
      <c r="B4055" s="19" t="s">
        <v>61</v>
      </c>
      <c r="C4055" s="20" t="s">
        <v>69</v>
      </c>
      <c r="D4055" s="14" t="str">
        <f>VLOOKUP(C4055,'State Key'!$A$2:$B$210,2,False)</f>
        <v>Punjab</v>
      </c>
      <c r="E4055" s="21">
        <v>920.0</v>
      </c>
      <c r="F4055" s="22">
        <v>0.0</v>
      </c>
      <c r="G4055" s="22">
        <v>0.0</v>
      </c>
      <c r="H4055" s="22">
        <v>251.041</v>
      </c>
      <c r="I4055" s="22">
        <v>0.0</v>
      </c>
      <c r="J4055" s="22">
        <v>0.0</v>
      </c>
      <c r="K4055" s="22">
        <v>0.0</v>
      </c>
      <c r="L4055" s="22">
        <v>251.041</v>
      </c>
      <c r="M4055" s="22">
        <v>250.367</v>
      </c>
      <c r="N4055" s="22">
        <v>398.19</v>
      </c>
      <c r="O4055" s="24">
        <v>47.7</v>
      </c>
      <c r="P4055" s="18">
        <f t="shared" si="1"/>
        <v>251.041</v>
      </c>
    </row>
    <row r="4056" ht="15.75" customHeight="1">
      <c r="A4056" s="13" t="s">
        <v>244</v>
      </c>
      <c r="B4056" s="13" t="s">
        <v>61</v>
      </c>
      <c r="C4056" s="14" t="s">
        <v>242</v>
      </c>
      <c r="D4056" s="14" t="str">
        <f>VLOOKUP(C4056,'State Key'!$A$2:$B$210,2,False)</f>
        <v>Uttar Pradesh</v>
      </c>
      <c r="E4056" s="15">
        <v>660.0</v>
      </c>
      <c r="F4056" s="16">
        <v>169.0</v>
      </c>
      <c r="G4056" s="16">
        <v>0.0</v>
      </c>
      <c r="H4056" s="16">
        <v>0.0</v>
      </c>
      <c r="I4056" s="16">
        <v>0.0</v>
      </c>
      <c r="J4056" s="16">
        <v>0.0</v>
      </c>
      <c r="K4056" s="16">
        <v>0.0</v>
      </c>
      <c r="L4056" s="16">
        <v>169.0</v>
      </c>
      <c r="M4056" s="16">
        <v>169.0</v>
      </c>
      <c r="N4056" s="16">
        <v>0.0</v>
      </c>
      <c r="O4056" s="17">
        <v>0.0</v>
      </c>
      <c r="P4056" s="18">
        <f t="shared" si="1"/>
        <v>169</v>
      </c>
    </row>
    <row r="4057" ht="15.75" customHeight="1">
      <c r="A4057" s="19" t="s">
        <v>244</v>
      </c>
      <c r="B4057" s="19" t="s">
        <v>61</v>
      </c>
      <c r="C4057" s="20" t="s">
        <v>70</v>
      </c>
      <c r="D4057" s="14" t="str">
        <f>VLOOKUP(C4057,'State Key'!$A$2:$B$210,2,False)</f>
        <v>Punjab</v>
      </c>
      <c r="E4057" s="21">
        <v>540.0</v>
      </c>
      <c r="F4057" s="22">
        <v>0.0</v>
      </c>
      <c r="G4057" s="22">
        <v>0.0</v>
      </c>
      <c r="H4057" s="22">
        <v>99.856</v>
      </c>
      <c r="I4057" s="22">
        <v>0.0</v>
      </c>
      <c r="J4057" s="22">
        <v>0.0</v>
      </c>
      <c r="K4057" s="22">
        <v>0.0</v>
      </c>
      <c r="L4057" s="22">
        <v>99.856</v>
      </c>
      <c r="M4057" s="22">
        <v>83.764</v>
      </c>
      <c r="N4057" s="22">
        <v>261.66</v>
      </c>
      <c r="O4057" s="24">
        <v>93.7</v>
      </c>
      <c r="P4057" s="18">
        <f t="shared" si="1"/>
        <v>99.856</v>
      </c>
    </row>
    <row r="4058" ht="15.75" customHeight="1">
      <c r="A4058" s="13" t="s">
        <v>244</v>
      </c>
      <c r="B4058" s="13" t="s">
        <v>61</v>
      </c>
      <c r="C4058" s="14" t="s">
        <v>71</v>
      </c>
      <c r="D4058" s="14" t="str">
        <f>VLOOKUP(C4058,'State Key'!$A$2:$B$210,2,False)</f>
        <v>Uttar Pradesh</v>
      </c>
      <c r="E4058" s="15">
        <v>1265.0</v>
      </c>
      <c r="F4058" s="16">
        <v>292.48</v>
      </c>
      <c r="G4058" s="16">
        <v>0.0</v>
      </c>
      <c r="H4058" s="16">
        <v>0.0</v>
      </c>
      <c r="I4058" s="16">
        <v>0.0</v>
      </c>
      <c r="J4058" s="16">
        <v>0.0</v>
      </c>
      <c r="K4058" s="16">
        <v>0.0</v>
      </c>
      <c r="L4058" s="16">
        <v>292.48</v>
      </c>
      <c r="M4058" s="16">
        <v>152.036</v>
      </c>
      <c r="N4058" s="16">
        <v>579.75</v>
      </c>
      <c r="O4058" s="24">
        <v>114.4</v>
      </c>
      <c r="P4058" s="18">
        <f t="shared" si="1"/>
        <v>292.48</v>
      </c>
    </row>
    <row r="4059" ht="15.75" customHeight="1">
      <c r="A4059" s="19" t="s">
        <v>244</v>
      </c>
      <c r="B4059" s="19" t="s">
        <v>61</v>
      </c>
      <c r="C4059" s="20" t="s">
        <v>72</v>
      </c>
      <c r="D4059" s="14" t="str">
        <f>VLOOKUP(C4059,'State Key'!$A$2:$B$210,2,False)</f>
        <v>Haryana</v>
      </c>
      <c r="E4059" s="21">
        <v>1500.0</v>
      </c>
      <c r="F4059" s="22">
        <v>574.18473</v>
      </c>
      <c r="G4059" s="22">
        <v>0.0</v>
      </c>
      <c r="H4059" s="22">
        <v>0.0</v>
      </c>
      <c r="I4059" s="22">
        <v>0.0</v>
      </c>
      <c r="J4059" s="22">
        <v>0.0</v>
      </c>
      <c r="K4059" s="22">
        <v>0.48872</v>
      </c>
      <c r="L4059" s="22">
        <v>574.67345</v>
      </c>
      <c r="M4059" s="22">
        <v>320.1267</v>
      </c>
      <c r="N4059" s="22">
        <v>928.79</v>
      </c>
      <c r="O4059" s="24">
        <v>87.0</v>
      </c>
      <c r="P4059" s="18">
        <f t="shared" si="1"/>
        <v>574.67345</v>
      </c>
    </row>
    <row r="4060" ht="15.75" customHeight="1">
      <c r="A4060" s="13" t="s">
        <v>244</v>
      </c>
      <c r="B4060" s="13" t="s">
        <v>61</v>
      </c>
      <c r="C4060" s="14" t="s">
        <v>226</v>
      </c>
      <c r="D4060" s="14" t="str">
        <f>VLOOKUP(C4060,'State Key'!$A$2:$B$210,2,False)</f>
        <v>Uttar Pradesh</v>
      </c>
      <c r="E4060" s="15">
        <v>1320.0</v>
      </c>
      <c r="F4060" s="16">
        <v>180.9182</v>
      </c>
      <c r="G4060" s="16">
        <v>0.0</v>
      </c>
      <c r="H4060" s="16">
        <v>0.0</v>
      </c>
      <c r="I4060" s="16">
        <v>0.0</v>
      </c>
      <c r="J4060" s="16">
        <v>0.0</v>
      </c>
      <c r="K4060" s="16">
        <v>0.0</v>
      </c>
      <c r="L4060" s="16">
        <v>180.9182</v>
      </c>
      <c r="M4060" s="16">
        <v>26.15</v>
      </c>
      <c r="N4060" s="16">
        <v>392.09</v>
      </c>
      <c r="O4060" s="24">
        <v>449.8</v>
      </c>
      <c r="P4060" s="18">
        <f t="shared" si="1"/>
        <v>180.9182</v>
      </c>
    </row>
    <row r="4061" ht="15.75" customHeight="1">
      <c r="A4061" s="19" t="s">
        <v>244</v>
      </c>
      <c r="B4061" s="19" t="s">
        <v>61</v>
      </c>
      <c r="C4061" s="20" t="s">
        <v>73</v>
      </c>
      <c r="D4061" s="14" t="str">
        <f>VLOOKUP(C4061,'State Key'!$A$2:$B$210,2,False)</f>
        <v>Rajasthan</v>
      </c>
      <c r="E4061" s="21">
        <v>1200.0</v>
      </c>
      <c r="F4061" s="22">
        <v>0.069</v>
      </c>
      <c r="G4061" s="22">
        <v>0.0</v>
      </c>
      <c r="H4061" s="22">
        <v>396.443</v>
      </c>
      <c r="I4061" s="22">
        <v>0.0</v>
      </c>
      <c r="J4061" s="22">
        <v>0.0</v>
      </c>
      <c r="K4061" s="22">
        <v>0.0</v>
      </c>
      <c r="L4061" s="22">
        <v>396.512</v>
      </c>
      <c r="M4061" s="22">
        <v>401.889</v>
      </c>
      <c r="N4061" s="22">
        <v>328.6</v>
      </c>
      <c r="O4061" s="24">
        <v>24.5</v>
      </c>
      <c r="P4061" s="18">
        <f t="shared" si="1"/>
        <v>396.512</v>
      </c>
    </row>
    <row r="4062" ht="15.75" customHeight="1">
      <c r="A4062" s="13" t="s">
        <v>244</v>
      </c>
      <c r="B4062" s="13" t="s">
        <v>61</v>
      </c>
      <c r="C4062" s="14" t="s">
        <v>75</v>
      </c>
      <c r="D4062" s="14" t="str">
        <f>VLOOKUP(C4062,'State Key'!$A$2:$B$210,2,False)</f>
        <v>Uttar Pradesh</v>
      </c>
      <c r="E4062" s="15">
        <v>90.0</v>
      </c>
      <c r="F4062" s="16">
        <v>15.246</v>
      </c>
      <c r="G4062" s="16">
        <v>0.0</v>
      </c>
      <c r="H4062" s="16">
        <v>0.0</v>
      </c>
      <c r="I4062" s="16">
        <v>0.0</v>
      </c>
      <c r="J4062" s="16">
        <v>0.0</v>
      </c>
      <c r="K4062" s="16">
        <v>0.0</v>
      </c>
      <c r="L4062" s="16">
        <v>15.246</v>
      </c>
      <c r="M4062" s="16">
        <v>16.719</v>
      </c>
      <c r="N4062" s="16">
        <v>31.39</v>
      </c>
      <c r="O4062" s="24">
        <v>56.3</v>
      </c>
      <c r="P4062" s="18">
        <f t="shared" si="1"/>
        <v>15.246</v>
      </c>
    </row>
    <row r="4063" ht="15.75" customHeight="1">
      <c r="A4063" s="19" t="s">
        <v>244</v>
      </c>
      <c r="B4063" s="19" t="s">
        <v>61</v>
      </c>
      <c r="C4063" s="20" t="s">
        <v>246</v>
      </c>
      <c r="D4063" s="14" t="str">
        <f>VLOOKUP(C4063,'State Key'!$A$2:$B$210,2,False)</f>
        <v>Uttar Pradesh</v>
      </c>
      <c r="E4063" s="21">
        <v>660.0</v>
      </c>
      <c r="F4063" s="22">
        <v>0.0</v>
      </c>
      <c r="G4063" s="22">
        <v>0.0</v>
      </c>
      <c r="H4063" s="22">
        <v>164.0</v>
      </c>
      <c r="I4063" s="22">
        <v>0.0</v>
      </c>
      <c r="J4063" s="22">
        <v>0.0</v>
      </c>
      <c r="K4063" s="22">
        <v>0.0</v>
      </c>
      <c r="L4063" s="22">
        <v>164.0</v>
      </c>
      <c r="M4063" s="22">
        <v>94.0</v>
      </c>
      <c r="N4063" s="22">
        <v>70.0</v>
      </c>
      <c r="O4063" s="24">
        <v>22.3</v>
      </c>
      <c r="P4063" s="18">
        <f t="shared" si="1"/>
        <v>164</v>
      </c>
    </row>
    <row r="4064" ht="15.75" customHeight="1">
      <c r="A4064" s="13" t="s">
        <v>244</v>
      </c>
      <c r="B4064" s="13" t="s">
        <v>61</v>
      </c>
      <c r="C4064" s="14" t="s">
        <v>76</v>
      </c>
      <c r="D4064" s="14" t="str">
        <f>VLOOKUP(C4064,'State Key'!$A$2:$B$210,2,False)</f>
        <v>Rajasthan</v>
      </c>
      <c r="E4064" s="15">
        <v>1240.0</v>
      </c>
      <c r="F4064" s="16">
        <v>487.3294</v>
      </c>
      <c r="G4064" s="16">
        <v>0.0</v>
      </c>
      <c r="H4064" s="16">
        <v>0.0</v>
      </c>
      <c r="I4064" s="16">
        <v>0.0</v>
      </c>
      <c r="J4064" s="16">
        <v>0.0</v>
      </c>
      <c r="K4064" s="16">
        <v>0.0</v>
      </c>
      <c r="L4064" s="16">
        <v>487.3294</v>
      </c>
      <c r="M4064" s="16">
        <v>511.13</v>
      </c>
      <c r="N4064" s="16">
        <v>355.07</v>
      </c>
      <c r="O4064" s="24">
        <v>20.8</v>
      </c>
      <c r="P4064" s="18">
        <f t="shared" si="1"/>
        <v>487.3294</v>
      </c>
    </row>
    <row r="4065" ht="15.75" customHeight="1">
      <c r="A4065" s="19" t="s">
        <v>244</v>
      </c>
      <c r="B4065" s="19" t="s">
        <v>61</v>
      </c>
      <c r="C4065" s="20" t="s">
        <v>77</v>
      </c>
      <c r="D4065" s="14" t="str">
        <f>VLOOKUP(C4065,'State Key'!$A$2:$B$210,2,False)</f>
        <v>Uttar Pradesh</v>
      </c>
      <c r="E4065" s="21">
        <v>90.0</v>
      </c>
      <c r="F4065" s="22">
        <v>12.034</v>
      </c>
      <c r="G4065" s="22">
        <v>0.0</v>
      </c>
      <c r="H4065" s="22">
        <v>0.0</v>
      </c>
      <c r="I4065" s="22">
        <v>0.0</v>
      </c>
      <c r="J4065" s="22">
        <v>0.0</v>
      </c>
      <c r="K4065" s="22">
        <v>0.0</v>
      </c>
      <c r="L4065" s="22">
        <v>12.034</v>
      </c>
      <c r="M4065" s="22">
        <v>21.473</v>
      </c>
      <c r="N4065" s="22">
        <v>23.26</v>
      </c>
      <c r="O4065" s="24">
        <v>32.5</v>
      </c>
      <c r="P4065" s="18">
        <f t="shared" si="1"/>
        <v>12.034</v>
      </c>
    </row>
    <row r="4066" ht="15.75" customHeight="1">
      <c r="A4066" s="13" t="s">
        <v>244</v>
      </c>
      <c r="B4066" s="13" t="s">
        <v>61</v>
      </c>
      <c r="C4066" s="14" t="s">
        <v>78</v>
      </c>
      <c r="D4066" s="14" t="str">
        <f>VLOOKUP(C4066,'State Key'!$A$2:$B$210,2,False)</f>
        <v>Uttar Pradesh</v>
      </c>
      <c r="E4066" s="15">
        <v>1980.0</v>
      </c>
      <c r="F4066" s="16">
        <v>498.024</v>
      </c>
      <c r="G4066" s="16">
        <v>0.0</v>
      </c>
      <c r="H4066" s="16">
        <v>0.0</v>
      </c>
      <c r="I4066" s="16">
        <v>0.0</v>
      </c>
      <c r="J4066" s="16">
        <v>0.0</v>
      </c>
      <c r="K4066" s="16">
        <v>0.0</v>
      </c>
      <c r="L4066" s="16">
        <v>498.024</v>
      </c>
      <c r="M4066" s="16">
        <v>471.608</v>
      </c>
      <c r="N4066" s="16">
        <v>615.09</v>
      </c>
      <c r="O4066" s="24">
        <v>39.1</v>
      </c>
      <c r="P4066" s="18">
        <f t="shared" si="1"/>
        <v>498.024</v>
      </c>
    </row>
    <row r="4067" ht="15.75" customHeight="1">
      <c r="A4067" s="19" t="s">
        <v>244</v>
      </c>
      <c r="B4067" s="19" t="s">
        <v>61</v>
      </c>
      <c r="C4067" s="20" t="s">
        <v>79</v>
      </c>
      <c r="D4067" s="14" t="str">
        <f>VLOOKUP(C4067,'State Key'!$A$2:$B$210,2,False)</f>
        <v>Haryana</v>
      </c>
      <c r="E4067" s="21">
        <v>1320.0</v>
      </c>
      <c r="F4067" s="22">
        <v>362.2834</v>
      </c>
      <c r="G4067" s="22">
        <v>0.0</v>
      </c>
      <c r="H4067" s="22">
        <v>0.0</v>
      </c>
      <c r="I4067" s="22">
        <v>0.0</v>
      </c>
      <c r="J4067" s="22">
        <v>0.0</v>
      </c>
      <c r="K4067" s="22">
        <v>0.0</v>
      </c>
      <c r="L4067" s="22">
        <v>362.2834</v>
      </c>
      <c r="M4067" s="22">
        <v>370.1974</v>
      </c>
      <c r="N4067" s="22">
        <v>481.94</v>
      </c>
      <c r="O4067" s="24">
        <v>39.1</v>
      </c>
      <c r="P4067" s="18">
        <f t="shared" si="1"/>
        <v>362.2834</v>
      </c>
    </row>
    <row r="4068" ht="15.75" customHeight="1">
      <c r="A4068" s="13" t="s">
        <v>244</v>
      </c>
      <c r="B4068" s="13" t="s">
        <v>61</v>
      </c>
      <c r="C4068" s="14" t="s">
        <v>80</v>
      </c>
      <c r="D4068" s="14" t="str">
        <f>VLOOKUP(C4068,'State Key'!$A$2:$B$210,2,False)</f>
        <v>Uttar Pradesh</v>
      </c>
      <c r="E4068" s="15">
        <v>90.0</v>
      </c>
      <c r="F4068" s="16">
        <v>20.162</v>
      </c>
      <c r="G4068" s="16">
        <v>0.0</v>
      </c>
      <c r="H4068" s="16">
        <v>0.0</v>
      </c>
      <c r="I4068" s="16">
        <v>0.0</v>
      </c>
      <c r="J4068" s="16">
        <v>0.0</v>
      </c>
      <c r="K4068" s="16">
        <v>0.0</v>
      </c>
      <c r="L4068" s="16">
        <v>20.162</v>
      </c>
      <c r="M4068" s="16">
        <v>16.204</v>
      </c>
      <c r="N4068" s="16">
        <v>34.47</v>
      </c>
      <c r="O4068" s="24">
        <v>63.8</v>
      </c>
      <c r="P4068" s="18">
        <f t="shared" si="1"/>
        <v>20.162</v>
      </c>
    </row>
    <row r="4069" ht="15.75" customHeight="1">
      <c r="A4069" s="19" t="s">
        <v>244</v>
      </c>
      <c r="B4069" s="19" t="s">
        <v>61</v>
      </c>
      <c r="C4069" s="20" t="s">
        <v>81</v>
      </c>
      <c r="D4069" s="14" t="str">
        <f>VLOOKUP(C4069,'State Key'!$A$2:$B$210,2,False)</f>
        <v>Uttar Pradesh</v>
      </c>
      <c r="E4069" s="21">
        <v>1320.0</v>
      </c>
      <c r="F4069" s="22">
        <v>455.2352</v>
      </c>
      <c r="G4069" s="22">
        <v>0.0</v>
      </c>
      <c r="H4069" s="22">
        <v>4.012</v>
      </c>
      <c r="I4069" s="22">
        <v>0.0</v>
      </c>
      <c r="J4069" s="22">
        <v>0.0</v>
      </c>
      <c r="K4069" s="22">
        <v>0.0</v>
      </c>
      <c r="L4069" s="22">
        <v>459.2472</v>
      </c>
      <c r="M4069" s="22">
        <v>440.882</v>
      </c>
      <c r="N4069" s="22">
        <v>458.053</v>
      </c>
      <c r="O4069" s="24">
        <v>31.2</v>
      </c>
      <c r="P4069" s="18">
        <f t="shared" si="1"/>
        <v>459.2472</v>
      </c>
    </row>
    <row r="4070" ht="15.75" customHeight="1">
      <c r="A4070" s="13" t="s">
        <v>244</v>
      </c>
      <c r="B4070" s="13" t="s">
        <v>61</v>
      </c>
      <c r="C4070" s="14" t="s">
        <v>82</v>
      </c>
      <c r="D4070" s="14" t="str">
        <f>VLOOKUP(C4070,'State Key'!$A$2:$B$210,2,False)</f>
        <v>Uttar Pradesh</v>
      </c>
      <c r="E4070" s="15">
        <v>1660.0</v>
      </c>
      <c r="F4070" s="16">
        <v>599.554</v>
      </c>
      <c r="G4070" s="16">
        <v>0.0</v>
      </c>
      <c r="H4070" s="16">
        <v>0.0</v>
      </c>
      <c r="I4070" s="16">
        <v>0.0</v>
      </c>
      <c r="J4070" s="16">
        <v>0.0</v>
      </c>
      <c r="K4070" s="16">
        <v>0.0</v>
      </c>
      <c r="L4070" s="16">
        <v>599.554</v>
      </c>
      <c r="M4070" s="16">
        <v>567.352</v>
      </c>
      <c r="N4070" s="16">
        <v>294.48</v>
      </c>
      <c r="O4070" s="24">
        <v>15.6</v>
      </c>
      <c r="P4070" s="18">
        <f t="shared" si="1"/>
        <v>599.554</v>
      </c>
    </row>
    <row r="4071" ht="15.75" customHeight="1">
      <c r="A4071" s="19" t="s">
        <v>244</v>
      </c>
      <c r="B4071" s="19" t="s">
        <v>61</v>
      </c>
      <c r="C4071" s="20" t="s">
        <v>83</v>
      </c>
      <c r="D4071" s="14" t="str">
        <f>VLOOKUP(C4071,'State Key'!$A$2:$B$210,2,False)</f>
        <v>Haryana</v>
      </c>
      <c r="E4071" s="21">
        <v>710.0</v>
      </c>
      <c r="F4071" s="22">
        <v>274.051</v>
      </c>
      <c r="G4071" s="22">
        <v>0.0</v>
      </c>
      <c r="H4071" s="22">
        <v>0.0</v>
      </c>
      <c r="I4071" s="22">
        <v>0.0</v>
      </c>
      <c r="J4071" s="22">
        <v>0.0</v>
      </c>
      <c r="K4071" s="22">
        <v>0.0</v>
      </c>
      <c r="L4071" s="22">
        <v>274.051</v>
      </c>
      <c r="M4071" s="22">
        <v>182.122</v>
      </c>
      <c r="N4071" s="22">
        <v>390.23</v>
      </c>
      <c r="O4071" s="24">
        <v>64.3</v>
      </c>
      <c r="P4071" s="18">
        <f t="shared" si="1"/>
        <v>274.051</v>
      </c>
    </row>
    <row r="4072" ht="15.75" customHeight="1">
      <c r="A4072" s="13" t="s">
        <v>244</v>
      </c>
      <c r="B4072" s="13" t="s">
        <v>61</v>
      </c>
      <c r="C4072" s="14" t="s">
        <v>84</v>
      </c>
      <c r="D4072" s="14" t="str">
        <f>VLOOKUP(C4072,'State Key'!$A$2:$B$210,2,False)</f>
        <v>Uttar Pradesh</v>
      </c>
      <c r="E4072" s="15">
        <v>920.0</v>
      </c>
      <c r="F4072" s="16">
        <v>318.099</v>
      </c>
      <c r="G4072" s="16">
        <v>0.0</v>
      </c>
      <c r="H4072" s="16">
        <v>0.0</v>
      </c>
      <c r="I4072" s="16">
        <v>0.0</v>
      </c>
      <c r="J4072" s="16">
        <v>0.0</v>
      </c>
      <c r="K4072" s="16">
        <v>0.0</v>
      </c>
      <c r="L4072" s="16">
        <v>318.099</v>
      </c>
      <c r="M4072" s="16">
        <v>330.639</v>
      </c>
      <c r="N4072" s="16">
        <v>317.114</v>
      </c>
      <c r="O4072" s="24">
        <v>28.8</v>
      </c>
      <c r="P4072" s="18">
        <f t="shared" si="1"/>
        <v>318.099</v>
      </c>
    </row>
    <row r="4073" ht="15.75" customHeight="1">
      <c r="A4073" s="19" t="s">
        <v>244</v>
      </c>
      <c r="B4073" s="19" t="s">
        <v>61</v>
      </c>
      <c r="C4073" s="20" t="s">
        <v>85</v>
      </c>
      <c r="D4073" s="14" t="str">
        <f>VLOOKUP(C4073,'State Key'!$A$2:$B$210,2,False)</f>
        <v>Uttar Pradesh</v>
      </c>
      <c r="E4073" s="21">
        <v>1980.0</v>
      </c>
      <c r="F4073" s="22">
        <v>356.433</v>
      </c>
      <c r="G4073" s="22">
        <v>0.0</v>
      </c>
      <c r="H4073" s="22">
        <v>0.0</v>
      </c>
      <c r="I4073" s="22">
        <v>0.0</v>
      </c>
      <c r="J4073" s="22">
        <v>0.0</v>
      </c>
      <c r="K4073" s="22">
        <v>0.0</v>
      </c>
      <c r="L4073" s="22">
        <v>356.433</v>
      </c>
      <c r="M4073" s="22">
        <v>638.8419</v>
      </c>
      <c r="N4073" s="22">
        <v>414.36</v>
      </c>
      <c r="O4073" s="24">
        <v>19.5</v>
      </c>
      <c r="P4073" s="18">
        <f t="shared" si="1"/>
        <v>356.433</v>
      </c>
    </row>
    <row r="4074" ht="15.75" customHeight="1">
      <c r="A4074" s="13" t="s">
        <v>244</v>
      </c>
      <c r="B4074" s="13" t="s">
        <v>61</v>
      </c>
      <c r="C4074" s="14" t="s">
        <v>86</v>
      </c>
      <c r="D4074" s="14" t="str">
        <f>VLOOKUP(C4074,'State Key'!$A$2:$B$210,2,False)</f>
        <v>Haryana</v>
      </c>
      <c r="E4074" s="15">
        <v>1200.0</v>
      </c>
      <c r="F4074" s="16">
        <v>294.978</v>
      </c>
      <c r="G4074" s="16">
        <v>0.0</v>
      </c>
      <c r="H4074" s="16">
        <v>0.0</v>
      </c>
      <c r="I4074" s="16">
        <v>0.0</v>
      </c>
      <c r="J4074" s="16">
        <v>0.0</v>
      </c>
      <c r="K4074" s="16">
        <v>0.0</v>
      </c>
      <c r="L4074" s="16">
        <v>294.978</v>
      </c>
      <c r="M4074" s="16">
        <v>307.727</v>
      </c>
      <c r="N4074" s="16">
        <v>541.69</v>
      </c>
      <c r="O4074" s="24">
        <v>52.8</v>
      </c>
      <c r="P4074" s="18">
        <f t="shared" si="1"/>
        <v>294.978</v>
      </c>
    </row>
    <row r="4075" ht="15.75" customHeight="1">
      <c r="A4075" s="19" t="s">
        <v>244</v>
      </c>
      <c r="B4075" s="19" t="s">
        <v>61</v>
      </c>
      <c r="C4075" s="20" t="s">
        <v>87</v>
      </c>
      <c r="D4075" s="14" t="str">
        <f>VLOOKUP(C4075,'State Key'!$A$2:$B$210,2,False)</f>
        <v>Punjab</v>
      </c>
      <c r="E4075" s="21">
        <v>1400.0</v>
      </c>
      <c r="F4075" s="22">
        <v>255.93683</v>
      </c>
      <c r="G4075" s="22">
        <v>0.0</v>
      </c>
      <c r="H4075" s="22">
        <v>0.0</v>
      </c>
      <c r="I4075" s="22">
        <v>0.0</v>
      </c>
      <c r="J4075" s="22">
        <v>0.0</v>
      </c>
      <c r="K4075" s="22">
        <v>0.0</v>
      </c>
      <c r="L4075" s="22">
        <v>255.93683</v>
      </c>
      <c r="M4075" s="22">
        <v>309.962</v>
      </c>
      <c r="N4075" s="22">
        <v>380.67</v>
      </c>
      <c r="O4075" s="24">
        <v>36.8</v>
      </c>
      <c r="P4075" s="18">
        <f t="shared" si="1"/>
        <v>255.93683</v>
      </c>
    </row>
    <row r="4076" ht="15.75" customHeight="1">
      <c r="A4076" s="13" t="s">
        <v>244</v>
      </c>
      <c r="B4076" s="13" t="s">
        <v>61</v>
      </c>
      <c r="C4076" s="14" t="s">
        <v>88</v>
      </c>
      <c r="D4076" s="14" t="str">
        <f>VLOOKUP(C4076,'State Key'!$A$2:$B$210,2,False)</f>
        <v>Uttar Pradesh</v>
      </c>
      <c r="E4076" s="15">
        <v>3000.0</v>
      </c>
      <c r="F4076" s="16">
        <v>1131.3</v>
      </c>
      <c r="G4076" s="16">
        <v>0.0</v>
      </c>
      <c r="H4076" s="16">
        <v>0.0</v>
      </c>
      <c r="I4076" s="16">
        <v>0.0</v>
      </c>
      <c r="J4076" s="16">
        <v>0.0</v>
      </c>
      <c r="K4076" s="16">
        <v>0.0</v>
      </c>
      <c r="L4076" s="16">
        <v>1131.3</v>
      </c>
      <c r="M4076" s="16">
        <v>1042.018</v>
      </c>
      <c r="N4076" s="16">
        <v>833.494</v>
      </c>
      <c r="O4076" s="24">
        <v>24.0</v>
      </c>
      <c r="P4076" s="18">
        <f t="shared" si="1"/>
        <v>1131.3</v>
      </c>
    </row>
    <row r="4077" ht="15.75" customHeight="1">
      <c r="A4077" s="19" t="s">
        <v>244</v>
      </c>
      <c r="B4077" s="19" t="s">
        <v>61</v>
      </c>
      <c r="C4077" s="20" t="s">
        <v>89</v>
      </c>
      <c r="D4077" s="14" t="str">
        <f>VLOOKUP(C4077,'State Key'!$A$2:$B$210,2,False)</f>
        <v>Punjab</v>
      </c>
      <c r="E4077" s="21">
        <v>840.0</v>
      </c>
      <c r="F4077" s="22">
        <v>0.0</v>
      </c>
      <c r="G4077" s="22">
        <v>0.0</v>
      </c>
      <c r="H4077" s="22">
        <v>235.784</v>
      </c>
      <c r="I4077" s="22">
        <v>0.0</v>
      </c>
      <c r="J4077" s="22">
        <v>0.0</v>
      </c>
      <c r="K4077" s="22">
        <v>0.0</v>
      </c>
      <c r="L4077" s="22">
        <v>235.784</v>
      </c>
      <c r="M4077" s="22">
        <v>241.8659</v>
      </c>
      <c r="N4077" s="22">
        <v>517.08</v>
      </c>
      <c r="O4077" s="24">
        <v>64.1</v>
      </c>
      <c r="P4077" s="18">
        <f t="shared" si="1"/>
        <v>235.784</v>
      </c>
    </row>
    <row r="4078" ht="15.75" customHeight="1">
      <c r="A4078" s="13" t="s">
        <v>244</v>
      </c>
      <c r="B4078" s="13" t="s">
        <v>61</v>
      </c>
      <c r="C4078" s="14" t="s">
        <v>90</v>
      </c>
      <c r="D4078" s="14" t="str">
        <f>VLOOKUP(C4078,'State Key'!$A$2:$B$210,2,False)</f>
        <v>Uttar Pradesh</v>
      </c>
      <c r="E4078" s="15">
        <v>1200.0</v>
      </c>
      <c r="F4078" s="16">
        <v>380.504</v>
      </c>
      <c r="G4078" s="16">
        <v>0.0</v>
      </c>
      <c r="H4078" s="16">
        <v>0.0</v>
      </c>
      <c r="I4078" s="16">
        <v>0.0</v>
      </c>
      <c r="J4078" s="16">
        <v>0.0</v>
      </c>
      <c r="K4078" s="16">
        <v>0.0</v>
      </c>
      <c r="L4078" s="16">
        <v>380.504</v>
      </c>
      <c r="M4078" s="16">
        <v>333.083</v>
      </c>
      <c r="N4078" s="16">
        <v>438.5</v>
      </c>
      <c r="O4078" s="24">
        <v>39.5</v>
      </c>
      <c r="P4078" s="18">
        <f t="shared" si="1"/>
        <v>380.504</v>
      </c>
    </row>
    <row r="4079" ht="15.75" customHeight="1">
      <c r="A4079" s="19" t="s">
        <v>244</v>
      </c>
      <c r="B4079" s="19" t="s">
        <v>61</v>
      </c>
      <c r="C4079" s="20" t="s">
        <v>219</v>
      </c>
      <c r="D4079" s="14" t="str">
        <f>VLOOKUP(C4079,'State Key'!$A$2:$B$210,2,False)</f>
        <v>Rajasthan</v>
      </c>
      <c r="E4079" s="21">
        <v>300.0</v>
      </c>
      <c r="F4079" s="22">
        <v>0.0</v>
      </c>
      <c r="G4079" s="22">
        <v>0.0</v>
      </c>
      <c r="H4079" s="22">
        <v>0.0</v>
      </c>
      <c r="I4079" s="22">
        <v>0.0</v>
      </c>
      <c r="J4079" s="22">
        <v>54.62</v>
      </c>
      <c r="K4079" s="22">
        <v>0.0</v>
      </c>
      <c r="L4079" s="22">
        <v>54.62</v>
      </c>
      <c r="M4079" s="22">
        <v>54.62</v>
      </c>
      <c r="N4079" s="22">
        <v>0.0</v>
      </c>
      <c r="O4079" s="17">
        <v>0.0</v>
      </c>
      <c r="P4079" s="18">
        <f t="shared" si="1"/>
        <v>54.62</v>
      </c>
    </row>
    <row r="4080" ht="15.75" customHeight="1">
      <c r="A4080" s="13" t="s">
        <v>244</v>
      </c>
      <c r="B4080" s="13" t="s">
        <v>61</v>
      </c>
      <c r="C4080" s="14" t="s">
        <v>91</v>
      </c>
      <c r="D4080" s="14" t="str">
        <f>VLOOKUP(C4080,'State Key'!$A$2:$B$210,2,False)</f>
        <v>Uttar Pradesh</v>
      </c>
      <c r="E4080" s="15">
        <v>2000.0</v>
      </c>
      <c r="F4080" s="16">
        <v>838.37</v>
      </c>
      <c r="G4080" s="16">
        <v>0.0</v>
      </c>
      <c r="H4080" s="16">
        <v>0.0</v>
      </c>
      <c r="I4080" s="16">
        <v>0.0</v>
      </c>
      <c r="J4080" s="16">
        <v>0.0</v>
      </c>
      <c r="K4080" s="16">
        <v>0.0</v>
      </c>
      <c r="L4080" s="16">
        <v>838.37</v>
      </c>
      <c r="M4080" s="16">
        <v>807.675</v>
      </c>
      <c r="N4080" s="16">
        <v>621.301</v>
      </c>
      <c r="O4080" s="24">
        <v>23.1</v>
      </c>
      <c r="P4080" s="18">
        <f t="shared" si="1"/>
        <v>838.37</v>
      </c>
    </row>
    <row r="4081" ht="15.75" customHeight="1">
      <c r="A4081" s="19" t="s">
        <v>244</v>
      </c>
      <c r="B4081" s="19" t="s">
        <v>61</v>
      </c>
      <c r="C4081" s="20" t="s">
        <v>92</v>
      </c>
      <c r="D4081" s="14" t="str">
        <f>VLOOKUP(C4081,'State Key'!$A$2:$B$210,2,False)</f>
        <v>Rajasthan</v>
      </c>
      <c r="E4081" s="21">
        <v>1320.0</v>
      </c>
      <c r="F4081" s="22">
        <v>180.51236</v>
      </c>
      <c r="G4081" s="22">
        <v>0.0</v>
      </c>
      <c r="H4081" s="22">
        <v>337.9948</v>
      </c>
      <c r="I4081" s="22">
        <v>0.0</v>
      </c>
      <c r="J4081" s="22">
        <v>0.0</v>
      </c>
      <c r="K4081" s="22">
        <v>0.0</v>
      </c>
      <c r="L4081" s="22">
        <v>518.50716</v>
      </c>
      <c r="M4081" s="22">
        <v>424.114</v>
      </c>
      <c r="N4081" s="22">
        <v>429.81</v>
      </c>
      <c r="O4081" s="24">
        <v>30.4</v>
      </c>
      <c r="P4081" s="18">
        <f t="shared" si="1"/>
        <v>518.50716</v>
      </c>
    </row>
    <row r="4082" ht="15.75" customHeight="1">
      <c r="A4082" s="13" t="s">
        <v>244</v>
      </c>
      <c r="B4082" s="13" t="s">
        <v>61</v>
      </c>
      <c r="C4082" s="14" t="s">
        <v>93</v>
      </c>
      <c r="D4082" s="14" t="str">
        <f>VLOOKUP(C4082,'State Key'!$A$2:$B$210,2,False)</f>
        <v>Rajasthan</v>
      </c>
      <c r="E4082" s="15">
        <v>1500.0</v>
      </c>
      <c r="F4082" s="16">
        <v>328.558</v>
      </c>
      <c r="G4082" s="16">
        <v>0.0</v>
      </c>
      <c r="H4082" s="16">
        <v>0.0</v>
      </c>
      <c r="I4082" s="16">
        <v>0.0</v>
      </c>
      <c r="J4082" s="16">
        <v>0.0</v>
      </c>
      <c r="K4082" s="16">
        <v>0.0</v>
      </c>
      <c r="L4082" s="16">
        <v>328.558</v>
      </c>
      <c r="M4082" s="16">
        <v>452.367</v>
      </c>
      <c r="N4082" s="16">
        <v>333.72</v>
      </c>
      <c r="O4082" s="24">
        <v>22.1</v>
      </c>
      <c r="P4082" s="18">
        <f t="shared" si="1"/>
        <v>328.558</v>
      </c>
    </row>
    <row r="4083" ht="15.75" customHeight="1">
      <c r="A4083" s="19" t="s">
        <v>244</v>
      </c>
      <c r="B4083" s="19" t="s">
        <v>61</v>
      </c>
      <c r="C4083" s="20" t="s">
        <v>94</v>
      </c>
      <c r="D4083" s="14" t="str">
        <f>VLOOKUP(C4083,'State Key'!$A$2:$B$210,2,False)</f>
        <v>Punjab</v>
      </c>
      <c r="E4083" s="21">
        <v>1980.0</v>
      </c>
      <c r="F4083" s="22">
        <v>586.057</v>
      </c>
      <c r="G4083" s="22">
        <v>0.0</v>
      </c>
      <c r="H4083" s="22">
        <v>0.0</v>
      </c>
      <c r="I4083" s="22">
        <v>0.0</v>
      </c>
      <c r="J4083" s="22">
        <v>0.0</v>
      </c>
      <c r="K4083" s="22">
        <v>0.0</v>
      </c>
      <c r="L4083" s="22">
        <v>586.057</v>
      </c>
      <c r="M4083" s="22">
        <v>574.5829</v>
      </c>
      <c r="N4083" s="22">
        <v>133.84</v>
      </c>
      <c r="O4083" s="23">
        <v>7.0</v>
      </c>
      <c r="P4083" s="18">
        <f t="shared" si="1"/>
        <v>586.057</v>
      </c>
    </row>
    <row r="4084" ht="15.75" customHeight="1">
      <c r="A4084" s="13" t="s">
        <v>244</v>
      </c>
      <c r="B4084" s="13" t="s">
        <v>61</v>
      </c>
      <c r="C4084" s="14" t="s">
        <v>95</v>
      </c>
      <c r="D4084" s="14" t="str">
        <f>VLOOKUP(C4084,'State Key'!$A$2:$B$210,2,False)</f>
        <v>Uttar Pradesh</v>
      </c>
      <c r="E4084" s="15">
        <v>1760.0</v>
      </c>
      <c r="F4084" s="16">
        <v>204.04</v>
      </c>
      <c r="G4084" s="16">
        <v>0.0</v>
      </c>
      <c r="H4084" s="16">
        <v>155.6</v>
      </c>
      <c r="I4084" s="16">
        <v>0.0</v>
      </c>
      <c r="J4084" s="16">
        <v>0.0</v>
      </c>
      <c r="K4084" s="16">
        <v>31.47</v>
      </c>
      <c r="L4084" s="16">
        <v>391.11</v>
      </c>
      <c r="M4084" s="16">
        <v>671.48</v>
      </c>
      <c r="N4084" s="16">
        <v>376.9</v>
      </c>
      <c r="O4084" s="24">
        <v>16.8</v>
      </c>
      <c r="P4084" s="18">
        <f t="shared" si="1"/>
        <v>391.11</v>
      </c>
    </row>
    <row r="4085" ht="15.75" customHeight="1">
      <c r="A4085" s="19" t="s">
        <v>244</v>
      </c>
      <c r="B4085" s="19" t="s">
        <v>61</v>
      </c>
      <c r="C4085" s="20" t="s">
        <v>96</v>
      </c>
      <c r="D4085" s="14" t="str">
        <f>VLOOKUP(C4085,'State Key'!$A$2:$B$210,2,False)</f>
        <v>Uttar Pradesh</v>
      </c>
      <c r="E4085" s="21">
        <v>1550.0</v>
      </c>
      <c r="F4085" s="22">
        <v>219.44</v>
      </c>
      <c r="G4085" s="22">
        <v>4.07</v>
      </c>
      <c r="H4085" s="22">
        <v>3.94</v>
      </c>
      <c r="I4085" s="22">
        <v>0.0</v>
      </c>
      <c r="J4085" s="22">
        <v>0.0</v>
      </c>
      <c r="K4085" s="22">
        <v>0.0</v>
      </c>
      <c r="L4085" s="22">
        <v>227.45</v>
      </c>
      <c r="M4085" s="22">
        <v>545.129</v>
      </c>
      <c r="N4085" s="22">
        <v>259.7</v>
      </c>
      <c r="O4085" s="24">
        <v>14.3</v>
      </c>
      <c r="P4085" s="18">
        <f t="shared" si="1"/>
        <v>227.45</v>
      </c>
    </row>
    <row r="4086" ht="15.75" customHeight="1">
      <c r="A4086" s="13" t="s">
        <v>244</v>
      </c>
      <c r="B4086" s="13" t="s">
        <v>61</v>
      </c>
      <c r="C4086" s="14" t="s">
        <v>97</v>
      </c>
      <c r="D4086" s="14" t="str">
        <f>VLOOKUP(C4086,'State Key'!$A$2:$B$210,2,False)</f>
        <v>Uttar Pradesh</v>
      </c>
      <c r="E4086" s="15">
        <v>90.0</v>
      </c>
      <c r="F4086" s="16">
        <v>12.04</v>
      </c>
      <c r="G4086" s="16">
        <v>0.0</v>
      </c>
      <c r="H4086" s="16">
        <v>0.0</v>
      </c>
      <c r="I4086" s="16">
        <v>0.0</v>
      </c>
      <c r="J4086" s="16">
        <v>0.0</v>
      </c>
      <c r="K4086" s="16">
        <v>0.0</v>
      </c>
      <c r="L4086" s="16">
        <v>12.04</v>
      </c>
      <c r="M4086" s="16">
        <v>24.747</v>
      </c>
      <c r="N4086" s="16">
        <v>23.75</v>
      </c>
      <c r="O4086" s="24">
        <v>28.8</v>
      </c>
      <c r="P4086" s="18">
        <f t="shared" si="1"/>
        <v>12.04</v>
      </c>
    </row>
    <row r="4087" ht="15.75" customHeight="1">
      <c r="A4087" s="19" t="s">
        <v>244</v>
      </c>
      <c r="B4087" s="19" t="s">
        <v>61</v>
      </c>
      <c r="C4087" s="20" t="s">
        <v>98</v>
      </c>
      <c r="D4087" s="14" t="str">
        <f>VLOOKUP(C4087,'State Key'!$A$2:$B$210,2,False)</f>
        <v>Haryana</v>
      </c>
      <c r="E4087" s="21">
        <v>600.0</v>
      </c>
      <c r="F4087" s="22">
        <v>130.385</v>
      </c>
      <c r="G4087" s="22">
        <v>0.0</v>
      </c>
      <c r="H4087" s="22">
        <v>0.0</v>
      </c>
      <c r="I4087" s="22">
        <v>0.0</v>
      </c>
      <c r="J4087" s="22">
        <v>0.0</v>
      </c>
      <c r="K4087" s="22">
        <v>0.0</v>
      </c>
      <c r="L4087" s="22">
        <v>130.385</v>
      </c>
      <c r="M4087" s="22">
        <v>235.671</v>
      </c>
      <c r="N4087" s="22">
        <v>272.09</v>
      </c>
      <c r="O4087" s="24">
        <v>34.6</v>
      </c>
      <c r="P4087" s="18">
        <f t="shared" si="1"/>
        <v>130.385</v>
      </c>
    </row>
    <row r="4088" ht="15.75" customHeight="1">
      <c r="A4088" s="13" t="s">
        <v>244</v>
      </c>
      <c r="B4088" s="13" t="s">
        <v>99</v>
      </c>
      <c r="C4088" s="14" t="s">
        <v>210</v>
      </c>
      <c r="D4088" s="14" t="str">
        <f>VLOOKUP(C4088,'State Key'!$A$2:$B$210,2,False)</f>
        <v>Karnataka</v>
      </c>
      <c r="E4088" s="15">
        <v>1200.0</v>
      </c>
      <c r="F4088" s="16">
        <v>0.0</v>
      </c>
      <c r="G4088" s="16">
        <v>0.0</v>
      </c>
      <c r="H4088" s="16">
        <v>0.0</v>
      </c>
      <c r="I4088" s="16">
        <v>0.0</v>
      </c>
      <c r="J4088" s="16">
        <v>307.363</v>
      </c>
      <c r="K4088" s="16">
        <v>0.0</v>
      </c>
      <c r="L4088" s="16">
        <v>307.363</v>
      </c>
      <c r="M4088" s="16">
        <v>272.114</v>
      </c>
      <c r="N4088" s="16">
        <v>89.5</v>
      </c>
      <c r="O4088" s="23">
        <v>9.9</v>
      </c>
      <c r="P4088" s="18">
        <f t="shared" si="1"/>
        <v>307.363</v>
      </c>
    </row>
    <row r="4089" ht="15.75" customHeight="1">
      <c r="A4089" s="19" t="s">
        <v>244</v>
      </c>
      <c r="B4089" s="19" t="s">
        <v>99</v>
      </c>
      <c r="C4089" s="20" t="s">
        <v>100</v>
      </c>
      <c r="D4089" s="14" t="str">
        <f>VLOOKUP(C4089,'State Key'!$A$2:$B$210,2,False)</f>
        <v>Karnataka</v>
      </c>
      <c r="E4089" s="21">
        <v>1700.0</v>
      </c>
      <c r="F4089" s="22">
        <v>63.68015</v>
      </c>
      <c r="G4089" s="22">
        <v>356.8559</v>
      </c>
      <c r="H4089" s="22">
        <v>47.11197</v>
      </c>
      <c r="I4089" s="22">
        <v>0.0</v>
      </c>
      <c r="J4089" s="22">
        <v>0.0</v>
      </c>
      <c r="K4089" s="22">
        <v>0.0</v>
      </c>
      <c r="L4089" s="22">
        <v>467.64802</v>
      </c>
      <c r="M4089" s="22">
        <v>423.184</v>
      </c>
      <c r="N4089" s="22">
        <v>182.5207</v>
      </c>
      <c r="O4089" s="23">
        <v>12.9</v>
      </c>
      <c r="P4089" s="18">
        <f t="shared" si="1"/>
        <v>467.64802</v>
      </c>
    </row>
    <row r="4090" ht="15.75" customHeight="1">
      <c r="A4090" s="13" t="s">
        <v>244</v>
      </c>
      <c r="B4090" s="13" t="s">
        <v>99</v>
      </c>
      <c r="C4090" s="14" t="s">
        <v>101</v>
      </c>
      <c r="D4090" s="14" t="str">
        <f>VLOOKUP(C4090,'State Key'!$A$2:$B$210,2,False)</f>
        <v>Telangana</v>
      </c>
      <c r="E4090" s="15">
        <v>1080.0</v>
      </c>
      <c r="F4090" s="16">
        <v>0.0</v>
      </c>
      <c r="G4090" s="16">
        <v>306.218</v>
      </c>
      <c r="H4090" s="16">
        <v>0.0</v>
      </c>
      <c r="I4090" s="16">
        <v>0.0</v>
      </c>
      <c r="J4090" s="16">
        <v>0.0</v>
      </c>
      <c r="K4090" s="16">
        <v>0.0</v>
      </c>
      <c r="L4090" s="16">
        <v>306.218</v>
      </c>
      <c r="M4090" s="16">
        <v>305.251</v>
      </c>
      <c r="N4090" s="16">
        <v>192.461</v>
      </c>
      <c r="O4090" s="24">
        <v>18.9</v>
      </c>
      <c r="P4090" s="18">
        <f t="shared" si="1"/>
        <v>306.218</v>
      </c>
    </row>
    <row r="4091" ht="15.75" customHeight="1">
      <c r="A4091" s="19" t="s">
        <v>244</v>
      </c>
      <c r="B4091" s="19" t="s">
        <v>99</v>
      </c>
      <c r="C4091" s="20" t="s">
        <v>102</v>
      </c>
      <c r="D4091" s="14" t="str">
        <f>VLOOKUP(C4091,'State Key'!$A$2:$B$210,2,False)</f>
        <v>Andhra Pradesh</v>
      </c>
      <c r="E4091" s="21">
        <v>2400.0</v>
      </c>
      <c r="F4091" s="22">
        <v>639.103</v>
      </c>
      <c r="G4091" s="22">
        <v>0.0</v>
      </c>
      <c r="H4091" s="22">
        <v>0.0</v>
      </c>
      <c r="I4091" s="22">
        <v>0.0</v>
      </c>
      <c r="J4091" s="22">
        <v>0.0</v>
      </c>
      <c r="K4091" s="22">
        <v>0.0</v>
      </c>
      <c r="L4091" s="22">
        <v>639.103</v>
      </c>
      <c r="M4091" s="22">
        <v>725.084</v>
      </c>
      <c r="N4091" s="22">
        <v>78.45</v>
      </c>
      <c r="O4091" s="17">
        <v>3.2</v>
      </c>
      <c r="P4091" s="18">
        <f t="shared" si="1"/>
        <v>639.103</v>
      </c>
    </row>
    <row r="4092" ht="15.75" customHeight="1">
      <c r="A4092" s="13" t="s">
        <v>244</v>
      </c>
      <c r="B4092" s="13" t="s">
        <v>99</v>
      </c>
      <c r="C4092" s="14" t="s">
        <v>103</v>
      </c>
      <c r="D4092" s="14" t="str">
        <f>VLOOKUP(C4092,'State Key'!$A$2:$B$210,2,False)</f>
        <v>Andhra Pradesh</v>
      </c>
      <c r="E4092" s="15">
        <v>2560.0</v>
      </c>
      <c r="F4092" s="16">
        <v>910.525</v>
      </c>
      <c r="G4092" s="16">
        <v>153.056</v>
      </c>
      <c r="H4092" s="16">
        <v>0.0</v>
      </c>
      <c r="I4092" s="16">
        <v>0.0</v>
      </c>
      <c r="J4092" s="16">
        <v>0.0</v>
      </c>
      <c r="K4092" s="16">
        <v>0.0</v>
      </c>
      <c r="L4092" s="16">
        <v>1063.581</v>
      </c>
      <c r="M4092" s="16">
        <v>969.375</v>
      </c>
      <c r="N4092" s="16">
        <v>294.925</v>
      </c>
      <c r="O4092" s="23">
        <v>9.1</v>
      </c>
      <c r="P4092" s="18">
        <f t="shared" si="1"/>
        <v>1063.581</v>
      </c>
    </row>
    <row r="4093" ht="15.75" customHeight="1">
      <c r="A4093" s="19" t="s">
        <v>244</v>
      </c>
      <c r="B4093" s="19" t="s">
        <v>99</v>
      </c>
      <c r="C4093" s="20" t="s">
        <v>104</v>
      </c>
      <c r="D4093" s="14" t="str">
        <f>VLOOKUP(C4093,'State Key'!$A$2:$B$210,2,False)</f>
        <v>Tamil Nadu</v>
      </c>
      <c r="E4093" s="21">
        <v>1200.0</v>
      </c>
      <c r="F4093" s="22">
        <v>0.0</v>
      </c>
      <c r="G4093" s="22">
        <v>0.0</v>
      </c>
      <c r="H4093" s="22">
        <v>0.0</v>
      </c>
      <c r="I4093" s="22">
        <v>0.0</v>
      </c>
      <c r="J4093" s="22">
        <v>276.439</v>
      </c>
      <c r="K4093" s="22">
        <v>0.0</v>
      </c>
      <c r="L4093" s="22">
        <v>276.439</v>
      </c>
      <c r="M4093" s="22">
        <v>365.074</v>
      </c>
      <c r="N4093" s="22">
        <v>162.78</v>
      </c>
      <c r="O4093" s="23">
        <v>13.4</v>
      </c>
      <c r="P4093" s="18">
        <f t="shared" si="1"/>
        <v>276.439</v>
      </c>
    </row>
    <row r="4094" ht="15.75" customHeight="1">
      <c r="A4094" s="13" t="s">
        <v>244</v>
      </c>
      <c r="B4094" s="13" t="s">
        <v>99</v>
      </c>
      <c r="C4094" s="14" t="s">
        <v>105</v>
      </c>
      <c r="D4094" s="14" t="str">
        <f>VLOOKUP(C4094,'State Key'!$A$2:$B$210,2,False)</f>
        <v>Telangana</v>
      </c>
      <c r="E4094" s="15">
        <v>1100.0</v>
      </c>
      <c r="F4094" s="16">
        <v>0.0</v>
      </c>
      <c r="G4094" s="16">
        <v>109.009</v>
      </c>
      <c r="H4094" s="16">
        <v>232.818</v>
      </c>
      <c r="I4094" s="16">
        <v>0.0</v>
      </c>
      <c r="J4094" s="16">
        <v>0.0</v>
      </c>
      <c r="K4094" s="16">
        <v>0.0</v>
      </c>
      <c r="L4094" s="16">
        <v>341.827</v>
      </c>
      <c r="M4094" s="16">
        <v>392.602</v>
      </c>
      <c r="N4094" s="16">
        <v>341.771</v>
      </c>
      <c r="O4094" s="24">
        <v>26.1</v>
      </c>
      <c r="P4094" s="18">
        <f t="shared" si="1"/>
        <v>341.827</v>
      </c>
    </row>
    <row r="4095" ht="15.75" customHeight="1">
      <c r="A4095" s="19" t="s">
        <v>244</v>
      </c>
      <c r="B4095" s="19" t="s">
        <v>99</v>
      </c>
      <c r="C4095" s="20" t="s">
        <v>106</v>
      </c>
      <c r="D4095" s="14" t="str">
        <f>VLOOKUP(C4095,'State Key'!$A$2:$B$210,2,False)</f>
        <v>Telangana</v>
      </c>
      <c r="E4095" s="21">
        <v>1000.0</v>
      </c>
      <c r="F4095" s="22">
        <v>0.0</v>
      </c>
      <c r="G4095" s="22">
        <v>384.868</v>
      </c>
      <c r="H4095" s="22">
        <v>0.0</v>
      </c>
      <c r="I4095" s="22">
        <v>0.0</v>
      </c>
      <c r="J4095" s="22">
        <v>0.0</v>
      </c>
      <c r="K4095" s="22">
        <v>0.0</v>
      </c>
      <c r="L4095" s="22">
        <v>384.868</v>
      </c>
      <c r="M4095" s="22">
        <v>364.86</v>
      </c>
      <c r="N4095" s="22">
        <v>374.744</v>
      </c>
      <c r="O4095" s="24">
        <v>30.8</v>
      </c>
      <c r="P4095" s="18">
        <f t="shared" si="1"/>
        <v>384.868</v>
      </c>
    </row>
    <row r="4096" ht="15.75" customHeight="1">
      <c r="A4096" s="13" t="s">
        <v>244</v>
      </c>
      <c r="B4096" s="13" t="s">
        <v>99</v>
      </c>
      <c r="C4096" s="14" t="s">
        <v>107</v>
      </c>
      <c r="D4096" s="14" t="str">
        <f>VLOOKUP(C4096,'State Key'!$A$2:$B$210,2,False)</f>
        <v>Telangana</v>
      </c>
      <c r="E4096" s="15">
        <v>800.0</v>
      </c>
      <c r="F4096" s="16">
        <v>0.0</v>
      </c>
      <c r="G4096" s="16">
        <v>297.268</v>
      </c>
      <c r="H4096" s="16">
        <v>0.0</v>
      </c>
      <c r="I4096" s="16">
        <v>0.0</v>
      </c>
      <c r="J4096" s="16">
        <v>0.0</v>
      </c>
      <c r="K4096" s="16">
        <v>0.0</v>
      </c>
      <c r="L4096" s="16">
        <v>297.268</v>
      </c>
      <c r="M4096" s="16">
        <v>226.3801</v>
      </c>
      <c r="N4096" s="16">
        <v>190.018</v>
      </c>
      <c r="O4096" s="24">
        <v>25.2</v>
      </c>
      <c r="P4096" s="18">
        <f t="shared" si="1"/>
        <v>297.268</v>
      </c>
    </row>
    <row r="4097" ht="15.75" customHeight="1">
      <c r="A4097" s="19" t="s">
        <v>244</v>
      </c>
      <c r="B4097" s="19" t="s">
        <v>99</v>
      </c>
      <c r="C4097" s="20" t="s">
        <v>108</v>
      </c>
      <c r="D4097" s="14" t="str">
        <f>VLOOKUP(C4097,'State Key'!$A$2:$B$210,2,False)</f>
        <v>Karnataka</v>
      </c>
      <c r="E4097" s="21">
        <v>2400.0</v>
      </c>
      <c r="F4097" s="22">
        <v>495.05</v>
      </c>
      <c r="G4097" s="22">
        <v>141.16</v>
      </c>
      <c r="H4097" s="22">
        <v>107.13</v>
      </c>
      <c r="I4097" s="22">
        <v>0.0</v>
      </c>
      <c r="J4097" s="22">
        <v>0.0</v>
      </c>
      <c r="K4097" s="22">
        <v>38.55</v>
      </c>
      <c r="L4097" s="22">
        <v>781.89</v>
      </c>
      <c r="M4097" s="22">
        <v>728.704</v>
      </c>
      <c r="N4097" s="22">
        <v>488.15</v>
      </c>
      <c r="O4097" s="24">
        <v>20.1</v>
      </c>
      <c r="P4097" s="18">
        <f t="shared" si="1"/>
        <v>781.89</v>
      </c>
    </row>
    <row r="4098" ht="15.75" customHeight="1">
      <c r="A4098" s="13" t="s">
        <v>244</v>
      </c>
      <c r="B4098" s="13" t="s">
        <v>99</v>
      </c>
      <c r="C4098" s="14" t="s">
        <v>109</v>
      </c>
      <c r="D4098" s="14" t="str">
        <f>VLOOKUP(C4098,'State Key'!$A$2:$B$210,2,False)</f>
        <v>Tamil Nadu</v>
      </c>
      <c r="E4098" s="15">
        <v>840.0</v>
      </c>
      <c r="F4098" s="16">
        <v>258.0594</v>
      </c>
      <c r="G4098" s="16">
        <v>0.0</v>
      </c>
      <c r="H4098" s="16">
        <v>0.0</v>
      </c>
      <c r="I4098" s="16">
        <v>0.0</v>
      </c>
      <c r="J4098" s="16">
        <v>0.0</v>
      </c>
      <c r="K4098" s="16">
        <v>0.0</v>
      </c>
      <c r="L4098" s="16">
        <v>258.0594</v>
      </c>
      <c r="M4098" s="16">
        <v>292.2409</v>
      </c>
      <c r="N4098" s="16">
        <v>160.8345</v>
      </c>
      <c r="O4098" s="24">
        <v>16.5</v>
      </c>
      <c r="P4098" s="18">
        <f t="shared" si="1"/>
        <v>258.0594</v>
      </c>
    </row>
    <row r="4099" ht="15.75" customHeight="1">
      <c r="A4099" s="19" t="s">
        <v>244</v>
      </c>
      <c r="B4099" s="19" t="s">
        <v>99</v>
      </c>
      <c r="C4099" s="20" t="s">
        <v>110</v>
      </c>
      <c r="D4099" s="14" t="str">
        <f>VLOOKUP(C4099,'State Key'!$A$2:$B$210,2,False)</f>
        <v>Tamil Nadu</v>
      </c>
      <c r="E4099" s="21">
        <v>600.0</v>
      </c>
      <c r="F4099" s="22">
        <v>143.7</v>
      </c>
      <c r="G4099" s="22">
        <v>0.0</v>
      </c>
      <c r="H4099" s="22">
        <v>0.0</v>
      </c>
      <c r="I4099" s="22">
        <v>0.0</v>
      </c>
      <c r="J4099" s="22">
        <v>0.0</v>
      </c>
      <c r="K4099" s="22">
        <v>0.0</v>
      </c>
      <c r="L4099" s="22">
        <v>143.7</v>
      </c>
      <c r="M4099" s="22">
        <v>228.004</v>
      </c>
      <c r="N4099" s="22">
        <v>147.56</v>
      </c>
      <c r="O4099" s="24">
        <v>19.4</v>
      </c>
      <c r="P4099" s="18">
        <f t="shared" si="1"/>
        <v>143.7</v>
      </c>
    </row>
    <row r="4100" ht="15.75" customHeight="1">
      <c r="A4100" s="13" t="s">
        <v>244</v>
      </c>
      <c r="B4100" s="13" t="s">
        <v>99</v>
      </c>
      <c r="C4100" s="14" t="s">
        <v>111</v>
      </c>
      <c r="D4100" s="14" t="str">
        <f>VLOOKUP(C4100,'State Key'!$A$2:$B$210,2,False)</f>
        <v>Tamil Nadu</v>
      </c>
      <c r="E4100" s="15">
        <v>1200.0</v>
      </c>
      <c r="F4100" s="16">
        <v>0.0</v>
      </c>
      <c r="G4100" s="16">
        <v>0.0</v>
      </c>
      <c r="H4100" s="16">
        <v>0.0</v>
      </c>
      <c r="I4100" s="16">
        <v>0.0</v>
      </c>
      <c r="J4100" s="16">
        <v>356.0</v>
      </c>
      <c r="K4100" s="16">
        <v>0.0</v>
      </c>
      <c r="L4100" s="16">
        <v>356.0</v>
      </c>
      <c r="M4100" s="16">
        <v>237.0</v>
      </c>
      <c r="N4100" s="16">
        <v>212.56</v>
      </c>
      <c r="O4100" s="24">
        <v>26.9</v>
      </c>
      <c r="P4100" s="18">
        <f t="shared" si="1"/>
        <v>356</v>
      </c>
    </row>
    <row r="4101" ht="15.75" customHeight="1">
      <c r="A4101" s="19" t="s">
        <v>244</v>
      </c>
      <c r="B4101" s="19" t="s">
        <v>99</v>
      </c>
      <c r="C4101" s="20" t="s">
        <v>112</v>
      </c>
      <c r="D4101" s="14" t="str">
        <f>VLOOKUP(C4101,'State Key'!$A$2:$B$210,2,False)</f>
        <v>Tamil Nadu</v>
      </c>
      <c r="E4101" s="21">
        <v>1830.0</v>
      </c>
      <c r="F4101" s="22">
        <v>593.716</v>
      </c>
      <c r="G4101" s="22">
        <v>0.0</v>
      </c>
      <c r="H4101" s="22">
        <v>0.0</v>
      </c>
      <c r="I4101" s="22">
        <v>0.0</v>
      </c>
      <c r="J4101" s="22">
        <v>0.0</v>
      </c>
      <c r="K4101" s="22">
        <v>0.0</v>
      </c>
      <c r="L4101" s="22">
        <v>593.716</v>
      </c>
      <c r="M4101" s="22">
        <v>541.65</v>
      </c>
      <c r="N4101" s="22">
        <v>550.012</v>
      </c>
      <c r="O4101" s="24">
        <v>30.5</v>
      </c>
      <c r="P4101" s="18">
        <f t="shared" si="1"/>
        <v>593.716</v>
      </c>
    </row>
    <row r="4102" ht="15.75" customHeight="1">
      <c r="A4102" s="13" t="s">
        <v>244</v>
      </c>
      <c r="B4102" s="13" t="s">
        <v>99</v>
      </c>
      <c r="C4102" s="14" t="s">
        <v>113</v>
      </c>
      <c r="D4102" s="14" t="str">
        <f>VLOOKUP(C4102,'State Key'!$A$2:$B$210,2,False)</f>
        <v>Tamil Nadu</v>
      </c>
      <c r="E4102" s="15">
        <v>1000.0</v>
      </c>
      <c r="F4102" s="16">
        <v>0.0</v>
      </c>
      <c r="G4102" s="16">
        <v>0.0</v>
      </c>
      <c r="H4102" s="16">
        <v>226.457</v>
      </c>
      <c r="I4102" s="16">
        <v>0.0</v>
      </c>
      <c r="J4102" s="16">
        <v>0.0</v>
      </c>
      <c r="K4102" s="16">
        <v>0.0</v>
      </c>
      <c r="L4102" s="16">
        <v>226.457</v>
      </c>
      <c r="M4102" s="16">
        <v>345.6789</v>
      </c>
      <c r="N4102" s="16">
        <v>356.48</v>
      </c>
      <c r="O4102" s="24">
        <v>30.9</v>
      </c>
      <c r="P4102" s="18">
        <f t="shared" si="1"/>
        <v>226.457</v>
      </c>
    </row>
    <row r="4103" ht="15.75" customHeight="1">
      <c r="A4103" s="19" t="s">
        <v>244</v>
      </c>
      <c r="B4103" s="19" t="s">
        <v>99</v>
      </c>
      <c r="C4103" s="20" t="s">
        <v>228</v>
      </c>
      <c r="D4103" s="14" t="str">
        <f>VLOOKUP(C4103,'State Key'!$A$2:$B$210,2,False)</f>
        <v>Tamil Nadu</v>
      </c>
      <c r="E4103" s="21">
        <v>414.0</v>
      </c>
      <c r="F4103" s="22">
        <v>38.47</v>
      </c>
      <c r="G4103" s="22">
        <v>0.0</v>
      </c>
      <c r="H4103" s="22">
        <v>0.0</v>
      </c>
      <c r="I4103" s="22">
        <v>0.0</v>
      </c>
      <c r="J4103" s="22">
        <v>114.016</v>
      </c>
      <c r="K4103" s="22">
        <v>0.0</v>
      </c>
      <c r="L4103" s="22">
        <v>152.486</v>
      </c>
      <c r="M4103" s="22">
        <v>141.238</v>
      </c>
      <c r="N4103" s="22">
        <v>62.8</v>
      </c>
      <c r="O4103" s="23">
        <v>13.3</v>
      </c>
      <c r="P4103" s="18">
        <f t="shared" si="1"/>
        <v>152.486</v>
      </c>
    </row>
    <row r="4104" ht="15.75" customHeight="1">
      <c r="A4104" s="13" t="s">
        <v>244</v>
      </c>
      <c r="B4104" s="13" t="s">
        <v>99</v>
      </c>
      <c r="C4104" s="14" t="s">
        <v>114</v>
      </c>
      <c r="D4104" s="14" t="str">
        <f>VLOOKUP(C4104,'State Key'!$A$2:$B$210,2,False)</f>
        <v>Andhra Pradesh</v>
      </c>
      <c r="E4104" s="15">
        <v>1320.0</v>
      </c>
      <c r="F4104" s="16">
        <v>352.356</v>
      </c>
      <c r="G4104" s="16">
        <v>0.0</v>
      </c>
      <c r="H4104" s="16">
        <v>0.0</v>
      </c>
      <c r="I4104" s="16">
        <v>0.0</v>
      </c>
      <c r="J4104" s="16">
        <v>64.635</v>
      </c>
      <c r="K4104" s="16">
        <v>0.0</v>
      </c>
      <c r="L4104" s="16">
        <v>416.991</v>
      </c>
      <c r="M4104" s="16">
        <v>433.6809</v>
      </c>
      <c r="N4104" s="16">
        <v>302.3</v>
      </c>
      <c r="O4104" s="24">
        <v>20.9</v>
      </c>
      <c r="P4104" s="18">
        <f t="shared" si="1"/>
        <v>416.991</v>
      </c>
    </row>
    <row r="4105" ht="15.75" customHeight="1">
      <c r="A4105" s="19" t="s">
        <v>244</v>
      </c>
      <c r="B4105" s="19" t="s">
        <v>99</v>
      </c>
      <c r="C4105" s="20" t="s">
        <v>115</v>
      </c>
      <c r="D4105" s="14" t="str">
        <f>VLOOKUP(C4105,'State Key'!$A$2:$B$210,2,False)</f>
        <v>Karnataka</v>
      </c>
      <c r="E4105" s="21">
        <v>1720.0</v>
      </c>
      <c r="F4105" s="22">
        <v>423.42</v>
      </c>
      <c r="G4105" s="22">
        <v>162.418</v>
      </c>
      <c r="H4105" s="22">
        <v>0.0</v>
      </c>
      <c r="I4105" s="22">
        <v>0.0</v>
      </c>
      <c r="J4105" s="22">
        <v>0.0</v>
      </c>
      <c r="K4105" s="22">
        <v>0.0</v>
      </c>
      <c r="L4105" s="22">
        <v>585.838</v>
      </c>
      <c r="M4105" s="22">
        <v>551.38</v>
      </c>
      <c r="N4105" s="22">
        <v>616.55</v>
      </c>
      <c r="O4105" s="24">
        <v>33.5</v>
      </c>
      <c r="P4105" s="18">
        <f t="shared" si="1"/>
        <v>585.838</v>
      </c>
    </row>
    <row r="4106" ht="15.75" customHeight="1">
      <c r="A4106" s="13" t="s">
        <v>244</v>
      </c>
      <c r="B4106" s="13" t="s">
        <v>99</v>
      </c>
      <c r="C4106" s="14" t="s">
        <v>116</v>
      </c>
      <c r="D4106" s="14" t="str">
        <f>VLOOKUP(C4106,'State Key'!$A$2:$B$210,2,False)</f>
        <v>Telangana</v>
      </c>
      <c r="E4106" s="15">
        <v>2600.0</v>
      </c>
      <c r="F4106" s="16">
        <v>0.0</v>
      </c>
      <c r="G4106" s="16">
        <v>849.89</v>
      </c>
      <c r="H4106" s="16">
        <v>0.0</v>
      </c>
      <c r="I4106" s="16">
        <v>0.0</v>
      </c>
      <c r="J4106" s="16">
        <v>0.0</v>
      </c>
      <c r="K4106" s="16">
        <v>0.0</v>
      </c>
      <c r="L4106" s="16">
        <v>849.89</v>
      </c>
      <c r="M4106" s="16">
        <v>838.134</v>
      </c>
      <c r="N4106" s="16">
        <v>795.73</v>
      </c>
      <c r="O4106" s="24">
        <v>28.5</v>
      </c>
      <c r="P4106" s="18">
        <f t="shared" si="1"/>
        <v>849.89</v>
      </c>
    </row>
    <row r="4107" ht="15.75" customHeight="1">
      <c r="A4107" s="19" t="s">
        <v>244</v>
      </c>
      <c r="B4107" s="19" t="s">
        <v>99</v>
      </c>
      <c r="C4107" s="20" t="s">
        <v>117</v>
      </c>
      <c r="D4107" s="14" t="str">
        <f>VLOOKUP(C4107,'State Key'!$A$2:$B$210,2,False)</f>
        <v>Telangana</v>
      </c>
      <c r="E4107" s="21">
        <v>62.5</v>
      </c>
      <c r="F4107" s="22">
        <v>0.0</v>
      </c>
      <c r="G4107" s="22">
        <v>0.0</v>
      </c>
      <c r="H4107" s="22">
        <v>0.0</v>
      </c>
      <c r="I4107" s="22">
        <v>0.0</v>
      </c>
      <c r="J4107" s="22">
        <v>0.0</v>
      </c>
      <c r="K4107" s="22">
        <v>0.0</v>
      </c>
      <c r="L4107" s="22">
        <v>0.0</v>
      </c>
      <c r="M4107" s="22">
        <v>0.0</v>
      </c>
      <c r="N4107" s="22">
        <v>3.72</v>
      </c>
      <c r="O4107" s="19" t="s">
        <v>58</v>
      </c>
      <c r="P4107" s="18">
        <f t="shared" si="1"/>
        <v>0</v>
      </c>
    </row>
    <row r="4108" ht="15.75" customHeight="1">
      <c r="A4108" s="13" t="s">
        <v>244</v>
      </c>
      <c r="B4108" s="13" t="s">
        <v>99</v>
      </c>
      <c r="C4108" s="14" t="s">
        <v>118</v>
      </c>
      <c r="D4108" s="14" t="str">
        <f>VLOOKUP(C4108,'State Key'!$A$2:$B$210,2,False)</f>
        <v>Andhra Pradesh</v>
      </c>
      <c r="E4108" s="15">
        <v>1650.0</v>
      </c>
      <c r="F4108" s="16">
        <v>580.205</v>
      </c>
      <c r="G4108" s="16">
        <v>101.965</v>
      </c>
      <c r="H4108" s="16">
        <v>0.0</v>
      </c>
      <c r="I4108" s="16">
        <v>0.0</v>
      </c>
      <c r="J4108" s="16">
        <v>0.0</v>
      </c>
      <c r="K4108" s="16">
        <v>0.0</v>
      </c>
      <c r="L4108" s="16">
        <v>682.17</v>
      </c>
      <c r="M4108" s="16">
        <v>648.643</v>
      </c>
      <c r="N4108" s="16">
        <v>136.508</v>
      </c>
      <c r="O4108" s="17">
        <v>6.3</v>
      </c>
      <c r="P4108" s="18">
        <f t="shared" si="1"/>
        <v>682.17</v>
      </c>
    </row>
    <row r="4109" ht="15.75" customHeight="1">
      <c r="A4109" s="19" t="s">
        <v>244</v>
      </c>
      <c r="B4109" s="19" t="s">
        <v>99</v>
      </c>
      <c r="C4109" s="20" t="s">
        <v>119</v>
      </c>
      <c r="D4109" s="14" t="str">
        <f>VLOOKUP(C4109,'State Key'!$A$2:$B$210,2,False)</f>
        <v>Andhra Pradesh</v>
      </c>
      <c r="E4109" s="21">
        <v>1320.0</v>
      </c>
      <c r="F4109" s="22">
        <v>341.53</v>
      </c>
      <c r="G4109" s="22">
        <v>0.0</v>
      </c>
      <c r="H4109" s="22">
        <v>0.0</v>
      </c>
      <c r="I4109" s="22">
        <v>0.0</v>
      </c>
      <c r="J4109" s="22">
        <v>246.065</v>
      </c>
      <c r="K4109" s="22">
        <v>0.0</v>
      </c>
      <c r="L4109" s="22">
        <v>587.595</v>
      </c>
      <c r="M4109" s="22">
        <v>494.156</v>
      </c>
      <c r="N4109" s="22">
        <v>491.58</v>
      </c>
      <c r="O4109" s="24">
        <v>29.8</v>
      </c>
      <c r="P4109" s="18">
        <f t="shared" si="1"/>
        <v>587.595</v>
      </c>
    </row>
    <row r="4110" ht="15.75" customHeight="1">
      <c r="A4110" s="13" t="s">
        <v>244</v>
      </c>
      <c r="B4110" s="13" t="s">
        <v>99</v>
      </c>
      <c r="C4110" s="14" t="s">
        <v>120</v>
      </c>
      <c r="D4110" s="14" t="str">
        <f>VLOOKUP(C4110,'State Key'!$A$2:$B$210,2,False)</f>
        <v>Andhra Pradesh</v>
      </c>
      <c r="E4110" s="15">
        <v>2000.0</v>
      </c>
      <c r="F4110" s="16">
        <v>553.24</v>
      </c>
      <c r="G4110" s="16">
        <v>72.97</v>
      </c>
      <c r="H4110" s="16">
        <v>73.01</v>
      </c>
      <c r="I4110" s="16">
        <v>0.0</v>
      </c>
      <c r="J4110" s="16">
        <v>0.0</v>
      </c>
      <c r="K4110" s="16">
        <v>24.18</v>
      </c>
      <c r="L4110" s="16">
        <v>723.4</v>
      </c>
      <c r="M4110" s="16">
        <v>846.71</v>
      </c>
      <c r="N4110" s="16">
        <v>326.2</v>
      </c>
      <c r="O4110" s="23">
        <v>11.6</v>
      </c>
      <c r="P4110" s="18">
        <f t="shared" si="1"/>
        <v>723.4</v>
      </c>
    </row>
    <row r="4111" ht="15.75" customHeight="1">
      <c r="A4111" s="19" t="s">
        <v>244</v>
      </c>
      <c r="B4111" s="19" t="s">
        <v>99</v>
      </c>
      <c r="C4111" s="20" t="s">
        <v>121</v>
      </c>
      <c r="D4111" s="14" t="str">
        <f>VLOOKUP(C4111,'State Key'!$A$2:$B$210,2,False)</f>
        <v>Andhra Pradesh</v>
      </c>
      <c r="E4111" s="21">
        <v>600.0</v>
      </c>
      <c r="F4111" s="22">
        <v>0.0</v>
      </c>
      <c r="G4111" s="22">
        <v>0.0</v>
      </c>
      <c r="H4111" s="22">
        <v>0.0</v>
      </c>
      <c r="I4111" s="22">
        <v>0.0</v>
      </c>
      <c r="J4111" s="22">
        <v>140.428</v>
      </c>
      <c r="K4111" s="22">
        <v>0.0</v>
      </c>
      <c r="L4111" s="22">
        <v>140.428</v>
      </c>
      <c r="M4111" s="22">
        <v>114.49</v>
      </c>
      <c r="N4111" s="22">
        <v>350.86</v>
      </c>
      <c r="O4111" s="24">
        <v>91.9</v>
      </c>
      <c r="P4111" s="18">
        <f t="shared" si="1"/>
        <v>140.428</v>
      </c>
    </row>
    <row r="4112" ht="15.75" customHeight="1">
      <c r="A4112" s="13" t="s">
        <v>244</v>
      </c>
      <c r="B4112" s="13" t="s">
        <v>99</v>
      </c>
      <c r="C4112" s="14" t="s">
        <v>122</v>
      </c>
      <c r="D4112" s="14" t="str">
        <f>VLOOKUP(C4112,'State Key'!$A$2:$B$210,2,False)</f>
        <v>Telangana</v>
      </c>
      <c r="E4112" s="15">
        <v>1200.0</v>
      </c>
      <c r="F4112" s="16">
        <v>0.0</v>
      </c>
      <c r="G4112" s="16">
        <v>471.277</v>
      </c>
      <c r="H4112" s="16">
        <v>0.0</v>
      </c>
      <c r="I4112" s="16">
        <v>0.0</v>
      </c>
      <c r="J4112" s="16">
        <v>0.0</v>
      </c>
      <c r="K4112" s="16">
        <v>0.0</v>
      </c>
      <c r="L4112" s="16">
        <v>471.277</v>
      </c>
      <c r="M4112" s="16">
        <v>486.1659</v>
      </c>
      <c r="N4112" s="16">
        <v>155.5</v>
      </c>
      <c r="O4112" s="23">
        <v>9.6</v>
      </c>
      <c r="P4112" s="18">
        <f t="shared" si="1"/>
        <v>471.277</v>
      </c>
    </row>
    <row r="4113" ht="15.75" customHeight="1">
      <c r="A4113" s="19" t="s">
        <v>244</v>
      </c>
      <c r="B4113" s="19" t="s">
        <v>99</v>
      </c>
      <c r="C4113" s="20" t="s">
        <v>243</v>
      </c>
      <c r="D4113" s="14" t="str">
        <f>VLOOKUP(C4113,'State Key'!$A$2:$B$210,2,False)</f>
        <v>Tamil Nadu</v>
      </c>
      <c r="E4113" s="21">
        <v>63.5</v>
      </c>
      <c r="F4113" s="22">
        <v>0.0</v>
      </c>
      <c r="G4113" s="22">
        <v>0.0</v>
      </c>
      <c r="H4113" s="22">
        <v>0.0</v>
      </c>
      <c r="I4113" s="22">
        <v>0.0</v>
      </c>
      <c r="J4113" s="22">
        <v>0.0</v>
      </c>
      <c r="K4113" s="22">
        <v>0.0</v>
      </c>
      <c r="L4113" s="22">
        <v>0.0</v>
      </c>
      <c r="M4113" s="22">
        <v>0.0</v>
      </c>
      <c r="N4113" s="22">
        <v>0.0</v>
      </c>
      <c r="O4113" s="19" t="s">
        <v>58</v>
      </c>
      <c r="P4113" s="18">
        <f t="shared" si="1"/>
        <v>0</v>
      </c>
    </row>
    <row r="4114" ht="15.75" customHeight="1">
      <c r="A4114" s="13" t="s">
        <v>244</v>
      </c>
      <c r="B4114" s="13" t="s">
        <v>99</v>
      </c>
      <c r="C4114" s="14" t="s">
        <v>220</v>
      </c>
      <c r="D4114" s="14" t="str">
        <f>VLOOKUP(C4114,'State Key'!$A$2:$B$210,2,False)</f>
        <v>Telangana</v>
      </c>
      <c r="E4114" s="15">
        <v>1600.0</v>
      </c>
      <c r="F4114" s="16">
        <v>23.85</v>
      </c>
      <c r="G4114" s="16">
        <v>399.16</v>
      </c>
      <c r="H4114" s="16">
        <v>38.05</v>
      </c>
      <c r="I4114" s="16">
        <v>0.0</v>
      </c>
      <c r="J4114" s="16">
        <v>0.0</v>
      </c>
      <c r="K4114" s="16">
        <v>74.39</v>
      </c>
      <c r="L4114" s="16">
        <v>535.45</v>
      </c>
      <c r="M4114" s="16">
        <v>475.845</v>
      </c>
      <c r="N4114" s="16">
        <v>615.638</v>
      </c>
      <c r="O4114" s="24">
        <v>38.8</v>
      </c>
      <c r="P4114" s="18">
        <f t="shared" si="1"/>
        <v>535.45</v>
      </c>
    </row>
    <row r="4115" ht="15.75" customHeight="1">
      <c r="A4115" s="19" t="s">
        <v>244</v>
      </c>
      <c r="B4115" s="19" t="s">
        <v>99</v>
      </c>
      <c r="C4115" s="20" t="s">
        <v>123</v>
      </c>
      <c r="D4115" s="14" t="str">
        <f>VLOOKUP(C4115,'State Key'!$A$2:$B$210,2,False)</f>
        <v>Andhra Pradesh</v>
      </c>
      <c r="E4115" s="21">
        <v>300.0</v>
      </c>
      <c r="F4115" s="22">
        <v>0.0</v>
      </c>
      <c r="G4115" s="22">
        <v>0.0</v>
      </c>
      <c r="H4115" s="22">
        <v>0.0</v>
      </c>
      <c r="I4115" s="22">
        <v>0.0</v>
      </c>
      <c r="J4115" s="22">
        <v>0.0</v>
      </c>
      <c r="K4115" s="22">
        <v>0.0</v>
      </c>
      <c r="L4115" s="22">
        <v>0.0</v>
      </c>
      <c r="M4115" s="22">
        <v>0.0</v>
      </c>
      <c r="N4115" s="22">
        <v>0.0</v>
      </c>
      <c r="O4115" s="19" t="s">
        <v>58</v>
      </c>
      <c r="P4115" s="18">
        <f t="shared" si="1"/>
        <v>0</v>
      </c>
    </row>
    <row r="4116" ht="15.75" customHeight="1">
      <c r="A4116" s="13" t="s">
        <v>244</v>
      </c>
      <c r="B4116" s="13" t="s">
        <v>99</v>
      </c>
      <c r="C4116" s="14" t="s">
        <v>124</v>
      </c>
      <c r="D4116" s="14" t="str">
        <f>VLOOKUP(C4116,'State Key'!$A$2:$B$210,2,False)</f>
        <v>Karnataka</v>
      </c>
      <c r="E4116" s="15">
        <v>260.0</v>
      </c>
      <c r="F4116" s="16">
        <v>0.0</v>
      </c>
      <c r="G4116" s="16">
        <v>0.0</v>
      </c>
      <c r="H4116" s="16">
        <v>0.0</v>
      </c>
      <c r="I4116" s="16">
        <v>0.0</v>
      </c>
      <c r="J4116" s="16">
        <v>38.92</v>
      </c>
      <c r="K4116" s="16">
        <v>0.0</v>
      </c>
      <c r="L4116" s="16">
        <v>38.92</v>
      </c>
      <c r="M4116" s="16">
        <v>38.92</v>
      </c>
      <c r="N4116" s="16">
        <v>0.0</v>
      </c>
      <c r="O4116" s="17">
        <v>0.0</v>
      </c>
      <c r="P4116" s="18">
        <f t="shared" si="1"/>
        <v>38.92</v>
      </c>
    </row>
    <row r="4117" ht="15.75" customHeight="1">
      <c r="A4117" s="19" t="s">
        <v>244</v>
      </c>
      <c r="B4117" s="19" t="s">
        <v>99</v>
      </c>
      <c r="C4117" s="20" t="s">
        <v>125</v>
      </c>
      <c r="D4117" s="14" t="str">
        <f>VLOOKUP(C4117,'State Key'!$A$2:$B$210,2,False)</f>
        <v>Karnataka</v>
      </c>
      <c r="E4117" s="21">
        <v>600.0</v>
      </c>
      <c r="F4117" s="22">
        <v>0.0</v>
      </c>
      <c r="G4117" s="22">
        <v>0.0</v>
      </c>
      <c r="H4117" s="22">
        <v>0.0</v>
      </c>
      <c r="I4117" s="22">
        <v>0.0</v>
      </c>
      <c r="J4117" s="22">
        <v>114.09</v>
      </c>
      <c r="K4117" s="22">
        <v>0.0</v>
      </c>
      <c r="L4117" s="22">
        <v>114.09</v>
      </c>
      <c r="M4117" s="22">
        <v>115.58</v>
      </c>
      <c r="N4117" s="22">
        <v>0.34</v>
      </c>
      <c r="O4117" s="17">
        <v>0.1</v>
      </c>
      <c r="P4117" s="18">
        <f t="shared" si="1"/>
        <v>114.09</v>
      </c>
    </row>
    <row r="4118" ht="15.75" customHeight="1">
      <c r="A4118" s="13" t="s">
        <v>244</v>
      </c>
      <c r="B4118" s="13" t="s">
        <v>99</v>
      </c>
      <c r="C4118" s="14" t="s">
        <v>126</v>
      </c>
      <c r="D4118" s="14" t="str">
        <f>VLOOKUP(C4118,'State Key'!$A$2:$B$210,2,False)</f>
        <v>Tamil Nadu</v>
      </c>
      <c r="E4118" s="15">
        <v>300.0</v>
      </c>
      <c r="F4118" s="16">
        <v>0.0</v>
      </c>
      <c r="G4118" s="16">
        <v>0.0</v>
      </c>
      <c r="H4118" s="16">
        <v>0.0</v>
      </c>
      <c r="I4118" s="16">
        <v>0.0</v>
      </c>
      <c r="J4118" s="16">
        <v>0.0</v>
      </c>
      <c r="K4118" s="16">
        <v>0.0</v>
      </c>
      <c r="L4118" s="16">
        <v>0.0</v>
      </c>
      <c r="M4118" s="16">
        <v>0.0</v>
      </c>
      <c r="N4118" s="16">
        <v>0.0</v>
      </c>
      <c r="O4118" s="13" t="s">
        <v>58</v>
      </c>
      <c r="P4118" s="18">
        <f t="shared" si="1"/>
        <v>0</v>
      </c>
    </row>
    <row r="4119" ht="15.75" customHeight="1">
      <c r="A4119" s="19" t="s">
        <v>244</v>
      </c>
      <c r="B4119" s="19" t="s">
        <v>99</v>
      </c>
      <c r="C4119" s="20" t="s">
        <v>127</v>
      </c>
      <c r="D4119" s="14" t="str">
        <f>VLOOKUP(C4119,'State Key'!$A$2:$B$210,2,False)</f>
        <v>Tamil Nadu</v>
      </c>
      <c r="E4119" s="21">
        <v>525.0</v>
      </c>
      <c r="F4119" s="22">
        <v>0.0</v>
      </c>
      <c r="G4119" s="22">
        <v>0.0</v>
      </c>
      <c r="H4119" s="22">
        <v>0.0</v>
      </c>
      <c r="I4119" s="22">
        <v>0.0</v>
      </c>
      <c r="J4119" s="22">
        <v>231.85</v>
      </c>
      <c r="K4119" s="22">
        <v>0.0</v>
      </c>
      <c r="L4119" s="22">
        <v>231.85</v>
      </c>
      <c r="M4119" s="22">
        <v>132.1</v>
      </c>
      <c r="N4119" s="22">
        <v>101.65</v>
      </c>
      <c r="O4119" s="24">
        <v>23.1</v>
      </c>
      <c r="P4119" s="18">
        <f t="shared" si="1"/>
        <v>231.85</v>
      </c>
    </row>
    <row r="4120" ht="15.75" customHeight="1">
      <c r="A4120" s="13" t="s">
        <v>244</v>
      </c>
      <c r="B4120" s="13" t="s">
        <v>99</v>
      </c>
      <c r="C4120" s="14" t="s">
        <v>128</v>
      </c>
      <c r="D4120" s="14" t="str">
        <f>VLOOKUP(C4120,'State Key'!$A$2:$B$210,2,False)</f>
        <v>Tamil Nadu</v>
      </c>
      <c r="E4120" s="15">
        <v>1050.0</v>
      </c>
      <c r="F4120" s="16">
        <v>583.331</v>
      </c>
      <c r="G4120" s="16">
        <v>0.0</v>
      </c>
      <c r="H4120" s="16">
        <v>0.0</v>
      </c>
      <c r="I4120" s="16">
        <v>0.0</v>
      </c>
      <c r="J4120" s="16">
        <v>0.0</v>
      </c>
      <c r="K4120" s="16">
        <v>0.0</v>
      </c>
      <c r="L4120" s="16">
        <v>583.331</v>
      </c>
      <c r="M4120" s="16">
        <v>560.811</v>
      </c>
      <c r="N4120" s="16">
        <v>334.76</v>
      </c>
      <c r="O4120" s="24">
        <v>17.9</v>
      </c>
      <c r="P4120" s="18">
        <f t="shared" si="1"/>
        <v>583.331</v>
      </c>
    </row>
    <row r="4121" ht="15.75" customHeight="1">
      <c r="A4121" s="19" t="s">
        <v>244</v>
      </c>
      <c r="B4121" s="19" t="s">
        <v>99</v>
      </c>
      <c r="C4121" s="20" t="s">
        <v>130</v>
      </c>
      <c r="D4121" s="14" t="str">
        <f>VLOOKUP(C4121,'State Key'!$A$2:$B$210,2,False)</f>
        <v>Tamil Nadu</v>
      </c>
      <c r="E4121" s="21">
        <v>1500.0</v>
      </c>
      <c r="F4121" s="22">
        <v>685.027</v>
      </c>
      <c r="G4121" s="22">
        <v>76.506</v>
      </c>
      <c r="H4121" s="22">
        <v>0.0</v>
      </c>
      <c r="I4121" s="22">
        <v>0.0</v>
      </c>
      <c r="J4121" s="22">
        <v>0.0</v>
      </c>
      <c r="K4121" s="22">
        <v>0.0</v>
      </c>
      <c r="L4121" s="22">
        <v>761.533</v>
      </c>
      <c r="M4121" s="22">
        <v>622.892</v>
      </c>
      <c r="N4121" s="22">
        <v>439.33</v>
      </c>
      <c r="O4121" s="24">
        <v>21.2</v>
      </c>
      <c r="P4121" s="18">
        <f t="shared" si="1"/>
        <v>761.533</v>
      </c>
    </row>
    <row r="4122" ht="15.75" customHeight="1">
      <c r="A4122" s="13" t="s">
        <v>244</v>
      </c>
      <c r="B4122" s="13" t="s">
        <v>99</v>
      </c>
      <c r="C4122" s="14" t="s">
        <v>131</v>
      </c>
      <c r="D4122" s="14" t="str">
        <f>VLOOKUP(C4122,'State Key'!$A$2:$B$210,2,False)</f>
        <v>Andhra Pradesh</v>
      </c>
      <c r="E4122" s="15">
        <v>1040.0</v>
      </c>
      <c r="F4122" s="16">
        <v>272.39611</v>
      </c>
      <c r="G4122" s="16">
        <v>0.0</v>
      </c>
      <c r="H4122" s="16">
        <v>0.0</v>
      </c>
      <c r="I4122" s="16">
        <v>0.0</v>
      </c>
      <c r="J4122" s="16">
        <v>0.0</v>
      </c>
      <c r="K4122" s="16">
        <v>0.0</v>
      </c>
      <c r="L4122" s="16">
        <v>272.39611</v>
      </c>
      <c r="M4122" s="16">
        <v>239.356</v>
      </c>
      <c r="N4122" s="16">
        <v>132.6413</v>
      </c>
      <c r="O4122" s="24">
        <v>16.6</v>
      </c>
      <c r="P4122" s="18">
        <f t="shared" si="1"/>
        <v>272.39611</v>
      </c>
    </row>
    <row r="4123" ht="15.75" customHeight="1">
      <c r="A4123" s="19" t="s">
        <v>244</v>
      </c>
      <c r="B4123" s="19" t="s">
        <v>99</v>
      </c>
      <c r="C4123" s="20" t="s">
        <v>132</v>
      </c>
      <c r="D4123" s="14" t="str">
        <f>VLOOKUP(C4123,'State Key'!$A$2:$B$210,2,False)</f>
        <v>Karnataka</v>
      </c>
      <c r="E4123" s="21">
        <v>1600.0</v>
      </c>
      <c r="F4123" s="22">
        <v>0.0</v>
      </c>
      <c r="G4123" s="22">
        <v>485.147</v>
      </c>
      <c r="H4123" s="22">
        <v>0.0</v>
      </c>
      <c r="I4123" s="22">
        <v>0.0</v>
      </c>
      <c r="J4123" s="22">
        <v>0.0</v>
      </c>
      <c r="K4123" s="22">
        <v>0.0</v>
      </c>
      <c r="L4123" s="22">
        <v>485.147</v>
      </c>
      <c r="M4123" s="22">
        <v>398.584</v>
      </c>
      <c r="N4123" s="22">
        <v>251.18</v>
      </c>
      <c r="O4123" s="24">
        <v>18.9</v>
      </c>
      <c r="P4123" s="18">
        <f t="shared" si="1"/>
        <v>485.147</v>
      </c>
    </row>
    <row r="4124" ht="15.75" customHeight="1">
      <c r="A4124" s="13" t="s">
        <v>244</v>
      </c>
      <c r="B4124" s="13" t="s">
        <v>133</v>
      </c>
      <c r="C4124" s="14" t="s">
        <v>211</v>
      </c>
      <c r="D4124" s="14" t="str">
        <f>VLOOKUP(C4124,'State Key'!$A$2:$B$210,2,False)</f>
        <v>Gujarat</v>
      </c>
      <c r="E4124" s="15">
        <v>2640.0</v>
      </c>
      <c r="F4124" s="16">
        <v>0.0</v>
      </c>
      <c r="G4124" s="16">
        <v>0.0</v>
      </c>
      <c r="H4124" s="16">
        <v>0.0</v>
      </c>
      <c r="I4124" s="16">
        <v>0.0</v>
      </c>
      <c r="J4124" s="16">
        <v>738.56</v>
      </c>
      <c r="K4124" s="16">
        <v>0.0</v>
      </c>
      <c r="L4124" s="16">
        <v>738.56</v>
      </c>
      <c r="M4124" s="16">
        <v>758.828</v>
      </c>
      <c r="N4124" s="16">
        <v>87.567</v>
      </c>
      <c r="O4124" s="17">
        <v>3.5</v>
      </c>
      <c r="P4124" s="18">
        <f t="shared" si="1"/>
        <v>738.56</v>
      </c>
    </row>
    <row r="4125" ht="15.75" customHeight="1">
      <c r="A4125" s="19" t="s">
        <v>244</v>
      </c>
      <c r="B4125" s="19" t="s">
        <v>133</v>
      </c>
      <c r="C4125" s="20" t="s">
        <v>212</v>
      </c>
      <c r="D4125" s="14" t="str">
        <f>VLOOKUP(C4125,'State Key'!$A$2:$B$210,2,False)</f>
        <v>Gujarat</v>
      </c>
      <c r="E4125" s="21">
        <v>1980.0</v>
      </c>
      <c r="F4125" s="22">
        <v>0.0</v>
      </c>
      <c r="G4125" s="22">
        <v>0.0</v>
      </c>
      <c r="H4125" s="22">
        <v>0.0</v>
      </c>
      <c r="I4125" s="22">
        <v>0.0</v>
      </c>
      <c r="J4125" s="22">
        <v>530.148</v>
      </c>
      <c r="K4125" s="22">
        <v>0.0</v>
      </c>
      <c r="L4125" s="22">
        <v>530.148</v>
      </c>
      <c r="M4125" s="22">
        <v>519.166</v>
      </c>
      <c r="N4125" s="22">
        <v>57.11</v>
      </c>
      <c r="O4125" s="17">
        <v>3.3</v>
      </c>
      <c r="P4125" s="18">
        <f t="shared" si="1"/>
        <v>530.148</v>
      </c>
    </row>
    <row r="4126" ht="15.75" customHeight="1">
      <c r="A4126" s="13" t="s">
        <v>244</v>
      </c>
      <c r="B4126" s="13" t="s">
        <v>133</v>
      </c>
      <c r="C4126" s="14" t="s">
        <v>213</v>
      </c>
      <c r="D4126" s="14" t="str">
        <f>VLOOKUP(C4126,'State Key'!$A$2:$B$210,2,False)</f>
        <v>Chhattisgarh</v>
      </c>
      <c r="E4126" s="15">
        <v>600.0</v>
      </c>
      <c r="F4126" s="16">
        <v>276.762</v>
      </c>
      <c r="G4126" s="16">
        <v>0.0</v>
      </c>
      <c r="H4126" s="16">
        <v>0.0</v>
      </c>
      <c r="I4126" s="16">
        <v>0.0</v>
      </c>
      <c r="J4126" s="16">
        <v>0.0</v>
      </c>
      <c r="K4126" s="16">
        <v>0.0</v>
      </c>
      <c r="L4126" s="16">
        <v>276.762</v>
      </c>
      <c r="M4126" s="16">
        <v>278.995</v>
      </c>
      <c r="N4126" s="16">
        <v>136.0</v>
      </c>
      <c r="O4126" s="24">
        <v>14.6</v>
      </c>
      <c r="P4126" s="18">
        <f t="shared" si="1"/>
        <v>276.762</v>
      </c>
    </row>
    <row r="4127" ht="15.75" customHeight="1">
      <c r="A4127" s="19" t="s">
        <v>244</v>
      </c>
      <c r="B4127" s="19" t="s">
        <v>133</v>
      </c>
      <c r="C4127" s="20" t="s">
        <v>214</v>
      </c>
      <c r="D4127" s="14" t="str">
        <f>VLOOKUP(C4127,'State Key'!$A$2:$B$210,2,False)</f>
        <v>Chhattisgarh</v>
      </c>
      <c r="E4127" s="21">
        <v>1370.0</v>
      </c>
      <c r="F4127" s="22">
        <v>502.89</v>
      </c>
      <c r="G4127" s="22">
        <v>34.31</v>
      </c>
      <c r="H4127" s="22">
        <v>0.0</v>
      </c>
      <c r="I4127" s="22">
        <v>0.0</v>
      </c>
      <c r="J4127" s="22">
        <v>0.0</v>
      </c>
      <c r="K4127" s="22">
        <v>23.86</v>
      </c>
      <c r="L4127" s="22">
        <v>561.06</v>
      </c>
      <c r="M4127" s="22">
        <v>601.0</v>
      </c>
      <c r="N4127" s="22">
        <v>0.0</v>
      </c>
      <c r="O4127" s="17">
        <v>0.0</v>
      </c>
      <c r="P4127" s="18">
        <f t="shared" si="1"/>
        <v>561.06</v>
      </c>
    </row>
    <row r="4128" ht="15.75" customHeight="1">
      <c r="A4128" s="13" t="s">
        <v>244</v>
      </c>
      <c r="B4128" s="13" t="s">
        <v>133</v>
      </c>
      <c r="C4128" s="14" t="s">
        <v>215</v>
      </c>
      <c r="D4128" s="14" t="str">
        <f>VLOOKUP(C4128,'State Key'!$A$2:$B$210,2,False)</f>
        <v>Maharashtra</v>
      </c>
      <c r="E4128" s="15">
        <v>3300.0</v>
      </c>
      <c r="F4128" s="16">
        <v>1059.934</v>
      </c>
      <c r="G4128" s="16">
        <v>0.0</v>
      </c>
      <c r="H4128" s="16">
        <v>0.0</v>
      </c>
      <c r="I4128" s="16">
        <v>0.0</v>
      </c>
      <c r="J4128" s="16">
        <v>0.0</v>
      </c>
      <c r="K4128" s="16">
        <v>0.0</v>
      </c>
      <c r="L4128" s="16">
        <v>1059.934</v>
      </c>
      <c r="M4128" s="16">
        <v>1127.937</v>
      </c>
      <c r="N4128" s="16">
        <v>253.58</v>
      </c>
      <c r="O4128" s="17">
        <v>6.7</v>
      </c>
      <c r="P4128" s="18">
        <f t="shared" si="1"/>
        <v>1059.934</v>
      </c>
    </row>
    <row r="4129" ht="15.75" customHeight="1">
      <c r="A4129" s="19" t="s">
        <v>244</v>
      </c>
      <c r="B4129" s="19" t="s">
        <v>133</v>
      </c>
      <c r="C4129" s="20" t="s">
        <v>134</v>
      </c>
      <c r="D4129" s="14" t="str">
        <f>VLOOKUP(C4129,'State Key'!$A$2:$B$210,2,False)</f>
        <v>Chhattisgarh</v>
      </c>
      <c r="E4129" s="21">
        <v>1800.0</v>
      </c>
      <c r="F4129" s="22">
        <v>635.7289</v>
      </c>
      <c r="G4129" s="22">
        <v>0.0</v>
      </c>
      <c r="H4129" s="22">
        <v>0.0</v>
      </c>
      <c r="I4129" s="22">
        <v>0.0</v>
      </c>
      <c r="J4129" s="22">
        <v>0.0</v>
      </c>
      <c r="K4129" s="22">
        <v>0.0</v>
      </c>
      <c r="L4129" s="22">
        <v>635.7289</v>
      </c>
      <c r="M4129" s="22">
        <v>592.6519</v>
      </c>
      <c r="N4129" s="22">
        <v>641.38</v>
      </c>
      <c r="O4129" s="24">
        <v>32.5</v>
      </c>
      <c r="P4129" s="18">
        <f t="shared" si="1"/>
        <v>635.7289</v>
      </c>
    </row>
    <row r="4130" ht="15.75" customHeight="1">
      <c r="A4130" s="13" t="s">
        <v>244</v>
      </c>
      <c r="B4130" s="13" t="s">
        <v>133</v>
      </c>
      <c r="C4130" s="14" t="s">
        <v>135</v>
      </c>
      <c r="D4130" s="14" t="str">
        <f>VLOOKUP(C4130,'State Key'!$A$2:$B$210,2,False)</f>
        <v>Madhya Pradesh</v>
      </c>
      <c r="E4130" s="15">
        <v>210.0</v>
      </c>
      <c r="F4130" s="16">
        <v>88.391</v>
      </c>
      <c r="G4130" s="16">
        <v>0.0</v>
      </c>
      <c r="H4130" s="16">
        <v>0.0</v>
      </c>
      <c r="I4130" s="16">
        <v>0.0</v>
      </c>
      <c r="J4130" s="16">
        <v>0.0</v>
      </c>
      <c r="K4130" s="16">
        <v>0.0</v>
      </c>
      <c r="L4130" s="16">
        <v>88.391</v>
      </c>
      <c r="M4130" s="16">
        <v>79.965</v>
      </c>
      <c r="N4130" s="16">
        <v>101.76</v>
      </c>
      <c r="O4130" s="24">
        <v>38.2</v>
      </c>
      <c r="P4130" s="18">
        <f t="shared" si="1"/>
        <v>88.391</v>
      </c>
    </row>
    <row r="4131" ht="15.75" customHeight="1">
      <c r="A4131" s="19" t="s">
        <v>244</v>
      </c>
      <c r="B4131" s="19" t="s">
        <v>133</v>
      </c>
      <c r="C4131" s="20" t="s">
        <v>136</v>
      </c>
      <c r="D4131" s="14" t="str">
        <f>VLOOKUP(C4131,'State Key'!$A$2:$B$210,2,False)</f>
        <v>Maharashtra</v>
      </c>
      <c r="E4131" s="21">
        <v>1350.0</v>
      </c>
      <c r="F4131" s="22">
        <v>508.243</v>
      </c>
      <c r="G4131" s="22">
        <v>0.0</v>
      </c>
      <c r="H4131" s="22">
        <v>0.0</v>
      </c>
      <c r="I4131" s="22">
        <v>0.0</v>
      </c>
      <c r="J4131" s="22">
        <v>0.0</v>
      </c>
      <c r="K4131" s="22">
        <v>0.0</v>
      </c>
      <c r="L4131" s="22">
        <v>508.243</v>
      </c>
      <c r="M4131" s="22">
        <v>520.87</v>
      </c>
      <c r="N4131" s="22">
        <v>238.99</v>
      </c>
      <c r="O4131" s="23">
        <v>13.8</v>
      </c>
      <c r="P4131" s="18">
        <f t="shared" si="1"/>
        <v>508.243</v>
      </c>
    </row>
    <row r="4132" ht="15.75" customHeight="1">
      <c r="A4132" s="13" t="s">
        <v>244</v>
      </c>
      <c r="B4132" s="13" t="s">
        <v>133</v>
      </c>
      <c r="C4132" s="14" t="s">
        <v>137</v>
      </c>
      <c r="D4132" s="14" t="str">
        <f>VLOOKUP(C4132,'State Key'!$A$2:$B$210,2,False)</f>
        <v>Madhya Pradesh</v>
      </c>
      <c r="E4132" s="15">
        <v>1250.0</v>
      </c>
      <c r="F4132" s="16">
        <v>278.15</v>
      </c>
      <c r="G4132" s="16">
        <v>0.0</v>
      </c>
      <c r="H4132" s="16">
        <v>0.0</v>
      </c>
      <c r="I4132" s="16">
        <v>191.74</v>
      </c>
      <c r="J4132" s="16">
        <v>0.0</v>
      </c>
      <c r="K4132" s="16">
        <v>0.0</v>
      </c>
      <c r="L4132" s="16">
        <v>469.89</v>
      </c>
      <c r="M4132" s="16">
        <v>492.7</v>
      </c>
      <c r="N4132" s="16">
        <v>515.26</v>
      </c>
      <c r="O4132" s="24">
        <v>31.4</v>
      </c>
      <c r="P4132" s="18">
        <f t="shared" si="1"/>
        <v>469.89</v>
      </c>
    </row>
    <row r="4133" ht="15.75" customHeight="1">
      <c r="A4133" s="19" t="s">
        <v>244</v>
      </c>
      <c r="B4133" s="19" t="s">
        <v>133</v>
      </c>
      <c r="C4133" s="20" t="s">
        <v>139</v>
      </c>
      <c r="D4133" s="14" t="str">
        <f>VLOOKUP(C4133,'State Key'!$A$2:$B$210,2,False)</f>
        <v>Chhattisgarh</v>
      </c>
      <c r="E4133" s="21">
        <v>600.0</v>
      </c>
      <c r="F4133" s="22">
        <v>161.0</v>
      </c>
      <c r="G4133" s="22">
        <v>0.0</v>
      </c>
      <c r="H4133" s="22">
        <v>0.0</v>
      </c>
      <c r="I4133" s="22">
        <v>38.7</v>
      </c>
      <c r="J4133" s="22">
        <v>0.0</v>
      </c>
      <c r="K4133" s="22">
        <v>55.3</v>
      </c>
      <c r="L4133" s="22">
        <v>255.0</v>
      </c>
      <c r="M4133" s="22">
        <v>223.717</v>
      </c>
      <c r="N4133" s="22">
        <v>59.08</v>
      </c>
      <c r="O4133" s="23">
        <v>7.9</v>
      </c>
      <c r="P4133" s="18">
        <f t="shared" si="1"/>
        <v>255</v>
      </c>
    </row>
    <row r="4134" ht="15.75" customHeight="1">
      <c r="A4134" s="13" t="s">
        <v>244</v>
      </c>
      <c r="B4134" s="13" t="s">
        <v>133</v>
      </c>
      <c r="C4134" s="14" t="s">
        <v>140</v>
      </c>
      <c r="D4134" s="14" t="str">
        <f>VLOOKUP(C4134,'State Key'!$A$2:$B$210,2,False)</f>
        <v>Chhattisgarh</v>
      </c>
      <c r="E4134" s="15">
        <v>300.0</v>
      </c>
      <c r="F4134" s="16">
        <v>85.586</v>
      </c>
      <c r="G4134" s="16">
        <v>0.0</v>
      </c>
      <c r="H4134" s="16">
        <v>0.0</v>
      </c>
      <c r="I4134" s="16">
        <v>35.626</v>
      </c>
      <c r="J4134" s="16">
        <v>0.0</v>
      </c>
      <c r="K4134" s="16">
        <v>0.0</v>
      </c>
      <c r="L4134" s="16">
        <v>121.212</v>
      </c>
      <c r="M4134" s="16">
        <v>81.941</v>
      </c>
      <c r="N4134" s="16">
        <v>165.1</v>
      </c>
      <c r="O4134" s="24">
        <v>60.4</v>
      </c>
      <c r="P4134" s="18">
        <f t="shared" si="1"/>
        <v>121.212</v>
      </c>
    </row>
    <row r="4135" ht="15.75" customHeight="1">
      <c r="A4135" s="19" t="s">
        <v>244</v>
      </c>
      <c r="B4135" s="19" t="s">
        <v>133</v>
      </c>
      <c r="C4135" s="20" t="s">
        <v>141</v>
      </c>
      <c r="D4135" s="14" t="str">
        <f>VLOOKUP(C4135,'State Key'!$A$2:$B$210,2,False)</f>
        <v>Chhattisgarh</v>
      </c>
      <c r="E4135" s="21">
        <v>1200.0</v>
      </c>
      <c r="F4135" s="22">
        <v>490.55932</v>
      </c>
      <c r="G4135" s="22">
        <v>0.0</v>
      </c>
      <c r="H4135" s="22">
        <v>0.0</v>
      </c>
      <c r="I4135" s="22">
        <v>0.0</v>
      </c>
      <c r="J4135" s="22">
        <v>0.0</v>
      </c>
      <c r="K4135" s="22">
        <v>0.0</v>
      </c>
      <c r="L4135" s="22">
        <v>490.55932</v>
      </c>
      <c r="M4135" s="22">
        <v>488.334</v>
      </c>
      <c r="N4135" s="22">
        <v>501.31</v>
      </c>
      <c r="O4135" s="24">
        <v>30.8</v>
      </c>
      <c r="P4135" s="18">
        <f t="shared" si="1"/>
        <v>490.55932</v>
      </c>
    </row>
    <row r="4136" ht="15.75" customHeight="1">
      <c r="A4136" s="13" t="s">
        <v>244</v>
      </c>
      <c r="B4136" s="13" t="s">
        <v>133</v>
      </c>
      <c r="C4136" s="14" t="s">
        <v>142</v>
      </c>
      <c r="D4136" s="14" t="str">
        <f>VLOOKUP(C4136,'State Key'!$A$2:$B$210,2,False)</f>
        <v>Maharashtra</v>
      </c>
      <c r="E4136" s="15">
        <v>270.0</v>
      </c>
      <c r="F4136" s="16">
        <v>75.215</v>
      </c>
      <c r="G4136" s="16">
        <v>0.0</v>
      </c>
      <c r="H4136" s="16">
        <v>0.0</v>
      </c>
      <c r="I4136" s="16">
        <v>22.366</v>
      </c>
      <c r="J4136" s="16">
        <v>0.0</v>
      </c>
      <c r="K4136" s="16">
        <v>0.0</v>
      </c>
      <c r="L4136" s="16">
        <v>97.581</v>
      </c>
      <c r="M4136" s="16">
        <v>88.889</v>
      </c>
      <c r="N4136" s="16">
        <v>126.744</v>
      </c>
      <c r="O4136" s="24">
        <v>42.8</v>
      </c>
      <c r="P4136" s="18">
        <f t="shared" si="1"/>
        <v>97.581</v>
      </c>
    </row>
    <row r="4137" ht="15.75" customHeight="1">
      <c r="A4137" s="19" t="s">
        <v>244</v>
      </c>
      <c r="B4137" s="19" t="s">
        <v>133</v>
      </c>
      <c r="C4137" s="20" t="s">
        <v>143</v>
      </c>
      <c r="D4137" s="14" t="str">
        <f>VLOOKUP(C4137,'State Key'!$A$2:$B$210,2,False)</f>
        <v>Chhattisgarh</v>
      </c>
      <c r="E4137" s="21">
        <v>500.0</v>
      </c>
      <c r="F4137" s="22">
        <v>227.634</v>
      </c>
      <c r="G4137" s="22">
        <v>0.0</v>
      </c>
      <c r="H4137" s="22">
        <v>0.0</v>
      </c>
      <c r="I4137" s="22">
        <v>0.0</v>
      </c>
      <c r="J4137" s="22">
        <v>0.0</v>
      </c>
      <c r="K4137" s="22">
        <v>0.0</v>
      </c>
      <c r="L4137" s="22">
        <v>227.634</v>
      </c>
      <c r="M4137" s="22">
        <v>224.302</v>
      </c>
      <c r="N4137" s="22">
        <v>174.17</v>
      </c>
      <c r="O4137" s="24">
        <v>23.3</v>
      </c>
      <c r="P4137" s="18">
        <f t="shared" si="1"/>
        <v>227.634</v>
      </c>
    </row>
    <row r="4138" ht="15.75" customHeight="1">
      <c r="A4138" s="13" t="s">
        <v>244</v>
      </c>
      <c r="B4138" s="13" t="s">
        <v>133</v>
      </c>
      <c r="C4138" s="14" t="s">
        <v>144</v>
      </c>
      <c r="D4138" s="14" t="str">
        <f>VLOOKUP(C4138,'State Key'!$A$2:$B$210,2,False)</f>
        <v>Maharashtra</v>
      </c>
      <c r="E4138" s="15">
        <v>1870.0</v>
      </c>
      <c r="F4138" s="16">
        <v>569.089</v>
      </c>
      <c r="G4138" s="16">
        <v>59.074</v>
      </c>
      <c r="H4138" s="16">
        <v>0.0</v>
      </c>
      <c r="I4138" s="16">
        <v>0.0</v>
      </c>
      <c r="J4138" s="16">
        <v>35.505</v>
      </c>
      <c r="K4138" s="16">
        <v>0.0</v>
      </c>
      <c r="L4138" s="16">
        <v>663.668</v>
      </c>
      <c r="M4138" s="16">
        <v>759.958</v>
      </c>
      <c r="N4138" s="16">
        <v>602.93</v>
      </c>
      <c r="O4138" s="24">
        <v>23.8</v>
      </c>
      <c r="P4138" s="18">
        <f t="shared" si="1"/>
        <v>663.668</v>
      </c>
    </row>
    <row r="4139" ht="15.75" customHeight="1">
      <c r="A4139" s="19" t="s">
        <v>244</v>
      </c>
      <c r="B4139" s="19" t="s">
        <v>133</v>
      </c>
      <c r="C4139" s="20" t="s">
        <v>145</v>
      </c>
      <c r="D4139" s="14" t="str">
        <f>VLOOKUP(C4139,'State Key'!$A$2:$B$210,2,False)</f>
        <v>Madhya Pradesh</v>
      </c>
      <c r="E4139" s="21">
        <v>500.0</v>
      </c>
      <c r="F4139" s="22">
        <v>86.26</v>
      </c>
      <c r="G4139" s="22">
        <v>0.0</v>
      </c>
      <c r="H4139" s="22">
        <v>0.0</v>
      </c>
      <c r="I4139" s="22">
        <v>50.12</v>
      </c>
      <c r="J4139" s="22">
        <v>0.0</v>
      </c>
      <c r="K4139" s="22">
        <v>0.0</v>
      </c>
      <c r="L4139" s="22">
        <v>136.38</v>
      </c>
      <c r="M4139" s="22">
        <v>109.35</v>
      </c>
      <c r="N4139" s="22">
        <v>204.62</v>
      </c>
      <c r="O4139" s="24">
        <v>56.1</v>
      </c>
      <c r="P4139" s="18">
        <f t="shared" si="1"/>
        <v>136.38</v>
      </c>
    </row>
    <row r="4140" ht="15.75" customHeight="1">
      <c r="A4140" s="13" t="s">
        <v>244</v>
      </c>
      <c r="B4140" s="13" t="s">
        <v>133</v>
      </c>
      <c r="C4140" s="14" t="s">
        <v>146</v>
      </c>
      <c r="D4140" s="14" t="str">
        <f>VLOOKUP(C4140,'State Key'!$A$2:$B$210,2,False)</f>
        <v>Chhattisgarh</v>
      </c>
      <c r="E4140" s="15">
        <v>600.0</v>
      </c>
      <c r="F4140" s="16">
        <v>12.487</v>
      </c>
      <c r="G4140" s="16">
        <v>0.0</v>
      </c>
      <c r="H4140" s="16">
        <v>0.0</v>
      </c>
      <c r="I4140" s="16">
        <v>132.094</v>
      </c>
      <c r="J4140" s="16">
        <v>0.0</v>
      </c>
      <c r="K4140" s="16">
        <v>91.677</v>
      </c>
      <c r="L4140" s="16">
        <v>236.258</v>
      </c>
      <c r="M4140" s="16">
        <v>265.944</v>
      </c>
      <c r="N4140" s="16">
        <v>146.71</v>
      </c>
      <c r="O4140" s="24">
        <v>16.5</v>
      </c>
      <c r="P4140" s="18">
        <f t="shared" si="1"/>
        <v>236.258</v>
      </c>
    </row>
    <row r="4141" ht="15.75" customHeight="1">
      <c r="A4141" s="19" t="s">
        <v>244</v>
      </c>
      <c r="B4141" s="19" t="s">
        <v>133</v>
      </c>
      <c r="C4141" s="20" t="s">
        <v>147</v>
      </c>
      <c r="D4141" s="14" t="str">
        <f>VLOOKUP(C4141,'State Key'!$A$2:$B$210,2,False)</f>
        <v>Maharashtra</v>
      </c>
      <c r="E4141" s="21">
        <v>600.0</v>
      </c>
      <c r="F4141" s="22">
        <v>0.0</v>
      </c>
      <c r="G4141" s="22">
        <v>0.0</v>
      </c>
      <c r="H4141" s="22">
        <v>0.0</v>
      </c>
      <c r="I4141" s="22">
        <v>0.0</v>
      </c>
      <c r="J4141" s="22">
        <v>0.0</v>
      </c>
      <c r="K4141" s="22">
        <v>0.0</v>
      </c>
      <c r="L4141" s="22">
        <v>0.0</v>
      </c>
      <c r="M4141" s="22">
        <v>0.0</v>
      </c>
      <c r="N4141" s="22">
        <v>0.0</v>
      </c>
      <c r="O4141" s="19" t="s">
        <v>58</v>
      </c>
      <c r="P4141" s="18">
        <f t="shared" si="1"/>
        <v>0</v>
      </c>
    </row>
    <row r="4142" ht="15.75" customHeight="1">
      <c r="A4142" s="13" t="s">
        <v>244</v>
      </c>
      <c r="B4142" s="13" t="s">
        <v>133</v>
      </c>
      <c r="C4142" s="14" t="s">
        <v>148</v>
      </c>
      <c r="D4142" s="14" t="str">
        <f>VLOOKUP(C4142,'State Key'!$A$2:$B$210,2,False)</f>
        <v>Chhattisgarh</v>
      </c>
      <c r="E4142" s="15">
        <v>30.0</v>
      </c>
      <c r="F4142" s="16">
        <v>2.59041</v>
      </c>
      <c r="G4142" s="16">
        <v>0.0</v>
      </c>
      <c r="H4142" s="16">
        <v>0.0</v>
      </c>
      <c r="I4142" s="16">
        <v>0.0</v>
      </c>
      <c r="J4142" s="16">
        <v>0.0</v>
      </c>
      <c r="K4142" s="16">
        <v>34.014</v>
      </c>
      <c r="L4142" s="16">
        <v>36.60441</v>
      </c>
      <c r="M4142" s="16">
        <v>41.041</v>
      </c>
      <c r="N4142" s="16">
        <v>7.18</v>
      </c>
      <c r="O4142" s="17">
        <v>5.2</v>
      </c>
      <c r="P4142" s="18">
        <f t="shared" si="1"/>
        <v>36.60441</v>
      </c>
    </row>
    <row r="4143" ht="15.75" customHeight="1">
      <c r="A4143" s="19" t="s">
        <v>244</v>
      </c>
      <c r="B4143" s="19" t="s">
        <v>133</v>
      </c>
      <c r="C4143" s="20" t="s">
        <v>149</v>
      </c>
      <c r="D4143" s="14" t="str">
        <f>VLOOKUP(C4143,'State Key'!$A$2:$B$210,2,False)</f>
        <v>Maharashtra</v>
      </c>
      <c r="E4143" s="21">
        <v>2920.0</v>
      </c>
      <c r="F4143" s="22">
        <v>855.3</v>
      </c>
      <c r="G4143" s="22">
        <v>47.985</v>
      </c>
      <c r="H4143" s="22">
        <v>0.0</v>
      </c>
      <c r="I4143" s="22">
        <v>0.0</v>
      </c>
      <c r="J4143" s="22">
        <v>113.764</v>
      </c>
      <c r="K4143" s="22">
        <v>0.0</v>
      </c>
      <c r="L4143" s="22">
        <v>1017.049</v>
      </c>
      <c r="M4143" s="22">
        <v>820.99</v>
      </c>
      <c r="N4143" s="22">
        <v>1050.43</v>
      </c>
      <c r="O4143" s="24">
        <v>38.4</v>
      </c>
      <c r="P4143" s="18">
        <f t="shared" si="1"/>
        <v>1017.049</v>
      </c>
    </row>
    <row r="4144" ht="15.75" customHeight="1">
      <c r="A4144" s="13" t="s">
        <v>244</v>
      </c>
      <c r="B4144" s="13" t="s">
        <v>133</v>
      </c>
      <c r="C4144" s="14" t="s">
        <v>150</v>
      </c>
      <c r="D4144" s="14" t="str">
        <f>VLOOKUP(C4144,'State Key'!$A$2:$B$210,2,False)</f>
        <v>Maharashtra</v>
      </c>
      <c r="E4144" s="15">
        <v>500.0</v>
      </c>
      <c r="F4144" s="16">
        <v>216.439</v>
      </c>
      <c r="G4144" s="16">
        <v>0.0</v>
      </c>
      <c r="H4144" s="16">
        <v>0.0</v>
      </c>
      <c r="I4144" s="16">
        <v>0.0</v>
      </c>
      <c r="J4144" s="16">
        <v>0.0</v>
      </c>
      <c r="K4144" s="16">
        <v>0.0</v>
      </c>
      <c r="L4144" s="16">
        <v>216.439</v>
      </c>
      <c r="M4144" s="16">
        <v>150.725</v>
      </c>
      <c r="N4144" s="16">
        <v>133.29</v>
      </c>
      <c r="O4144" s="24">
        <v>26.5</v>
      </c>
      <c r="P4144" s="18">
        <f t="shared" si="1"/>
        <v>216.439</v>
      </c>
    </row>
    <row r="4145" ht="15.75" customHeight="1">
      <c r="A4145" s="19" t="s">
        <v>244</v>
      </c>
      <c r="B4145" s="19" t="s">
        <v>133</v>
      </c>
      <c r="C4145" s="20" t="s">
        <v>151</v>
      </c>
      <c r="D4145" s="14" t="str">
        <f>VLOOKUP(C4145,'State Key'!$A$2:$B$210,2,False)</f>
        <v>Maharashtra</v>
      </c>
      <c r="E4145" s="21">
        <v>600.0</v>
      </c>
      <c r="F4145" s="22">
        <v>173.335</v>
      </c>
      <c r="G4145" s="22">
        <v>0.0</v>
      </c>
      <c r="H4145" s="22">
        <v>0.0</v>
      </c>
      <c r="I4145" s="22">
        <v>24.863</v>
      </c>
      <c r="J4145" s="22">
        <v>0.0</v>
      </c>
      <c r="K4145" s="22">
        <v>0.0</v>
      </c>
      <c r="L4145" s="22">
        <v>198.198</v>
      </c>
      <c r="M4145" s="22">
        <v>235.091</v>
      </c>
      <c r="N4145" s="22">
        <v>191.74</v>
      </c>
      <c r="O4145" s="24">
        <v>24.5</v>
      </c>
      <c r="P4145" s="18">
        <f t="shared" si="1"/>
        <v>198.198</v>
      </c>
    </row>
    <row r="4146" ht="15.75" customHeight="1">
      <c r="A4146" s="13" t="s">
        <v>244</v>
      </c>
      <c r="B4146" s="13" t="s">
        <v>133</v>
      </c>
      <c r="C4146" s="14" t="s">
        <v>152</v>
      </c>
      <c r="D4146" s="14" t="str">
        <f>VLOOKUP(C4146,'State Key'!$A$2:$B$210,2,False)</f>
        <v>Chhattisgarh</v>
      </c>
      <c r="E4146" s="15">
        <v>500.0</v>
      </c>
      <c r="F4146" s="16">
        <v>269.293</v>
      </c>
      <c r="G4146" s="16">
        <v>0.0</v>
      </c>
      <c r="H4146" s="16">
        <v>0.0</v>
      </c>
      <c r="I4146" s="16">
        <v>0.0</v>
      </c>
      <c r="J4146" s="16">
        <v>0.0</v>
      </c>
      <c r="K4146" s="16">
        <v>0.0</v>
      </c>
      <c r="L4146" s="16">
        <v>269.293</v>
      </c>
      <c r="M4146" s="16">
        <v>219.244</v>
      </c>
      <c r="N4146" s="16">
        <v>238.256</v>
      </c>
      <c r="O4146" s="24">
        <v>32.6</v>
      </c>
      <c r="P4146" s="18">
        <f t="shared" si="1"/>
        <v>269.293</v>
      </c>
    </row>
    <row r="4147" ht="15.75" customHeight="1">
      <c r="A4147" s="19" t="s">
        <v>244</v>
      </c>
      <c r="B4147" s="19" t="s">
        <v>133</v>
      </c>
      <c r="C4147" s="20" t="s">
        <v>153</v>
      </c>
      <c r="D4147" s="14" t="str">
        <f>VLOOKUP(C4147,'State Key'!$A$2:$B$210,2,False)</f>
        <v>Madhya Pradesh</v>
      </c>
      <c r="E4147" s="21">
        <v>1600.0</v>
      </c>
      <c r="F4147" s="22">
        <v>250.1</v>
      </c>
      <c r="G4147" s="22">
        <v>0.0</v>
      </c>
      <c r="H4147" s="22">
        <v>148.9</v>
      </c>
      <c r="I4147" s="22">
        <v>0.0</v>
      </c>
      <c r="J4147" s="22">
        <v>0.0</v>
      </c>
      <c r="K4147" s="22">
        <v>103.71</v>
      </c>
      <c r="L4147" s="22">
        <v>502.71</v>
      </c>
      <c r="M4147" s="22">
        <v>545.612</v>
      </c>
      <c r="N4147" s="22">
        <v>336.55</v>
      </c>
      <c r="O4147" s="24">
        <v>18.5</v>
      </c>
      <c r="P4147" s="18">
        <f t="shared" si="1"/>
        <v>502.71</v>
      </c>
    </row>
    <row r="4148" ht="15.75" customHeight="1">
      <c r="A4148" s="13" t="s">
        <v>244</v>
      </c>
      <c r="B4148" s="13" t="s">
        <v>133</v>
      </c>
      <c r="C4148" s="14" t="s">
        <v>154</v>
      </c>
      <c r="D4148" s="14" t="str">
        <f>VLOOKUP(C4148,'State Key'!$A$2:$B$210,2,False)</f>
        <v>Gujarat</v>
      </c>
      <c r="E4148" s="15">
        <v>630.0</v>
      </c>
      <c r="F4148" s="16">
        <v>12.01056</v>
      </c>
      <c r="G4148" s="16">
        <v>0.0</v>
      </c>
      <c r="H4148" s="16">
        <v>0.0</v>
      </c>
      <c r="I4148" s="16">
        <v>0.0</v>
      </c>
      <c r="J4148" s="16">
        <v>16.20614</v>
      </c>
      <c r="K4148" s="16">
        <v>0.0</v>
      </c>
      <c r="L4148" s="16">
        <v>28.2167</v>
      </c>
      <c r="M4148" s="16">
        <v>76.855</v>
      </c>
      <c r="N4148" s="16">
        <v>163.63</v>
      </c>
      <c r="O4148" s="24">
        <v>63.9</v>
      </c>
      <c r="P4148" s="18">
        <f t="shared" si="1"/>
        <v>28.2167</v>
      </c>
    </row>
    <row r="4149" ht="15.75" customHeight="1">
      <c r="A4149" s="19" t="s">
        <v>244</v>
      </c>
      <c r="B4149" s="19" t="s">
        <v>133</v>
      </c>
      <c r="C4149" s="20" t="s">
        <v>155</v>
      </c>
      <c r="D4149" s="14" t="str">
        <f>VLOOKUP(C4149,'State Key'!$A$2:$B$210,2,False)</f>
        <v>Maharashtra</v>
      </c>
      <c r="E4149" s="21">
        <v>120.0</v>
      </c>
      <c r="F4149" s="22">
        <v>0.0</v>
      </c>
      <c r="G4149" s="22">
        <v>0.0</v>
      </c>
      <c r="H4149" s="22">
        <v>0.0</v>
      </c>
      <c r="I4149" s="22">
        <v>0.0</v>
      </c>
      <c r="J4149" s="22">
        <v>0.0</v>
      </c>
      <c r="K4149" s="22">
        <v>0.0</v>
      </c>
      <c r="L4149" s="22">
        <v>0.0</v>
      </c>
      <c r="M4149" s="22">
        <v>0.0</v>
      </c>
      <c r="N4149" s="22">
        <v>0.0</v>
      </c>
      <c r="O4149" s="19" t="s">
        <v>58</v>
      </c>
      <c r="P4149" s="18">
        <f t="shared" si="1"/>
        <v>0</v>
      </c>
    </row>
    <row r="4150" ht="15.75" customHeight="1">
      <c r="A4150" s="13" t="s">
        <v>244</v>
      </c>
      <c r="B4150" s="13" t="s">
        <v>133</v>
      </c>
      <c r="C4150" s="14" t="s">
        <v>156</v>
      </c>
      <c r="D4150" s="14" t="str">
        <f>VLOOKUP(C4150,'State Key'!$A$2:$B$210,2,False)</f>
        <v>Maharashtra</v>
      </c>
      <c r="E4150" s="15">
        <v>600.0</v>
      </c>
      <c r="F4150" s="16">
        <v>167.604</v>
      </c>
      <c r="G4150" s="16">
        <v>0.0</v>
      </c>
      <c r="H4150" s="16">
        <v>0.0</v>
      </c>
      <c r="I4150" s="16">
        <v>16.11</v>
      </c>
      <c r="J4150" s="16">
        <v>0.0</v>
      </c>
      <c r="K4150" s="16">
        <v>0.0</v>
      </c>
      <c r="L4150" s="16">
        <v>183.714</v>
      </c>
      <c r="M4150" s="16">
        <v>233.385</v>
      </c>
      <c r="N4150" s="16">
        <v>76.083</v>
      </c>
      <c r="O4150" s="23">
        <v>9.8</v>
      </c>
      <c r="P4150" s="18">
        <f t="shared" si="1"/>
        <v>183.714</v>
      </c>
    </row>
    <row r="4151" ht="15.75" customHeight="1">
      <c r="A4151" s="19" t="s">
        <v>244</v>
      </c>
      <c r="B4151" s="19" t="s">
        <v>133</v>
      </c>
      <c r="C4151" s="20" t="s">
        <v>157</v>
      </c>
      <c r="D4151" s="14" t="str">
        <f>VLOOKUP(C4151,'State Key'!$A$2:$B$210,2,False)</f>
        <v>Maharashtra</v>
      </c>
      <c r="E4151" s="21">
        <v>300.0</v>
      </c>
      <c r="F4151" s="22">
        <v>0.0</v>
      </c>
      <c r="G4151" s="22">
        <v>0.0</v>
      </c>
      <c r="H4151" s="22">
        <v>0.0</v>
      </c>
      <c r="I4151" s="22">
        <v>0.0</v>
      </c>
      <c r="J4151" s="22">
        <v>90.0</v>
      </c>
      <c r="K4151" s="22">
        <v>0.0</v>
      </c>
      <c r="L4151" s="22">
        <v>90.0</v>
      </c>
      <c r="M4151" s="22">
        <v>80.64</v>
      </c>
      <c r="N4151" s="22">
        <v>50.84</v>
      </c>
      <c r="O4151" s="24">
        <v>18.9</v>
      </c>
      <c r="P4151" s="18">
        <f t="shared" si="1"/>
        <v>90</v>
      </c>
    </row>
    <row r="4152" ht="15.75" customHeight="1">
      <c r="A4152" s="13" t="s">
        <v>244</v>
      </c>
      <c r="B4152" s="13" t="s">
        <v>133</v>
      </c>
      <c r="C4152" s="14" t="s">
        <v>158</v>
      </c>
      <c r="D4152" s="14" t="str">
        <f>VLOOKUP(C4152,'State Key'!$A$2:$B$210,2,False)</f>
        <v>Chhattisgarh</v>
      </c>
      <c r="E4152" s="15">
        <v>270.0</v>
      </c>
      <c r="F4152" s="16">
        <v>62.0477</v>
      </c>
      <c r="G4152" s="16">
        <v>0.0</v>
      </c>
      <c r="H4152" s="16">
        <v>0.0</v>
      </c>
      <c r="I4152" s="16">
        <v>0.0</v>
      </c>
      <c r="J4152" s="16">
        <v>0.0</v>
      </c>
      <c r="K4152" s="16">
        <v>85.083</v>
      </c>
      <c r="L4152" s="16">
        <v>147.1307</v>
      </c>
      <c r="M4152" s="16">
        <v>135.911</v>
      </c>
      <c r="N4152" s="16">
        <v>32.95</v>
      </c>
      <c r="O4152" s="23">
        <v>7.3</v>
      </c>
      <c r="P4152" s="18">
        <f t="shared" si="1"/>
        <v>147.1307</v>
      </c>
    </row>
    <row r="4153" ht="15.75" customHeight="1">
      <c r="A4153" s="19" t="s">
        <v>244</v>
      </c>
      <c r="B4153" s="19" t="s">
        <v>133</v>
      </c>
      <c r="C4153" s="20" t="s">
        <v>159</v>
      </c>
      <c r="D4153" s="14" t="str">
        <f>VLOOKUP(C4153,'State Key'!$A$2:$B$210,2,False)</f>
        <v>Chhattisgarh</v>
      </c>
      <c r="E4153" s="21">
        <v>35.0</v>
      </c>
      <c r="F4153" s="22">
        <v>0.0</v>
      </c>
      <c r="G4153" s="22">
        <v>0.0</v>
      </c>
      <c r="H4153" s="22">
        <v>0.0</v>
      </c>
      <c r="I4153" s="22">
        <v>0.0</v>
      </c>
      <c r="J4153" s="22">
        <v>0.0</v>
      </c>
      <c r="K4153" s="22">
        <v>0.0</v>
      </c>
      <c r="L4153" s="22">
        <v>0.0</v>
      </c>
      <c r="M4153" s="22">
        <v>0.0</v>
      </c>
      <c r="N4153" s="22">
        <v>0.0</v>
      </c>
      <c r="O4153" s="19" t="s">
        <v>58</v>
      </c>
      <c r="P4153" s="18">
        <f t="shared" si="1"/>
        <v>0</v>
      </c>
    </row>
    <row r="4154" ht="15.75" customHeight="1">
      <c r="A4154" s="13" t="s">
        <v>244</v>
      </c>
      <c r="B4154" s="13" t="s">
        <v>133</v>
      </c>
      <c r="C4154" s="14" t="s">
        <v>160</v>
      </c>
      <c r="D4154" s="14" t="str">
        <f>VLOOKUP(C4154,'State Key'!$A$2:$B$210,2,False)</f>
        <v>Maharashtra</v>
      </c>
      <c r="E4154" s="15">
        <v>1340.0</v>
      </c>
      <c r="F4154" s="16">
        <v>497.68</v>
      </c>
      <c r="G4154" s="16">
        <v>0.0</v>
      </c>
      <c r="H4154" s="16">
        <v>0.0</v>
      </c>
      <c r="I4154" s="16">
        <v>0.0</v>
      </c>
      <c r="J4154" s="16">
        <v>41.185</v>
      </c>
      <c r="K4154" s="16">
        <v>0.195</v>
      </c>
      <c r="L4154" s="16">
        <v>539.06</v>
      </c>
      <c r="M4154" s="16">
        <v>562.915</v>
      </c>
      <c r="N4154" s="16">
        <v>214.45</v>
      </c>
      <c r="O4154" s="23">
        <v>11.4</v>
      </c>
      <c r="P4154" s="18">
        <f t="shared" si="1"/>
        <v>539.06</v>
      </c>
    </row>
    <row r="4155" ht="15.75" customHeight="1">
      <c r="A4155" s="19" t="s">
        <v>244</v>
      </c>
      <c r="B4155" s="19" t="s">
        <v>133</v>
      </c>
      <c r="C4155" s="20" t="s">
        <v>161</v>
      </c>
      <c r="D4155" s="14" t="str">
        <f>VLOOKUP(C4155,'State Key'!$A$2:$B$210,2,False)</f>
        <v>Madhya Pradesh</v>
      </c>
      <c r="E4155" s="21">
        <v>1320.0</v>
      </c>
      <c r="F4155" s="22">
        <v>150.2</v>
      </c>
      <c r="G4155" s="22">
        <v>32.46</v>
      </c>
      <c r="H4155" s="22">
        <v>202.2</v>
      </c>
      <c r="I4155" s="22">
        <v>0.0</v>
      </c>
      <c r="J4155" s="22">
        <v>0.0</v>
      </c>
      <c r="K4155" s="22">
        <v>52.16</v>
      </c>
      <c r="L4155" s="22">
        <v>437.02</v>
      </c>
      <c r="M4155" s="22">
        <v>421.832</v>
      </c>
      <c r="N4155" s="22">
        <v>320.1</v>
      </c>
      <c r="O4155" s="24">
        <v>22.8</v>
      </c>
      <c r="P4155" s="18">
        <f t="shared" si="1"/>
        <v>437.02</v>
      </c>
    </row>
    <row r="4156" ht="15.75" customHeight="1">
      <c r="A4156" s="13" t="s">
        <v>244</v>
      </c>
      <c r="B4156" s="13" t="s">
        <v>133</v>
      </c>
      <c r="C4156" s="14" t="s">
        <v>162</v>
      </c>
      <c r="D4156" s="14" t="str">
        <f>VLOOKUP(C4156,'State Key'!$A$2:$B$210,2,False)</f>
        <v>Maharashtra</v>
      </c>
      <c r="E4156" s="15">
        <v>2190.0</v>
      </c>
      <c r="F4156" s="16">
        <v>636.237</v>
      </c>
      <c r="G4156" s="16">
        <v>157.881</v>
      </c>
      <c r="H4156" s="16">
        <v>0.0</v>
      </c>
      <c r="I4156" s="16">
        <v>0.0</v>
      </c>
      <c r="J4156" s="16">
        <v>0.0</v>
      </c>
      <c r="K4156" s="16">
        <v>0.0</v>
      </c>
      <c r="L4156" s="16">
        <v>794.118</v>
      </c>
      <c r="M4156" s="16">
        <v>742.157</v>
      </c>
      <c r="N4156" s="16">
        <v>483.492</v>
      </c>
      <c r="O4156" s="24">
        <v>19.5</v>
      </c>
      <c r="P4156" s="18">
        <f t="shared" si="1"/>
        <v>794.118</v>
      </c>
    </row>
    <row r="4157" ht="15.75" customHeight="1">
      <c r="A4157" s="19" t="s">
        <v>244</v>
      </c>
      <c r="B4157" s="19" t="s">
        <v>133</v>
      </c>
      <c r="C4157" s="20" t="s">
        <v>163</v>
      </c>
      <c r="D4157" s="14" t="str">
        <f>VLOOKUP(C4157,'State Key'!$A$2:$B$210,2,False)</f>
        <v>Chhattisgarh</v>
      </c>
      <c r="E4157" s="21">
        <v>2600.0</v>
      </c>
      <c r="F4157" s="22">
        <v>1257.07</v>
      </c>
      <c r="G4157" s="22">
        <v>0.0</v>
      </c>
      <c r="H4157" s="22">
        <v>0.0</v>
      </c>
      <c r="I4157" s="22">
        <v>0.0</v>
      </c>
      <c r="J4157" s="22">
        <v>0.0</v>
      </c>
      <c r="K4157" s="22">
        <v>0.0</v>
      </c>
      <c r="L4157" s="22">
        <v>1257.07</v>
      </c>
      <c r="M4157" s="22">
        <v>1116.404</v>
      </c>
      <c r="N4157" s="22">
        <v>743.69</v>
      </c>
      <c r="O4157" s="24">
        <v>20.0</v>
      </c>
      <c r="P4157" s="18">
        <f t="shared" si="1"/>
        <v>1257.07</v>
      </c>
    </row>
    <row r="4158" ht="15.75" customHeight="1">
      <c r="A4158" s="13" t="s">
        <v>244</v>
      </c>
      <c r="B4158" s="13" t="s">
        <v>133</v>
      </c>
      <c r="C4158" s="14" t="s">
        <v>164</v>
      </c>
      <c r="D4158" s="14" t="str">
        <f>VLOOKUP(C4158,'State Key'!$A$2:$B$210,2,False)</f>
        <v>Chhattisgarh</v>
      </c>
      <c r="E4158" s="15">
        <v>1340.0</v>
      </c>
      <c r="F4158" s="16">
        <v>625.925</v>
      </c>
      <c r="G4158" s="16">
        <v>0.0</v>
      </c>
      <c r="H4158" s="16">
        <v>0.0</v>
      </c>
      <c r="I4158" s="16">
        <v>0.0</v>
      </c>
      <c r="J4158" s="16">
        <v>0.0</v>
      </c>
      <c r="K4158" s="16">
        <v>0.0</v>
      </c>
      <c r="L4158" s="16">
        <v>625.925</v>
      </c>
      <c r="M4158" s="16">
        <v>551.165</v>
      </c>
      <c r="N4158" s="16">
        <v>220.03</v>
      </c>
      <c r="O4158" s="23">
        <v>12.0</v>
      </c>
      <c r="P4158" s="18">
        <f t="shared" si="1"/>
        <v>625.925</v>
      </c>
    </row>
    <row r="4159" ht="15.75" customHeight="1">
      <c r="A4159" s="19" t="s">
        <v>244</v>
      </c>
      <c r="B4159" s="19" t="s">
        <v>133</v>
      </c>
      <c r="C4159" s="20" t="s">
        <v>165</v>
      </c>
      <c r="D4159" s="14" t="str">
        <f>VLOOKUP(C4159,'State Key'!$A$2:$B$210,2,False)</f>
        <v>Chhattisgarh</v>
      </c>
      <c r="E4159" s="21">
        <v>1600.0</v>
      </c>
      <c r="F4159" s="22">
        <v>0.0</v>
      </c>
      <c r="G4159" s="22">
        <v>0.0</v>
      </c>
      <c r="H4159" s="22">
        <v>650.42</v>
      </c>
      <c r="I4159" s="22">
        <v>0.0</v>
      </c>
      <c r="J4159" s="22">
        <v>0.0</v>
      </c>
      <c r="K4159" s="22">
        <v>0.0</v>
      </c>
      <c r="L4159" s="22">
        <v>650.42</v>
      </c>
      <c r="M4159" s="22">
        <v>706.282</v>
      </c>
      <c r="N4159" s="22">
        <v>367.45</v>
      </c>
      <c r="O4159" s="24">
        <v>15.6</v>
      </c>
      <c r="P4159" s="18">
        <f t="shared" si="1"/>
        <v>650.42</v>
      </c>
    </row>
    <row r="4160" ht="15.75" customHeight="1">
      <c r="A4160" s="13" t="s">
        <v>244</v>
      </c>
      <c r="B4160" s="13" t="s">
        <v>133</v>
      </c>
      <c r="C4160" s="14" t="s">
        <v>166</v>
      </c>
      <c r="D4160" s="14" t="str">
        <f>VLOOKUP(C4160,'State Key'!$A$2:$B$210,2,False)</f>
        <v>Madhya Pradesh</v>
      </c>
      <c r="E4160" s="15">
        <v>1200.0</v>
      </c>
      <c r="F4160" s="16">
        <v>221.034</v>
      </c>
      <c r="G4160" s="16">
        <v>0.0</v>
      </c>
      <c r="H4160" s="16">
        <v>0.0</v>
      </c>
      <c r="I4160" s="16">
        <v>0.0</v>
      </c>
      <c r="J4160" s="16">
        <v>0.0</v>
      </c>
      <c r="K4160" s="16">
        <v>258.18</v>
      </c>
      <c r="L4160" s="16">
        <v>479.214</v>
      </c>
      <c r="M4160" s="16">
        <v>461.439</v>
      </c>
      <c r="N4160" s="16">
        <v>233.86</v>
      </c>
      <c r="O4160" s="24">
        <v>15.2</v>
      </c>
      <c r="P4160" s="18">
        <f t="shared" si="1"/>
        <v>479.214</v>
      </c>
    </row>
    <row r="4161" ht="15.75" customHeight="1">
      <c r="A4161" s="19" t="s">
        <v>244</v>
      </c>
      <c r="B4161" s="19" t="s">
        <v>133</v>
      </c>
      <c r="C4161" s="20" t="s">
        <v>167</v>
      </c>
      <c r="D4161" s="14" t="str">
        <f>VLOOKUP(C4161,'State Key'!$A$2:$B$210,2,False)</f>
        <v>Chhattisgarh</v>
      </c>
      <c r="E4161" s="21">
        <v>1000.0</v>
      </c>
      <c r="F4161" s="22">
        <v>68.189</v>
      </c>
      <c r="G4161" s="22">
        <v>0.0</v>
      </c>
      <c r="H4161" s="22">
        <v>455.61</v>
      </c>
      <c r="I4161" s="22">
        <v>0.0</v>
      </c>
      <c r="J4161" s="22">
        <v>0.0</v>
      </c>
      <c r="K4161" s="22">
        <v>0.0</v>
      </c>
      <c r="L4161" s="22">
        <v>523.799</v>
      </c>
      <c r="M4161" s="22">
        <v>367.66</v>
      </c>
      <c r="N4161" s="22">
        <v>616.09</v>
      </c>
      <c r="O4161" s="24">
        <v>50.3</v>
      </c>
      <c r="P4161" s="18">
        <f t="shared" si="1"/>
        <v>523.799</v>
      </c>
    </row>
    <row r="4162" ht="15.75" customHeight="1">
      <c r="A4162" s="13" t="s">
        <v>244</v>
      </c>
      <c r="B4162" s="13" t="s">
        <v>133</v>
      </c>
      <c r="C4162" s="14" t="s">
        <v>168</v>
      </c>
      <c r="D4162" s="14" t="str">
        <f>VLOOKUP(C4162,'State Key'!$A$2:$B$210,2,False)</f>
        <v>Maharashtra</v>
      </c>
      <c r="E4162" s="15">
        <v>2320.0</v>
      </c>
      <c r="F4162" s="16">
        <v>604.45</v>
      </c>
      <c r="G4162" s="16">
        <v>121.23</v>
      </c>
      <c r="H4162" s="16">
        <v>180.38</v>
      </c>
      <c r="I4162" s="16">
        <v>0.0</v>
      </c>
      <c r="J4162" s="16">
        <v>0.0</v>
      </c>
      <c r="K4162" s="16">
        <v>70.29</v>
      </c>
      <c r="L4162" s="16">
        <v>976.35</v>
      </c>
      <c r="M4162" s="16">
        <v>898.546</v>
      </c>
      <c r="N4162" s="16">
        <v>497.27</v>
      </c>
      <c r="O4162" s="24">
        <v>16.6</v>
      </c>
      <c r="P4162" s="18">
        <f t="shared" si="1"/>
        <v>976.35</v>
      </c>
    </row>
    <row r="4163" ht="15.75" customHeight="1">
      <c r="A4163" s="19" t="s">
        <v>244</v>
      </c>
      <c r="B4163" s="19" t="s">
        <v>133</v>
      </c>
      <c r="C4163" s="20" t="s">
        <v>169</v>
      </c>
      <c r="D4163" s="14" t="str">
        <f>VLOOKUP(C4163,'State Key'!$A$2:$B$210,2,False)</f>
        <v>Madhya Pradesh</v>
      </c>
      <c r="E4163" s="21">
        <v>246.01</v>
      </c>
      <c r="F4163" s="22">
        <v>0.0</v>
      </c>
      <c r="G4163" s="22">
        <v>0.0</v>
      </c>
      <c r="H4163" s="22">
        <v>0.0</v>
      </c>
      <c r="I4163" s="22">
        <v>0.0</v>
      </c>
      <c r="J4163" s="22">
        <v>0.0</v>
      </c>
      <c r="K4163" s="22">
        <v>0.0</v>
      </c>
      <c r="L4163" s="22">
        <v>0.0</v>
      </c>
      <c r="M4163" s="22">
        <v>0.0</v>
      </c>
      <c r="N4163" s="22">
        <v>0.0</v>
      </c>
      <c r="O4163" s="19" t="s">
        <v>58</v>
      </c>
      <c r="P4163" s="18">
        <f t="shared" si="1"/>
        <v>0</v>
      </c>
    </row>
    <row r="4164" ht="15.75" customHeight="1">
      <c r="A4164" s="13" t="s">
        <v>244</v>
      </c>
      <c r="B4164" s="13" t="s">
        <v>133</v>
      </c>
      <c r="C4164" s="14" t="s">
        <v>172</v>
      </c>
      <c r="D4164" s="14" t="str">
        <f>VLOOKUP(C4164,'State Key'!$A$2:$B$210,2,False)</f>
        <v>Gujarat</v>
      </c>
      <c r="E4164" s="15">
        <v>4000.0</v>
      </c>
      <c r="F4164" s="16">
        <v>0.0</v>
      </c>
      <c r="G4164" s="16">
        <v>0.0</v>
      </c>
      <c r="H4164" s="16">
        <v>0.0</v>
      </c>
      <c r="I4164" s="16">
        <v>0.0</v>
      </c>
      <c r="J4164" s="16">
        <v>1096.852</v>
      </c>
      <c r="K4164" s="16">
        <v>0.0</v>
      </c>
      <c r="L4164" s="16">
        <v>1096.852</v>
      </c>
      <c r="M4164" s="16">
        <v>846.205</v>
      </c>
      <c r="N4164" s="16">
        <v>530.94</v>
      </c>
      <c r="O4164" s="24">
        <v>18.8</v>
      </c>
      <c r="P4164" s="18">
        <f t="shared" si="1"/>
        <v>1096.852</v>
      </c>
    </row>
    <row r="4165" ht="15.75" customHeight="1">
      <c r="A4165" s="19" t="s">
        <v>244</v>
      </c>
      <c r="B4165" s="19" t="s">
        <v>133</v>
      </c>
      <c r="C4165" s="20" t="s">
        <v>173</v>
      </c>
      <c r="D4165" s="14" t="str">
        <f>VLOOKUP(C4165,'State Key'!$A$2:$B$210,2,False)</f>
        <v>Maharashtra</v>
      </c>
      <c r="E4165" s="21">
        <v>1350.0</v>
      </c>
      <c r="F4165" s="22">
        <v>0.0</v>
      </c>
      <c r="G4165" s="22">
        <v>0.0</v>
      </c>
      <c r="H4165" s="22">
        <v>0.0</v>
      </c>
      <c r="I4165" s="22">
        <v>0.0</v>
      </c>
      <c r="J4165" s="22">
        <v>0.0</v>
      </c>
      <c r="K4165" s="22">
        <v>0.0</v>
      </c>
      <c r="L4165" s="22">
        <v>0.0</v>
      </c>
      <c r="M4165" s="22">
        <v>0.0</v>
      </c>
      <c r="N4165" s="22">
        <v>0.0</v>
      </c>
      <c r="O4165" s="19" t="s">
        <v>58</v>
      </c>
      <c r="P4165" s="18">
        <f t="shared" si="1"/>
        <v>0</v>
      </c>
    </row>
    <row r="4166" ht="15.75" customHeight="1">
      <c r="A4166" s="13" t="s">
        <v>244</v>
      </c>
      <c r="B4166" s="13" t="s">
        <v>133</v>
      </c>
      <c r="C4166" s="14" t="s">
        <v>174</v>
      </c>
      <c r="D4166" s="14" t="str">
        <f>VLOOKUP(C4166,'State Key'!$A$2:$B$210,2,False)</f>
        <v>Maharashtra</v>
      </c>
      <c r="E4166" s="15">
        <v>630.0</v>
      </c>
      <c r="F4166" s="16">
        <v>223.36</v>
      </c>
      <c r="G4166" s="16">
        <v>0.0</v>
      </c>
      <c r="H4166" s="16">
        <v>0.0</v>
      </c>
      <c r="I4166" s="16">
        <v>0.0</v>
      </c>
      <c r="J4166" s="16">
        <v>27.283</v>
      </c>
      <c r="K4166" s="16">
        <v>0.0</v>
      </c>
      <c r="L4166" s="16">
        <v>250.643</v>
      </c>
      <c r="M4166" s="16">
        <v>219.355</v>
      </c>
      <c r="N4166" s="16">
        <v>215.56</v>
      </c>
      <c r="O4166" s="24">
        <v>29.5</v>
      </c>
      <c r="P4166" s="18">
        <f t="shared" si="1"/>
        <v>250.643</v>
      </c>
    </row>
    <row r="4167" ht="15.75" customHeight="1">
      <c r="A4167" s="19" t="s">
        <v>244</v>
      </c>
      <c r="B4167" s="19" t="s">
        <v>133</v>
      </c>
      <c r="C4167" s="20" t="s">
        <v>175</v>
      </c>
      <c r="D4167" s="14" t="str">
        <f>VLOOKUP(C4167,'State Key'!$A$2:$B$210,2,False)</f>
        <v>Chhattisgarh</v>
      </c>
      <c r="E4167" s="21">
        <v>600.0</v>
      </c>
      <c r="F4167" s="22">
        <v>314.063</v>
      </c>
      <c r="G4167" s="22">
        <v>0.0</v>
      </c>
      <c r="H4167" s="22">
        <v>0.0</v>
      </c>
      <c r="I4167" s="22">
        <v>5.495</v>
      </c>
      <c r="J4167" s="22">
        <v>0.0</v>
      </c>
      <c r="K4167" s="22">
        <v>0.0</v>
      </c>
      <c r="L4167" s="22">
        <v>319.558</v>
      </c>
      <c r="M4167" s="22">
        <v>235.272</v>
      </c>
      <c r="N4167" s="22">
        <v>216.87</v>
      </c>
      <c r="O4167" s="24">
        <v>27.7</v>
      </c>
      <c r="P4167" s="18">
        <f t="shared" si="1"/>
        <v>319.558</v>
      </c>
    </row>
    <row r="4168" ht="15.75" customHeight="1">
      <c r="A4168" s="13" t="s">
        <v>244</v>
      </c>
      <c r="B4168" s="13" t="s">
        <v>133</v>
      </c>
      <c r="C4168" s="14" t="s">
        <v>176</v>
      </c>
      <c r="D4168" s="14" t="str">
        <f>VLOOKUP(C4168,'State Key'!$A$2:$B$210,2,False)</f>
        <v>Madhya Pradesh</v>
      </c>
      <c r="E4168" s="15">
        <v>1320.0</v>
      </c>
      <c r="F4168" s="16">
        <v>0.0</v>
      </c>
      <c r="G4168" s="16">
        <v>0.0</v>
      </c>
      <c r="H4168" s="16">
        <v>362.9245</v>
      </c>
      <c r="I4168" s="16">
        <v>102.7914</v>
      </c>
      <c r="J4168" s="16">
        <v>0.0</v>
      </c>
      <c r="K4168" s="16">
        <v>0.0</v>
      </c>
      <c r="L4168" s="16">
        <v>465.7159</v>
      </c>
      <c r="M4168" s="16">
        <v>461.711</v>
      </c>
      <c r="N4168" s="16">
        <v>403.7634</v>
      </c>
      <c r="O4168" s="24">
        <v>26.2</v>
      </c>
      <c r="P4168" s="18">
        <f t="shared" si="1"/>
        <v>465.7159</v>
      </c>
    </row>
    <row r="4169" ht="15.75" customHeight="1">
      <c r="A4169" s="19" t="s">
        <v>244</v>
      </c>
      <c r="B4169" s="19" t="s">
        <v>133</v>
      </c>
      <c r="C4169" s="20" t="s">
        <v>177</v>
      </c>
      <c r="D4169" s="14" t="str">
        <f>VLOOKUP(C4169,'State Key'!$A$2:$B$210,2,False)</f>
        <v>Madhya Pradesh</v>
      </c>
      <c r="E4169" s="21">
        <v>90.0</v>
      </c>
      <c r="F4169" s="22">
        <v>41.278</v>
      </c>
      <c r="G4169" s="22">
        <v>0.0</v>
      </c>
      <c r="H4169" s="22">
        <v>0.0</v>
      </c>
      <c r="I4169" s="22">
        <v>0.0</v>
      </c>
      <c r="J4169" s="22">
        <v>0.0</v>
      </c>
      <c r="K4169" s="22">
        <v>1.43</v>
      </c>
      <c r="L4169" s="22">
        <v>42.708</v>
      </c>
      <c r="M4169" s="22">
        <v>47.62</v>
      </c>
      <c r="N4169" s="22">
        <v>69.83</v>
      </c>
      <c r="O4169" s="24">
        <v>44.0</v>
      </c>
      <c r="P4169" s="18">
        <f t="shared" si="1"/>
        <v>42.708</v>
      </c>
    </row>
    <row r="4170" ht="15.75" customHeight="1">
      <c r="A4170" s="13" t="s">
        <v>244</v>
      </c>
      <c r="B4170" s="13" t="s">
        <v>133</v>
      </c>
      <c r="C4170" s="14" t="s">
        <v>178</v>
      </c>
      <c r="D4170" s="14" t="str">
        <f>VLOOKUP(C4170,'State Key'!$A$2:$B$210,2,False)</f>
        <v>Chhattisgarh</v>
      </c>
      <c r="E4170" s="15">
        <v>1000.0</v>
      </c>
      <c r="F4170" s="16">
        <v>53.659</v>
      </c>
      <c r="G4170" s="16">
        <v>0.0</v>
      </c>
      <c r="H4170" s="16">
        <v>342.177</v>
      </c>
      <c r="I4170" s="16">
        <v>0.0</v>
      </c>
      <c r="J4170" s="16">
        <v>0.0</v>
      </c>
      <c r="K4170" s="16">
        <v>0.0</v>
      </c>
      <c r="L4170" s="16">
        <v>395.836</v>
      </c>
      <c r="M4170" s="16">
        <v>389.12</v>
      </c>
      <c r="N4170" s="16">
        <v>416.666</v>
      </c>
      <c r="O4170" s="24">
        <v>32.1</v>
      </c>
      <c r="P4170" s="18">
        <f t="shared" si="1"/>
        <v>395.836</v>
      </c>
    </row>
    <row r="4171" ht="15.75" customHeight="1">
      <c r="A4171" s="19" t="s">
        <v>244</v>
      </c>
      <c r="B4171" s="19" t="s">
        <v>133</v>
      </c>
      <c r="C4171" s="20" t="s">
        <v>179</v>
      </c>
      <c r="D4171" s="14" t="str">
        <f>VLOOKUP(C4171,'State Key'!$A$2:$B$210,2,False)</f>
        <v>Maharashtra</v>
      </c>
      <c r="E4171" s="21">
        <v>500.0</v>
      </c>
      <c r="F4171" s="22">
        <v>203.099</v>
      </c>
      <c r="G4171" s="22">
        <v>8.012</v>
      </c>
      <c r="H4171" s="22">
        <v>0.0</v>
      </c>
      <c r="I4171" s="22">
        <v>0.0</v>
      </c>
      <c r="J4171" s="22">
        <v>0.0</v>
      </c>
      <c r="K4171" s="22">
        <v>0.0</v>
      </c>
      <c r="L4171" s="22">
        <v>211.111</v>
      </c>
      <c r="M4171" s="22">
        <v>206.217</v>
      </c>
      <c r="N4171" s="22">
        <v>114.31</v>
      </c>
      <c r="O4171" s="24">
        <v>16.6</v>
      </c>
      <c r="P4171" s="18">
        <f t="shared" si="1"/>
        <v>211.111</v>
      </c>
    </row>
    <row r="4172" ht="15.75" customHeight="1">
      <c r="A4172" s="13" t="s">
        <v>244</v>
      </c>
      <c r="B4172" s="13" t="s">
        <v>133</v>
      </c>
      <c r="C4172" s="14" t="s">
        <v>180</v>
      </c>
      <c r="D4172" s="14" t="str">
        <f>VLOOKUP(C4172,'State Key'!$A$2:$B$210,2,False)</f>
        <v>Maharashtra</v>
      </c>
      <c r="E4172" s="15">
        <v>750.0</v>
      </c>
      <c r="F4172" s="16">
        <v>77.518</v>
      </c>
      <c r="G4172" s="16">
        <v>130.246</v>
      </c>
      <c r="H4172" s="16">
        <v>0.0</v>
      </c>
      <c r="I4172" s="16">
        <v>0.0</v>
      </c>
      <c r="J4172" s="16">
        <v>0.0</v>
      </c>
      <c r="K4172" s="16">
        <v>0.0</v>
      </c>
      <c r="L4172" s="16">
        <v>207.764</v>
      </c>
      <c r="M4172" s="16">
        <v>269.146</v>
      </c>
      <c r="N4172" s="16">
        <v>64.7</v>
      </c>
      <c r="O4172" s="23">
        <v>7.2</v>
      </c>
      <c r="P4172" s="18">
        <f t="shared" si="1"/>
        <v>207.764</v>
      </c>
    </row>
    <row r="4173" ht="15.75" customHeight="1">
      <c r="A4173" s="19" t="s">
        <v>244</v>
      </c>
      <c r="B4173" s="19" t="s">
        <v>133</v>
      </c>
      <c r="C4173" s="20" t="s">
        <v>181</v>
      </c>
      <c r="D4173" s="14" t="str">
        <f>VLOOKUP(C4173,'State Key'!$A$2:$B$210,2,False)</f>
        <v>Chhattisgarh</v>
      </c>
      <c r="E4173" s="21">
        <v>600.0</v>
      </c>
      <c r="F4173" s="22">
        <v>249.139</v>
      </c>
      <c r="G4173" s="22">
        <v>0.0</v>
      </c>
      <c r="H4173" s="22">
        <v>0.0</v>
      </c>
      <c r="I4173" s="22">
        <v>0.0</v>
      </c>
      <c r="J4173" s="22">
        <v>0.0</v>
      </c>
      <c r="K4173" s="22">
        <v>0.0</v>
      </c>
      <c r="L4173" s="22">
        <v>249.139</v>
      </c>
      <c r="M4173" s="22">
        <v>254.039</v>
      </c>
      <c r="N4173" s="22">
        <v>89.04</v>
      </c>
      <c r="O4173" s="23">
        <v>10.5</v>
      </c>
      <c r="P4173" s="18">
        <f t="shared" si="1"/>
        <v>249.139</v>
      </c>
    </row>
    <row r="4174" ht="15.75" customHeight="1">
      <c r="A4174" s="13" t="s">
        <v>244</v>
      </c>
      <c r="B4174" s="13" t="s">
        <v>133</v>
      </c>
      <c r="C4174" s="14" t="s">
        <v>183</v>
      </c>
      <c r="D4174" s="14" t="str">
        <f>VLOOKUP(C4174,'State Key'!$A$2:$B$210,2,False)</f>
        <v>Chhattisgarh</v>
      </c>
      <c r="E4174" s="15">
        <v>100.0</v>
      </c>
      <c r="F4174" s="16">
        <v>0.571</v>
      </c>
      <c r="G4174" s="16">
        <v>0.0</v>
      </c>
      <c r="H4174" s="16">
        <v>0.0</v>
      </c>
      <c r="I4174" s="16">
        <v>0.0</v>
      </c>
      <c r="J4174" s="16">
        <v>0.0</v>
      </c>
      <c r="K4174" s="16">
        <v>58.668</v>
      </c>
      <c r="L4174" s="16">
        <v>59.239</v>
      </c>
      <c r="M4174" s="16">
        <v>50.932</v>
      </c>
      <c r="N4174" s="16">
        <v>10.85</v>
      </c>
      <c r="O4174" s="17">
        <v>6.4</v>
      </c>
      <c r="P4174" s="18">
        <f t="shared" si="1"/>
        <v>59.239</v>
      </c>
    </row>
    <row r="4175" ht="15.75" customHeight="1">
      <c r="A4175" s="19" t="s">
        <v>244</v>
      </c>
      <c r="B4175" s="19" t="s">
        <v>133</v>
      </c>
      <c r="C4175" s="20" t="s">
        <v>184</v>
      </c>
      <c r="D4175" s="14" t="str">
        <f>VLOOKUP(C4175,'State Key'!$A$2:$B$210,2,False)</f>
        <v>Gujarat</v>
      </c>
      <c r="E4175" s="21">
        <v>362.0</v>
      </c>
      <c r="F4175" s="22">
        <v>95.943</v>
      </c>
      <c r="G4175" s="22">
        <v>0.0</v>
      </c>
      <c r="H4175" s="22">
        <v>0.0</v>
      </c>
      <c r="I4175" s="22">
        <v>0.0</v>
      </c>
      <c r="J4175" s="22">
        <v>12.074</v>
      </c>
      <c r="K4175" s="22">
        <v>0.0</v>
      </c>
      <c r="L4175" s="22">
        <v>108.017</v>
      </c>
      <c r="M4175" s="22">
        <v>90.256</v>
      </c>
      <c r="N4175" s="22">
        <v>152.26</v>
      </c>
      <c r="O4175" s="24">
        <v>50.6</v>
      </c>
      <c r="P4175" s="18">
        <f t="shared" si="1"/>
        <v>108.017</v>
      </c>
    </row>
    <row r="4176" ht="15.75" customHeight="1">
      <c r="A4176" s="13" t="s">
        <v>244</v>
      </c>
      <c r="B4176" s="13" t="s">
        <v>133</v>
      </c>
      <c r="C4176" s="14" t="s">
        <v>185</v>
      </c>
      <c r="D4176" s="14" t="str">
        <f>VLOOKUP(C4176,'State Key'!$A$2:$B$210,2,False)</f>
        <v>Gujarat</v>
      </c>
      <c r="E4176" s="15">
        <v>1200.0</v>
      </c>
      <c r="F4176" s="16">
        <v>0.0</v>
      </c>
      <c r="G4176" s="16">
        <v>0.0</v>
      </c>
      <c r="H4176" s="16">
        <v>0.0</v>
      </c>
      <c r="I4176" s="16">
        <v>0.0</v>
      </c>
      <c r="J4176" s="16">
        <v>229.941</v>
      </c>
      <c r="K4176" s="16">
        <v>0.0</v>
      </c>
      <c r="L4176" s="16">
        <v>229.941</v>
      </c>
      <c r="M4176" s="16">
        <v>167.09</v>
      </c>
      <c r="N4176" s="16">
        <v>198.48</v>
      </c>
      <c r="O4176" s="24">
        <v>35.6</v>
      </c>
      <c r="P4176" s="18">
        <f t="shared" si="1"/>
        <v>229.941</v>
      </c>
    </row>
    <row r="4177" ht="15.75" customHeight="1">
      <c r="A4177" s="19" t="s">
        <v>244</v>
      </c>
      <c r="B4177" s="19" t="s">
        <v>133</v>
      </c>
      <c r="C4177" s="20" t="s">
        <v>186</v>
      </c>
      <c r="D4177" s="14" t="str">
        <f>VLOOKUP(C4177,'State Key'!$A$2:$B$210,2,False)</f>
        <v>Chhattisgarh</v>
      </c>
      <c r="E4177" s="21">
        <v>135.0</v>
      </c>
      <c r="F4177" s="22">
        <v>0.0</v>
      </c>
      <c r="G4177" s="22">
        <v>0.0</v>
      </c>
      <c r="H4177" s="22">
        <v>0.0</v>
      </c>
      <c r="I4177" s="22">
        <v>0.0</v>
      </c>
      <c r="J4177" s="22">
        <v>0.0</v>
      </c>
      <c r="K4177" s="22">
        <v>0.0</v>
      </c>
      <c r="L4177" s="22">
        <v>0.0</v>
      </c>
      <c r="M4177" s="22">
        <v>0.0</v>
      </c>
      <c r="N4177" s="22">
        <v>0.0</v>
      </c>
      <c r="O4177" s="19" t="s">
        <v>58</v>
      </c>
      <c r="P4177" s="18">
        <f t="shared" si="1"/>
        <v>0</v>
      </c>
    </row>
    <row r="4178" ht="15.75" customHeight="1">
      <c r="A4178" s="13" t="s">
        <v>244</v>
      </c>
      <c r="B4178" s="13" t="s">
        <v>133</v>
      </c>
      <c r="C4178" s="14" t="s">
        <v>187</v>
      </c>
      <c r="D4178" s="14" t="str">
        <f>VLOOKUP(C4178,'State Key'!$A$2:$B$210,2,False)</f>
        <v>Madhya Pradesh</v>
      </c>
      <c r="E4178" s="15">
        <v>1340.0</v>
      </c>
      <c r="F4178" s="16">
        <v>535.957</v>
      </c>
      <c r="G4178" s="16">
        <v>0.0</v>
      </c>
      <c r="H4178" s="16">
        <v>0.0</v>
      </c>
      <c r="I4178" s="16">
        <v>0.0</v>
      </c>
      <c r="J4178" s="16">
        <v>0.0</v>
      </c>
      <c r="K4178" s="16">
        <v>0.0</v>
      </c>
      <c r="L4178" s="16">
        <v>535.957</v>
      </c>
      <c r="M4178" s="16">
        <v>446.073</v>
      </c>
      <c r="N4178" s="16">
        <v>297.11</v>
      </c>
      <c r="O4178" s="24">
        <v>20.0</v>
      </c>
      <c r="P4178" s="18">
        <f t="shared" si="1"/>
        <v>535.957</v>
      </c>
    </row>
    <row r="4179" ht="15.75" customHeight="1">
      <c r="A4179" s="19" t="s">
        <v>244</v>
      </c>
      <c r="B4179" s="19" t="s">
        <v>133</v>
      </c>
      <c r="C4179" s="20" t="s">
        <v>188</v>
      </c>
      <c r="D4179" s="14" t="str">
        <f>VLOOKUP(C4179,'State Key'!$A$2:$B$210,2,False)</f>
        <v>Madhya Pradesh</v>
      </c>
      <c r="E4179" s="21">
        <v>3960.0</v>
      </c>
      <c r="F4179" s="22">
        <v>0.0</v>
      </c>
      <c r="G4179" s="22">
        <v>0.0</v>
      </c>
      <c r="H4179" s="22">
        <v>1473.129</v>
      </c>
      <c r="I4179" s="22">
        <v>0.0</v>
      </c>
      <c r="J4179" s="22">
        <v>0.0</v>
      </c>
      <c r="K4179" s="22">
        <v>0.0</v>
      </c>
      <c r="L4179" s="22">
        <v>1473.129</v>
      </c>
      <c r="M4179" s="22">
        <v>1319.128</v>
      </c>
      <c r="N4179" s="22">
        <v>173.59</v>
      </c>
      <c r="O4179" s="17">
        <v>3.9</v>
      </c>
      <c r="P4179" s="18">
        <f t="shared" si="1"/>
        <v>1473.129</v>
      </c>
    </row>
    <row r="4180" ht="15.75" customHeight="1">
      <c r="A4180" s="13" t="s">
        <v>244</v>
      </c>
      <c r="B4180" s="13" t="s">
        <v>133</v>
      </c>
      <c r="C4180" s="14" t="s">
        <v>189</v>
      </c>
      <c r="D4180" s="14" t="str">
        <f>VLOOKUP(C4180,'State Key'!$A$2:$B$210,2,False)</f>
        <v>Madhya Pradesh</v>
      </c>
      <c r="E4180" s="15">
        <v>1330.0</v>
      </c>
      <c r="F4180" s="16">
        <v>229.9</v>
      </c>
      <c r="G4180" s="16">
        <v>0.0</v>
      </c>
      <c r="H4180" s="16">
        <v>0.0</v>
      </c>
      <c r="I4180" s="16">
        <v>0.0</v>
      </c>
      <c r="J4180" s="16">
        <v>0.0</v>
      </c>
      <c r="K4180" s="16">
        <v>0.0</v>
      </c>
      <c r="L4180" s="16">
        <v>229.9</v>
      </c>
      <c r="M4180" s="16">
        <v>215.83</v>
      </c>
      <c r="N4180" s="16">
        <v>195.08</v>
      </c>
      <c r="O4180" s="24">
        <v>27.1</v>
      </c>
      <c r="P4180" s="18">
        <f t="shared" si="1"/>
        <v>229.9</v>
      </c>
    </row>
    <row r="4181" ht="15.75" customHeight="1">
      <c r="A4181" s="19" t="s">
        <v>244</v>
      </c>
      <c r="B4181" s="19" t="s">
        <v>133</v>
      </c>
      <c r="C4181" s="20" t="s">
        <v>190</v>
      </c>
      <c r="D4181" s="14" t="str">
        <f>VLOOKUP(C4181,'State Key'!$A$2:$B$210,2,False)</f>
        <v>Madhya Pradesh</v>
      </c>
      <c r="E4181" s="21">
        <v>600.0</v>
      </c>
      <c r="F4181" s="22">
        <v>128.705</v>
      </c>
      <c r="G4181" s="22">
        <v>0.0</v>
      </c>
      <c r="H4181" s="22">
        <v>0.0</v>
      </c>
      <c r="I4181" s="22">
        <v>97.698</v>
      </c>
      <c r="J4181" s="22">
        <v>0.0</v>
      </c>
      <c r="K4181" s="22">
        <v>0.0</v>
      </c>
      <c r="L4181" s="22">
        <v>226.403</v>
      </c>
      <c r="M4181" s="22">
        <v>226.975</v>
      </c>
      <c r="N4181" s="22">
        <v>220.4</v>
      </c>
      <c r="O4181" s="24">
        <v>29.1</v>
      </c>
      <c r="P4181" s="18">
        <f t="shared" si="1"/>
        <v>226.403</v>
      </c>
    </row>
    <row r="4182" ht="15.75" customHeight="1">
      <c r="A4182" s="13" t="s">
        <v>244</v>
      </c>
      <c r="B4182" s="13" t="s">
        <v>133</v>
      </c>
      <c r="C4182" s="14" t="s">
        <v>191</v>
      </c>
      <c r="D4182" s="14" t="str">
        <f>VLOOKUP(C4182,'State Key'!$A$2:$B$210,2,False)</f>
        <v>Maharashtra</v>
      </c>
      <c r="E4182" s="15">
        <v>300.0</v>
      </c>
      <c r="F4182" s="16">
        <v>0.0</v>
      </c>
      <c r="G4182" s="16">
        <v>0.0</v>
      </c>
      <c r="H4182" s="16">
        <v>0.0</v>
      </c>
      <c r="I4182" s="16">
        <v>0.0</v>
      </c>
      <c r="J4182" s="16">
        <v>0.0</v>
      </c>
      <c r="K4182" s="16">
        <v>125.12</v>
      </c>
      <c r="L4182" s="16">
        <v>125.12</v>
      </c>
      <c r="M4182" s="16">
        <v>44.485</v>
      </c>
      <c r="N4182" s="16">
        <v>120.46</v>
      </c>
      <c r="O4182" s="24">
        <v>81.2</v>
      </c>
      <c r="P4182" s="18">
        <f t="shared" si="1"/>
        <v>125.12</v>
      </c>
    </row>
    <row r="4183" ht="15.75" customHeight="1">
      <c r="A4183" s="19" t="s">
        <v>244</v>
      </c>
      <c r="B4183" s="19" t="s">
        <v>133</v>
      </c>
      <c r="C4183" s="20" t="s">
        <v>192</v>
      </c>
      <c r="D4183" s="14" t="str">
        <f>VLOOKUP(C4183,'State Key'!$A$2:$B$210,2,False)</f>
        <v>Madhya Pradesh</v>
      </c>
      <c r="E4183" s="21">
        <v>2520.0</v>
      </c>
      <c r="F4183" s="22">
        <v>881.112</v>
      </c>
      <c r="G4183" s="22">
        <v>0.0</v>
      </c>
      <c r="H4183" s="22">
        <v>0.0</v>
      </c>
      <c r="I4183" s="22">
        <v>0.0</v>
      </c>
      <c r="J4183" s="22">
        <v>0.0</v>
      </c>
      <c r="K4183" s="22">
        <v>0.0</v>
      </c>
      <c r="L4183" s="22">
        <v>881.112</v>
      </c>
      <c r="M4183" s="22">
        <v>882.455</v>
      </c>
      <c r="N4183" s="22">
        <v>517.88</v>
      </c>
      <c r="O4183" s="24">
        <v>17.6</v>
      </c>
      <c r="P4183" s="18">
        <f t="shared" si="1"/>
        <v>881.112</v>
      </c>
    </row>
    <row r="4184" ht="15.75" customHeight="1">
      <c r="A4184" s="13" t="s">
        <v>244</v>
      </c>
      <c r="B4184" s="13" t="s">
        <v>133</v>
      </c>
      <c r="C4184" s="14" t="s">
        <v>193</v>
      </c>
      <c r="D4184" s="14" t="str">
        <f>VLOOKUP(C4184,'State Key'!$A$2:$B$210,2,False)</f>
        <v>Gujarat</v>
      </c>
      <c r="E4184" s="15">
        <v>500.0</v>
      </c>
      <c r="F4184" s="16">
        <v>0.0</v>
      </c>
      <c r="G4184" s="16">
        <v>0.0</v>
      </c>
      <c r="H4184" s="16">
        <v>0.0</v>
      </c>
      <c r="I4184" s="16">
        <v>0.0</v>
      </c>
      <c r="J4184" s="16">
        <v>32.2633</v>
      </c>
      <c r="K4184" s="16">
        <v>0.0</v>
      </c>
      <c r="L4184" s="16">
        <v>32.2633</v>
      </c>
      <c r="M4184" s="16">
        <v>82.0173</v>
      </c>
      <c r="N4184" s="16">
        <v>67.16</v>
      </c>
      <c r="O4184" s="24">
        <v>24.6</v>
      </c>
      <c r="P4184" s="18">
        <f t="shared" si="1"/>
        <v>32.2633</v>
      </c>
    </row>
    <row r="4185" ht="15.75" customHeight="1">
      <c r="A4185" s="19" t="s">
        <v>244</v>
      </c>
      <c r="B4185" s="19" t="s">
        <v>133</v>
      </c>
      <c r="C4185" s="20" t="s">
        <v>194</v>
      </c>
      <c r="D4185" s="14" t="str">
        <f>VLOOKUP(C4185,'State Key'!$A$2:$B$210,2,False)</f>
        <v>Chhattisgarh</v>
      </c>
      <c r="E4185" s="21">
        <v>2980.0</v>
      </c>
      <c r="F4185" s="22">
        <v>1315.18</v>
      </c>
      <c r="G4185" s="22">
        <v>0.0</v>
      </c>
      <c r="H4185" s="22">
        <v>65.66</v>
      </c>
      <c r="I4185" s="22">
        <v>0.0</v>
      </c>
      <c r="J4185" s="22">
        <v>0.0</v>
      </c>
      <c r="K4185" s="22">
        <v>0.0</v>
      </c>
      <c r="L4185" s="22">
        <v>1380.84</v>
      </c>
      <c r="M4185" s="22">
        <v>1169.62</v>
      </c>
      <c r="N4185" s="22">
        <v>843.19</v>
      </c>
      <c r="O4185" s="24">
        <v>21.6</v>
      </c>
      <c r="P4185" s="18">
        <f t="shared" si="1"/>
        <v>1380.84</v>
      </c>
    </row>
    <row r="4186" ht="15.75" customHeight="1">
      <c r="A4186" s="13" t="s">
        <v>244</v>
      </c>
      <c r="B4186" s="13" t="s">
        <v>133</v>
      </c>
      <c r="C4186" s="14" t="s">
        <v>195</v>
      </c>
      <c r="D4186" s="14" t="str">
        <f>VLOOKUP(C4186,'State Key'!$A$2:$B$210,2,False)</f>
        <v>Maharashtra</v>
      </c>
      <c r="E4186" s="15">
        <v>1320.0</v>
      </c>
      <c r="F4186" s="16">
        <v>220.94</v>
      </c>
      <c r="G4186" s="16">
        <v>113.86</v>
      </c>
      <c r="H4186" s="16">
        <v>46.91</v>
      </c>
      <c r="I4186" s="16">
        <v>0.0</v>
      </c>
      <c r="J4186" s="16">
        <v>0.0</v>
      </c>
      <c r="K4186" s="16">
        <v>50.29</v>
      </c>
      <c r="L4186" s="16">
        <v>432.0</v>
      </c>
      <c r="M4186" s="16">
        <v>431.129</v>
      </c>
      <c r="N4186" s="16">
        <v>210.39</v>
      </c>
      <c r="O4186" s="24">
        <v>14.6</v>
      </c>
      <c r="P4186" s="18">
        <f t="shared" si="1"/>
        <v>432</v>
      </c>
    </row>
    <row r="4187" ht="15.75" customHeight="1">
      <c r="A4187" s="19" t="s">
        <v>244</v>
      </c>
      <c r="B4187" s="19" t="s">
        <v>133</v>
      </c>
      <c r="C4187" s="20" t="s">
        <v>196</v>
      </c>
      <c r="D4187" s="14" t="str">
        <f>VLOOKUP(C4187,'State Key'!$A$2:$B$210,2,False)</f>
        <v>Chhattisgarh</v>
      </c>
      <c r="E4187" s="21">
        <v>63.0</v>
      </c>
      <c r="F4187" s="22">
        <v>2.379</v>
      </c>
      <c r="G4187" s="22">
        <v>0.0</v>
      </c>
      <c r="H4187" s="22">
        <v>0.0</v>
      </c>
      <c r="I4187" s="22">
        <v>0.0</v>
      </c>
      <c r="J4187" s="22">
        <v>0.0</v>
      </c>
      <c r="K4187" s="22">
        <v>14.0304</v>
      </c>
      <c r="L4187" s="22">
        <v>16.4094</v>
      </c>
      <c r="M4187" s="22">
        <v>53.087</v>
      </c>
      <c r="N4187" s="22">
        <v>13.5559</v>
      </c>
      <c r="O4187" s="23">
        <v>7.7</v>
      </c>
      <c r="P4187" s="18">
        <f t="shared" si="1"/>
        <v>16.4094</v>
      </c>
    </row>
    <row r="4188" ht="15.75" customHeight="1">
      <c r="A4188" s="13" t="s">
        <v>244</v>
      </c>
      <c r="B4188" s="13" t="s">
        <v>133</v>
      </c>
      <c r="C4188" s="14" t="s">
        <v>197</v>
      </c>
      <c r="D4188" s="14" t="str">
        <f>VLOOKUP(C4188,'State Key'!$A$2:$B$210,2,False)</f>
        <v>Chhattisgarh</v>
      </c>
      <c r="E4188" s="15">
        <v>25.0</v>
      </c>
      <c r="F4188" s="16">
        <v>0.0</v>
      </c>
      <c r="G4188" s="16">
        <v>0.0</v>
      </c>
      <c r="H4188" s="16">
        <v>0.0</v>
      </c>
      <c r="I4188" s="16">
        <v>0.0</v>
      </c>
      <c r="J4188" s="16">
        <v>0.0</v>
      </c>
      <c r="K4188" s="16">
        <v>0.0</v>
      </c>
      <c r="L4188" s="16">
        <v>0.0</v>
      </c>
      <c r="M4188" s="16">
        <v>0.0</v>
      </c>
      <c r="N4188" s="16">
        <v>0.0</v>
      </c>
      <c r="O4188" s="13" t="s">
        <v>58</v>
      </c>
      <c r="P4188" s="18">
        <f t="shared" si="1"/>
        <v>0</v>
      </c>
    </row>
    <row r="4189" ht="15.75" customHeight="1">
      <c r="A4189" s="19" t="s">
        <v>244</v>
      </c>
      <c r="B4189" s="19" t="s">
        <v>133</v>
      </c>
      <c r="C4189" s="20" t="s">
        <v>198</v>
      </c>
      <c r="D4189" s="14" t="str">
        <f>VLOOKUP(C4189,'State Key'!$A$2:$B$210,2,False)</f>
        <v>Chhattisgarh</v>
      </c>
      <c r="E4189" s="21">
        <v>2400.0</v>
      </c>
      <c r="F4189" s="22">
        <v>388.052</v>
      </c>
      <c r="G4189" s="22">
        <v>0.0</v>
      </c>
      <c r="H4189" s="22">
        <v>927.0</v>
      </c>
      <c r="I4189" s="22">
        <v>0.0</v>
      </c>
      <c r="J4189" s="22">
        <v>0.0</v>
      </c>
      <c r="K4189" s="22">
        <v>0.0</v>
      </c>
      <c r="L4189" s="22">
        <v>1315.052</v>
      </c>
      <c r="M4189" s="22">
        <v>1202.939</v>
      </c>
      <c r="N4189" s="22">
        <v>418.65</v>
      </c>
      <c r="O4189" s="23">
        <v>10.4</v>
      </c>
      <c r="P4189" s="18">
        <f t="shared" si="1"/>
        <v>1315.052</v>
      </c>
    </row>
    <row r="4190" ht="15.75" customHeight="1">
      <c r="A4190" s="13" t="s">
        <v>244</v>
      </c>
      <c r="B4190" s="13" t="s">
        <v>133</v>
      </c>
      <c r="C4190" s="14" t="s">
        <v>200</v>
      </c>
      <c r="D4190" s="14" t="str">
        <f>VLOOKUP(C4190,'State Key'!$A$2:$B$210,2,False)</f>
        <v>Maharashtra</v>
      </c>
      <c r="E4190" s="15">
        <v>750.0</v>
      </c>
      <c r="F4190" s="16">
        <v>0.0</v>
      </c>
      <c r="G4190" s="16">
        <v>0.0</v>
      </c>
      <c r="H4190" s="16">
        <v>0.0</v>
      </c>
      <c r="I4190" s="16">
        <v>0.0</v>
      </c>
      <c r="J4190" s="16">
        <v>124.667</v>
      </c>
      <c r="K4190" s="16">
        <v>0.0</v>
      </c>
      <c r="L4190" s="16">
        <v>124.667</v>
      </c>
      <c r="M4190" s="16">
        <v>144.56</v>
      </c>
      <c r="N4190" s="16">
        <v>196.46</v>
      </c>
      <c r="O4190" s="24">
        <v>40.8</v>
      </c>
      <c r="P4190" s="18">
        <f t="shared" si="1"/>
        <v>124.667</v>
      </c>
    </row>
    <row r="4191" ht="15.75" customHeight="1">
      <c r="A4191" s="19" t="s">
        <v>244</v>
      </c>
      <c r="B4191" s="19" t="s">
        <v>133</v>
      </c>
      <c r="C4191" s="20" t="s">
        <v>201</v>
      </c>
      <c r="D4191" s="14" t="str">
        <f>VLOOKUP(C4191,'State Key'!$A$2:$B$210,2,False)</f>
        <v>Chhattisgarh</v>
      </c>
      <c r="E4191" s="21">
        <v>1440.0</v>
      </c>
      <c r="F4191" s="22">
        <v>325.62</v>
      </c>
      <c r="G4191" s="22">
        <v>0.0</v>
      </c>
      <c r="H4191" s="22">
        <v>0.0</v>
      </c>
      <c r="I4191" s="22">
        <v>56.763</v>
      </c>
      <c r="J4191" s="22">
        <v>0.0</v>
      </c>
      <c r="K4191" s="22">
        <v>76.223</v>
      </c>
      <c r="L4191" s="22">
        <v>458.606</v>
      </c>
      <c r="M4191" s="22">
        <v>442.66</v>
      </c>
      <c r="N4191" s="22">
        <v>897.55</v>
      </c>
      <c r="O4191" s="24">
        <v>60.8</v>
      </c>
      <c r="P4191" s="18">
        <f t="shared" si="1"/>
        <v>458.606</v>
      </c>
    </row>
    <row r="4192" ht="15.75" customHeight="1">
      <c r="A4192" s="13" t="s">
        <v>244</v>
      </c>
      <c r="B4192" s="13" t="s">
        <v>133</v>
      </c>
      <c r="C4192" s="14" t="s">
        <v>202</v>
      </c>
      <c r="D4192" s="14" t="str">
        <f>VLOOKUP(C4192,'State Key'!$A$2:$B$210,2,False)</f>
        <v>Gujarat</v>
      </c>
      <c r="E4192" s="15">
        <v>1110.0</v>
      </c>
      <c r="F4192" s="16">
        <v>264.05214</v>
      </c>
      <c r="G4192" s="16">
        <v>0.0</v>
      </c>
      <c r="H4192" s="16">
        <v>0.0</v>
      </c>
      <c r="I4192" s="16">
        <v>0.0</v>
      </c>
      <c r="J4192" s="16">
        <v>0.0</v>
      </c>
      <c r="K4192" s="16">
        <v>0.0</v>
      </c>
      <c r="L4192" s="16">
        <v>264.05214</v>
      </c>
      <c r="M4192" s="16">
        <v>297.269</v>
      </c>
      <c r="N4192" s="16">
        <v>238.93</v>
      </c>
      <c r="O4192" s="24">
        <v>24.1</v>
      </c>
      <c r="P4192" s="18">
        <f t="shared" si="1"/>
        <v>264.05214</v>
      </c>
    </row>
    <row r="4193" ht="15.75" customHeight="1">
      <c r="A4193" s="19" t="s">
        <v>244</v>
      </c>
      <c r="B4193" s="19" t="s">
        <v>133</v>
      </c>
      <c r="C4193" s="20" t="s">
        <v>203</v>
      </c>
      <c r="D4193" s="14" t="str">
        <f>VLOOKUP(C4193,'State Key'!$A$2:$B$210,2,False)</f>
        <v>Madhya Pradesh</v>
      </c>
      <c r="E4193" s="21">
        <v>4760.0</v>
      </c>
      <c r="F4193" s="22">
        <v>1999.48</v>
      </c>
      <c r="G4193" s="22">
        <v>0.0</v>
      </c>
      <c r="H4193" s="22">
        <v>3.2</v>
      </c>
      <c r="I4193" s="22">
        <v>0.0</v>
      </c>
      <c r="J4193" s="22">
        <v>0.0</v>
      </c>
      <c r="K4193" s="22">
        <v>0.0</v>
      </c>
      <c r="L4193" s="22">
        <v>2002.68</v>
      </c>
      <c r="M4193" s="22">
        <v>1893.771</v>
      </c>
      <c r="N4193" s="22">
        <v>1347.06</v>
      </c>
      <c r="O4193" s="24">
        <v>21.3</v>
      </c>
      <c r="P4193" s="18">
        <f t="shared" si="1"/>
        <v>2002.68</v>
      </c>
    </row>
    <row r="4194" ht="15.75" customHeight="1">
      <c r="A4194" s="13" t="s">
        <v>244</v>
      </c>
      <c r="B4194" s="13" t="s">
        <v>133</v>
      </c>
      <c r="C4194" s="14" t="s">
        <v>204</v>
      </c>
      <c r="D4194" s="14" t="str">
        <f>VLOOKUP(C4194,'State Key'!$A$2:$B$210,2,False)</f>
        <v>Gujarat</v>
      </c>
      <c r="E4194" s="15">
        <v>2270.0</v>
      </c>
      <c r="F4194" s="16">
        <v>349.15336</v>
      </c>
      <c r="G4194" s="16">
        <v>0.0</v>
      </c>
      <c r="H4194" s="16">
        <v>0.0</v>
      </c>
      <c r="I4194" s="16">
        <v>0.0</v>
      </c>
      <c r="J4194" s="16">
        <v>7.98589</v>
      </c>
      <c r="K4194" s="16">
        <v>0.0</v>
      </c>
      <c r="L4194" s="16">
        <v>357.13925</v>
      </c>
      <c r="M4194" s="16">
        <v>478.324</v>
      </c>
      <c r="N4194" s="16">
        <v>655.49</v>
      </c>
      <c r="O4194" s="24">
        <v>41.1</v>
      </c>
      <c r="P4194" s="18">
        <f t="shared" si="1"/>
        <v>357.13925</v>
      </c>
    </row>
    <row r="4195" ht="15.75" customHeight="1">
      <c r="A4195" s="19" t="s">
        <v>244</v>
      </c>
      <c r="B4195" s="19" t="s">
        <v>133</v>
      </c>
      <c r="C4195" s="20" t="s">
        <v>205</v>
      </c>
      <c r="D4195" s="14" t="str">
        <f>VLOOKUP(C4195,'State Key'!$A$2:$B$210,2,False)</f>
        <v>Maharashtra</v>
      </c>
      <c r="E4195" s="21">
        <v>540.0</v>
      </c>
      <c r="F4195" s="22">
        <v>241.29</v>
      </c>
      <c r="G4195" s="22">
        <v>0.0</v>
      </c>
      <c r="H4195" s="22">
        <v>0.0</v>
      </c>
      <c r="I4195" s="22">
        <v>0.0</v>
      </c>
      <c r="J4195" s="22">
        <v>0.0</v>
      </c>
      <c r="K4195" s="22">
        <v>14.119</v>
      </c>
      <c r="L4195" s="22">
        <v>255.409</v>
      </c>
      <c r="M4195" s="22">
        <v>193.43</v>
      </c>
      <c r="N4195" s="22">
        <v>323.02</v>
      </c>
      <c r="O4195" s="24">
        <v>50.1</v>
      </c>
      <c r="P4195" s="18">
        <f t="shared" si="1"/>
        <v>255.409</v>
      </c>
    </row>
    <row r="4196" ht="15.75" customHeight="1">
      <c r="A4196" s="13" t="s">
        <v>247</v>
      </c>
      <c r="B4196" s="13" t="s">
        <v>22</v>
      </c>
      <c r="C4196" s="14" t="s">
        <v>23</v>
      </c>
      <c r="D4196" s="14" t="str">
        <f>VLOOKUP(C4196,'State Key'!$A$2:$B$210,2,False)</f>
        <v>West Bengal</v>
      </c>
      <c r="E4196" s="15">
        <v>1050.0</v>
      </c>
      <c r="F4196" s="16">
        <v>0.0</v>
      </c>
      <c r="G4196" s="16">
        <v>0.0</v>
      </c>
      <c r="H4196" s="16">
        <v>574.147</v>
      </c>
      <c r="I4196" s="16">
        <v>0.0</v>
      </c>
      <c r="J4196" s="16">
        <v>0.0</v>
      </c>
      <c r="K4196" s="16">
        <v>0.0</v>
      </c>
      <c r="L4196" s="16">
        <v>574.147</v>
      </c>
      <c r="M4196" s="16">
        <v>471.92</v>
      </c>
      <c r="N4196" s="16">
        <v>176.835</v>
      </c>
      <c r="O4196" s="23">
        <v>11.2</v>
      </c>
      <c r="P4196" s="18">
        <f t="shared" si="1"/>
        <v>574.147</v>
      </c>
    </row>
    <row r="4197" ht="15.75" customHeight="1">
      <c r="A4197" s="19" t="s">
        <v>247</v>
      </c>
      <c r="B4197" s="19" t="s">
        <v>22</v>
      </c>
      <c r="C4197" s="20" t="s">
        <v>24</v>
      </c>
      <c r="D4197" s="14" t="str">
        <f>VLOOKUP(C4197,'State Key'!$A$2:$B$210,2,False)</f>
        <v>West Bengal</v>
      </c>
      <c r="E4197" s="21">
        <v>270.0</v>
      </c>
      <c r="F4197" s="22">
        <v>0.0</v>
      </c>
      <c r="G4197" s="22">
        <v>0.0</v>
      </c>
      <c r="H4197" s="22">
        <v>185.101</v>
      </c>
      <c r="I4197" s="22">
        <v>0.0</v>
      </c>
      <c r="J4197" s="22">
        <v>0.0</v>
      </c>
      <c r="K4197" s="22">
        <v>0.0</v>
      </c>
      <c r="L4197" s="22">
        <v>185.101</v>
      </c>
      <c r="M4197" s="22">
        <v>120.585</v>
      </c>
      <c r="N4197" s="22">
        <v>98.03</v>
      </c>
      <c r="O4197" s="24">
        <v>24.4</v>
      </c>
      <c r="P4197" s="18">
        <f t="shared" si="1"/>
        <v>185.101</v>
      </c>
    </row>
    <row r="4198" ht="15.75" customHeight="1">
      <c r="A4198" s="13" t="s">
        <v>247</v>
      </c>
      <c r="B4198" s="13" t="s">
        <v>22</v>
      </c>
      <c r="C4198" s="14" t="s">
        <v>25</v>
      </c>
      <c r="D4198" s="14" t="str">
        <f>VLOOKUP(C4198,'State Key'!$A$2:$B$210,2,False)</f>
        <v>Bihar</v>
      </c>
      <c r="E4198" s="15">
        <v>500.0</v>
      </c>
      <c r="F4198" s="16">
        <v>22.72</v>
      </c>
      <c r="G4198" s="16">
        <v>0.0</v>
      </c>
      <c r="H4198" s="16">
        <v>65.28</v>
      </c>
      <c r="I4198" s="16">
        <v>0.0</v>
      </c>
      <c r="J4198" s="16">
        <v>0.0</v>
      </c>
      <c r="K4198" s="16">
        <v>91.68</v>
      </c>
      <c r="L4198" s="16">
        <v>179.68</v>
      </c>
      <c r="M4198" s="16">
        <v>113.958</v>
      </c>
      <c r="N4198" s="16">
        <v>287.5</v>
      </c>
      <c r="O4198" s="24">
        <v>75.7</v>
      </c>
      <c r="P4198" s="18">
        <f t="shared" si="1"/>
        <v>179.68</v>
      </c>
    </row>
    <row r="4199" ht="15.75" customHeight="1">
      <c r="A4199" s="19" t="s">
        <v>247</v>
      </c>
      <c r="B4199" s="19" t="s">
        <v>22</v>
      </c>
      <c r="C4199" s="20" t="s">
        <v>26</v>
      </c>
      <c r="D4199" s="14" t="str">
        <f>VLOOKUP(C4199,'State Key'!$A$2:$B$210,2,False)</f>
        <v>Bihar</v>
      </c>
      <c r="E4199" s="21">
        <v>2640.0</v>
      </c>
      <c r="F4199" s="22">
        <v>676.0</v>
      </c>
      <c r="G4199" s="22">
        <v>0.0</v>
      </c>
      <c r="H4199" s="22">
        <v>339.94</v>
      </c>
      <c r="I4199" s="22">
        <v>0.0</v>
      </c>
      <c r="J4199" s="22">
        <v>0.0</v>
      </c>
      <c r="K4199" s="22">
        <v>72.57</v>
      </c>
      <c r="L4199" s="22">
        <v>1088.51</v>
      </c>
      <c r="M4199" s="22">
        <v>1063.419</v>
      </c>
      <c r="N4199" s="22">
        <v>980.32</v>
      </c>
      <c r="O4199" s="24">
        <v>27.7</v>
      </c>
      <c r="P4199" s="18">
        <f t="shared" si="1"/>
        <v>1088.51</v>
      </c>
    </row>
    <row r="4200" ht="15.75" customHeight="1">
      <c r="A4200" s="13" t="s">
        <v>247</v>
      </c>
      <c r="B4200" s="13" t="s">
        <v>22</v>
      </c>
      <c r="C4200" s="14" t="s">
        <v>27</v>
      </c>
      <c r="D4200" s="14" t="str">
        <f>VLOOKUP(C4200,'State Key'!$A$2:$B$210,2,False)</f>
        <v>Jharkhand</v>
      </c>
      <c r="E4200" s="15">
        <v>500.0</v>
      </c>
      <c r="F4200" s="16">
        <v>139.485</v>
      </c>
      <c r="G4200" s="16">
        <v>0.0</v>
      </c>
      <c r="H4200" s="16">
        <v>3.465</v>
      </c>
      <c r="I4200" s="16">
        <v>0.0</v>
      </c>
      <c r="J4200" s="16">
        <v>0.0</v>
      </c>
      <c r="K4200" s="16">
        <v>0.0</v>
      </c>
      <c r="L4200" s="16">
        <v>142.95</v>
      </c>
      <c r="M4200" s="16">
        <v>144.935</v>
      </c>
      <c r="N4200" s="16">
        <v>224.55</v>
      </c>
      <c r="O4200" s="24">
        <v>46.5</v>
      </c>
      <c r="P4200" s="18">
        <f t="shared" si="1"/>
        <v>142.95</v>
      </c>
    </row>
    <row r="4201" ht="15.75" customHeight="1">
      <c r="A4201" s="19" t="s">
        <v>247</v>
      </c>
      <c r="B4201" s="19" t="s">
        <v>22</v>
      </c>
      <c r="C4201" s="20" t="s">
        <v>28</v>
      </c>
      <c r="D4201" s="14" t="str">
        <f>VLOOKUP(C4201,'State Key'!$A$2:$B$210,2,False)</f>
        <v>West Bengal</v>
      </c>
      <c r="E4201" s="21">
        <v>750.0</v>
      </c>
      <c r="F4201" s="22">
        <v>100.311</v>
      </c>
      <c r="G4201" s="22">
        <v>0.0</v>
      </c>
      <c r="H4201" s="22">
        <v>139.463</v>
      </c>
      <c r="I4201" s="22">
        <v>0.0</v>
      </c>
      <c r="J4201" s="22">
        <v>0.0</v>
      </c>
      <c r="K4201" s="22">
        <v>0.0</v>
      </c>
      <c r="L4201" s="22">
        <v>239.774</v>
      </c>
      <c r="M4201" s="22">
        <v>313.074</v>
      </c>
      <c r="N4201" s="22">
        <v>99.21</v>
      </c>
      <c r="O4201" s="23">
        <v>9.5</v>
      </c>
      <c r="P4201" s="18">
        <f t="shared" si="1"/>
        <v>239.774</v>
      </c>
    </row>
    <row r="4202" ht="15.75" customHeight="1">
      <c r="A4202" s="13" t="s">
        <v>247</v>
      </c>
      <c r="B4202" s="13" t="s">
        <v>22</v>
      </c>
      <c r="C4202" s="14" t="s">
        <v>29</v>
      </c>
      <c r="D4202" s="14" t="str">
        <f>VLOOKUP(C4202,'State Key'!$A$2:$B$210,2,False)</f>
        <v>Jharkhand</v>
      </c>
      <c r="E4202" s="15">
        <v>500.0</v>
      </c>
      <c r="F4202" s="16">
        <v>128.825</v>
      </c>
      <c r="G4202" s="16">
        <v>0.0</v>
      </c>
      <c r="H4202" s="16">
        <v>93.754</v>
      </c>
      <c r="I4202" s="16">
        <v>0.0</v>
      </c>
      <c r="J4202" s="16">
        <v>0.0</v>
      </c>
      <c r="K4202" s="16">
        <v>0.0</v>
      </c>
      <c r="L4202" s="16">
        <v>222.579</v>
      </c>
      <c r="M4202" s="16">
        <v>227.834</v>
      </c>
      <c r="N4202" s="16">
        <v>227.52</v>
      </c>
      <c r="O4202" s="24">
        <v>30.0</v>
      </c>
      <c r="P4202" s="18">
        <f t="shared" si="1"/>
        <v>222.579</v>
      </c>
    </row>
    <row r="4203" ht="15.75" customHeight="1">
      <c r="A4203" s="19" t="s">
        <v>247</v>
      </c>
      <c r="B4203" s="19" t="s">
        <v>22</v>
      </c>
      <c r="C4203" s="20" t="s">
        <v>30</v>
      </c>
      <c r="D4203" s="14" t="str">
        <f>VLOOKUP(C4203,'State Key'!$A$2:$B$210,2,False)</f>
        <v>West Bengal</v>
      </c>
      <c r="E4203" s="21">
        <v>550.0</v>
      </c>
      <c r="F4203" s="22">
        <v>272.732</v>
      </c>
      <c r="G4203" s="22">
        <v>0.0</v>
      </c>
      <c r="H4203" s="22">
        <v>0.0</v>
      </c>
      <c r="I4203" s="22">
        <v>20.117</v>
      </c>
      <c r="J4203" s="22">
        <v>0.0</v>
      </c>
      <c r="K4203" s="22">
        <v>49.945</v>
      </c>
      <c r="L4203" s="22">
        <v>342.794</v>
      </c>
      <c r="M4203" s="22">
        <v>258.486</v>
      </c>
      <c r="N4203" s="22">
        <v>114.04</v>
      </c>
      <c r="O4203" s="23">
        <v>13.2</v>
      </c>
      <c r="P4203" s="18">
        <f t="shared" si="1"/>
        <v>342.794</v>
      </c>
    </row>
    <row r="4204" ht="15.75" customHeight="1">
      <c r="A4204" s="13" t="s">
        <v>247</v>
      </c>
      <c r="B4204" s="13" t="s">
        <v>22</v>
      </c>
      <c r="C4204" s="14" t="s">
        <v>31</v>
      </c>
      <c r="D4204" s="14" t="str">
        <f>VLOOKUP(C4204,'State Key'!$A$2:$B$210,2,False)</f>
        <v>Odisha</v>
      </c>
      <c r="E4204" s="15">
        <v>1600.0</v>
      </c>
      <c r="F4204" s="16">
        <v>3.99</v>
      </c>
      <c r="G4204" s="16">
        <v>0.0</v>
      </c>
      <c r="H4204" s="16">
        <v>801.73</v>
      </c>
      <c r="I4204" s="16">
        <v>0.0</v>
      </c>
      <c r="J4204" s="16">
        <v>0.0</v>
      </c>
      <c r="K4204" s="16">
        <v>0.0</v>
      </c>
      <c r="L4204" s="16">
        <v>805.72</v>
      </c>
      <c r="M4204" s="16">
        <v>787.202</v>
      </c>
      <c r="N4204" s="16">
        <v>360.98</v>
      </c>
      <c r="O4204" s="23">
        <v>13.8</v>
      </c>
      <c r="P4204" s="18">
        <f t="shared" si="1"/>
        <v>805.72</v>
      </c>
    </row>
    <row r="4205" ht="15.75" customHeight="1">
      <c r="A4205" s="19" t="s">
        <v>247</v>
      </c>
      <c r="B4205" s="19" t="s">
        <v>22</v>
      </c>
      <c r="C4205" s="20" t="s">
        <v>32</v>
      </c>
      <c r="D4205" s="14" t="str">
        <f>VLOOKUP(C4205,'State Key'!$A$2:$B$210,2,False)</f>
        <v>Odisha</v>
      </c>
      <c r="E4205" s="21">
        <v>1200.0</v>
      </c>
      <c r="F4205" s="22">
        <v>476.365</v>
      </c>
      <c r="G4205" s="22">
        <v>0.0</v>
      </c>
      <c r="H4205" s="22">
        <v>0.0</v>
      </c>
      <c r="I4205" s="22">
        <v>168.593</v>
      </c>
      <c r="J4205" s="22">
        <v>0.0</v>
      </c>
      <c r="K4205" s="22">
        <v>0.0</v>
      </c>
      <c r="L4205" s="22">
        <v>644.958</v>
      </c>
      <c r="M4205" s="22">
        <v>624.39</v>
      </c>
      <c r="N4205" s="22">
        <v>1055.72</v>
      </c>
      <c r="O4205" s="24">
        <v>50.7</v>
      </c>
      <c r="P4205" s="18">
        <f t="shared" si="1"/>
        <v>644.958</v>
      </c>
    </row>
    <row r="4206" ht="15.75" customHeight="1">
      <c r="A4206" s="13" t="s">
        <v>247</v>
      </c>
      <c r="B4206" s="13" t="s">
        <v>22</v>
      </c>
      <c r="C4206" s="14" t="s">
        <v>34</v>
      </c>
      <c r="D4206" s="14" t="str">
        <f>VLOOKUP(C4206,'State Key'!$A$2:$B$210,2,False)</f>
        <v>West Bengal</v>
      </c>
      <c r="E4206" s="15">
        <v>1000.0</v>
      </c>
      <c r="F4206" s="16">
        <v>386.68</v>
      </c>
      <c r="G4206" s="16">
        <v>0.0</v>
      </c>
      <c r="H4206" s="16">
        <v>4.112</v>
      </c>
      <c r="I4206" s="16">
        <v>0.0</v>
      </c>
      <c r="J4206" s="16">
        <v>0.0</v>
      </c>
      <c r="K4206" s="16">
        <v>7.527</v>
      </c>
      <c r="L4206" s="16">
        <v>398.319</v>
      </c>
      <c r="M4206" s="16">
        <v>341.899</v>
      </c>
      <c r="N4206" s="16">
        <v>386.64</v>
      </c>
      <c r="O4206" s="24">
        <v>33.9</v>
      </c>
      <c r="P4206" s="18">
        <f t="shared" si="1"/>
        <v>398.319</v>
      </c>
    </row>
    <row r="4207" ht="15.75" customHeight="1">
      <c r="A4207" s="19" t="s">
        <v>247</v>
      </c>
      <c r="B4207" s="19" t="s">
        <v>22</v>
      </c>
      <c r="C4207" s="20" t="s">
        <v>35</v>
      </c>
      <c r="D4207" s="14" t="str">
        <f>VLOOKUP(C4207,'State Key'!$A$2:$B$210,2,False)</f>
        <v>West Bengal</v>
      </c>
      <c r="E4207" s="21">
        <v>2100.0</v>
      </c>
      <c r="F4207" s="22">
        <v>952.62</v>
      </c>
      <c r="G4207" s="22">
        <v>0.0</v>
      </c>
      <c r="H4207" s="22">
        <v>12.11</v>
      </c>
      <c r="I4207" s="22">
        <v>0.0</v>
      </c>
      <c r="J4207" s="22">
        <v>0.0</v>
      </c>
      <c r="K4207" s="22">
        <v>0.0</v>
      </c>
      <c r="L4207" s="22">
        <v>964.73</v>
      </c>
      <c r="M4207" s="22">
        <v>782.653</v>
      </c>
      <c r="N4207" s="22">
        <v>874.26</v>
      </c>
      <c r="O4207" s="24">
        <v>33.5</v>
      </c>
      <c r="P4207" s="18">
        <f t="shared" si="1"/>
        <v>964.73</v>
      </c>
    </row>
    <row r="4208" ht="15.75" customHeight="1">
      <c r="A4208" s="13" t="s">
        <v>247</v>
      </c>
      <c r="B4208" s="13" t="s">
        <v>22</v>
      </c>
      <c r="C4208" s="14" t="s">
        <v>36</v>
      </c>
      <c r="D4208" s="14" t="str">
        <f>VLOOKUP(C4208,'State Key'!$A$2:$B$210,2,False)</f>
        <v>West Bengal</v>
      </c>
      <c r="E4208" s="15">
        <v>600.0</v>
      </c>
      <c r="F4208" s="16">
        <v>282.598</v>
      </c>
      <c r="G4208" s="16">
        <v>0.0</v>
      </c>
      <c r="H4208" s="16">
        <v>0.0</v>
      </c>
      <c r="I4208" s="16">
        <v>0.0</v>
      </c>
      <c r="J4208" s="16">
        <v>0.0</v>
      </c>
      <c r="K4208" s="16">
        <v>0.0</v>
      </c>
      <c r="L4208" s="16">
        <v>282.598</v>
      </c>
      <c r="M4208" s="16">
        <v>290.224</v>
      </c>
      <c r="N4208" s="16">
        <v>101.14</v>
      </c>
      <c r="O4208" s="23">
        <v>10.5</v>
      </c>
      <c r="P4208" s="18">
        <f t="shared" si="1"/>
        <v>282.598</v>
      </c>
    </row>
    <row r="4209" ht="15.75" customHeight="1">
      <c r="A4209" s="19" t="s">
        <v>247</v>
      </c>
      <c r="B4209" s="19" t="s">
        <v>22</v>
      </c>
      <c r="C4209" s="20" t="s">
        <v>37</v>
      </c>
      <c r="D4209" s="14" t="str">
        <f>VLOOKUP(C4209,'State Key'!$A$2:$B$210,2,False)</f>
        <v>West Bengal</v>
      </c>
      <c r="E4209" s="21">
        <v>300.0</v>
      </c>
      <c r="F4209" s="22">
        <v>182.569</v>
      </c>
      <c r="G4209" s="22">
        <v>0.0</v>
      </c>
      <c r="H4209" s="22">
        <v>0.0</v>
      </c>
      <c r="I4209" s="22">
        <v>0.0</v>
      </c>
      <c r="J4209" s="22">
        <v>0.0</v>
      </c>
      <c r="K4209" s="22">
        <v>0.0</v>
      </c>
      <c r="L4209" s="22">
        <v>182.569</v>
      </c>
      <c r="M4209" s="22">
        <v>126.904</v>
      </c>
      <c r="N4209" s="22">
        <v>87.71</v>
      </c>
      <c r="O4209" s="24">
        <v>20.7</v>
      </c>
      <c r="P4209" s="18">
        <f t="shared" si="1"/>
        <v>182.569</v>
      </c>
    </row>
    <row r="4210" ht="15.75" customHeight="1">
      <c r="A4210" s="13" t="s">
        <v>247</v>
      </c>
      <c r="B4210" s="13" t="s">
        <v>22</v>
      </c>
      <c r="C4210" s="14" t="s">
        <v>38</v>
      </c>
      <c r="D4210" s="14" t="str">
        <f>VLOOKUP(C4210,'State Key'!$A$2:$B$210,2,False)</f>
        <v>Odisha</v>
      </c>
      <c r="E4210" s="15">
        <v>1740.0</v>
      </c>
      <c r="F4210" s="16">
        <v>56.271</v>
      </c>
      <c r="G4210" s="16">
        <v>0.0</v>
      </c>
      <c r="H4210" s="16">
        <v>779.202</v>
      </c>
      <c r="I4210" s="16">
        <v>0.0</v>
      </c>
      <c r="J4210" s="16">
        <v>0.0</v>
      </c>
      <c r="K4210" s="16">
        <v>0.0</v>
      </c>
      <c r="L4210" s="16">
        <v>835.473</v>
      </c>
      <c r="M4210" s="16">
        <v>798.397</v>
      </c>
      <c r="N4210" s="16">
        <v>253.32</v>
      </c>
      <c r="O4210" s="23">
        <v>9.5</v>
      </c>
      <c r="P4210" s="18">
        <f t="shared" si="1"/>
        <v>835.473</v>
      </c>
    </row>
    <row r="4211" ht="15.75" customHeight="1">
      <c r="A4211" s="19" t="s">
        <v>247</v>
      </c>
      <c r="B4211" s="19" t="s">
        <v>22</v>
      </c>
      <c r="C4211" s="20" t="s">
        <v>39</v>
      </c>
      <c r="D4211" s="14" t="str">
        <f>VLOOKUP(C4211,'State Key'!$A$2:$B$210,2,False)</f>
        <v>Jharkhand</v>
      </c>
      <c r="E4211" s="21">
        <v>240.0</v>
      </c>
      <c r="F4211" s="22">
        <v>98.54456</v>
      </c>
      <c r="G4211" s="22">
        <v>0.0</v>
      </c>
      <c r="H4211" s="22">
        <v>0.0</v>
      </c>
      <c r="I4211" s="22">
        <v>0.0</v>
      </c>
      <c r="J4211" s="22">
        <v>0.0</v>
      </c>
      <c r="K4211" s="22">
        <v>0.0</v>
      </c>
      <c r="L4211" s="22">
        <v>98.54456</v>
      </c>
      <c r="M4211" s="22">
        <v>85.7954</v>
      </c>
      <c r="N4211" s="22">
        <v>236.25</v>
      </c>
      <c r="O4211" s="24">
        <v>82.6</v>
      </c>
      <c r="P4211" s="18">
        <f t="shared" si="1"/>
        <v>98.54456</v>
      </c>
    </row>
    <row r="4212" ht="15.75" customHeight="1">
      <c r="A4212" s="13" t="s">
        <v>247</v>
      </c>
      <c r="B4212" s="13" t="s">
        <v>22</v>
      </c>
      <c r="C4212" s="14" t="s">
        <v>245</v>
      </c>
      <c r="D4212" s="14" t="str">
        <f>VLOOKUP(C4212,'State Key'!$A$2:$B$210,2,False)</f>
        <v>Odisha</v>
      </c>
      <c r="E4212" s="15">
        <v>350.0</v>
      </c>
      <c r="F4212" s="16">
        <v>0.0</v>
      </c>
      <c r="G4212" s="16">
        <v>0.0</v>
      </c>
      <c r="H4212" s="16">
        <v>0.0</v>
      </c>
      <c r="I4212" s="16">
        <v>0.0</v>
      </c>
      <c r="J4212" s="16">
        <v>0.0</v>
      </c>
      <c r="K4212" s="16">
        <v>199.138</v>
      </c>
      <c r="L4212" s="16">
        <v>199.138</v>
      </c>
      <c r="M4212" s="16">
        <v>207.0</v>
      </c>
      <c r="N4212" s="16">
        <v>262.57</v>
      </c>
      <c r="O4212" s="24">
        <v>38.1</v>
      </c>
      <c r="P4212" s="18">
        <f t="shared" si="1"/>
        <v>199.138</v>
      </c>
    </row>
    <row r="4213" ht="15.75" customHeight="1">
      <c r="A4213" s="19" t="s">
        <v>247</v>
      </c>
      <c r="B4213" s="19" t="s">
        <v>22</v>
      </c>
      <c r="C4213" s="20" t="s">
        <v>40</v>
      </c>
      <c r="D4213" s="14" t="str">
        <f>VLOOKUP(C4213,'State Key'!$A$2:$B$210,2,False)</f>
        <v>Bihar</v>
      </c>
      <c r="E4213" s="21">
        <v>2340.0</v>
      </c>
      <c r="F4213" s="22">
        <v>1276.86</v>
      </c>
      <c r="G4213" s="22">
        <v>0.0</v>
      </c>
      <c r="H4213" s="22">
        <v>27.94</v>
      </c>
      <c r="I4213" s="22">
        <v>0.0</v>
      </c>
      <c r="J4213" s="22">
        <v>0.0</v>
      </c>
      <c r="K4213" s="22">
        <v>0.0</v>
      </c>
      <c r="L4213" s="22">
        <v>1304.8</v>
      </c>
      <c r="M4213" s="22">
        <v>1242.303</v>
      </c>
      <c r="N4213" s="22">
        <v>814.513</v>
      </c>
      <c r="O4213" s="24">
        <v>19.7</v>
      </c>
      <c r="P4213" s="18">
        <f t="shared" si="1"/>
        <v>1304.8</v>
      </c>
    </row>
    <row r="4214" ht="15.75" customHeight="1">
      <c r="A4214" s="13" t="s">
        <v>247</v>
      </c>
      <c r="B4214" s="13" t="s">
        <v>22</v>
      </c>
      <c r="C4214" s="14" t="s">
        <v>41</v>
      </c>
      <c r="D4214" s="14" t="str">
        <f>VLOOKUP(C4214,'State Key'!$A$2:$B$210,2,False)</f>
        <v>Odisha</v>
      </c>
      <c r="E4214" s="15">
        <v>1050.0</v>
      </c>
      <c r="F4214" s="16">
        <v>407.675</v>
      </c>
      <c r="G4214" s="16">
        <v>0.0</v>
      </c>
      <c r="H4214" s="16">
        <v>0.0</v>
      </c>
      <c r="I4214" s="16">
        <v>71.273</v>
      </c>
      <c r="J4214" s="16">
        <v>0.0</v>
      </c>
      <c r="K4214" s="16">
        <v>0.0</v>
      </c>
      <c r="L4214" s="16">
        <v>478.948</v>
      </c>
      <c r="M4214" s="16">
        <v>559.143</v>
      </c>
      <c r="N4214" s="16">
        <v>292.01</v>
      </c>
      <c r="O4214" s="24">
        <v>15.7</v>
      </c>
      <c r="P4214" s="18">
        <f t="shared" si="1"/>
        <v>478.948</v>
      </c>
    </row>
    <row r="4215" ht="15.75" customHeight="1">
      <c r="A4215" s="19" t="s">
        <v>247</v>
      </c>
      <c r="B4215" s="19" t="s">
        <v>22</v>
      </c>
      <c r="C4215" s="20" t="s">
        <v>42</v>
      </c>
      <c r="D4215" s="14" t="str">
        <f>VLOOKUP(C4215,'State Key'!$A$2:$B$210,2,False)</f>
        <v>Jharkhand</v>
      </c>
      <c r="E4215" s="21">
        <v>1000.0</v>
      </c>
      <c r="F4215" s="22">
        <v>277.966</v>
      </c>
      <c r="G4215" s="22">
        <v>0.0</v>
      </c>
      <c r="H4215" s="22">
        <v>157.034</v>
      </c>
      <c r="I4215" s="22">
        <v>0.0</v>
      </c>
      <c r="J4215" s="22">
        <v>0.0</v>
      </c>
      <c r="K4215" s="22">
        <v>0.0</v>
      </c>
      <c r="L4215" s="22">
        <v>435.0</v>
      </c>
      <c r="M4215" s="22">
        <v>470.729</v>
      </c>
      <c r="N4215" s="22">
        <v>409.78</v>
      </c>
      <c r="O4215" s="24">
        <v>26.1</v>
      </c>
      <c r="P4215" s="18">
        <f t="shared" si="1"/>
        <v>435</v>
      </c>
    </row>
    <row r="4216" ht="15.75" customHeight="1">
      <c r="A4216" s="13" t="s">
        <v>247</v>
      </c>
      <c r="B4216" s="13" t="s">
        <v>22</v>
      </c>
      <c r="C4216" s="14" t="s">
        <v>43</v>
      </c>
      <c r="D4216" s="14" t="str">
        <f>VLOOKUP(C4216,'State Key'!$A$2:$B$210,2,False)</f>
        <v>West Bengal</v>
      </c>
      <c r="E4216" s="15">
        <v>840.0</v>
      </c>
      <c r="F4216" s="16">
        <v>0.0</v>
      </c>
      <c r="G4216" s="16">
        <v>0.0</v>
      </c>
      <c r="H4216" s="16">
        <v>336.749</v>
      </c>
      <c r="I4216" s="16">
        <v>0.0</v>
      </c>
      <c r="J4216" s="16">
        <v>0.0</v>
      </c>
      <c r="K4216" s="16">
        <v>0.0</v>
      </c>
      <c r="L4216" s="16">
        <v>336.749</v>
      </c>
      <c r="M4216" s="16">
        <v>352.266</v>
      </c>
      <c r="N4216" s="16">
        <v>76.83</v>
      </c>
      <c r="O4216" s="17">
        <v>6.5</v>
      </c>
      <c r="P4216" s="18">
        <f t="shared" si="1"/>
        <v>336.749</v>
      </c>
    </row>
    <row r="4217" ht="15.75" customHeight="1">
      <c r="A4217" s="19" t="s">
        <v>247</v>
      </c>
      <c r="B4217" s="19" t="s">
        <v>22</v>
      </c>
      <c r="C4217" s="20" t="s">
        <v>44</v>
      </c>
      <c r="D4217" s="14" t="str">
        <f>VLOOKUP(C4217,'State Key'!$A$2:$B$210,2,False)</f>
        <v>Jharkhand</v>
      </c>
      <c r="E4217" s="21">
        <v>540.0</v>
      </c>
      <c r="F4217" s="22">
        <v>201.842</v>
      </c>
      <c r="G4217" s="22">
        <v>0.0</v>
      </c>
      <c r="H4217" s="22">
        <v>0.0</v>
      </c>
      <c r="I4217" s="22">
        <v>0.0</v>
      </c>
      <c r="J4217" s="22">
        <v>0.0</v>
      </c>
      <c r="K4217" s="22">
        <v>65.553</v>
      </c>
      <c r="L4217" s="22">
        <v>267.395</v>
      </c>
      <c r="M4217" s="22">
        <v>264.548</v>
      </c>
      <c r="N4217" s="22">
        <v>84.98</v>
      </c>
      <c r="O4217" s="23">
        <v>9.6</v>
      </c>
      <c r="P4217" s="18">
        <f t="shared" si="1"/>
        <v>267.395</v>
      </c>
    </row>
    <row r="4218" ht="15.75" customHeight="1">
      <c r="A4218" s="13" t="s">
        <v>247</v>
      </c>
      <c r="B4218" s="13" t="s">
        <v>22</v>
      </c>
      <c r="C4218" s="14" t="s">
        <v>45</v>
      </c>
      <c r="D4218" s="14" t="str">
        <f>VLOOKUP(C4218,'State Key'!$A$2:$B$210,2,False)</f>
        <v>Jharkhand</v>
      </c>
      <c r="E4218" s="15">
        <v>1050.0</v>
      </c>
      <c r="F4218" s="16">
        <v>442.909</v>
      </c>
      <c r="G4218" s="16">
        <v>0.0</v>
      </c>
      <c r="H4218" s="16">
        <v>0.0</v>
      </c>
      <c r="I4218" s="16">
        <v>0.0</v>
      </c>
      <c r="J4218" s="16">
        <v>0.0</v>
      </c>
      <c r="K4218" s="16">
        <v>0.0</v>
      </c>
      <c r="L4218" s="16">
        <v>442.909</v>
      </c>
      <c r="M4218" s="16">
        <v>406.772</v>
      </c>
      <c r="N4218" s="16">
        <v>633.05</v>
      </c>
      <c r="O4218" s="24">
        <v>46.7</v>
      </c>
      <c r="P4218" s="18">
        <f t="shared" si="1"/>
        <v>442.909</v>
      </c>
    </row>
    <row r="4219" ht="15.75" customHeight="1">
      <c r="A4219" s="19" t="s">
        <v>247</v>
      </c>
      <c r="B4219" s="19" t="s">
        <v>22</v>
      </c>
      <c r="C4219" s="20" t="s">
        <v>46</v>
      </c>
      <c r="D4219" s="14" t="str">
        <f>VLOOKUP(C4219,'State Key'!$A$2:$B$210,2,False)</f>
        <v>West Bengal</v>
      </c>
      <c r="E4219" s="21">
        <v>2340.0</v>
      </c>
      <c r="F4219" s="22">
        <v>801.002</v>
      </c>
      <c r="G4219" s="22">
        <v>0.0</v>
      </c>
      <c r="H4219" s="22">
        <v>88.172</v>
      </c>
      <c r="I4219" s="22">
        <v>0.0</v>
      </c>
      <c r="J4219" s="22">
        <v>0.0</v>
      </c>
      <c r="K4219" s="22">
        <v>0.0</v>
      </c>
      <c r="L4219" s="22">
        <v>889.174</v>
      </c>
      <c r="M4219" s="22">
        <v>841.139</v>
      </c>
      <c r="N4219" s="22">
        <v>566.87</v>
      </c>
      <c r="O4219" s="24">
        <v>20.2</v>
      </c>
      <c r="P4219" s="18">
        <f t="shared" si="1"/>
        <v>889.174</v>
      </c>
    </row>
    <row r="4220" ht="15.75" customHeight="1">
      <c r="A4220" s="13" t="s">
        <v>247</v>
      </c>
      <c r="B4220" s="13" t="s">
        <v>22</v>
      </c>
      <c r="C4220" s="14" t="s">
        <v>47</v>
      </c>
      <c r="D4220" s="14" t="str">
        <f>VLOOKUP(C4220,'State Key'!$A$2:$B$210,2,False)</f>
        <v>Bihar</v>
      </c>
      <c r="E4220" s="15">
        <v>390.0</v>
      </c>
      <c r="F4220" s="16">
        <v>73.87</v>
      </c>
      <c r="G4220" s="16">
        <v>0.0</v>
      </c>
      <c r="H4220" s="16">
        <v>76.67</v>
      </c>
      <c r="I4220" s="16">
        <v>0.0</v>
      </c>
      <c r="J4220" s="16">
        <v>0.0</v>
      </c>
      <c r="K4220" s="16">
        <v>0.0</v>
      </c>
      <c r="L4220" s="16">
        <v>150.54</v>
      </c>
      <c r="M4220" s="16">
        <v>170.008</v>
      </c>
      <c r="N4220" s="16">
        <v>149.59</v>
      </c>
      <c r="O4220" s="24">
        <v>26.4</v>
      </c>
      <c r="P4220" s="18">
        <f t="shared" si="1"/>
        <v>150.54</v>
      </c>
    </row>
    <row r="4221" ht="15.75" customHeight="1">
      <c r="A4221" s="19" t="s">
        <v>247</v>
      </c>
      <c r="B4221" s="19" t="s">
        <v>22</v>
      </c>
      <c r="C4221" s="20" t="s">
        <v>241</v>
      </c>
      <c r="D4221" s="14" t="str">
        <f>VLOOKUP(C4221,'State Key'!$A$2:$B$210,2,False)</f>
        <v>Odisha</v>
      </c>
      <c r="E4221" s="21">
        <v>60.0</v>
      </c>
      <c r="F4221" s="22">
        <v>32.0</v>
      </c>
      <c r="G4221" s="22">
        <v>0.0</v>
      </c>
      <c r="H4221" s="22">
        <v>0.0</v>
      </c>
      <c r="I4221" s="22">
        <v>0.0</v>
      </c>
      <c r="J4221" s="22">
        <v>0.0</v>
      </c>
      <c r="K4221" s="22">
        <v>0.0</v>
      </c>
      <c r="L4221" s="22">
        <v>32.0</v>
      </c>
      <c r="M4221" s="22">
        <v>39.0</v>
      </c>
      <c r="N4221" s="22">
        <v>3.33</v>
      </c>
      <c r="O4221" s="17">
        <v>2.6</v>
      </c>
      <c r="P4221" s="18">
        <f t="shared" si="1"/>
        <v>32</v>
      </c>
    </row>
    <row r="4222" ht="15.75" customHeight="1">
      <c r="A4222" s="13" t="s">
        <v>247</v>
      </c>
      <c r="B4222" s="13" t="s">
        <v>22</v>
      </c>
      <c r="C4222" s="14" t="s">
        <v>48</v>
      </c>
      <c r="D4222" s="14" t="str">
        <f>VLOOKUP(C4222,'State Key'!$A$2:$B$210,2,False)</f>
        <v>Bihar</v>
      </c>
      <c r="E4222" s="15">
        <v>1980.0</v>
      </c>
      <c r="F4222" s="16">
        <v>616.895</v>
      </c>
      <c r="G4222" s="16">
        <v>0.0</v>
      </c>
      <c r="H4222" s="16">
        <v>73.789</v>
      </c>
      <c r="I4222" s="16">
        <v>57.694</v>
      </c>
      <c r="J4222" s="16">
        <v>0.0</v>
      </c>
      <c r="K4222" s="16">
        <v>0.0</v>
      </c>
      <c r="L4222" s="16">
        <v>748.378</v>
      </c>
      <c r="M4222" s="16">
        <v>834.042</v>
      </c>
      <c r="N4222" s="16">
        <v>938.75</v>
      </c>
      <c r="O4222" s="24">
        <v>33.8</v>
      </c>
      <c r="P4222" s="18">
        <f t="shared" si="1"/>
        <v>748.378</v>
      </c>
    </row>
    <row r="4223" ht="15.75" customHeight="1">
      <c r="A4223" s="19" t="s">
        <v>247</v>
      </c>
      <c r="B4223" s="19" t="s">
        <v>22</v>
      </c>
      <c r="C4223" s="20" t="s">
        <v>49</v>
      </c>
      <c r="D4223" s="14" t="str">
        <f>VLOOKUP(C4223,'State Key'!$A$2:$B$210,2,False)</f>
        <v>Bihar</v>
      </c>
      <c r="E4223" s="21">
        <v>1000.0</v>
      </c>
      <c r="F4223" s="22">
        <v>468.258</v>
      </c>
      <c r="G4223" s="22">
        <v>0.0</v>
      </c>
      <c r="H4223" s="22">
        <v>0.0</v>
      </c>
      <c r="I4223" s="22">
        <v>0.0</v>
      </c>
      <c r="J4223" s="22">
        <v>0.0</v>
      </c>
      <c r="K4223" s="22">
        <v>0.0</v>
      </c>
      <c r="L4223" s="22">
        <v>468.258</v>
      </c>
      <c r="M4223" s="22">
        <v>460.853</v>
      </c>
      <c r="N4223" s="22">
        <v>347.83</v>
      </c>
      <c r="O4223" s="24">
        <v>22.6</v>
      </c>
      <c r="P4223" s="18">
        <f t="shared" si="1"/>
        <v>468.258</v>
      </c>
    </row>
    <row r="4224" ht="15.75" customHeight="1">
      <c r="A4224" s="13" t="s">
        <v>247</v>
      </c>
      <c r="B4224" s="13" t="s">
        <v>22</v>
      </c>
      <c r="C4224" s="14" t="s">
        <v>50</v>
      </c>
      <c r="D4224" s="14" t="str">
        <f>VLOOKUP(C4224,'State Key'!$A$2:$B$210,2,False)</f>
        <v>Jharkhand</v>
      </c>
      <c r="E4224" s="15">
        <v>1320.0</v>
      </c>
      <c r="F4224" s="16">
        <v>399.81</v>
      </c>
      <c r="G4224" s="16">
        <v>0.0</v>
      </c>
      <c r="H4224" s="16">
        <v>141.04</v>
      </c>
      <c r="I4224" s="16">
        <v>0.0</v>
      </c>
      <c r="J4224" s="16">
        <v>0.0</v>
      </c>
      <c r="K4224" s="16">
        <v>0.0</v>
      </c>
      <c r="L4224" s="16">
        <v>540.85</v>
      </c>
      <c r="M4224" s="16">
        <v>379.638</v>
      </c>
      <c r="N4224" s="16">
        <v>622.1</v>
      </c>
      <c r="O4224" s="24">
        <v>49.2</v>
      </c>
      <c r="P4224" s="18">
        <f t="shared" si="1"/>
        <v>540.85</v>
      </c>
    </row>
    <row r="4225" ht="15.75" customHeight="1">
      <c r="A4225" s="19" t="s">
        <v>247</v>
      </c>
      <c r="B4225" s="19" t="s">
        <v>22</v>
      </c>
      <c r="C4225" s="20" t="s">
        <v>51</v>
      </c>
      <c r="D4225" s="14" t="str">
        <f>VLOOKUP(C4225,'State Key'!$A$2:$B$210,2,False)</f>
        <v>West Bengal</v>
      </c>
      <c r="E4225" s="21">
        <v>1200.0</v>
      </c>
      <c r="F4225" s="22">
        <v>463.558</v>
      </c>
      <c r="G4225" s="22">
        <v>0.0</v>
      </c>
      <c r="H4225" s="22">
        <v>20.286</v>
      </c>
      <c r="I4225" s="22">
        <v>0.0</v>
      </c>
      <c r="J4225" s="22">
        <v>0.0</v>
      </c>
      <c r="K4225" s="22">
        <v>3.984</v>
      </c>
      <c r="L4225" s="22">
        <v>487.828</v>
      </c>
      <c r="M4225" s="22">
        <v>458.775</v>
      </c>
      <c r="N4225" s="22">
        <v>365.07</v>
      </c>
      <c r="O4225" s="24">
        <v>23.9</v>
      </c>
      <c r="P4225" s="18">
        <f t="shared" si="1"/>
        <v>487.828</v>
      </c>
    </row>
    <row r="4226" ht="15.75" customHeight="1">
      <c r="A4226" s="13" t="s">
        <v>247</v>
      </c>
      <c r="B4226" s="13" t="s">
        <v>22</v>
      </c>
      <c r="C4226" s="14" t="s">
        <v>52</v>
      </c>
      <c r="D4226" s="14" t="str">
        <f>VLOOKUP(C4226,'State Key'!$A$2:$B$210,2,False)</f>
        <v>West Bengal</v>
      </c>
      <c r="E4226" s="15">
        <v>1600.0</v>
      </c>
      <c r="F4226" s="16">
        <v>0.0</v>
      </c>
      <c r="G4226" s="16">
        <v>0.0</v>
      </c>
      <c r="H4226" s="16">
        <v>673.365</v>
      </c>
      <c r="I4226" s="16">
        <v>0.0</v>
      </c>
      <c r="J4226" s="16">
        <v>0.0</v>
      </c>
      <c r="K4226" s="16">
        <v>0.0</v>
      </c>
      <c r="L4226" s="16">
        <v>673.365</v>
      </c>
      <c r="M4226" s="16">
        <v>656.381</v>
      </c>
      <c r="N4226" s="16">
        <v>268.58</v>
      </c>
      <c r="O4226" s="23">
        <v>12.3</v>
      </c>
      <c r="P4226" s="18">
        <f t="shared" si="1"/>
        <v>673.365</v>
      </c>
    </row>
    <row r="4227" ht="15.75" customHeight="1">
      <c r="A4227" s="19" t="s">
        <v>247</v>
      </c>
      <c r="B4227" s="19" t="s">
        <v>22</v>
      </c>
      <c r="C4227" s="20" t="s">
        <v>53</v>
      </c>
      <c r="D4227" s="14" t="str">
        <f>VLOOKUP(C4227,'State Key'!$A$2:$B$210,2,False)</f>
        <v>West Bengal</v>
      </c>
      <c r="E4227" s="21">
        <v>500.0</v>
      </c>
      <c r="F4227" s="22">
        <v>0.0</v>
      </c>
      <c r="G4227" s="22">
        <v>0.0</v>
      </c>
      <c r="H4227" s="22">
        <v>236.2</v>
      </c>
      <c r="I4227" s="22">
        <v>0.0</v>
      </c>
      <c r="J4227" s="22">
        <v>0.0</v>
      </c>
      <c r="K4227" s="22">
        <v>0.0</v>
      </c>
      <c r="L4227" s="22">
        <v>236.2</v>
      </c>
      <c r="M4227" s="22">
        <v>240.34</v>
      </c>
      <c r="N4227" s="22">
        <v>32.19</v>
      </c>
      <c r="O4227" s="17">
        <v>4.0</v>
      </c>
      <c r="P4227" s="18">
        <f t="shared" si="1"/>
        <v>236.2</v>
      </c>
    </row>
    <row r="4228" ht="15.75" customHeight="1">
      <c r="A4228" s="13" t="s">
        <v>247</v>
      </c>
      <c r="B4228" s="13" t="s">
        <v>22</v>
      </c>
      <c r="C4228" s="14" t="s">
        <v>54</v>
      </c>
      <c r="D4228" s="14" t="str">
        <f>VLOOKUP(C4228,'State Key'!$A$2:$B$210,2,False)</f>
        <v>West Bengal</v>
      </c>
      <c r="E4228" s="15">
        <v>135.0</v>
      </c>
      <c r="F4228" s="16">
        <v>3.979</v>
      </c>
      <c r="G4228" s="16">
        <v>0.0</v>
      </c>
      <c r="H4228" s="16">
        <v>0.0</v>
      </c>
      <c r="I4228" s="16">
        <v>0.0</v>
      </c>
      <c r="J4228" s="16">
        <v>0.0</v>
      </c>
      <c r="K4228" s="16">
        <v>0.0</v>
      </c>
      <c r="L4228" s="16">
        <v>3.979</v>
      </c>
      <c r="M4228" s="16">
        <v>9.58</v>
      </c>
      <c r="N4228" s="16">
        <v>49.68</v>
      </c>
      <c r="O4228" s="24">
        <v>155.6</v>
      </c>
      <c r="P4228" s="18">
        <f t="shared" si="1"/>
        <v>3.979</v>
      </c>
    </row>
    <row r="4229" ht="15.75" customHeight="1">
      <c r="A4229" s="19" t="s">
        <v>247</v>
      </c>
      <c r="B4229" s="19" t="s">
        <v>22</v>
      </c>
      <c r="C4229" s="20" t="s">
        <v>55</v>
      </c>
      <c r="D4229" s="14" t="str">
        <f>VLOOKUP(C4229,'State Key'!$A$2:$B$210,2,False)</f>
        <v>Odisha</v>
      </c>
      <c r="E4229" s="21">
        <v>3000.0</v>
      </c>
      <c r="F4229" s="22">
        <v>1541.14</v>
      </c>
      <c r="G4229" s="22">
        <v>0.0</v>
      </c>
      <c r="H4229" s="22">
        <v>26.24</v>
      </c>
      <c r="I4229" s="22">
        <v>0.0</v>
      </c>
      <c r="J4229" s="22">
        <v>0.0</v>
      </c>
      <c r="K4229" s="22">
        <v>0.0</v>
      </c>
      <c r="L4229" s="22">
        <v>1567.38</v>
      </c>
      <c r="M4229" s="22">
        <v>1419.681</v>
      </c>
      <c r="N4229" s="22">
        <v>608.0</v>
      </c>
      <c r="O4229" s="23">
        <v>12.8</v>
      </c>
      <c r="P4229" s="18">
        <f t="shared" si="1"/>
        <v>1567.38</v>
      </c>
    </row>
    <row r="4230" ht="15.75" customHeight="1">
      <c r="A4230" s="13" t="s">
        <v>247</v>
      </c>
      <c r="B4230" s="13" t="s">
        <v>22</v>
      </c>
      <c r="C4230" s="14" t="s">
        <v>56</v>
      </c>
      <c r="D4230" s="14" t="str">
        <f>VLOOKUP(C4230,'State Key'!$A$2:$B$210,2,False)</f>
        <v>Jharkhand</v>
      </c>
      <c r="E4230" s="15">
        <v>420.0</v>
      </c>
      <c r="F4230" s="16">
        <v>260.3</v>
      </c>
      <c r="G4230" s="16">
        <v>0.0</v>
      </c>
      <c r="H4230" s="16">
        <v>0.0</v>
      </c>
      <c r="I4230" s="16">
        <v>0.0</v>
      </c>
      <c r="J4230" s="16">
        <v>0.0</v>
      </c>
      <c r="K4230" s="16">
        <v>0.0</v>
      </c>
      <c r="L4230" s="16">
        <v>260.3</v>
      </c>
      <c r="M4230" s="16">
        <v>142.05</v>
      </c>
      <c r="N4230" s="16">
        <v>273.68</v>
      </c>
      <c r="O4230" s="24">
        <v>57.8</v>
      </c>
      <c r="P4230" s="18">
        <f t="shared" si="1"/>
        <v>260.3</v>
      </c>
    </row>
    <row r="4231" ht="15.75" customHeight="1">
      <c r="A4231" s="19" t="s">
        <v>247</v>
      </c>
      <c r="B4231" s="19" t="s">
        <v>22</v>
      </c>
      <c r="C4231" s="20" t="s">
        <v>57</v>
      </c>
      <c r="D4231" s="14" t="str">
        <f>VLOOKUP(C4231,'State Key'!$A$2:$B$210,2,False)</f>
        <v>West Bengal</v>
      </c>
      <c r="E4231" s="21">
        <v>0.0</v>
      </c>
      <c r="F4231" s="22">
        <v>0.0</v>
      </c>
      <c r="G4231" s="22">
        <v>0.0</v>
      </c>
      <c r="H4231" s="22">
        <v>0.0</v>
      </c>
      <c r="I4231" s="22">
        <v>0.0</v>
      </c>
      <c r="J4231" s="22">
        <v>0.0</v>
      </c>
      <c r="K4231" s="22">
        <v>0.0</v>
      </c>
      <c r="L4231" s="22">
        <v>0.0</v>
      </c>
      <c r="M4231" s="22">
        <v>0.0</v>
      </c>
      <c r="N4231" s="22">
        <v>0.0</v>
      </c>
      <c r="O4231" s="19" t="s">
        <v>58</v>
      </c>
      <c r="P4231" s="18">
        <f t="shared" si="1"/>
        <v>0</v>
      </c>
    </row>
    <row r="4232" ht="15.75" customHeight="1">
      <c r="A4232" s="13" t="s">
        <v>247</v>
      </c>
      <c r="B4232" s="13" t="s">
        <v>22</v>
      </c>
      <c r="C4232" s="14" t="s">
        <v>60</v>
      </c>
      <c r="D4232" s="14" t="str">
        <f>VLOOKUP(C4232,'State Key'!$A$2:$B$210,2,False)</f>
        <v>Odisha</v>
      </c>
      <c r="E4232" s="15">
        <v>600.0</v>
      </c>
      <c r="F4232" s="16">
        <v>353.52</v>
      </c>
      <c r="G4232" s="16">
        <v>0.0</v>
      </c>
      <c r="H4232" s="16">
        <v>0.0</v>
      </c>
      <c r="I4232" s="16">
        <v>0.0</v>
      </c>
      <c r="J4232" s="16">
        <v>0.0</v>
      </c>
      <c r="K4232" s="16">
        <v>0.0</v>
      </c>
      <c r="L4232" s="16">
        <v>353.52</v>
      </c>
      <c r="M4232" s="16">
        <v>288.04</v>
      </c>
      <c r="N4232" s="16">
        <v>105.5</v>
      </c>
      <c r="O4232" s="23">
        <v>11.0</v>
      </c>
      <c r="P4232" s="18">
        <f t="shared" si="1"/>
        <v>353.52</v>
      </c>
    </row>
    <row r="4233" ht="15.75" customHeight="1">
      <c r="A4233" s="19" t="s">
        <v>247</v>
      </c>
      <c r="B4233" s="19" t="s">
        <v>61</v>
      </c>
      <c r="C4233" s="20" t="s">
        <v>209</v>
      </c>
      <c r="D4233" s="14" t="str">
        <f>VLOOKUP(C4233,'State Key'!$A$2:$B$210,2,False)</f>
        <v>Rajasthan</v>
      </c>
      <c r="E4233" s="21">
        <v>1320.0</v>
      </c>
      <c r="F4233" s="22">
        <v>323.557</v>
      </c>
      <c r="G4233" s="22">
        <v>0.0</v>
      </c>
      <c r="H4233" s="22">
        <v>0.0</v>
      </c>
      <c r="I4233" s="22">
        <v>0.0</v>
      </c>
      <c r="J4233" s="22">
        <v>137.058</v>
      </c>
      <c r="K4233" s="22">
        <v>0.0</v>
      </c>
      <c r="L4233" s="22">
        <v>460.615</v>
      </c>
      <c r="M4233" s="22">
        <v>420.389</v>
      </c>
      <c r="N4233" s="22">
        <v>260.33</v>
      </c>
      <c r="O4233" s="24">
        <v>18.6</v>
      </c>
      <c r="P4233" s="18">
        <f t="shared" si="1"/>
        <v>460.615</v>
      </c>
    </row>
    <row r="4234" ht="15.75" customHeight="1">
      <c r="A4234" s="13" t="s">
        <v>247</v>
      </c>
      <c r="B4234" s="13" t="s">
        <v>61</v>
      </c>
      <c r="C4234" s="14" t="s">
        <v>62</v>
      </c>
      <c r="D4234" s="14" t="str">
        <f>VLOOKUP(C4234,'State Key'!$A$2:$B$210,2,False)</f>
        <v>Uttar Pradesh</v>
      </c>
      <c r="E4234" s="15">
        <v>1200.0</v>
      </c>
      <c r="F4234" s="16">
        <v>308.46</v>
      </c>
      <c r="G4234" s="16">
        <v>0.0</v>
      </c>
      <c r="H4234" s="16">
        <v>0.0</v>
      </c>
      <c r="I4234" s="16">
        <v>0.0</v>
      </c>
      <c r="J4234" s="16">
        <v>0.0</v>
      </c>
      <c r="K4234" s="16">
        <v>0.0</v>
      </c>
      <c r="L4234" s="16">
        <v>308.46</v>
      </c>
      <c r="M4234" s="16">
        <v>386.828</v>
      </c>
      <c r="N4234" s="16">
        <v>326.88</v>
      </c>
      <c r="O4234" s="24">
        <v>25.4</v>
      </c>
      <c r="P4234" s="18">
        <f t="shared" si="1"/>
        <v>308.46</v>
      </c>
    </row>
    <row r="4235" ht="15.75" customHeight="1">
      <c r="A4235" s="19" t="s">
        <v>247</v>
      </c>
      <c r="B4235" s="19" t="s">
        <v>61</v>
      </c>
      <c r="C4235" s="20" t="s">
        <v>63</v>
      </c>
      <c r="D4235" s="14" t="str">
        <f>VLOOKUP(C4235,'State Key'!$A$2:$B$210,2,False)</f>
        <v>Uttar Pradesh</v>
      </c>
      <c r="E4235" s="21">
        <v>2630.0</v>
      </c>
      <c r="F4235" s="22">
        <v>991.37</v>
      </c>
      <c r="G4235" s="22">
        <v>0.0</v>
      </c>
      <c r="H4235" s="22">
        <v>0.0</v>
      </c>
      <c r="I4235" s="22">
        <v>0.0</v>
      </c>
      <c r="J4235" s="22">
        <v>0.0</v>
      </c>
      <c r="K4235" s="22">
        <v>0.0</v>
      </c>
      <c r="L4235" s="22">
        <v>991.37</v>
      </c>
      <c r="M4235" s="22">
        <v>1016.65</v>
      </c>
      <c r="N4235" s="22">
        <v>909.08</v>
      </c>
      <c r="O4235" s="24">
        <v>26.8</v>
      </c>
      <c r="P4235" s="18">
        <f t="shared" si="1"/>
        <v>991.37</v>
      </c>
    </row>
    <row r="4236" ht="15.75" customHeight="1">
      <c r="A4236" s="13" t="s">
        <v>247</v>
      </c>
      <c r="B4236" s="13" t="s">
        <v>61</v>
      </c>
      <c r="C4236" s="14" t="s">
        <v>64</v>
      </c>
      <c r="D4236" s="14" t="str">
        <f>VLOOKUP(C4236,'State Key'!$A$2:$B$210,2,False)</f>
        <v>Uttar Pradesh</v>
      </c>
      <c r="E4236" s="15">
        <v>90.0</v>
      </c>
      <c r="F4236" s="16">
        <v>47.368</v>
      </c>
      <c r="G4236" s="16">
        <v>0.0</v>
      </c>
      <c r="H4236" s="16">
        <v>0.0</v>
      </c>
      <c r="I4236" s="16">
        <v>0.0</v>
      </c>
      <c r="J4236" s="16">
        <v>0.0</v>
      </c>
      <c r="K4236" s="16">
        <v>0.0</v>
      </c>
      <c r="L4236" s="16">
        <v>47.368</v>
      </c>
      <c r="M4236" s="16">
        <v>11.177</v>
      </c>
      <c r="N4236" s="16">
        <v>72.42</v>
      </c>
      <c r="O4236" s="24">
        <v>194.4</v>
      </c>
      <c r="P4236" s="18">
        <f t="shared" si="1"/>
        <v>47.368</v>
      </c>
    </row>
    <row r="4237" ht="15.75" customHeight="1">
      <c r="A4237" s="19" t="s">
        <v>247</v>
      </c>
      <c r="B4237" s="19" t="s">
        <v>61</v>
      </c>
      <c r="C4237" s="20" t="s">
        <v>65</v>
      </c>
      <c r="D4237" s="14" t="str">
        <f>VLOOKUP(C4237,'State Key'!$A$2:$B$210,2,False)</f>
        <v>Rajasthan</v>
      </c>
      <c r="E4237" s="21">
        <v>500.0</v>
      </c>
      <c r="F4237" s="22">
        <v>51.9182</v>
      </c>
      <c r="G4237" s="22">
        <v>0.0</v>
      </c>
      <c r="H4237" s="22">
        <v>0.0</v>
      </c>
      <c r="I4237" s="22">
        <v>0.0</v>
      </c>
      <c r="J4237" s="22">
        <v>0.0</v>
      </c>
      <c r="K4237" s="22">
        <v>0.0</v>
      </c>
      <c r="L4237" s="22">
        <v>51.9182</v>
      </c>
      <c r="M4237" s="22">
        <v>212.1529</v>
      </c>
      <c r="N4237" s="22">
        <v>152.7621</v>
      </c>
      <c r="O4237" s="24">
        <v>21.6</v>
      </c>
      <c r="P4237" s="18">
        <f t="shared" si="1"/>
        <v>51.9182</v>
      </c>
    </row>
    <row r="4238" ht="15.75" customHeight="1">
      <c r="A4238" s="13" t="s">
        <v>247</v>
      </c>
      <c r="B4238" s="13" t="s">
        <v>61</v>
      </c>
      <c r="C4238" s="14" t="s">
        <v>66</v>
      </c>
      <c r="D4238" s="14" t="str">
        <f>VLOOKUP(C4238,'State Key'!$A$2:$B$210,2,False)</f>
        <v>Rajasthan</v>
      </c>
      <c r="E4238" s="15">
        <v>500.0</v>
      </c>
      <c r="F4238" s="16">
        <v>56.4746</v>
      </c>
      <c r="G4238" s="16">
        <v>0.0</v>
      </c>
      <c r="H4238" s="16">
        <v>359.1945</v>
      </c>
      <c r="I4238" s="16">
        <v>0.0</v>
      </c>
      <c r="J4238" s="16">
        <v>0.0</v>
      </c>
      <c r="K4238" s="16">
        <v>0.0</v>
      </c>
      <c r="L4238" s="16">
        <v>415.6691</v>
      </c>
      <c r="M4238" s="16">
        <v>201.4473</v>
      </c>
      <c r="N4238" s="16">
        <v>169.2109</v>
      </c>
      <c r="O4238" s="24">
        <v>25.2</v>
      </c>
      <c r="P4238" s="18">
        <f t="shared" si="1"/>
        <v>415.6691</v>
      </c>
    </row>
    <row r="4239" ht="15.75" customHeight="1">
      <c r="A4239" s="19" t="s">
        <v>247</v>
      </c>
      <c r="B4239" s="19" t="s">
        <v>61</v>
      </c>
      <c r="C4239" s="20" t="s">
        <v>67</v>
      </c>
      <c r="D4239" s="14" t="str">
        <f>VLOOKUP(C4239,'State Key'!$A$2:$B$210,2,False)</f>
        <v>Rajasthan</v>
      </c>
      <c r="E4239" s="21">
        <v>1320.0</v>
      </c>
      <c r="F4239" s="22">
        <v>11.58796</v>
      </c>
      <c r="G4239" s="22">
        <v>0.0</v>
      </c>
      <c r="H4239" s="22">
        <v>550.25228</v>
      </c>
      <c r="I4239" s="22">
        <v>0.0</v>
      </c>
      <c r="J4239" s="22">
        <v>0.0</v>
      </c>
      <c r="K4239" s="22">
        <v>0.0</v>
      </c>
      <c r="L4239" s="22">
        <v>561.84024</v>
      </c>
      <c r="M4239" s="22">
        <v>426.474</v>
      </c>
      <c r="N4239" s="22">
        <v>506.27</v>
      </c>
      <c r="O4239" s="24">
        <v>35.6</v>
      </c>
      <c r="P4239" s="18">
        <f t="shared" si="1"/>
        <v>561.84024</v>
      </c>
    </row>
    <row r="4240" ht="15.75" customHeight="1">
      <c r="A4240" s="13" t="s">
        <v>247</v>
      </c>
      <c r="B4240" s="13" t="s">
        <v>61</v>
      </c>
      <c r="C4240" s="14" t="s">
        <v>68</v>
      </c>
      <c r="D4240" s="14" t="str">
        <f>VLOOKUP(C4240,'State Key'!$A$2:$B$210,2,False)</f>
        <v>Uttar Pradesh</v>
      </c>
      <c r="E4240" s="15">
        <v>1820.0</v>
      </c>
      <c r="F4240" s="16">
        <v>488.79</v>
      </c>
      <c r="G4240" s="16">
        <v>0.0</v>
      </c>
      <c r="H4240" s="16">
        <v>80.99</v>
      </c>
      <c r="I4240" s="16">
        <v>0.0</v>
      </c>
      <c r="J4240" s="16">
        <v>0.0</v>
      </c>
      <c r="K4240" s="16">
        <v>0.0</v>
      </c>
      <c r="L4240" s="16">
        <v>569.78</v>
      </c>
      <c r="M4240" s="16">
        <v>627.921</v>
      </c>
      <c r="N4240" s="16">
        <v>526.649</v>
      </c>
      <c r="O4240" s="24">
        <v>25.2</v>
      </c>
      <c r="P4240" s="18">
        <f t="shared" si="1"/>
        <v>569.78</v>
      </c>
    </row>
    <row r="4241" ht="15.75" customHeight="1">
      <c r="A4241" s="19" t="s">
        <v>247</v>
      </c>
      <c r="B4241" s="19" t="s">
        <v>61</v>
      </c>
      <c r="C4241" s="20" t="s">
        <v>69</v>
      </c>
      <c r="D4241" s="14" t="str">
        <f>VLOOKUP(C4241,'State Key'!$A$2:$B$210,2,False)</f>
        <v>Punjab</v>
      </c>
      <c r="E4241" s="21">
        <v>920.0</v>
      </c>
      <c r="F4241" s="22">
        <v>0.0</v>
      </c>
      <c r="G4241" s="22">
        <v>0.0</v>
      </c>
      <c r="H4241" s="22">
        <v>255.053</v>
      </c>
      <c r="I4241" s="22">
        <v>0.0</v>
      </c>
      <c r="J4241" s="22">
        <v>0.0</v>
      </c>
      <c r="K4241" s="22">
        <v>0.0</v>
      </c>
      <c r="L4241" s="22">
        <v>255.053</v>
      </c>
      <c r="M4241" s="22">
        <v>272.586</v>
      </c>
      <c r="N4241" s="22">
        <v>378.13</v>
      </c>
      <c r="O4241" s="24">
        <v>41.6</v>
      </c>
      <c r="P4241" s="18">
        <f t="shared" si="1"/>
        <v>255.053</v>
      </c>
    </row>
    <row r="4242" ht="15.75" customHeight="1">
      <c r="A4242" s="13" t="s">
        <v>247</v>
      </c>
      <c r="B4242" s="13" t="s">
        <v>61</v>
      </c>
      <c r="C4242" s="14" t="s">
        <v>242</v>
      </c>
      <c r="D4242" s="14" t="str">
        <f>VLOOKUP(C4242,'State Key'!$A$2:$B$210,2,False)</f>
        <v>Uttar Pradesh</v>
      </c>
      <c r="E4242" s="15">
        <v>660.0</v>
      </c>
      <c r="F4242" s="16">
        <v>191.0</v>
      </c>
      <c r="G4242" s="16">
        <v>0.0</v>
      </c>
      <c r="H4242" s="16">
        <v>0.0</v>
      </c>
      <c r="I4242" s="16">
        <v>0.0</v>
      </c>
      <c r="J4242" s="16">
        <v>0.0</v>
      </c>
      <c r="K4242" s="16">
        <v>0.0</v>
      </c>
      <c r="L4242" s="16">
        <v>191.0</v>
      </c>
      <c r="M4242" s="16">
        <v>222.0</v>
      </c>
      <c r="N4242" s="16">
        <v>0.0</v>
      </c>
      <c r="O4242" s="17">
        <v>0.0</v>
      </c>
      <c r="P4242" s="18">
        <f t="shared" si="1"/>
        <v>191</v>
      </c>
    </row>
    <row r="4243" ht="15.75" customHeight="1">
      <c r="A4243" s="19" t="s">
        <v>247</v>
      </c>
      <c r="B4243" s="19" t="s">
        <v>61</v>
      </c>
      <c r="C4243" s="20" t="s">
        <v>70</v>
      </c>
      <c r="D4243" s="14" t="str">
        <f>VLOOKUP(C4243,'State Key'!$A$2:$B$210,2,False)</f>
        <v>Punjab</v>
      </c>
      <c r="E4243" s="21">
        <v>540.0</v>
      </c>
      <c r="F4243" s="22">
        <v>0.0</v>
      </c>
      <c r="G4243" s="22">
        <v>0.0</v>
      </c>
      <c r="H4243" s="22">
        <v>118.315</v>
      </c>
      <c r="I4243" s="22">
        <v>0.0</v>
      </c>
      <c r="J4243" s="22">
        <v>0.0</v>
      </c>
      <c r="K4243" s="22">
        <v>0.0</v>
      </c>
      <c r="L4243" s="22">
        <v>118.315</v>
      </c>
      <c r="M4243" s="22">
        <v>98.933</v>
      </c>
      <c r="N4243" s="22">
        <v>281.03</v>
      </c>
      <c r="O4243" s="24">
        <v>85.2</v>
      </c>
      <c r="P4243" s="18">
        <f t="shared" si="1"/>
        <v>118.315</v>
      </c>
    </row>
    <row r="4244" ht="15.75" customHeight="1">
      <c r="A4244" s="13" t="s">
        <v>247</v>
      </c>
      <c r="B4244" s="13" t="s">
        <v>61</v>
      </c>
      <c r="C4244" s="14" t="s">
        <v>71</v>
      </c>
      <c r="D4244" s="14" t="str">
        <f>VLOOKUP(C4244,'State Key'!$A$2:$B$210,2,False)</f>
        <v>Uttar Pradesh</v>
      </c>
      <c r="E4244" s="15">
        <v>1265.0</v>
      </c>
      <c r="F4244" s="16">
        <v>289.764</v>
      </c>
      <c r="G4244" s="16">
        <v>0.0</v>
      </c>
      <c r="H4244" s="16">
        <v>0.0</v>
      </c>
      <c r="I4244" s="16">
        <v>0.0</v>
      </c>
      <c r="J4244" s="16">
        <v>0.0</v>
      </c>
      <c r="K4244" s="16">
        <v>0.0</v>
      </c>
      <c r="L4244" s="16">
        <v>289.764</v>
      </c>
      <c r="M4244" s="16">
        <v>337.705</v>
      </c>
      <c r="N4244" s="16">
        <v>531.81</v>
      </c>
      <c r="O4244" s="24">
        <v>47.2</v>
      </c>
      <c r="P4244" s="18">
        <f t="shared" si="1"/>
        <v>289.764</v>
      </c>
    </row>
    <row r="4245" ht="15.75" customHeight="1">
      <c r="A4245" s="19" t="s">
        <v>247</v>
      </c>
      <c r="B4245" s="19" t="s">
        <v>61</v>
      </c>
      <c r="C4245" s="20" t="s">
        <v>72</v>
      </c>
      <c r="D4245" s="14" t="str">
        <f>VLOOKUP(C4245,'State Key'!$A$2:$B$210,2,False)</f>
        <v>Haryana</v>
      </c>
      <c r="E4245" s="21">
        <v>1500.0</v>
      </c>
      <c r="F4245" s="22">
        <v>328.75124</v>
      </c>
      <c r="G4245" s="22">
        <v>0.0</v>
      </c>
      <c r="H4245" s="22">
        <v>0.0</v>
      </c>
      <c r="I4245" s="22">
        <v>0.0</v>
      </c>
      <c r="J4245" s="22">
        <v>0.0</v>
      </c>
      <c r="K4245" s="22">
        <v>0.149</v>
      </c>
      <c r="L4245" s="22">
        <v>328.90024</v>
      </c>
      <c r="M4245" s="22">
        <v>384.277</v>
      </c>
      <c r="N4245" s="22">
        <v>868.505</v>
      </c>
      <c r="O4245" s="24">
        <v>67.8</v>
      </c>
      <c r="P4245" s="18">
        <f t="shared" si="1"/>
        <v>328.90024</v>
      </c>
    </row>
    <row r="4246" ht="15.75" customHeight="1">
      <c r="A4246" s="13" t="s">
        <v>247</v>
      </c>
      <c r="B4246" s="13" t="s">
        <v>61</v>
      </c>
      <c r="C4246" s="14" t="s">
        <v>226</v>
      </c>
      <c r="D4246" s="14" t="str">
        <f>VLOOKUP(C4246,'State Key'!$A$2:$B$210,2,False)</f>
        <v>Uttar Pradesh</v>
      </c>
      <c r="E4246" s="15">
        <v>1320.0</v>
      </c>
      <c r="F4246" s="16">
        <v>277.78</v>
      </c>
      <c r="G4246" s="16">
        <v>0.0</v>
      </c>
      <c r="H4246" s="16">
        <v>0.0</v>
      </c>
      <c r="I4246" s="16">
        <v>0.0</v>
      </c>
      <c r="J4246" s="16">
        <v>0.0</v>
      </c>
      <c r="K4246" s="16">
        <v>0.0</v>
      </c>
      <c r="L4246" s="16">
        <v>277.78</v>
      </c>
      <c r="M4246" s="16">
        <v>300.61</v>
      </c>
      <c r="N4246" s="16">
        <v>369.26</v>
      </c>
      <c r="O4246" s="24">
        <v>36.9</v>
      </c>
      <c r="P4246" s="18">
        <f t="shared" si="1"/>
        <v>277.78</v>
      </c>
    </row>
    <row r="4247" ht="15.75" customHeight="1">
      <c r="A4247" s="19" t="s">
        <v>247</v>
      </c>
      <c r="B4247" s="19" t="s">
        <v>61</v>
      </c>
      <c r="C4247" s="20" t="s">
        <v>73</v>
      </c>
      <c r="D4247" s="14" t="str">
        <f>VLOOKUP(C4247,'State Key'!$A$2:$B$210,2,False)</f>
        <v>Rajasthan</v>
      </c>
      <c r="E4247" s="21">
        <v>1200.0</v>
      </c>
      <c r="F4247" s="22">
        <v>0.0</v>
      </c>
      <c r="G4247" s="22">
        <v>0.0</v>
      </c>
      <c r="H4247" s="22">
        <v>390.663</v>
      </c>
      <c r="I4247" s="22">
        <v>0.0</v>
      </c>
      <c r="J4247" s="22">
        <v>0.0</v>
      </c>
      <c r="K4247" s="22">
        <v>0.0</v>
      </c>
      <c r="L4247" s="22">
        <v>390.663</v>
      </c>
      <c r="M4247" s="22">
        <v>419.047</v>
      </c>
      <c r="N4247" s="22">
        <v>300.22</v>
      </c>
      <c r="O4247" s="24">
        <v>21.5</v>
      </c>
      <c r="P4247" s="18">
        <f t="shared" si="1"/>
        <v>390.663</v>
      </c>
    </row>
    <row r="4248" ht="15.75" customHeight="1">
      <c r="A4248" s="13" t="s">
        <v>247</v>
      </c>
      <c r="B4248" s="13" t="s">
        <v>61</v>
      </c>
      <c r="C4248" s="14" t="s">
        <v>75</v>
      </c>
      <c r="D4248" s="14" t="str">
        <f>VLOOKUP(C4248,'State Key'!$A$2:$B$210,2,False)</f>
        <v>Uttar Pradesh</v>
      </c>
      <c r="E4248" s="15">
        <v>90.0</v>
      </c>
      <c r="F4248" s="16">
        <v>54.585</v>
      </c>
      <c r="G4248" s="16">
        <v>0.0</v>
      </c>
      <c r="H4248" s="16">
        <v>0.0</v>
      </c>
      <c r="I4248" s="16">
        <v>0.0</v>
      </c>
      <c r="J4248" s="16">
        <v>0.0</v>
      </c>
      <c r="K4248" s="16">
        <v>0.0</v>
      </c>
      <c r="L4248" s="16">
        <v>54.585</v>
      </c>
      <c r="M4248" s="16">
        <v>4.958</v>
      </c>
      <c r="N4248" s="16">
        <v>80.85</v>
      </c>
      <c r="O4248" s="24">
        <v>489.2</v>
      </c>
      <c r="P4248" s="18">
        <f t="shared" si="1"/>
        <v>54.585</v>
      </c>
    </row>
    <row r="4249" ht="15.75" customHeight="1">
      <c r="A4249" s="19" t="s">
        <v>247</v>
      </c>
      <c r="B4249" s="19" t="s">
        <v>61</v>
      </c>
      <c r="C4249" s="20" t="s">
        <v>246</v>
      </c>
      <c r="D4249" s="14" t="str">
        <f>VLOOKUP(C4249,'State Key'!$A$2:$B$210,2,False)</f>
        <v>Uttar Pradesh</v>
      </c>
      <c r="E4249" s="21">
        <v>660.0</v>
      </c>
      <c r="F4249" s="22">
        <v>0.0</v>
      </c>
      <c r="G4249" s="22">
        <v>0.0</v>
      </c>
      <c r="H4249" s="22">
        <v>232.716</v>
      </c>
      <c r="I4249" s="22">
        <v>0.0</v>
      </c>
      <c r="J4249" s="22">
        <v>0.0</v>
      </c>
      <c r="K4249" s="22">
        <v>0.0</v>
      </c>
      <c r="L4249" s="22">
        <v>232.716</v>
      </c>
      <c r="M4249" s="22">
        <v>229.207</v>
      </c>
      <c r="N4249" s="22">
        <v>73.51</v>
      </c>
      <c r="O4249" s="23">
        <v>9.6</v>
      </c>
      <c r="P4249" s="18">
        <f t="shared" si="1"/>
        <v>232.716</v>
      </c>
    </row>
    <row r="4250" ht="15.75" customHeight="1">
      <c r="A4250" s="13" t="s">
        <v>247</v>
      </c>
      <c r="B4250" s="13" t="s">
        <v>61</v>
      </c>
      <c r="C4250" s="14" t="s">
        <v>76</v>
      </c>
      <c r="D4250" s="14" t="str">
        <f>VLOOKUP(C4250,'State Key'!$A$2:$B$210,2,False)</f>
        <v>Rajasthan</v>
      </c>
      <c r="E4250" s="15">
        <v>1240.0</v>
      </c>
      <c r="F4250" s="16">
        <v>435.91187</v>
      </c>
      <c r="G4250" s="16">
        <v>0.0</v>
      </c>
      <c r="H4250" s="16">
        <v>0.0</v>
      </c>
      <c r="I4250" s="16">
        <v>0.0</v>
      </c>
      <c r="J4250" s="16">
        <v>0.0</v>
      </c>
      <c r="K4250" s="16">
        <v>0.0</v>
      </c>
      <c r="L4250" s="16">
        <v>435.91187</v>
      </c>
      <c r="M4250" s="16">
        <v>490.722</v>
      </c>
      <c r="N4250" s="16">
        <v>300.26</v>
      </c>
      <c r="O4250" s="24">
        <v>18.4</v>
      </c>
      <c r="P4250" s="18">
        <f t="shared" si="1"/>
        <v>435.91187</v>
      </c>
    </row>
    <row r="4251" ht="15.75" customHeight="1">
      <c r="A4251" s="19" t="s">
        <v>247</v>
      </c>
      <c r="B4251" s="19" t="s">
        <v>61</v>
      </c>
      <c r="C4251" s="20" t="s">
        <v>77</v>
      </c>
      <c r="D4251" s="14" t="str">
        <f>VLOOKUP(C4251,'State Key'!$A$2:$B$210,2,False)</f>
        <v>Uttar Pradesh</v>
      </c>
      <c r="E4251" s="21">
        <v>90.0</v>
      </c>
      <c r="F4251" s="22">
        <v>32.31</v>
      </c>
      <c r="G4251" s="22">
        <v>0.0</v>
      </c>
      <c r="H4251" s="22">
        <v>0.0</v>
      </c>
      <c r="I4251" s="22">
        <v>0.0</v>
      </c>
      <c r="J4251" s="22">
        <v>0.0</v>
      </c>
      <c r="K4251" s="22">
        <v>0.0</v>
      </c>
      <c r="L4251" s="22">
        <v>32.31</v>
      </c>
      <c r="M4251" s="22">
        <v>2.053</v>
      </c>
      <c r="N4251" s="22">
        <v>53.26</v>
      </c>
      <c r="O4251" s="24">
        <v>778.3</v>
      </c>
      <c r="P4251" s="18">
        <f t="shared" si="1"/>
        <v>32.31</v>
      </c>
    </row>
    <row r="4252" ht="15.75" customHeight="1">
      <c r="A4252" s="13" t="s">
        <v>247</v>
      </c>
      <c r="B4252" s="13" t="s">
        <v>61</v>
      </c>
      <c r="C4252" s="14" t="s">
        <v>78</v>
      </c>
      <c r="D4252" s="14" t="str">
        <f>VLOOKUP(C4252,'State Key'!$A$2:$B$210,2,False)</f>
        <v>Uttar Pradesh</v>
      </c>
      <c r="E4252" s="15">
        <v>1980.0</v>
      </c>
      <c r="F4252" s="16">
        <v>637.791</v>
      </c>
      <c r="G4252" s="16">
        <v>0.0</v>
      </c>
      <c r="H4252" s="16">
        <v>0.0</v>
      </c>
      <c r="I4252" s="16">
        <v>0.0</v>
      </c>
      <c r="J4252" s="16">
        <v>0.0</v>
      </c>
      <c r="K4252" s="16">
        <v>0.0</v>
      </c>
      <c r="L4252" s="16">
        <v>637.791</v>
      </c>
      <c r="M4252" s="16">
        <v>675.698</v>
      </c>
      <c r="N4252" s="16">
        <v>572.08</v>
      </c>
      <c r="O4252" s="24">
        <v>25.4</v>
      </c>
      <c r="P4252" s="18">
        <f t="shared" si="1"/>
        <v>637.791</v>
      </c>
    </row>
    <row r="4253" ht="15.75" customHeight="1">
      <c r="A4253" s="19" t="s">
        <v>247</v>
      </c>
      <c r="B4253" s="19" t="s">
        <v>61</v>
      </c>
      <c r="C4253" s="20" t="s">
        <v>79</v>
      </c>
      <c r="D4253" s="14" t="str">
        <f>VLOOKUP(C4253,'State Key'!$A$2:$B$210,2,False)</f>
        <v>Haryana</v>
      </c>
      <c r="E4253" s="21">
        <v>1320.0</v>
      </c>
      <c r="F4253" s="22">
        <v>446.935</v>
      </c>
      <c r="G4253" s="22">
        <v>0.0</v>
      </c>
      <c r="H4253" s="22">
        <v>0.0</v>
      </c>
      <c r="I4253" s="22">
        <v>0.0</v>
      </c>
      <c r="J4253" s="22">
        <v>0.0</v>
      </c>
      <c r="K4253" s="22">
        <v>0.0</v>
      </c>
      <c r="L4253" s="22">
        <v>446.935</v>
      </c>
      <c r="M4253" s="22">
        <v>424.738</v>
      </c>
      <c r="N4253" s="22">
        <v>504.14</v>
      </c>
      <c r="O4253" s="24">
        <v>35.6</v>
      </c>
      <c r="P4253" s="18">
        <f t="shared" si="1"/>
        <v>446.935</v>
      </c>
    </row>
    <row r="4254" ht="15.75" customHeight="1">
      <c r="A4254" s="13" t="s">
        <v>247</v>
      </c>
      <c r="B4254" s="13" t="s">
        <v>61</v>
      </c>
      <c r="C4254" s="14" t="s">
        <v>80</v>
      </c>
      <c r="D4254" s="14" t="str">
        <f>VLOOKUP(C4254,'State Key'!$A$2:$B$210,2,False)</f>
        <v>Uttar Pradesh</v>
      </c>
      <c r="E4254" s="15">
        <v>90.0</v>
      </c>
      <c r="F4254" s="16">
        <v>48.043</v>
      </c>
      <c r="G4254" s="16">
        <v>0.0</v>
      </c>
      <c r="H4254" s="16">
        <v>0.0</v>
      </c>
      <c r="I4254" s="16">
        <v>0.0</v>
      </c>
      <c r="J4254" s="16">
        <v>0.0</v>
      </c>
      <c r="K4254" s="16">
        <v>0.0</v>
      </c>
      <c r="L4254" s="16">
        <v>48.043</v>
      </c>
      <c r="M4254" s="16">
        <v>14.554</v>
      </c>
      <c r="N4254" s="16">
        <v>67.57</v>
      </c>
      <c r="O4254" s="24">
        <v>139.3</v>
      </c>
      <c r="P4254" s="18">
        <f t="shared" si="1"/>
        <v>48.043</v>
      </c>
    </row>
    <row r="4255" ht="15.75" customHeight="1">
      <c r="A4255" s="19" t="s">
        <v>247</v>
      </c>
      <c r="B4255" s="19" t="s">
        <v>61</v>
      </c>
      <c r="C4255" s="20" t="s">
        <v>81</v>
      </c>
      <c r="D4255" s="14" t="str">
        <f>VLOOKUP(C4255,'State Key'!$A$2:$B$210,2,False)</f>
        <v>Uttar Pradesh</v>
      </c>
      <c r="E4255" s="21">
        <v>1320.0</v>
      </c>
      <c r="F4255" s="22">
        <v>226.2246</v>
      </c>
      <c r="G4255" s="22">
        <v>0.0</v>
      </c>
      <c r="H4255" s="22">
        <v>7.9134</v>
      </c>
      <c r="I4255" s="22">
        <v>0.0</v>
      </c>
      <c r="J4255" s="22">
        <v>0.0</v>
      </c>
      <c r="K4255" s="22">
        <v>0.0</v>
      </c>
      <c r="L4255" s="22">
        <v>234.138</v>
      </c>
      <c r="M4255" s="22">
        <v>279.816</v>
      </c>
      <c r="N4255" s="22">
        <v>410.902</v>
      </c>
      <c r="O4255" s="24">
        <v>44.1</v>
      </c>
      <c r="P4255" s="18">
        <f t="shared" si="1"/>
        <v>234.138</v>
      </c>
    </row>
    <row r="4256" ht="15.75" customHeight="1">
      <c r="A4256" s="13" t="s">
        <v>247</v>
      </c>
      <c r="B4256" s="13" t="s">
        <v>61</v>
      </c>
      <c r="C4256" s="14" t="s">
        <v>82</v>
      </c>
      <c r="D4256" s="14" t="str">
        <f>VLOOKUP(C4256,'State Key'!$A$2:$B$210,2,False)</f>
        <v>Uttar Pradesh</v>
      </c>
      <c r="E4256" s="15">
        <v>1660.0</v>
      </c>
      <c r="F4256" s="16">
        <v>668.48</v>
      </c>
      <c r="G4256" s="16">
        <v>0.0</v>
      </c>
      <c r="H4256" s="16">
        <v>0.0</v>
      </c>
      <c r="I4256" s="16">
        <v>0.0</v>
      </c>
      <c r="J4256" s="16">
        <v>0.0</v>
      </c>
      <c r="K4256" s="16">
        <v>0.0</v>
      </c>
      <c r="L4256" s="16">
        <v>668.48</v>
      </c>
      <c r="M4256" s="16">
        <v>574.19</v>
      </c>
      <c r="N4256" s="16">
        <v>388.77</v>
      </c>
      <c r="O4256" s="24">
        <v>20.3</v>
      </c>
      <c r="P4256" s="18">
        <f t="shared" si="1"/>
        <v>668.48</v>
      </c>
    </row>
    <row r="4257" ht="15.75" customHeight="1">
      <c r="A4257" s="19" t="s">
        <v>247</v>
      </c>
      <c r="B4257" s="19" t="s">
        <v>61</v>
      </c>
      <c r="C4257" s="20" t="s">
        <v>83</v>
      </c>
      <c r="D4257" s="14" t="str">
        <f>VLOOKUP(C4257,'State Key'!$A$2:$B$210,2,False)</f>
        <v>Haryana</v>
      </c>
      <c r="E4257" s="21">
        <v>710.0</v>
      </c>
      <c r="F4257" s="22">
        <v>387.424</v>
      </c>
      <c r="G4257" s="22">
        <v>0.0</v>
      </c>
      <c r="H4257" s="22">
        <v>0.0</v>
      </c>
      <c r="I4257" s="22">
        <v>0.0</v>
      </c>
      <c r="J4257" s="22">
        <v>0.0</v>
      </c>
      <c r="K4257" s="22">
        <v>0.0</v>
      </c>
      <c r="L4257" s="22">
        <v>387.424</v>
      </c>
      <c r="M4257" s="22">
        <v>210.285</v>
      </c>
      <c r="N4257" s="22">
        <v>567.37</v>
      </c>
      <c r="O4257" s="24">
        <v>80.9</v>
      </c>
      <c r="P4257" s="18">
        <f t="shared" si="1"/>
        <v>387.424</v>
      </c>
    </row>
    <row r="4258" ht="15.75" customHeight="1">
      <c r="A4258" s="13" t="s">
        <v>247</v>
      </c>
      <c r="B4258" s="13" t="s">
        <v>61</v>
      </c>
      <c r="C4258" s="14" t="s">
        <v>248</v>
      </c>
      <c r="D4258" s="14" t="str">
        <f>VLOOKUP(C4258,'State Key'!$A$2:$B$210,2,False)</f>
        <v>Uttar Pradesh</v>
      </c>
      <c r="E4258" s="15">
        <v>660.0</v>
      </c>
      <c r="F4258" s="16">
        <v>51.047</v>
      </c>
      <c r="G4258" s="16">
        <v>0.0</v>
      </c>
      <c r="H4258" s="16">
        <v>0.0</v>
      </c>
      <c r="I4258" s="16">
        <v>0.0</v>
      </c>
      <c r="J4258" s="16">
        <v>0.0</v>
      </c>
      <c r="K4258" s="16">
        <v>0.0</v>
      </c>
      <c r="L4258" s="16">
        <v>51.047</v>
      </c>
      <c r="M4258" s="16">
        <v>0.0</v>
      </c>
      <c r="N4258" s="16">
        <v>75.85</v>
      </c>
      <c r="O4258" s="13" t="s">
        <v>58</v>
      </c>
      <c r="P4258" s="18">
        <f t="shared" si="1"/>
        <v>51.047</v>
      </c>
    </row>
    <row r="4259" ht="15.75" customHeight="1">
      <c r="A4259" s="19" t="s">
        <v>247</v>
      </c>
      <c r="B4259" s="19" t="s">
        <v>61</v>
      </c>
      <c r="C4259" s="20" t="s">
        <v>84</v>
      </c>
      <c r="D4259" s="14" t="str">
        <f>VLOOKUP(C4259,'State Key'!$A$2:$B$210,2,False)</f>
        <v>Uttar Pradesh</v>
      </c>
      <c r="E4259" s="21">
        <v>920.0</v>
      </c>
      <c r="F4259" s="22">
        <v>335.18</v>
      </c>
      <c r="G4259" s="22">
        <v>0.0</v>
      </c>
      <c r="H4259" s="22">
        <v>0.0</v>
      </c>
      <c r="I4259" s="22">
        <v>0.0</v>
      </c>
      <c r="J4259" s="22">
        <v>0.0</v>
      </c>
      <c r="K4259" s="22">
        <v>0.0</v>
      </c>
      <c r="L4259" s="22">
        <v>335.18</v>
      </c>
      <c r="M4259" s="22">
        <v>379.176</v>
      </c>
      <c r="N4259" s="22">
        <v>273.118</v>
      </c>
      <c r="O4259" s="24">
        <v>21.6</v>
      </c>
      <c r="P4259" s="18">
        <f t="shared" si="1"/>
        <v>335.18</v>
      </c>
    </row>
    <row r="4260" ht="15.75" customHeight="1">
      <c r="A4260" s="13" t="s">
        <v>247</v>
      </c>
      <c r="B4260" s="13" t="s">
        <v>61</v>
      </c>
      <c r="C4260" s="14" t="s">
        <v>85</v>
      </c>
      <c r="D4260" s="14" t="str">
        <f>VLOOKUP(C4260,'State Key'!$A$2:$B$210,2,False)</f>
        <v>Uttar Pradesh</v>
      </c>
      <c r="E4260" s="15">
        <v>1980.0</v>
      </c>
      <c r="F4260" s="16">
        <v>772.377</v>
      </c>
      <c r="G4260" s="16">
        <v>0.0</v>
      </c>
      <c r="H4260" s="16">
        <v>0.0</v>
      </c>
      <c r="I4260" s="16">
        <v>0.0</v>
      </c>
      <c r="J4260" s="16">
        <v>0.0</v>
      </c>
      <c r="K4260" s="16">
        <v>0.0</v>
      </c>
      <c r="L4260" s="16">
        <v>772.377</v>
      </c>
      <c r="M4260" s="16">
        <v>592.94</v>
      </c>
      <c r="N4260" s="16">
        <v>593.8</v>
      </c>
      <c r="O4260" s="24">
        <v>30.0</v>
      </c>
      <c r="P4260" s="18">
        <f t="shared" si="1"/>
        <v>772.377</v>
      </c>
    </row>
    <row r="4261" ht="15.75" customHeight="1">
      <c r="A4261" s="19" t="s">
        <v>247</v>
      </c>
      <c r="B4261" s="19" t="s">
        <v>61</v>
      </c>
      <c r="C4261" s="20" t="s">
        <v>86</v>
      </c>
      <c r="D4261" s="14" t="str">
        <f>VLOOKUP(C4261,'State Key'!$A$2:$B$210,2,False)</f>
        <v>Haryana</v>
      </c>
      <c r="E4261" s="21">
        <v>1200.0</v>
      </c>
      <c r="F4261" s="22">
        <v>479.84</v>
      </c>
      <c r="G4261" s="22">
        <v>0.0</v>
      </c>
      <c r="H4261" s="22">
        <v>0.0</v>
      </c>
      <c r="I4261" s="22">
        <v>0.0</v>
      </c>
      <c r="J4261" s="22">
        <v>0.0</v>
      </c>
      <c r="K4261" s="22">
        <v>0.0</v>
      </c>
      <c r="L4261" s="22">
        <v>479.84</v>
      </c>
      <c r="M4261" s="22">
        <v>198.46</v>
      </c>
      <c r="N4261" s="22">
        <v>823.07</v>
      </c>
      <c r="O4261" s="24">
        <v>124.4</v>
      </c>
      <c r="P4261" s="18">
        <f t="shared" si="1"/>
        <v>479.84</v>
      </c>
    </row>
    <row r="4262" ht="15.75" customHeight="1">
      <c r="A4262" s="13" t="s">
        <v>247</v>
      </c>
      <c r="B4262" s="13" t="s">
        <v>61</v>
      </c>
      <c r="C4262" s="14" t="s">
        <v>87</v>
      </c>
      <c r="D4262" s="14" t="str">
        <f>VLOOKUP(C4262,'State Key'!$A$2:$B$210,2,False)</f>
        <v>Punjab</v>
      </c>
      <c r="E4262" s="15">
        <v>1400.0</v>
      </c>
      <c r="F4262" s="16">
        <v>431.4576</v>
      </c>
      <c r="G4262" s="16">
        <v>0.0</v>
      </c>
      <c r="H4262" s="16">
        <v>0.0</v>
      </c>
      <c r="I4262" s="16">
        <v>0.0</v>
      </c>
      <c r="J4262" s="16">
        <v>0.0</v>
      </c>
      <c r="K4262" s="16">
        <v>0.0</v>
      </c>
      <c r="L4262" s="16">
        <v>431.4576</v>
      </c>
      <c r="M4262" s="16">
        <v>463.8184</v>
      </c>
      <c r="N4262" s="16">
        <v>348.31</v>
      </c>
      <c r="O4262" s="24">
        <v>22.5</v>
      </c>
      <c r="P4262" s="18">
        <f t="shared" si="1"/>
        <v>431.4576</v>
      </c>
    </row>
    <row r="4263" ht="15.75" customHeight="1">
      <c r="A4263" s="19" t="s">
        <v>247</v>
      </c>
      <c r="B4263" s="19" t="s">
        <v>61</v>
      </c>
      <c r="C4263" s="20" t="s">
        <v>88</v>
      </c>
      <c r="D4263" s="14" t="str">
        <f>VLOOKUP(C4263,'State Key'!$A$2:$B$210,2,False)</f>
        <v>Uttar Pradesh</v>
      </c>
      <c r="E4263" s="21">
        <v>3000.0</v>
      </c>
      <c r="F4263" s="22">
        <v>1301.74</v>
      </c>
      <c r="G4263" s="22">
        <v>0.0</v>
      </c>
      <c r="H4263" s="22">
        <v>0.0</v>
      </c>
      <c r="I4263" s="22">
        <v>0.0</v>
      </c>
      <c r="J4263" s="22">
        <v>0.0</v>
      </c>
      <c r="K4263" s="22">
        <v>0.0</v>
      </c>
      <c r="L4263" s="22">
        <v>1301.74</v>
      </c>
      <c r="M4263" s="22">
        <v>1217.691</v>
      </c>
      <c r="N4263" s="22">
        <v>920.665</v>
      </c>
      <c r="O4263" s="24">
        <v>22.7</v>
      </c>
      <c r="P4263" s="18">
        <f t="shared" si="1"/>
        <v>1301.74</v>
      </c>
    </row>
    <row r="4264" ht="15.75" customHeight="1">
      <c r="A4264" s="13" t="s">
        <v>247</v>
      </c>
      <c r="B4264" s="13" t="s">
        <v>61</v>
      </c>
      <c r="C4264" s="14" t="s">
        <v>89</v>
      </c>
      <c r="D4264" s="14" t="str">
        <f>VLOOKUP(C4264,'State Key'!$A$2:$B$210,2,False)</f>
        <v>Punjab</v>
      </c>
      <c r="E4264" s="15">
        <v>840.0</v>
      </c>
      <c r="F4264" s="16">
        <v>0.0</v>
      </c>
      <c r="G4264" s="16">
        <v>0.0</v>
      </c>
      <c r="H4264" s="16">
        <v>242.11764</v>
      </c>
      <c r="I4264" s="16">
        <v>0.0</v>
      </c>
      <c r="J4264" s="16">
        <v>0.0</v>
      </c>
      <c r="K4264" s="16">
        <v>0.0</v>
      </c>
      <c r="L4264" s="16">
        <v>242.11764</v>
      </c>
      <c r="M4264" s="16">
        <v>234.259</v>
      </c>
      <c r="N4264" s="16">
        <v>532.69</v>
      </c>
      <c r="O4264" s="24">
        <v>68.2</v>
      </c>
      <c r="P4264" s="18">
        <f t="shared" si="1"/>
        <v>242.11764</v>
      </c>
    </row>
    <row r="4265" ht="15.75" customHeight="1">
      <c r="A4265" s="19" t="s">
        <v>247</v>
      </c>
      <c r="B4265" s="19" t="s">
        <v>61</v>
      </c>
      <c r="C4265" s="20" t="s">
        <v>90</v>
      </c>
      <c r="D4265" s="14" t="str">
        <f>VLOOKUP(C4265,'State Key'!$A$2:$B$210,2,False)</f>
        <v>Uttar Pradesh</v>
      </c>
      <c r="E4265" s="21">
        <v>1200.0</v>
      </c>
      <c r="F4265" s="22">
        <v>441.00681</v>
      </c>
      <c r="G4265" s="22">
        <v>0.0</v>
      </c>
      <c r="H4265" s="22">
        <v>0.0</v>
      </c>
      <c r="I4265" s="22">
        <v>0.0</v>
      </c>
      <c r="J4265" s="22">
        <v>0.0</v>
      </c>
      <c r="K4265" s="22">
        <v>0.0</v>
      </c>
      <c r="L4265" s="22">
        <v>441.00681</v>
      </c>
      <c r="M4265" s="22">
        <v>422.125</v>
      </c>
      <c r="N4265" s="22">
        <v>457.38</v>
      </c>
      <c r="O4265" s="24">
        <v>32.5</v>
      </c>
      <c r="P4265" s="18">
        <f t="shared" si="1"/>
        <v>441.00681</v>
      </c>
    </row>
    <row r="4266" ht="15.75" customHeight="1">
      <c r="A4266" s="13" t="s">
        <v>247</v>
      </c>
      <c r="B4266" s="13" t="s">
        <v>61</v>
      </c>
      <c r="C4266" s="14" t="s">
        <v>219</v>
      </c>
      <c r="D4266" s="14" t="str">
        <f>VLOOKUP(C4266,'State Key'!$A$2:$B$210,2,False)</f>
        <v>Rajasthan</v>
      </c>
      <c r="E4266" s="15">
        <v>300.0</v>
      </c>
      <c r="F4266" s="16">
        <v>0.0</v>
      </c>
      <c r="G4266" s="16">
        <v>0.0</v>
      </c>
      <c r="H4266" s="16">
        <v>0.0</v>
      </c>
      <c r="I4266" s="16">
        <v>0.0</v>
      </c>
      <c r="J4266" s="16">
        <v>66.8</v>
      </c>
      <c r="K4266" s="16">
        <v>0.0</v>
      </c>
      <c r="L4266" s="16">
        <v>66.8</v>
      </c>
      <c r="M4266" s="16">
        <v>66.8</v>
      </c>
      <c r="N4266" s="16">
        <v>0.0</v>
      </c>
      <c r="O4266" s="17">
        <v>0.0</v>
      </c>
      <c r="P4266" s="18">
        <f t="shared" si="1"/>
        <v>66.8</v>
      </c>
    </row>
    <row r="4267" ht="15.75" customHeight="1">
      <c r="A4267" s="19" t="s">
        <v>247</v>
      </c>
      <c r="B4267" s="19" t="s">
        <v>61</v>
      </c>
      <c r="C4267" s="20" t="s">
        <v>91</v>
      </c>
      <c r="D4267" s="14" t="str">
        <f>VLOOKUP(C4267,'State Key'!$A$2:$B$210,2,False)</f>
        <v>Uttar Pradesh</v>
      </c>
      <c r="E4267" s="21">
        <v>2000.0</v>
      </c>
      <c r="F4267" s="22">
        <v>942.57</v>
      </c>
      <c r="G4267" s="22">
        <v>0.0</v>
      </c>
      <c r="H4267" s="22">
        <v>0.0</v>
      </c>
      <c r="I4267" s="22">
        <v>0.0</v>
      </c>
      <c r="J4267" s="22">
        <v>0.0</v>
      </c>
      <c r="K4267" s="22">
        <v>0.0</v>
      </c>
      <c r="L4267" s="22">
        <v>942.57</v>
      </c>
      <c r="M4267" s="22">
        <v>926.006</v>
      </c>
      <c r="N4267" s="22">
        <v>639.734</v>
      </c>
      <c r="O4267" s="24">
        <v>20.7</v>
      </c>
      <c r="P4267" s="18">
        <f t="shared" si="1"/>
        <v>942.57</v>
      </c>
    </row>
    <row r="4268" ht="15.75" customHeight="1">
      <c r="A4268" s="13" t="s">
        <v>247</v>
      </c>
      <c r="B4268" s="13" t="s">
        <v>61</v>
      </c>
      <c r="C4268" s="14" t="s">
        <v>92</v>
      </c>
      <c r="D4268" s="14" t="str">
        <f>VLOOKUP(C4268,'State Key'!$A$2:$B$210,2,False)</f>
        <v>Rajasthan</v>
      </c>
      <c r="E4268" s="15">
        <v>1320.0</v>
      </c>
      <c r="F4268" s="16">
        <v>63.14291</v>
      </c>
      <c r="G4268" s="16">
        <v>0.0</v>
      </c>
      <c r="H4268" s="16">
        <v>426.83562</v>
      </c>
      <c r="I4268" s="16">
        <v>0.0</v>
      </c>
      <c r="J4268" s="16">
        <v>0.0</v>
      </c>
      <c r="K4268" s="16">
        <v>0.0</v>
      </c>
      <c r="L4268" s="16">
        <v>489.97853</v>
      </c>
      <c r="M4268" s="16">
        <v>391.63</v>
      </c>
      <c r="N4268" s="16">
        <v>528.16</v>
      </c>
      <c r="O4268" s="24">
        <v>40.5</v>
      </c>
      <c r="P4268" s="18">
        <f t="shared" si="1"/>
        <v>489.97853</v>
      </c>
    </row>
    <row r="4269" ht="15.75" customHeight="1">
      <c r="A4269" s="19" t="s">
        <v>247</v>
      </c>
      <c r="B4269" s="19" t="s">
        <v>61</v>
      </c>
      <c r="C4269" s="20" t="s">
        <v>93</v>
      </c>
      <c r="D4269" s="14" t="str">
        <f>VLOOKUP(C4269,'State Key'!$A$2:$B$210,2,False)</f>
        <v>Rajasthan</v>
      </c>
      <c r="E4269" s="21">
        <v>1500.0</v>
      </c>
      <c r="F4269" s="22">
        <v>396.878</v>
      </c>
      <c r="G4269" s="22">
        <v>0.0</v>
      </c>
      <c r="H4269" s="22">
        <v>0.0</v>
      </c>
      <c r="I4269" s="22">
        <v>0.0</v>
      </c>
      <c r="J4269" s="22">
        <v>0.0</v>
      </c>
      <c r="K4269" s="22">
        <v>0.0</v>
      </c>
      <c r="L4269" s="22">
        <v>396.878</v>
      </c>
      <c r="M4269" s="22">
        <v>414.04</v>
      </c>
      <c r="N4269" s="22">
        <v>316.56</v>
      </c>
      <c r="O4269" s="24">
        <v>22.9</v>
      </c>
      <c r="P4269" s="18">
        <f t="shared" si="1"/>
        <v>396.878</v>
      </c>
    </row>
    <row r="4270" ht="15.75" customHeight="1">
      <c r="A4270" s="13" t="s">
        <v>247</v>
      </c>
      <c r="B4270" s="13" t="s">
        <v>61</v>
      </c>
      <c r="C4270" s="14" t="s">
        <v>94</v>
      </c>
      <c r="D4270" s="14" t="str">
        <f>VLOOKUP(C4270,'State Key'!$A$2:$B$210,2,False)</f>
        <v>Punjab</v>
      </c>
      <c r="E4270" s="15">
        <v>1980.0</v>
      </c>
      <c r="F4270" s="16">
        <v>721.048</v>
      </c>
      <c r="G4270" s="16">
        <v>0.0</v>
      </c>
      <c r="H4270" s="16">
        <v>0.0</v>
      </c>
      <c r="I4270" s="16">
        <v>0.0</v>
      </c>
      <c r="J4270" s="16">
        <v>0.0</v>
      </c>
      <c r="K4270" s="16">
        <v>0.0</v>
      </c>
      <c r="L4270" s="16">
        <v>721.048</v>
      </c>
      <c r="M4270" s="16">
        <v>581.023</v>
      </c>
      <c r="N4270" s="16">
        <v>273.87</v>
      </c>
      <c r="O4270" s="24">
        <v>14.1</v>
      </c>
      <c r="P4270" s="18">
        <f t="shared" si="1"/>
        <v>721.048</v>
      </c>
    </row>
    <row r="4271" ht="15.75" customHeight="1">
      <c r="A4271" s="19" t="s">
        <v>247</v>
      </c>
      <c r="B4271" s="19" t="s">
        <v>61</v>
      </c>
      <c r="C4271" s="20" t="s">
        <v>95</v>
      </c>
      <c r="D4271" s="14" t="str">
        <f>VLOOKUP(C4271,'State Key'!$A$2:$B$210,2,False)</f>
        <v>Uttar Pradesh</v>
      </c>
      <c r="E4271" s="21">
        <v>1760.0</v>
      </c>
      <c r="F4271" s="22">
        <v>473.77</v>
      </c>
      <c r="G4271" s="22">
        <v>0.0</v>
      </c>
      <c r="H4271" s="22">
        <v>433.5</v>
      </c>
      <c r="I4271" s="22">
        <v>0.0</v>
      </c>
      <c r="J4271" s="22">
        <v>0.0</v>
      </c>
      <c r="K4271" s="22">
        <v>35.23</v>
      </c>
      <c r="L4271" s="22">
        <v>942.5</v>
      </c>
      <c r="M4271" s="22">
        <v>700.965</v>
      </c>
      <c r="N4271" s="22">
        <v>611.314</v>
      </c>
      <c r="O4271" s="24">
        <v>26.2</v>
      </c>
      <c r="P4271" s="18">
        <f t="shared" si="1"/>
        <v>942.5</v>
      </c>
    </row>
    <row r="4272" ht="15.75" customHeight="1">
      <c r="A4272" s="13" t="s">
        <v>247</v>
      </c>
      <c r="B4272" s="13" t="s">
        <v>61</v>
      </c>
      <c r="C4272" s="14" t="s">
        <v>96</v>
      </c>
      <c r="D4272" s="14" t="str">
        <f>VLOOKUP(C4272,'State Key'!$A$2:$B$210,2,False)</f>
        <v>Uttar Pradesh</v>
      </c>
      <c r="E4272" s="15">
        <v>1550.0</v>
      </c>
      <c r="F4272" s="16">
        <v>513.41</v>
      </c>
      <c r="G4272" s="16">
        <v>0.0</v>
      </c>
      <c r="H4272" s="16">
        <v>160.48</v>
      </c>
      <c r="I4272" s="16">
        <v>0.0</v>
      </c>
      <c r="J4272" s="16">
        <v>0.0</v>
      </c>
      <c r="K4272" s="16">
        <v>0.0</v>
      </c>
      <c r="L4272" s="16">
        <v>673.89</v>
      </c>
      <c r="M4272" s="16">
        <v>653.859</v>
      </c>
      <c r="N4272" s="16">
        <v>279.55</v>
      </c>
      <c r="O4272" s="23">
        <v>12.8</v>
      </c>
      <c r="P4272" s="18">
        <f t="shared" si="1"/>
        <v>673.89</v>
      </c>
    </row>
    <row r="4273" ht="15.75" customHeight="1">
      <c r="A4273" s="19" t="s">
        <v>247</v>
      </c>
      <c r="B4273" s="19" t="s">
        <v>61</v>
      </c>
      <c r="C4273" s="20" t="s">
        <v>97</v>
      </c>
      <c r="D4273" s="14" t="str">
        <f>VLOOKUP(C4273,'State Key'!$A$2:$B$210,2,False)</f>
        <v>Uttar Pradesh</v>
      </c>
      <c r="E4273" s="21">
        <v>90.0</v>
      </c>
      <c r="F4273" s="22">
        <v>35.98</v>
      </c>
      <c r="G4273" s="22">
        <v>0.0</v>
      </c>
      <c r="H4273" s="22">
        <v>0.0</v>
      </c>
      <c r="I4273" s="22">
        <v>0.0</v>
      </c>
      <c r="J4273" s="22">
        <v>0.0</v>
      </c>
      <c r="K4273" s="22">
        <v>0.0</v>
      </c>
      <c r="L4273" s="22">
        <v>35.98</v>
      </c>
      <c r="M4273" s="22">
        <v>1.144</v>
      </c>
      <c r="N4273" s="22">
        <v>58.31</v>
      </c>
      <c r="O4273" s="24">
        <v>1529.1</v>
      </c>
      <c r="P4273" s="18">
        <f t="shared" si="1"/>
        <v>35.98</v>
      </c>
    </row>
    <row r="4274" ht="15.75" customHeight="1">
      <c r="A4274" s="13" t="s">
        <v>247</v>
      </c>
      <c r="B4274" s="13" t="s">
        <v>61</v>
      </c>
      <c r="C4274" s="14" t="s">
        <v>98</v>
      </c>
      <c r="D4274" s="14" t="str">
        <f>VLOOKUP(C4274,'State Key'!$A$2:$B$210,2,False)</f>
        <v>Haryana</v>
      </c>
      <c r="E4274" s="15">
        <v>600.0</v>
      </c>
      <c r="F4274" s="16">
        <v>224.514</v>
      </c>
      <c r="G4274" s="16">
        <v>0.0</v>
      </c>
      <c r="H4274" s="16">
        <v>0.0</v>
      </c>
      <c r="I4274" s="16">
        <v>0.0</v>
      </c>
      <c r="J4274" s="16">
        <v>0.0</v>
      </c>
      <c r="K4274" s="16">
        <v>0.0</v>
      </c>
      <c r="L4274" s="16">
        <v>224.514</v>
      </c>
      <c r="M4274" s="16">
        <v>242.072</v>
      </c>
      <c r="N4274" s="16">
        <v>274.53</v>
      </c>
      <c r="O4274" s="24">
        <v>34.0</v>
      </c>
      <c r="P4274" s="18">
        <f t="shared" si="1"/>
        <v>224.514</v>
      </c>
    </row>
    <row r="4275" ht="15.75" customHeight="1">
      <c r="A4275" s="19" t="s">
        <v>247</v>
      </c>
      <c r="B4275" s="19" t="s">
        <v>99</v>
      </c>
      <c r="C4275" s="20" t="s">
        <v>210</v>
      </c>
      <c r="D4275" s="14" t="str">
        <f>VLOOKUP(C4275,'State Key'!$A$2:$B$210,2,False)</f>
        <v>Karnataka</v>
      </c>
      <c r="E4275" s="21">
        <v>1200.0</v>
      </c>
      <c r="F4275" s="22">
        <v>0.0</v>
      </c>
      <c r="G4275" s="22">
        <v>0.0</v>
      </c>
      <c r="H4275" s="22">
        <v>0.0</v>
      </c>
      <c r="I4275" s="22">
        <v>0.0</v>
      </c>
      <c r="J4275" s="22">
        <v>286.913</v>
      </c>
      <c r="K4275" s="22">
        <v>0.0</v>
      </c>
      <c r="L4275" s="22">
        <v>286.913</v>
      </c>
      <c r="M4275" s="22">
        <v>282.748</v>
      </c>
      <c r="N4275" s="22">
        <v>93.67</v>
      </c>
      <c r="O4275" s="23">
        <v>9.9</v>
      </c>
      <c r="P4275" s="18">
        <f t="shared" si="1"/>
        <v>286.913</v>
      </c>
    </row>
    <row r="4276" ht="15.75" customHeight="1">
      <c r="A4276" s="13" t="s">
        <v>247</v>
      </c>
      <c r="B4276" s="13" t="s">
        <v>99</v>
      </c>
      <c r="C4276" s="14" t="s">
        <v>100</v>
      </c>
      <c r="D4276" s="14" t="str">
        <f>VLOOKUP(C4276,'State Key'!$A$2:$B$210,2,False)</f>
        <v>Karnataka</v>
      </c>
      <c r="E4276" s="15">
        <v>1700.0</v>
      </c>
      <c r="F4276" s="16">
        <v>154.65177</v>
      </c>
      <c r="G4276" s="16">
        <v>178.0999</v>
      </c>
      <c r="H4276" s="16">
        <v>345.4163</v>
      </c>
      <c r="I4276" s="16">
        <v>0.0</v>
      </c>
      <c r="J4276" s="16">
        <v>0.0</v>
      </c>
      <c r="K4276" s="16">
        <v>0.0</v>
      </c>
      <c r="L4276" s="16">
        <v>678.16797</v>
      </c>
      <c r="M4276" s="16">
        <v>657.262</v>
      </c>
      <c r="N4276" s="16">
        <v>198.0013</v>
      </c>
      <c r="O4276" s="23">
        <v>9.0</v>
      </c>
      <c r="P4276" s="18">
        <f t="shared" si="1"/>
        <v>678.16797</v>
      </c>
    </row>
    <row r="4277" ht="15.75" customHeight="1">
      <c r="A4277" s="19" t="s">
        <v>247</v>
      </c>
      <c r="B4277" s="19" t="s">
        <v>99</v>
      </c>
      <c r="C4277" s="20" t="s">
        <v>101</v>
      </c>
      <c r="D4277" s="14" t="str">
        <f>VLOOKUP(C4277,'State Key'!$A$2:$B$210,2,False)</f>
        <v>Telangana</v>
      </c>
      <c r="E4277" s="21">
        <v>1080.0</v>
      </c>
      <c r="F4277" s="22">
        <v>0.0</v>
      </c>
      <c r="G4277" s="22">
        <v>483.768</v>
      </c>
      <c r="H4277" s="22">
        <v>0.0</v>
      </c>
      <c r="I4277" s="22">
        <v>0.0</v>
      </c>
      <c r="J4277" s="22">
        <v>0.0</v>
      </c>
      <c r="K4277" s="22">
        <v>0.0</v>
      </c>
      <c r="L4277" s="22">
        <v>483.768</v>
      </c>
      <c r="M4277" s="22">
        <v>320.754</v>
      </c>
      <c r="N4277" s="22">
        <v>355.475</v>
      </c>
      <c r="O4277" s="24">
        <v>33.2</v>
      </c>
      <c r="P4277" s="18">
        <f t="shared" si="1"/>
        <v>483.768</v>
      </c>
    </row>
    <row r="4278" ht="15.75" customHeight="1">
      <c r="A4278" s="13" t="s">
        <v>247</v>
      </c>
      <c r="B4278" s="13" t="s">
        <v>99</v>
      </c>
      <c r="C4278" s="14" t="s">
        <v>102</v>
      </c>
      <c r="D4278" s="14" t="str">
        <f>VLOOKUP(C4278,'State Key'!$A$2:$B$210,2,False)</f>
        <v>Andhra Pradesh</v>
      </c>
      <c r="E4278" s="15">
        <v>2400.0</v>
      </c>
      <c r="F4278" s="16">
        <v>720.47569</v>
      </c>
      <c r="G4278" s="16">
        <v>0.0</v>
      </c>
      <c r="H4278" s="16">
        <v>0.0</v>
      </c>
      <c r="I4278" s="16">
        <v>0.0</v>
      </c>
      <c r="J4278" s="16">
        <v>0.0</v>
      </c>
      <c r="K4278" s="16">
        <v>0.0</v>
      </c>
      <c r="L4278" s="16">
        <v>720.47569</v>
      </c>
      <c r="M4278" s="16">
        <v>674.508</v>
      </c>
      <c r="N4278" s="16">
        <v>119.3</v>
      </c>
      <c r="O4278" s="17">
        <v>5.3</v>
      </c>
      <c r="P4278" s="18">
        <f t="shared" si="1"/>
        <v>720.47569</v>
      </c>
    </row>
    <row r="4279" ht="15.75" customHeight="1">
      <c r="A4279" s="19" t="s">
        <v>247</v>
      </c>
      <c r="B4279" s="19" t="s">
        <v>99</v>
      </c>
      <c r="C4279" s="20" t="s">
        <v>103</v>
      </c>
      <c r="D4279" s="14" t="str">
        <f>VLOOKUP(C4279,'State Key'!$A$2:$B$210,2,False)</f>
        <v>Andhra Pradesh</v>
      </c>
      <c r="E4279" s="21">
        <v>2560.0</v>
      </c>
      <c r="F4279" s="22">
        <v>1022.501</v>
      </c>
      <c r="G4279" s="22">
        <v>221.882</v>
      </c>
      <c r="H4279" s="22">
        <v>0.0</v>
      </c>
      <c r="I4279" s="22">
        <v>0.0</v>
      </c>
      <c r="J4279" s="22">
        <v>0.0</v>
      </c>
      <c r="K4279" s="22">
        <v>0.0</v>
      </c>
      <c r="L4279" s="22">
        <v>1244.383</v>
      </c>
      <c r="M4279" s="22">
        <v>1170.418</v>
      </c>
      <c r="N4279" s="22">
        <v>368.89</v>
      </c>
      <c r="O4279" s="23">
        <v>9.5</v>
      </c>
      <c r="P4279" s="18">
        <f t="shared" si="1"/>
        <v>1244.383</v>
      </c>
    </row>
    <row r="4280" ht="15.75" customHeight="1">
      <c r="A4280" s="13" t="s">
        <v>247</v>
      </c>
      <c r="B4280" s="13" t="s">
        <v>99</v>
      </c>
      <c r="C4280" s="14" t="s">
        <v>104</v>
      </c>
      <c r="D4280" s="14" t="str">
        <f>VLOOKUP(C4280,'State Key'!$A$2:$B$210,2,False)</f>
        <v>Tamil Nadu</v>
      </c>
      <c r="E4280" s="15">
        <v>1200.0</v>
      </c>
      <c r="F4280" s="16">
        <v>0.0</v>
      </c>
      <c r="G4280" s="16">
        <v>0.0</v>
      </c>
      <c r="H4280" s="16">
        <v>0.0</v>
      </c>
      <c r="I4280" s="16">
        <v>0.0</v>
      </c>
      <c r="J4280" s="16">
        <v>468.349</v>
      </c>
      <c r="K4280" s="16">
        <v>0.0</v>
      </c>
      <c r="L4280" s="16">
        <v>468.349</v>
      </c>
      <c r="M4280" s="16">
        <v>399.725</v>
      </c>
      <c r="N4280" s="16">
        <v>231.4</v>
      </c>
      <c r="O4280" s="24">
        <v>17.4</v>
      </c>
      <c r="P4280" s="18">
        <f t="shared" si="1"/>
        <v>468.349</v>
      </c>
    </row>
    <row r="4281" ht="15.75" customHeight="1">
      <c r="A4281" s="19" t="s">
        <v>247</v>
      </c>
      <c r="B4281" s="19" t="s">
        <v>99</v>
      </c>
      <c r="C4281" s="20" t="s">
        <v>105</v>
      </c>
      <c r="D4281" s="14" t="str">
        <f>VLOOKUP(C4281,'State Key'!$A$2:$B$210,2,False)</f>
        <v>Telangana</v>
      </c>
      <c r="E4281" s="21">
        <v>1100.0</v>
      </c>
      <c r="F4281" s="22">
        <v>0.0</v>
      </c>
      <c r="G4281" s="22">
        <v>140.969</v>
      </c>
      <c r="H4281" s="22">
        <v>271.133</v>
      </c>
      <c r="I4281" s="22">
        <v>0.0</v>
      </c>
      <c r="J4281" s="22">
        <v>0.0</v>
      </c>
      <c r="K4281" s="22">
        <v>0.0</v>
      </c>
      <c r="L4281" s="22">
        <v>412.102</v>
      </c>
      <c r="M4281" s="22">
        <v>399.414</v>
      </c>
      <c r="N4281" s="22">
        <v>347.491</v>
      </c>
      <c r="O4281" s="24">
        <v>26.1</v>
      </c>
      <c r="P4281" s="18">
        <f t="shared" si="1"/>
        <v>412.102</v>
      </c>
    </row>
    <row r="4282" ht="15.75" customHeight="1">
      <c r="A4282" s="13" t="s">
        <v>247</v>
      </c>
      <c r="B4282" s="13" t="s">
        <v>99</v>
      </c>
      <c r="C4282" s="14" t="s">
        <v>106</v>
      </c>
      <c r="D4282" s="14" t="str">
        <f>VLOOKUP(C4282,'State Key'!$A$2:$B$210,2,False)</f>
        <v>Telangana</v>
      </c>
      <c r="E4282" s="15">
        <v>1000.0</v>
      </c>
      <c r="F4282" s="16">
        <v>0.0</v>
      </c>
      <c r="G4282" s="16">
        <v>472.444</v>
      </c>
      <c r="H4282" s="16">
        <v>0.0</v>
      </c>
      <c r="I4282" s="16">
        <v>0.0</v>
      </c>
      <c r="J4282" s="16">
        <v>0.0</v>
      </c>
      <c r="K4282" s="16">
        <v>0.0</v>
      </c>
      <c r="L4282" s="16">
        <v>472.444</v>
      </c>
      <c r="M4282" s="16">
        <v>409.26</v>
      </c>
      <c r="N4282" s="16">
        <v>437.928</v>
      </c>
      <c r="O4282" s="24">
        <v>32.1</v>
      </c>
      <c r="P4282" s="18">
        <f t="shared" si="1"/>
        <v>472.444</v>
      </c>
    </row>
    <row r="4283" ht="15.75" customHeight="1">
      <c r="A4283" s="19" t="s">
        <v>247</v>
      </c>
      <c r="B4283" s="19" t="s">
        <v>99</v>
      </c>
      <c r="C4283" s="20" t="s">
        <v>107</v>
      </c>
      <c r="D4283" s="14" t="str">
        <f>VLOOKUP(C4283,'State Key'!$A$2:$B$210,2,False)</f>
        <v>Telangana</v>
      </c>
      <c r="E4283" s="21">
        <v>800.0</v>
      </c>
      <c r="F4283" s="22">
        <v>0.0</v>
      </c>
      <c r="G4283" s="22">
        <v>365.367</v>
      </c>
      <c r="H4283" s="22">
        <v>0.0</v>
      </c>
      <c r="I4283" s="22">
        <v>0.0</v>
      </c>
      <c r="J4283" s="22">
        <v>0.0</v>
      </c>
      <c r="K4283" s="22">
        <v>0.0</v>
      </c>
      <c r="L4283" s="22">
        <v>365.367</v>
      </c>
      <c r="M4283" s="22">
        <v>268.205</v>
      </c>
      <c r="N4283" s="22">
        <v>287.181</v>
      </c>
      <c r="O4283" s="24">
        <v>32.1</v>
      </c>
      <c r="P4283" s="18">
        <f t="shared" si="1"/>
        <v>365.367</v>
      </c>
    </row>
    <row r="4284" ht="15.75" customHeight="1">
      <c r="A4284" s="13" t="s">
        <v>247</v>
      </c>
      <c r="B4284" s="13" t="s">
        <v>99</v>
      </c>
      <c r="C4284" s="14" t="s">
        <v>108</v>
      </c>
      <c r="D4284" s="14" t="str">
        <f>VLOOKUP(C4284,'State Key'!$A$2:$B$210,2,False)</f>
        <v>Karnataka</v>
      </c>
      <c r="E4284" s="15">
        <v>2400.0</v>
      </c>
      <c r="F4284" s="16">
        <v>321.54</v>
      </c>
      <c r="G4284" s="16">
        <v>222.85</v>
      </c>
      <c r="H4284" s="16">
        <v>134.94</v>
      </c>
      <c r="I4284" s="16">
        <v>0.0</v>
      </c>
      <c r="J4284" s="16">
        <v>0.0</v>
      </c>
      <c r="K4284" s="16">
        <v>52.37</v>
      </c>
      <c r="L4284" s="16">
        <v>731.7</v>
      </c>
      <c r="M4284" s="16">
        <v>789.02</v>
      </c>
      <c r="N4284" s="16">
        <v>428.52</v>
      </c>
      <c r="O4284" s="24">
        <v>16.3</v>
      </c>
      <c r="P4284" s="18">
        <f t="shared" si="1"/>
        <v>731.7</v>
      </c>
    </row>
    <row r="4285" ht="15.75" customHeight="1">
      <c r="A4285" s="19" t="s">
        <v>247</v>
      </c>
      <c r="B4285" s="19" t="s">
        <v>99</v>
      </c>
      <c r="C4285" s="20" t="s">
        <v>109</v>
      </c>
      <c r="D4285" s="14" t="str">
        <f>VLOOKUP(C4285,'State Key'!$A$2:$B$210,2,False)</f>
        <v>Tamil Nadu</v>
      </c>
      <c r="E4285" s="21">
        <v>840.0</v>
      </c>
      <c r="F4285" s="22">
        <v>318.8578</v>
      </c>
      <c r="G4285" s="22">
        <v>22.1351</v>
      </c>
      <c r="H4285" s="22">
        <v>0.0</v>
      </c>
      <c r="I4285" s="22">
        <v>0.0</v>
      </c>
      <c r="J4285" s="22">
        <v>0.0</v>
      </c>
      <c r="K4285" s="22">
        <v>0.0</v>
      </c>
      <c r="L4285" s="22">
        <v>340.9929</v>
      </c>
      <c r="M4285" s="22">
        <v>339.7181</v>
      </c>
      <c r="N4285" s="22">
        <v>162.1093</v>
      </c>
      <c r="O4285" s="24">
        <v>14.3</v>
      </c>
      <c r="P4285" s="18">
        <f t="shared" si="1"/>
        <v>340.9929</v>
      </c>
    </row>
    <row r="4286" ht="15.75" customHeight="1">
      <c r="A4286" s="13" t="s">
        <v>247</v>
      </c>
      <c r="B4286" s="13" t="s">
        <v>99</v>
      </c>
      <c r="C4286" s="14" t="s">
        <v>110</v>
      </c>
      <c r="D4286" s="14" t="str">
        <f>VLOOKUP(C4286,'State Key'!$A$2:$B$210,2,False)</f>
        <v>Tamil Nadu</v>
      </c>
      <c r="E4286" s="15">
        <v>600.0</v>
      </c>
      <c r="F4286" s="16">
        <v>233.6</v>
      </c>
      <c r="G4286" s="16">
        <v>1.72</v>
      </c>
      <c r="H4286" s="16">
        <v>0.0</v>
      </c>
      <c r="I4286" s="16">
        <v>0.0</v>
      </c>
      <c r="J4286" s="16">
        <v>0.0</v>
      </c>
      <c r="K4286" s="16">
        <v>0.0</v>
      </c>
      <c r="L4286" s="16">
        <v>235.32</v>
      </c>
      <c r="M4286" s="16">
        <v>239.672</v>
      </c>
      <c r="N4286" s="16">
        <v>143.21</v>
      </c>
      <c r="O4286" s="24">
        <v>17.9</v>
      </c>
      <c r="P4286" s="18">
        <f t="shared" si="1"/>
        <v>235.32</v>
      </c>
    </row>
    <row r="4287" ht="15.75" customHeight="1">
      <c r="A4287" s="19" t="s">
        <v>247</v>
      </c>
      <c r="B4287" s="19" t="s">
        <v>99</v>
      </c>
      <c r="C4287" s="20" t="s">
        <v>111</v>
      </c>
      <c r="D4287" s="14" t="str">
        <f>VLOOKUP(C4287,'State Key'!$A$2:$B$210,2,False)</f>
        <v>Tamil Nadu</v>
      </c>
      <c r="E4287" s="21">
        <v>1200.0</v>
      </c>
      <c r="F4287" s="22">
        <v>0.0</v>
      </c>
      <c r="G4287" s="22">
        <v>0.0</v>
      </c>
      <c r="H4287" s="22">
        <v>0.0</v>
      </c>
      <c r="I4287" s="22">
        <v>0.0</v>
      </c>
      <c r="J4287" s="22">
        <v>272.809</v>
      </c>
      <c r="K4287" s="22">
        <v>0.0</v>
      </c>
      <c r="L4287" s="22">
        <v>272.809</v>
      </c>
      <c r="M4287" s="22">
        <v>303.741</v>
      </c>
      <c r="N4287" s="22">
        <v>183.045</v>
      </c>
      <c r="O4287" s="24">
        <v>18.1</v>
      </c>
      <c r="P4287" s="18">
        <f t="shared" si="1"/>
        <v>272.809</v>
      </c>
    </row>
    <row r="4288" ht="15.75" customHeight="1">
      <c r="A4288" s="13" t="s">
        <v>247</v>
      </c>
      <c r="B4288" s="13" t="s">
        <v>99</v>
      </c>
      <c r="C4288" s="14" t="s">
        <v>112</v>
      </c>
      <c r="D4288" s="14" t="str">
        <f>VLOOKUP(C4288,'State Key'!$A$2:$B$210,2,False)</f>
        <v>Tamil Nadu</v>
      </c>
      <c r="E4288" s="15">
        <v>1830.0</v>
      </c>
      <c r="F4288" s="16">
        <v>524.091</v>
      </c>
      <c r="G4288" s="16">
        <v>0.0</v>
      </c>
      <c r="H4288" s="16">
        <v>0.0</v>
      </c>
      <c r="I4288" s="16">
        <v>0.0</v>
      </c>
      <c r="J4288" s="16">
        <v>0.0</v>
      </c>
      <c r="K4288" s="16">
        <v>0.0</v>
      </c>
      <c r="L4288" s="16">
        <v>524.091</v>
      </c>
      <c r="M4288" s="16">
        <v>578.884</v>
      </c>
      <c r="N4288" s="16">
        <v>523.417</v>
      </c>
      <c r="O4288" s="24">
        <v>27.1</v>
      </c>
      <c r="P4288" s="18">
        <f t="shared" si="1"/>
        <v>524.091</v>
      </c>
    </row>
    <row r="4289" ht="15.75" customHeight="1">
      <c r="A4289" s="19" t="s">
        <v>247</v>
      </c>
      <c r="B4289" s="19" t="s">
        <v>99</v>
      </c>
      <c r="C4289" s="20" t="s">
        <v>113</v>
      </c>
      <c r="D4289" s="14" t="str">
        <f>VLOOKUP(C4289,'State Key'!$A$2:$B$210,2,False)</f>
        <v>Tamil Nadu</v>
      </c>
      <c r="E4289" s="21">
        <v>1000.0</v>
      </c>
      <c r="F4289" s="22">
        <v>0.0</v>
      </c>
      <c r="G4289" s="22">
        <v>0.0</v>
      </c>
      <c r="H4289" s="22">
        <v>224.077</v>
      </c>
      <c r="I4289" s="22">
        <v>0.0</v>
      </c>
      <c r="J4289" s="22">
        <v>149.57</v>
      </c>
      <c r="K4289" s="22">
        <v>0.0</v>
      </c>
      <c r="L4289" s="22">
        <v>373.647</v>
      </c>
      <c r="M4289" s="22">
        <v>393.235</v>
      </c>
      <c r="N4289" s="22">
        <v>336.9</v>
      </c>
      <c r="O4289" s="24">
        <v>25.7</v>
      </c>
      <c r="P4289" s="18">
        <f t="shared" si="1"/>
        <v>373.647</v>
      </c>
    </row>
    <row r="4290" ht="15.75" customHeight="1">
      <c r="A4290" s="13" t="s">
        <v>247</v>
      </c>
      <c r="B4290" s="13" t="s">
        <v>99</v>
      </c>
      <c r="C4290" s="14" t="s">
        <v>228</v>
      </c>
      <c r="D4290" s="14" t="str">
        <f>VLOOKUP(C4290,'State Key'!$A$2:$B$210,2,False)</f>
        <v>Tamil Nadu</v>
      </c>
      <c r="E4290" s="15">
        <v>414.0</v>
      </c>
      <c r="F4290" s="16">
        <v>11.979</v>
      </c>
      <c r="G4290" s="16">
        <v>0.0</v>
      </c>
      <c r="H4290" s="16">
        <v>0.0</v>
      </c>
      <c r="I4290" s="16">
        <v>0.0</v>
      </c>
      <c r="J4290" s="16">
        <v>136.325</v>
      </c>
      <c r="K4290" s="16">
        <v>0.0</v>
      </c>
      <c r="L4290" s="16">
        <v>148.304</v>
      </c>
      <c r="M4290" s="16">
        <v>169.79</v>
      </c>
      <c r="N4290" s="16">
        <v>44.23</v>
      </c>
      <c r="O4290" s="23">
        <v>7.8</v>
      </c>
      <c r="P4290" s="18">
        <f t="shared" si="1"/>
        <v>148.304</v>
      </c>
    </row>
    <row r="4291" ht="15.75" customHeight="1">
      <c r="A4291" s="19" t="s">
        <v>247</v>
      </c>
      <c r="B4291" s="19" t="s">
        <v>99</v>
      </c>
      <c r="C4291" s="20" t="s">
        <v>114</v>
      </c>
      <c r="D4291" s="14" t="str">
        <f>VLOOKUP(C4291,'State Key'!$A$2:$B$210,2,False)</f>
        <v>Andhra Pradesh</v>
      </c>
      <c r="E4291" s="21">
        <v>1320.0</v>
      </c>
      <c r="F4291" s="22">
        <v>241.639</v>
      </c>
      <c r="G4291" s="22">
        <v>0.0</v>
      </c>
      <c r="H4291" s="22">
        <v>0.0</v>
      </c>
      <c r="I4291" s="22">
        <v>0.0</v>
      </c>
      <c r="J4291" s="22">
        <v>143.38</v>
      </c>
      <c r="K4291" s="22">
        <v>0.0</v>
      </c>
      <c r="L4291" s="22">
        <v>385.019</v>
      </c>
      <c r="M4291" s="22">
        <v>517.253</v>
      </c>
      <c r="N4291" s="22">
        <v>160.606</v>
      </c>
      <c r="O4291" s="23">
        <v>9.3</v>
      </c>
      <c r="P4291" s="18">
        <f t="shared" si="1"/>
        <v>385.019</v>
      </c>
    </row>
    <row r="4292" ht="15.75" customHeight="1">
      <c r="A4292" s="13" t="s">
        <v>247</v>
      </c>
      <c r="B4292" s="13" t="s">
        <v>99</v>
      </c>
      <c r="C4292" s="14" t="s">
        <v>115</v>
      </c>
      <c r="D4292" s="14" t="str">
        <f>VLOOKUP(C4292,'State Key'!$A$2:$B$210,2,False)</f>
        <v>Karnataka</v>
      </c>
      <c r="E4292" s="15">
        <v>1720.0</v>
      </c>
      <c r="F4292" s="16">
        <v>328.044</v>
      </c>
      <c r="G4292" s="16">
        <v>277.61</v>
      </c>
      <c r="H4292" s="16">
        <v>0.0</v>
      </c>
      <c r="I4292" s="16">
        <v>0.0</v>
      </c>
      <c r="J4292" s="16">
        <v>0.0</v>
      </c>
      <c r="K4292" s="16">
        <v>0.0</v>
      </c>
      <c r="L4292" s="16">
        <v>605.654</v>
      </c>
      <c r="M4292" s="16">
        <v>674.69</v>
      </c>
      <c r="N4292" s="16">
        <v>547.51</v>
      </c>
      <c r="O4292" s="24">
        <v>24.3</v>
      </c>
      <c r="P4292" s="18">
        <f t="shared" si="1"/>
        <v>605.654</v>
      </c>
    </row>
    <row r="4293" ht="15.75" customHeight="1">
      <c r="A4293" s="19" t="s">
        <v>247</v>
      </c>
      <c r="B4293" s="19" t="s">
        <v>99</v>
      </c>
      <c r="C4293" s="20" t="s">
        <v>116</v>
      </c>
      <c r="D4293" s="14" t="str">
        <f>VLOOKUP(C4293,'State Key'!$A$2:$B$210,2,False)</f>
        <v>Telangana</v>
      </c>
      <c r="E4293" s="21">
        <v>2600.0</v>
      </c>
      <c r="F4293" s="22">
        <v>0.0</v>
      </c>
      <c r="G4293" s="22">
        <v>1017.66</v>
      </c>
      <c r="H4293" s="22">
        <v>0.0</v>
      </c>
      <c r="I4293" s="22">
        <v>0.0</v>
      </c>
      <c r="J4293" s="22">
        <v>0.0</v>
      </c>
      <c r="K4293" s="22">
        <v>0.0</v>
      </c>
      <c r="L4293" s="22">
        <v>1017.66</v>
      </c>
      <c r="M4293" s="22">
        <v>986.322</v>
      </c>
      <c r="N4293" s="22">
        <v>819.775</v>
      </c>
      <c r="O4293" s="24">
        <v>24.9</v>
      </c>
      <c r="P4293" s="18">
        <f t="shared" si="1"/>
        <v>1017.66</v>
      </c>
    </row>
    <row r="4294" ht="15.75" customHeight="1">
      <c r="A4294" s="13" t="s">
        <v>247</v>
      </c>
      <c r="B4294" s="13" t="s">
        <v>99</v>
      </c>
      <c r="C4294" s="14" t="s">
        <v>117</v>
      </c>
      <c r="D4294" s="14" t="str">
        <f>VLOOKUP(C4294,'State Key'!$A$2:$B$210,2,False)</f>
        <v>Telangana</v>
      </c>
      <c r="E4294" s="15">
        <v>62.5</v>
      </c>
      <c r="F4294" s="16">
        <v>0.0</v>
      </c>
      <c r="G4294" s="16">
        <v>0.0</v>
      </c>
      <c r="H4294" s="16">
        <v>0.0</v>
      </c>
      <c r="I4294" s="16">
        <v>0.0</v>
      </c>
      <c r="J4294" s="16">
        <v>0.0</v>
      </c>
      <c r="K4294" s="16">
        <v>0.0</v>
      </c>
      <c r="L4294" s="16">
        <v>0.0</v>
      </c>
      <c r="M4294" s="16">
        <v>0.0</v>
      </c>
      <c r="N4294" s="16">
        <v>3.72</v>
      </c>
      <c r="O4294" s="13" t="s">
        <v>58</v>
      </c>
      <c r="P4294" s="18">
        <f t="shared" si="1"/>
        <v>0</v>
      </c>
    </row>
    <row r="4295" ht="15.75" customHeight="1">
      <c r="A4295" s="19" t="s">
        <v>247</v>
      </c>
      <c r="B4295" s="19" t="s">
        <v>99</v>
      </c>
      <c r="C4295" s="20" t="s">
        <v>118</v>
      </c>
      <c r="D4295" s="14" t="str">
        <f>VLOOKUP(C4295,'State Key'!$A$2:$B$210,2,False)</f>
        <v>Andhra Pradesh</v>
      </c>
      <c r="E4295" s="21">
        <v>1650.0</v>
      </c>
      <c r="F4295" s="22">
        <v>531.92765</v>
      </c>
      <c r="G4295" s="22">
        <v>235.883</v>
      </c>
      <c r="H4295" s="22">
        <v>0.0</v>
      </c>
      <c r="I4295" s="22">
        <v>0.0</v>
      </c>
      <c r="J4295" s="22">
        <v>0.0</v>
      </c>
      <c r="K4295" s="22">
        <v>0.0</v>
      </c>
      <c r="L4295" s="22">
        <v>767.81065</v>
      </c>
      <c r="M4295" s="22">
        <v>740.635</v>
      </c>
      <c r="N4295" s="22">
        <v>163.68</v>
      </c>
      <c r="O4295" s="17">
        <v>6.6</v>
      </c>
      <c r="P4295" s="18">
        <f t="shared" si="1"/>
        <v>767.81065</v>
      </c>
    </row>
    <row r="4296" ht="15.75" customHeight="1">
      <c r="A4296" s="13" t="s">
        <v>247</v>
      </c>
      <c r="B4296" s="13" t="s">
        <v>99</v>
      </c>
      <c r="C4296" s="14" t="s">
        <v>119</v>
      </c>
      <c r="D4296" s="14" t="str">
        <f>VLOOKUP(C4296,'State Key'!$A$2:$B$210,2,False)</f>
        <v>Andhra Pradesh</v>
      </c>
      <c r="E4296" s="15">
        <v>1320.0</v>
      </c>
      <c r="F4296" s="16">
        <v>223.756</v>
      </c>
      <c r="G4296" s="16">
        <v>0.0</v>
      </c>
      <c r="H4296" s="16">
        <v>0.0</v>
      </c>
      <c r="I4296" s="16">
        <v>0.0</v>
      </c>
      <c r="J4296" s="16">
        <v>153.925</v>
      </c>
      <c r="K4296" s="16">
        <v>0.0</v>
      </c>
      <c r="L4296" s="16">
        <v>377.681</v>
      </c>
      <c r="M4296" s="16">
        <v>567.866</v>
      </c>
      <c r="N4296" s="16">
        <v>290.079</v>
      </c>
      <c r="O4296" s="24">
        <v>15.3</v>
      </c>
      <c r="P4296" s="18">
        <f t="shared" si="1"/>
        <v>377.681</v>
      </c>
    </row>
    <row r="4297" ht="15.75" customHeight="1">
      <c r="A4297" s="19" t="s">
        <v>247</v>
      </c>
      <c r="B4297" s="19" t="s">
        <v>99</v>
      </c>
      <c r="C4297" s="20" t="s">
        <v>120</v>
      </c>
      <c r="D4297" s="14" t="str">
        <f>VLOOKUP(C4297,'State Key'!$A$2:$B$210,2,False)</f>
        <v>Andhra Pradesh</v>
      </c>
      <c r="E4297" s="21">
        <v>2000.0</v>
      </c>
      <c r="F4297" s="22">
        <v>709.41</v>
      </c>
      <c r="G4297" s="22">
        <v>100.19</v>
      </c>
      <c r="H4297" s="22">
        <v>29.88</v>
      </c>
      <c r="I4297" s="22">
        <v>0.0</v>
      </c>
      <c r="J4297" s="22">
        <v>0.0</v>
      </c>
      <c r="K4297" s="22">
        <v>55.65</v>
      </c>
      <c r="L4297" s="22">
        <v>895.13</v>
      </c>
      <c r="M4297" s="22">
        <v>926.988</v>
      </c>
      <c r="N4297" s="22">
        <v>294.633</v>
      </c>
      <c r="O4297" s="23">
        <v>9.5</v>
      </c>
      <c r="P4297" s="18">
        <f t="shared" si="1"/>
        <v>895.13</v>
      </c>
    </row>
    <row r="4298" ht="15.75" customHeight="1">
      <c r="A4298" s="13" t="s">
        <v>247</v>
      </c>
      <c r="B4298" s="13" t="s">
        <v>99</v>
      </c>
      <c r="C4298" s="14" t="s">
        <v>121</v>
      </c>
      <c r="D4298" s="14" t="str">
        <f>VLOOKUP(C4298,'State Key'!$A$2:$B$210,2,False)</f>
        <v>Andhra Pradesh</v>
      </c>
      <c r="E4298" s="15">
        <v>600.0</v>
      </c>
      <c r="F4298" s="16">
        <v>0.0</v>
      </c>
      <c r="G4298" s="16">
        <v>0.0</v>
      </c>
      <c r="H4298" s="16">
        <v>0.0</v>
      </c>
      <c r="I4298" s="16">
        <v>0.0</v>
      </c>
      <c r="J4298" s="16">
        <v>0.0</v>
      </c>
      <c r="K4298" s="16">
        <v>0.0</v>
      </c>
      <c r="L4298" s="16">
        <v>0.0</v>
      </c>
      <c r="M4298" s="16">
        <v>175.212</v>
      </c>
      <c r="N4298" s="16">
        <v>175.65</v>
      </c>
      <c r="O4298" s="24">
        <v>30.1</v>
      </c>
      <c r="P4298" s="18">
        <f t="shared" si="1"/>
        <v>0</v>
      </c>
    </row>
    <row r="4299" ht="15.75" customHeight="1">
      <c r="A4299" s="19" t="s">
        <v>247</v>
      </c>
      <c r="B4299" s="19" t="s">
        <v>99</v>
      </c>
      <c r="C4299" s="20" t="s">
        <v>122</v>
      </c>
      <c r="D4299" s="14" t="str">
        <f>VLOOKUP(C4299,'State Key'!$A$2:$B$210,2,False)</f>
        <v>Telangana</v>
      </c>
      <c r="E4299" s="21">
        <v>1200.0</v>
      </c>
      <c r="F4299" s="22">
        <v>0.0</v>
      </c>
      <c r="G4299" s="22">
        <v>646.955</v>
      </c>
      <c r="H4299" s="22">
        <v>0.0</v>
      </c>
      <c r="I4299" s="22">
        <v>0.0</v>
      </c>
      <c r="J4299" s="22">
        <v>0.0</v>
      </c>
      <c r="K4299" s="22">
        <v>0.0</v>
      </c>
      <c r="L4299" s="22">
        <v>646.955</v>
      </c>
      <c r="M4299" s="22">
        <v>489.907</v>
      </c>
      <c r="N4299" s="22">
        <v>312.55</v>
      </c>
      <c r="O4299" s="24">
        <v>19.1</v>
      </c>
      <c r="P4299" s="18">
        <f t="shared" si="1"/>
        <v>646.955</v>
      </c>
    </row>
    <row r="4300" ht="15.75" customHeight="1">
      <c r="A4300" s="13" t="s">
        <v>247</v>
      </c>
      <c r="B4300" s="13" t="s">
        <v>99</v>
      </c>
      <c r="C4300" s="14" t="s">
        <v>243</v>
      </c>
      <c r="D4300" s="14" t="str">
        <f>VLOOKUP(C4300,'State Key'!$A$2:$B$210,2,False)</f>
        <v>Tamil Nadu</v>
      </c>
      <c r="E4300" s="15">
        <v>63.5</v>
      </c>
      <c r="F4300" s="16">
        <v>0.0</v>
      </c>
      <c r="G4300" s="16">
        <v>0.0</v>
      </c>
      <c r="H4300" s="16">
        <v>0.0</v>
      </c>
      <c r="I4300" s="16">
        <v>0.0</v>
      </c>
      <c r="J4300" s="16">
        <v>0.0</v>
      </c>
      <c r="K4300" s="16">
        <v>0.0</v>
      </c>
      <c r="L4300" s="16">
        <v>0.0</v>
      </c>
      <c r="M4300" s="16">
        <v>0.0</v>
      </c>
      <c r="N4300" s="16">
        <v>0.0</v>
      </c>
      <c r="O4300" s="13" t="s">
        <v>58</v>
      </c>
      <c r="P4300" s="18">
        <f t="shared" si="1"/>
        <v>0</v>
      </c>
    </row>
    <row r="4301" ht="15.75" customHeight="1">
      <c r="A4301" s="19" t="s">
        <v>247</v>
      </c>
      <c r="B4301" s="19" t="s">
        <v>99</v>
      </c>
      <c r="C4301" s="20" t="s">
        <v>220</v>
      </c>
      <c r="D4301" s="14" t="str">
        <f>VLOOKUP(C4301,'State Key'!$A$2:$B$210,2,False)</f>
        <v>Telangana</v>
      </c>
      <c r="E4301" s="21">
        <v>1600.0</v>
      </c>
      <c r="F4301" s="22">
        <v>19.51</v>
      </c>
      <c r="G4301" s="22">
        <v>539.13</v>
      </c>
      <c r="H4301" s="22">
        <v>0.0</v>
      </c>
      <c r="I4301" s="22">
        <v>0.0</v>
      </c>
      <c r="J4301" s="22">
        <v>0.0</v>
      </c>
      <c r="K4301" s="22">
        <v>84.37</v>
      </c>
      <c r="L4301" s="22">
        <v>643.01</v>
      </c>
      <c r="M4301" s="22">
        <v>605.92</v>
      </c>
      <c r="N4301" s="22">
        <v>630.93</v>
      </c>
      <c r="O4301" s="24">
        <v>31.2</v>
      </c>
      <c r="P4301" s="18">
        <f t="shared" si="1"/>
        <v>643.01</v>
      </c>
    </row>
    <row r="4302" ht="15.75" customHeight="1">
      <c r="A4302" s="13" t="s">
        <v>247</v>
      </c>
      <c r="B4302" s="13" t="s">
        <v>99</v>
      </c>
      <c r="C4302" s="14" t="s">
        <v>123</v>
      </c>
      <c r="D4302" s="14" t="str">
        <f>VLOOKUP(C4302,'State Key'!$A$2:$B$210,2,False)</f>
        <v>Andhra Pradesh</v>
      </c>
      <c r="E4302" s="15">
        <v>300.0</v>
      </c>
      <c r="F4302" s="16">
        <v>0.0</v>
      </c>
      <c r="G4302" s="16">
        <v>0.0</v>
      </c>
      <c r="H4302" s="16">
        <v>0.0</v>
      </c>
      <c r="I4302" s="16">
        <v>0.0</v>
      </c>
      <c r="J4302" s="16">
        <v>0.0</v>
      </c>
      <c r="K4302" s="16">
        <v>0.0</v>
      </c>
      <c r="L4302" s="16">
        <v>0.0</v>
      </c>
      <c r="M4302" s="16">
        <v>0.0</v>
      </c>
      <c r="N4302" s="16">
        <v>0.0</v>
      </c>
      <c r="O4302" s="13" t="s">
        <v>58</v>
      </c>
      <c r="P4302" s="18">
        <f t="shared" si="1"/>
        <v>0</v>
      </c>
    </row>
    <row r="4303" ht="15.75" customHeight="1">
      <c r="A4303" s="19" t="s">
        <v>247</v>
      </c>
      <c r="B4303" s="19" t="s">
        <v>99</v>
      </c>
      <c r="C4303" s="20" t="s">
        <v>124</v>
      </c>
      <c r="D4303" s="14" t="str">
        <f>VLOOKUP(C4303,'State Key'!$A$2:$B$210,2,False)</f>
        <v>Karnataka</v>
      </c>
      <c r="E4303" s="21">
        <v>260.0</v>
      </c>
      <c r="F4303" s="22">
        <v>0.0</v>
      </c>
      <c r="G4303" s="22">
        <v>0.0</v>
      </c>
      <c r="H4303" s="22">
        <v>0.0</v>
      </c>
      <c r="I4303" s="22">
        <v>0.0</v>
      </c>
      <c r="J4303" s="22">
        <v>36.95</v>
      </c>
      <c r="K4303" s="22">
        <v>0.0</v>
      </c>
      <c r="L4303" s="22">
        <v>36.95</v>
      </c>
      <c r="M4303" s="22">
        <v>36.95</v>
      </c>
      <c r="N4303" s="22">
        <v>0.0</v>
      </c>
      <c r="O4303" s="17">
        <v>0.0</v>
      </c>
      <c r="P4303" s="18">
        <f t="shared" si="1"/>
        <v>36.95</v>
      </c>
    </row>
    <row r="4304" ht="15.75" customHeight="1">
      <c r="A4304" s="13" t="s">
        <v>247</v>
      </c>
      <c r="B4304" s="13" t="s">
        <v>99</v>
      </c>
      <c r="C4304" s="14" t="s">
        <v>125</v>
      </c>
      <c r="D4304" s="14" t="str">
        <f>VLOOKUP(C4304,'State Key'!$A$2:$B$210,2,False)</f>
        <v>Karnataka</v>
      </c>
      <c r="E4304" s="15">
        <v>600.0</v>
      </c>
      <c r="F4304" s="16">
        <v>0.0</v>
      </c>
      <c r="G4304" s="16">
        <v>0.0</v>
      </c>
      <c r="H4304" s="16">
        <v>0.0</v>
      </c>
      <c r="I4304" s="16">
        <v>0.0</v>
      </c>
      <c r="J4304" s="16">
        <v>139.69</v>
      </c>
      <c r="K4304" s="16">
        <v>0.0</v>
      </c>
      <c r="L4304" s="16">
        <v>139.69</v>
      </c>
      <c r="M4304" s="16">
        <v>126.48</v>
      </c>
      <c r="N4304" s="16">
        <v>13.51</v>
      </c>
      <c r="O4304" s="17">
        <v>3.2</v>
      </c>
      <c r="P4304" s="18">
        <f t="shared" si="1"/>
        <v>139.69</v>
      </c>
    </row>
    <row r="4305" ht="15.75" customHeight="1">
      <c r="A4305" s="19" t="s">
        <v>247</v>
      </c>
      <c r="B4305" s="19" t="s">
        <v>99</v>
      </c>
      <c r="C4305" s="20" t="s">
        <v>126</v>
      </c>
      <c r="D4305" s="14" t="str">
        <f>VLOOKUP(C4305,'State Key'!$A$2:$B$210,2,False)</f>
        <v>Tamil Nadu</v>
      </c>
      <c r="E4305" s="21">
        <v>300.0</v>
      </c>
      <c r="F4305" s="22">
        <v>0.0</v>
      </c>
      <c r="G4305" s="22">
        <v>0.0</v>
      </c>
      <c r="H4305" s="22">
        <v>0.0</v>
      </c>
      <c r="I4305" s="22">
        <v>0.0</v>
      </c>
      <c r="J4305" s="22">
        <v>0.0</v>
      </c>
      <c r="K4305" s="22">
        <v>0.0</v>
      </c>
      <c r="L4305" s="22">
        <v>0.0</v>
      </c>
      <c r="M4305" s="22">
        <v>0.0</v>
      </c>
      <c r="N4305" s="22">
        <v>0.0</v>
      </c>
      <c r="O4305" s="19" t="s">
        <v>58</v>
      </c>
      <c r="P4305" s="18">
        <f t="shared" si="1"/>
        <v>0</v>
      </c>
    </row>
    <row r="4306" ht="15.75" customHeight="1">
      <c r="A4306" s="13" t="s">
        <v>247</v>
      </c>
      <c r="B4306" s="13" t="s">
        <v>99</v>
      </c>
      <c r="C4306" s="14" t="s">
        <v>127</v>
      </c>
      <c r="D4306" s="14" t="str">
        <f>VLOOKUP(C4306,'State Key'!$A$2:$B$210,2,False)</f>
        <v>Tamil Nadu</v>
      </c>
      <c r="E4306" s="15">
        <v>525.0</v>
      </c>
      <c r="F4306" s="16">
        <v>0.0</v>
      </c>
      <c r="G4306" s="16">
        <v>0.0</v>
      </c>
      <c r="H4306" s="16">
        <v>0.0</v>
      </c>
      <c r="I4306" s="16">
        <v>0.0</v>
      </c>
      <c r="J4306" s="16">
        <v>73.0</v>
      </c>
      <c r="K4306" s="16">
        <v>0.0</v>
      </c>
      <c r="L4306" s="16">
        <v>73.0</v>
      </c>
      <c r="M4306" s="16">
        <v>146.8</v>
      </c>
      <c r="N4306" s="16">
        <v>27.85</v>
      </c>
      <c r="O4306" s="17">
        <v>5.7</v>
      </c>
      <c r="P4306" s="18">
        <f t="shared" si="1"/>
        <v>73</v>
      </c>
    </row>
    <row r="4307" ht="15.75" customHeight="1">
      <c r="A4307" s="19" t="s">
        <v>247</v>
      </c>
      <c r="B4307" s="19" t="s">
        <v>99</v>
      </c>
      <c r="C4307" s="20" t="s">
        <v>128</v>
      </c>
      <c r="D4307" s="14" t="str">
        <f>VLOOKUP(C4307,'State Key'!$A$2:$B$210,2,False)</f>
        <v>Tamil Nadu</v>
      </c>
      <c r="E4307" s="21">
        <v>1050.0</v>
      </c>
      <c r="F4307" s="22">
        <v>431.157</v>
      </c>
      <c r="G4307" s="22">
        <v>0.0</v>
      </c>
      <c r="H4307" s="22">
        <v>0.0</v>
      </c>
      <c r="I4307" s="22">
        <v>0.0</v>
      </c>
      <c r="J4307" s="22">
        <v>0.0</v>
      </c>
      <c r="K4307" s="22">
        <v>0.0</v>
      </c>
      <c r="L4307" s="22">
        <v>431.157</v>
      </c>
      <c r="M4307" s="22">
        <v>432.197</v>
      </c>
      <c r="N4307" s="22">
        <v>329.04</v>
      </c>
      <c r="O4307" s="24">
        <v>22.8</v>
      </c>
      <c r="P4307" s="18">
        <f t="shared" si="1"/>
        <v>431.157</v>
      </c>
    </row>
    <row r="4308" ht="15.75" customHeight="1">
      <c r="A4308" s="13" t="s">
        <v>247</v>
      </c>
      <c r="B4308" s="13" t="s">
        <v>99</v>
      </c>
      <c r="C4308" s="14" t="s">
        <v>130</v>
      </c>
      <c r="D4308" s="14" t="str">
        <f>VLOOKUP(C4308,'State Key'!$A$2:$B$210,2,False)</f>
        <v>Tamil Nadu</v>
      </c>
      <c r="E4308" s="15">
        <v>1500.0</v>
      </c>
      <c r="F4308" s="16">
        <v>749.339</v>
      </c>
      <c r="G4308" s="16">
        <v>76.7</v>
      </c>
      <c r="H4308" s="16">
        <v>0.0</v>
      </c>
      <c r="I4308" s="16">
        <v>0.0</v>
      </c>
      <c r="J4308" s="16">
        <v>0.0</v>
      </c>
      <c r="K4308" s="16">
        <v>0.0</v>
      </c>
      <c r="L4308" s="16">
        <v>826.039</v>
      </c>
      <c r="M4308" s="16">
        <v>691.376</v>
      </c>
      <c r="N4308" s="16">
        <v>573.99</v>
      </c>
      <c r="O4308" s="24">
        <v>24.9</v>
      </c>
      <c r="P4308" s="18">
        <f t="shared" si="1"/>
        <v>826.039</v>
      </c>
    </row>
    <row r="4309" ht="15.75" customHeight="1">
      <c r="A4309" s="19" t="s">
        <v>247</v>
      </c>
      <c r="B4309" s="19" t="s">
        <v>99</v>
      </c>
      <c r="C4309" s="20" t="s">
        <v>131</v>
      </c>
      <c r="D4309" s="14" t="str">
        <f>VLOOKUP(C4309,'State Key'!$A$2:$B$210,2,False)</f>
        <v>Andhra Pradesh</v>
      </c>
      <c r="E4309" s="21">
        <v>1040.0</v>
      </c>
      <c r="F4309" s="22">
        <v>207.76866</v>
      </c>
      <c r="G4309" s="22">
        <v>0.0</v>
      </c>
      <c r="H4309" s="22">
        <v>0.0</v>
      </c>
      <c r="I4309" s="22">
        <v>0.0</v>
      </c>
      <c r="J4309" s="22">
        <v>0.0</v>
      </c>
      <c r="K4309" s="22">
        <v>0.0</v>
      </c>
      <c r="L4309" s="22">
        <v>207.76866</v>
      </c>
      <c r="M4309" s="22">
        <v>261.967</v>
      </c>
      <c r="N4309" s="22">
        <v>79.1813</v>
      </c>
      <c r="O4309" s="23">
        <v>9.1</v>
      </c>
      <c r="P4309" s="18">
        <f t="shared" si="1"/>
        <v>207.76866</v>
      </c>
    </row>
    <row r="4310" ht="15.75" customHeight="1">
      <c r="A4310" s="13" t="s">
        <v>247</v>
      </c>
      <c r="B4310" s="13" t="s">
        <v>99</v>
      </c>
      <c r="C4310" s="14" t="s">
        <v>249</v>
      </c>
      <c r="D4310" s="14" t="str">
        <f>VLOOKUP(C4310,'State Key'!$A$2:$B$210,2,False)</f>
        <v>Telangana</v>
      </c>
      <c r="E4310" s="15">
        <v>800.0</v>
      </c>
      <c r="F4310" s="16">
        <v>0.0</v>
      </c>
      <c r="G4310" s="16">
        <v>149.288</v>
      </c>
      <c r="H4310" s="16">
        <v>0.0</v>
      </c>
      <c r="I4310" s="16">
        <v>0.0</v>
      </c>
      <c r="J4310" s="16">
        <v>0.0</v>
      </c>
      <c r="K4310" s="16">
        <v>0.0</v>
      </c>
      <c r="L4310" s="16">
        <v>149.288</v>
      </c>
      <c r="M4310" s="16">
        <v>30.27</v>
      </c>
      <c r="N4310" s="16">
        <v>329.54</v>
      </c>
      <c r="O4310" s="24">
        <v>326.6</v>
      </c>
      <c r="P4310" s="18">
        <f t="shared" si="1"/>
        <v>149.288</v>
      </c>
    </row>
    <row r="4311" ht="15.75" customHeight="1">
      <c r="A4311" s="19" t="s">
        <v>247</v>
      </c>
      <c r="B4311" s="19" t="s">
        <v>99</v>
      </c>
      <c r="C4311" s="20" t="s">
        <v>132</v>
      </c>
      <c r="D4311" s="14" t="str">
        <f>VLOOKUP(C4311,'State Key'!$A$2:$B$210,2,False)</f>
        <v>Karnataka</v>
      </c>
      <c r="E4311" s="21">
        <v>1600.0</v>
      </c>
      <c r="F4311" s="22">
        <v>0.0</v>
      </c>
      <c r="G4311" s="22">
        <v>469.369</v>
      </c>
      <c r="H4311" s="22">
        <v>0.0</v>
      </c>
      <c r="I4311" s="22">
        <v>0.0</v>
      </c>
      <c r="J4311" s="22">
        <v>0.0</v>
      </c>
      <c r="K4311" s="22">
        <v>0.0</v>
      </c>
      <c r="L4311" s="22">
        <v>469.369</v>
      </c>
      <c r="M4311" s="22">
        <v>450.891</v>
      </c>
      <c r="N4311" s="22">
        <v>268.395</v>
      </c>
      <c r="O4311" s="24">
        <v>17.9</v>
      </c>
      <c r="P4311" s="18">
        <f t="shared" si="1"/>
        <v>469.369</v>
      </c>
    </row>
    <row r="4312" ht="15.75" customHeight="1">
      <c r="A4312" s="13" t="s">
        <v>247</v>
      </c>
      <c r="B4312" s="13" t="s">
        <v>133</v>
      </c>
      <c r="C4312" s="14" t="s">
        <v>211</v>
      </c>
      <c r="D4312" s="14" t="str">
        <f>VLOOKUP(C4312,'State Key'!$A$2:$B$210,2,False)</f>
        <v>Gujarat</v>
      </c>
      <c r="E4312" s="15">
        <v>2640.0</v>
      </c>
      <c r="F4312" s="16">
        <v>0.0</v>
      </c>
      <c r="G4312" s="16">
        <v>0.0</v>
      </c>
      <c r="H4312" s="16">
        <v>0.0</v>
      </c>
      <c r="I4312" s="16">
        <v>0.0</v>
      </c>
      <c r="J4312" s="16">
        <v>812.179</v>
      </c>
      <c r="K4312" s="16">
        <v>0.0</v>
      </c>
      <c r="L4312" s="16">
        <v>812.179</v>
      </c>
      <c r="M4312" s="16">
        <v>697.113</v>
      </c>
      <c r="N4312" s="16">
        <v>199.948</v>
      </c>
      <c r="O4312" s="23">
        <v>8.6</v>
      </c>
      <c r="P4312" s="18">
        <f t="shared" si="1"/>
        <v>812.179</v>
      </c>
    </row>
    <row r="4313" ht="15.75" customHeight="1">
      <c r="A4313" s="19" t="s">
        <v>247</v>
      </c>
      <c r="B4313" s="19" t="s">
        <v>133</v>
      </c>
      <c r="C4313" s="20" t="s">
        <v>212</v>
      </c>
      <c r="D4313" s="14" t="str">
        <f>VLOOKUP(C4313,'State Key'!$A$2:$B$210,2,False)</f>
        <v>Gujarat</v>
      </c>
      <c r="E4313" s="21">
        <v>1980.0</v>
      </c>
      <c r="F4313" s="22">
        <v>0.0</v>
      </c>
      <c r="G4313" s="22">
        <v>0.0</v>
      </c>
      <c r="H4313" s="22">
        <v>0.0</v>
      </c>
      <c r="I4313" s="22">
        <v>0.0</v>
      </c>
      <c r="J4313" s="22">
        <v>660.805</v>
      </c>
      <c r="K4313" s="22">
        <v>0.0</v>
      </c>
      <c r="L4313" s="22">
        <v>660.805</v>
      </c>
      <c r="M4313" s="22">
        <v>605.272</v>
      </c>
      <c r="N4313" s="22">
        <v>110.588</v>
      </c>
      <c r="O4313" s="17">
        <v>5.5</v>
      </c>
      <c r="P4313" s="18">
        <f t="shared" si="1"/>
        <v>660.805</v>
      </c>
    </row>
    <row r="4314" ht="15.75" customHeight="1">
      <c r="A4314" s="13" t="s">
        <v>247</v>
      </c>
      <c r="B4314" s="13" t="s">
        <v>133</v>
      </c>
      <c r="C4314" s="14" t="s">
        <v>213</v>
      </c>
      <c r="D4314" s="14" t="str">
        <f>VLOOKUP(C4314,'State Key'!$A$2:$B$210,2,False)</f>
        <v>Chhattisgarh</v>
      </c>
      <c r="E4314" s="15">
        <v>600.0</v>
      </c>
      <c r="F4314" s="16">
        <v>322.796</v>
      </c>
      <c r="G4314" s="16">
        <v>0.0</v>
      </c>
      <c r="H4314" s="16">
        <v>0.0</v>
      </c>
      <c r="I4314" s="16">
        <v>0.0</v>
      </c>
      <c r="J4314" s="16">
        <v>0.0</v>
      </c>
      <c r="K4314" s="16">
        <v>0.0</v>
      </c>
      <c r="L4314" s="16">
        <v>322.796</v>
      </c>
      <c r="M4314" s="16">
        <v>302.211</v>
      </c>
      <c r="N4314" s="16">
        <v>156.58</v>
      </c>
      <c r="O4314" s="24">
        <v>15.5</v>
      </c>
      <c r="P4314" s="18">
        <f t="shared" si="1"/>
        <v>322.796</v>
      </c>
    </row>
    <row r="4315" ht="15.75" customHeight="1">
      <c r="A4315" s="19" t="s">
        <v>247</v>
      </c>
      <c r="B4315" s="19" t="s">
        <v>133</v>
      </c>
      <c r="C4315" s="20" t="s">
        <v>214</v>
      </c>
      <c r="D4315" s="14" t="str">
        <f>VLOOKUP(C4315,'State Key'!$A$2:$B$210,2,False)</f>
        <v>Chhattisgarh</v>
      </c>
      <c r="E4315" s="21">
        <v>1370.0</v>
      </c>
      <c r="F4315" s="22">
        <v>432.759</v>
      </c>
      <c r="G4315" s="22">
        <v>0.0</v>
      </c>
      <c r="H4315" s="22">
        <v>0.0</v>
      </c>
      <c r="I4315" s="22">
        <v>0.0</v>
      </c>
      <c r="J4315" s="22">
        <v>0.0</v>
      </c>
      <c r="K4315" s="22">
        <v>64.646</v>
      </c>
      <c r="L4315" s="22">
        <v>497.405</v>
      </c>
      <c r="M4315" s="22">
        <v>425.181</v>
      </c>
      <c r="N4315" s="22">
        <v>72.22</v>
      </c>
      <c r="O4315" s="17">
        <v>5.1</v>
      </c>
      <c r="P4315" s="18">
        <f t="shared" si="1"/>
        <v>497.405</v>
      </c>
    </row>
    <row r="4316" ht="15.75" customHeight="1">
      <c r="A4316" s="13" t="s">
        <v>247</v>
      </c>
      <c r="B4316" s="13" t="s">
        <v>133</v>
      </c>
      <c r="C4316" s="14" t="s">
        <v>215</v>
      </c>
      <c r="D4316" s="14" t="str">
        <f>VLOOKUP(C4316,'State Key'!$A$2:$B$210,2,False)</f>
        <v>Maharashtra</v>
      </c>
      <c r="E4316" s="15">
        <v>3300.0</v>
      </c>
      <c r="F4316" s="16">
        <v>1162.714</v>
      </c>
      <c r="G4316" s="16">
        <v>0.0</v>
      </c>
      <c r="H4316" s="16">
        <v>0.0</v>
      </c>
      <c r="I4316" s="16">
        <v>0.0</v>
      </c>
      <c r="J4316" s="16">
        <v>0.0</v>
      </c>
      <c r="K4316" s="16">
        <v>0.0</v>
      </c>
      <c r="L4316" s="16">
        <v>1162.714</v>
      </c>
      <c r="M4316" s="16">
        <v>1180.399</v>
      </c>
      <c r="N4316" s="16">
        <v>235.89</v>
      </c>
      <c r="O4316" s="17">
        <v>6.0</v>
      </c>
      <c r="P4316" s="18">
        <f t="shared" si="1"/>
        <v>1162.714</v>
      </c>
    </row>
    <row r="4317" ht="15.75" customHeight="1">
      <c r="A4317" s="19" t="s">
        <v>247</v>
      </c>
      <c r="B4317" s="19" t="s">
        <v>133</v>
      </c>
      <c r="C4317" s="20" t="s">
        <v>134</v>
      </c>
      <c r="D4317" s="14" t="str">
        <f>VLOOKUP(C4317,'State Key'!$A$2:$B$210,2,False)</f>
        <v>Chhattisgarh</v>
      </c>
      <c r="E4317" s="21">
        <v>1800.0</v>
      </c>
      <c r="F4317" s="22">
        <v>734.221</v>
      </c>
      <c r="G4317" s="22">
        <v>0.0</v>
      </c>
      <c r="H4317" s="22">
        <v>0.0</v>
      </c>
      <c r="I4317" s="22">
        <v>0.0</v>
      </c>
      <c r="J4317" s="22">
        <v>0.0</v>
      </c>
      <c r="K4317" s="22">
        <v>0.0</v>
      </c>
      <c r="L4317" s="22">
        <v>734.221</v>
      </c>
      <c r="M4317" s="22">
        <v>671.189</v>
      </c>
      <c r="N4317" s="22">
        <v>704.41</v>
      </c>
      <c r="O4317" s="24">
        <v>31.5</v>
      </c>
      <c r="P4317" s="18">
        <f t="shared" si="1"/>
        <v>734.221</v>
      </c>
    </row>
    <row r="4318" ht="15.75" customHeight="1">
      <c r="A4318" s="13" t="s">
        <v>247</v>
      </c>
      <c r="B4318" s="13" t="s">
        <v>133</v>
      </c>
      <c r="C4318" s="14" t="s">
        <v>135</v>
      </c>
      <c r="D4318" s="14" t="str">
        <f>VLOOKUP(C4318,'State Key'!$A$2:$B$210,2,False)</f>
        <v>Madhya Pradesh</v>
      </c>
      <c r="E4318" s="15">
        <v>210.0</v>
      </c>
      <c r="F4318" s="16">
        <v>88.046</v>
      </c>
      <c r="G4318" s="16">
        <v>0.0</v>
      </c>
      <c r="H4318" s="16">
        <v>0.0</v>
      </c>
      <c r="I4318" s="16">
        <v>0.0</v>
      </c>
      <c r="J4318" s="16">
        <v>0.0</v>
      </c>
      <c r="K4318" s="16">
        <v>0.0</v>
      </c>
      <c r="L4318" s="16">
        <v>88.046</v>
      </c>
      <c r="M4318" s="16">
        <v>89.019</v>
      </c>
      <c r="N4318" s="16">
        <v>99.405</v>
      </c>
      <c r="O4318" s="24">
        <v>33.5</v>
      </c>
      <c r="P4318" s="18">
        <f t="shared" si="1"/>
        <v>88.046</v>
      </c>
    </row>
    <row r="4319" ht="15.75" customHeight="1">
      <c r="A4319" s="19" t="s">
        <v>247</v>
      </c>
      <c r="B4319" s="19" t="s">
        <v>133</v>
      </c>
      <c r="C4319" s="20" t="s">
        <v>136</v>
      </c>
      <c r="D4319" s="14" t="str">
        <f>VLOOKUP(C4319,'State Key'!$A$2:$B$210,2,False)</f>
        <v>Maharashtra</v>
      </c>
      <c r="E4319" s="21">
        <v>1350.0</v>
      </c>
      <c r="F4319" s="22">
        <v>570.921</v>
      </c>
      <c r="G4319" s="22">
        <v>0.0</v>
      </c>
      <c r="H4319" s="22">
        <v>0.0</v>
      </c>
      <c r="I4319" s="22">
        <v>0.0</v>
      </c>
      <c r="J4319" s="22">
        <v>0.0</v>
      </c>
      <c r="K4319" s="22">
        <v>0.0</v>
      </c>
      <c r="L4319" s="22">
        <v>570.921</v>
      </c>
      <c r="M4319" s="22">
        <v>581.774</v>
      </c>
      <c r="N4319" s="22">
        <v>228.14</v>
      </c>
      <c r="O4319" s="23">
        <v>11.8</v>
      </c>
      <c r="P4319" s="18">
        <f t="shared" si="1"/>
        <v>570.921</v>
      </c>
    </row>
    <row r="4320" ht="15.75" customHeight="1">
      <c r="A4320" s="13" t="s">
        <v>247</v>
      </c>
      <c r="B4320" s="13" t="s">
        <v>133</v>
      </c>
      <c r="C4320" s="14" t="s">
        <v>137</v>
      </c>
      <c r="D4320" s="14" t="str">
        <f>VLOOKUP(C4320,'State Key'!$A$2:$B$210,2,False)</f>
        <v>Madhya Pradesh</v>
      </c>
      <c r="E4320" s="15">
        <v>1250.0</v>
      </c>
      <c r="F4320" s="16">
        <v>328.82</v>
      </c>
      <c r="G4320" s="16">
        <v>0.0</v>
      </c>
      <c r="H4320" s="16">
        <v>0.0</v>
      </c>
      <c r="I4320" s="16">
        <v>211.99</v>
      </c>
      <c r="J4320" s="16">
        <v>0.0</v>
      </c>
      <c r="K4320" s="16">
        <v>0.0</v>
      </c>
      <c r="L4320" s="16">
        <v>540.81</v>
      </c>
      <c r="M4320" s="16">
        <v>511.19</v>
      </c>
      <c r="N4320" s="16">
        <v>544.88</v>
      </c>
      <c r="O4320" s="24">
        <v>32.0</v>
      </c>
      <c r="P4320" s="18">
        <f t="shared" si="1"/>
        <v>540.81</v>
      </c>
    </row>
    <row r="4321" ht="15.75" customHeight="1">
      <c r="A4321" s="19" t="s">
        <v>247</v>
      </c>
      <c r="B4321" s="19" t="s">
        <v>133</v>
      </c>
      <c r="C4321" s="20" t="s">
        <v>139</v>
      </c>
      <c r="D4321" s="14" t="str">
        <f>VLOOKUP(C4321,'State Key'!$A$2:$B$210,2,False)</f>
        <v>Chhattisgarh</v>
      </c>
      <c r="E4321" s="21">
        <v>600.0</v>
      </c>
      <c r="F4321" s="22">
        <v>140.65</v>
      </c>
      <c r="G4321" s="22">
        <v>0.0</v>
      </c>
      <c r="H4321" s="22">
        <v>0.0</v>
      </c>
      <c r="I4321" s="22">
        <v>53.87</v>
      </c>
      <c r="J4321" s="22">
        <v>0.0</v>
      </c>
      <c r="K4321" s="22">
        <v>0.0</v>
      </c>
      <c r="L4321" s="22">
        <v>194.52</v>
      </c>
      <c r="M4321" s="22">
        <v>199.75</v>
      </c>
      <c r="N4321" s="22">
        <v>53.85</v>
      </c>
      <c r="O4321" s="23">
        <v>8.1</v>
      </c>
      <c r="P4321" s="18">
        <f t="shared" si="1"/>
        <v>194.52</v>
      </c>
    </row>
    <row r="4322" ht="15.75" customHeight="1">
      <c r="A4322" s="13" t="s">
        <v>247</v>
      </c>
      <c r="B4322" s="13" t="s">
        <v>133</v>
      </c>
      <c r="C4322" s="14" t="s">
        <v>140</v>
      </c>
      <c r="D4322" s="14" t="str">
        <f>VLOOKUP(C4322,'State Key'!$A$2:$B$210,2,False)</f>
        <v>Chhattisgarh</v>
      </c>
      <c r="E4322" s="15">
        <v>300.0</v>
      </c>
      <c r="F4322" s="16">
        <v>115.519</v>
      </c>
      <c r="G4322" s="16">
        <v>0.0</v>
      </c>
      <c r="H4322" s="16">
        <v>0.0</v>
      </c>
      <c r="I4322" s="16">
        <v>16.011</v>
      </c>
      <c r="J4322" s="16">
        <v>0.0</v>
      </c>
      <c r="K4322" s="16">
        <v>0.0</v>
      </c>
      <c r="L4322" s="16">
        <v>131.53</v>
      </c>
      <c r="M4322" s="16">
        <v>119.613</v>
      </c>
      <c r="N4322" s="16">
        <v>177.02</v>
      </c>
      <c r="O4322" s="24">
        <v>44.4</v>
      </c>
      <c r="P4322" s="18">
        <f t="shared" si="1"/>
        <v>131.53</v>
      </c>
    </row>
    <row r="4323" ht="15.75" customHeight="1">
      <c r="A4323" s="19" t="s">
        <v>247</v>
      </c>
      <c r="B4323" s="19" t="s">
        <v>133</v>
      </c>
      <c r="C4323" s="20" t="s">
        <v>141</v>
      </c>
      <c r="D4323" s="14" t="str">
        <f>VLOOKUP(C4323,'State Key'!$A$2:$B$210,2,False)</f>
        <v>Chhattisgarh</v>
      </c>
      <c r="E4323" s="21">
        <v>1200.0</v>
      </c>
      <c r="F4323" s="22">
        <v>582.781</v>
      </c>
      <c r="G4323" s="22">
        <v>0.0</v>
      </c>
      <c r="H4323" s="22">
        <v>0.0</v>
      </c>
      <c r="I4323" s="22">
        <v>0.0</v>
      </c>
      <c r="J4323" s="22">
        <v>0.0</v>
      </c>
      <c r="K4323" s="22">
        <v>0.0</v>
      </c>
      <c r="L4323" s="22">
        <v>582.781</v>
      </c>
      <c r="M4323" s="22">
        <v>509.062</v>
      </c>
      <c r="N4323" s="22">
        <v>575.03</v>
      </c>
      <c r="O4323" s="24">
        <v>33.9</v>
      </c>
      <c r="P4323" s="18">
        <f t="shared" si="1"/>
        <v>582.781</v>
      </c>
    </row>
    <row r="4324" ht="15.75" customHeight="1">
      <c r="A4324" s="13" t="s">
        <v>247</v>
      </c>
      <c r="B4324" s="13" t="s">
        <v>133</v>
      </c>
      <c r="C4324" s="14" t="s">
        <v>142</v>
      </c>
      <c r="D4324" s="14" t="str">
        <f>VLOOKUP(C4324,'State Key'!$A$2:$B$210,2,False)</f>
        <v>Maharashtra</v>
      </c>
      <c r="E4324" s="15">
        <v>270.0</v>
      </c>
      <c r="F4324" s="16">
        <v>90.342</v>
      </c>
      <c r="G4324" s="16">
        <v>0.0</v>
      </c>
      <c r="H4324" s="16">
        <v>0.0</v>
      </c>
      <c r="I4324" s="16">
        <v>26.788</v>
      </c>
      <c r="J4324" s="16">
        <v>0.0</v>
      </c>
      <c r="K4324" s="16">
        <v>0.0</v>
      </c>
      <c r="L4324" s="16">
        <v>117.13</v>
      </c>
      <c r="M4324" s="16">
        <v>128.491</v>
      </c>
      <c r="N4324" s="16">
        <v>115.38</v>
      </c>
      <c r="O4324" s="24">
        <v>26.9</v>
      </c>
      <c r="P4324" s="18">
        <f t="shared" si="1"/>
        <v>117.13</v>
      </c>
    </row>
    <row r="4325" ht="15.75" customHeight="1">
      <c r="A4325" s="19" t="s">
        <v>247</v>
      </c>
      <c r="B4325" s="19" t="s">
        <v>133</v>
      </c>
      <c r="C4325" s="20" t="s">
        <v>143</v>
      </c>
      <c r="D4325" s="14" t="str">
        <f>VLOOKUP(C4325,'State Key'!$A$2:$B$210,2,False)</f>
        <v>Chhattisgarh</v>
      </c>
      <c r="E4325" s="21">
        <v>500.0</v>
      </c>
      <c r="F4325" s="22">
        <v>320.599</v>
      </c>
      <c r="G4325" s="22">
        <v>0.0</v>
      </c>
      <c r="H4325" s="22">
        <v>0.0</v>
      </c>
      <c r="I4325" s="22">
        <v>0.0</v>
      </c>
      <c r="J4325" s="22">
        <v>0.0</v>
      </c>
      <c r="K4325" s="22">
        <v>0.0</v>
      </c>
      <c r="L4325" s="22">
        <v>320.599</v>
      </c>
      <c r="M4325" s="22">
        <v>240.125</v>
      </c>
      <c r="N4325" s="22">
        <v>254.64</v>
      </c>
      <c r="O4325" s="24">
        <v>31.8</v>
      </c>
      <c r="P4325" s="18">
        <f t="shared" si="1"/>
        <v>320.599</v>
      </c>
    </row>
    <row r="4326" ht="15.75" customHeight="1">
      <c r="A4326" s="13" t="s">
        <v>247</v>
      </c>
      <c r="B4326" s="13" t="s">
        <v>133</v>
      </c>
      <c r="C4326" s="14" t="s">
        <v>144</v>
      </c>
      <c r="D4326" s="14" t="str">
        <f>VLOOKUP(C4326,'State Key'!$A$2:$B$210,2,False)</f>
        <v>Maharashtra</v>
      </c>
      <c r="E4326" s="15">
        <v>1870.0</v>
      </c>
      <c r="F4326" s="16">
        <v>485.51</v>
      </c>
      <c r="G4326" s="16">
        <v>80.2</v>
      </c>
      <c r="H4326" s="16">
        <v>0.0</v>
      </c>
      <c r="I4326" s="16">
        <v>0.0</v>
      </c>
      <c r="J4326" s="16">
        <v>0.0</v>
      </c>
      <c r="K4326" s="16">
        <v>0.0</v>
      </c>
      <c r="L4326" s="16">
        <v>565.71</v>
      </c>
      <c r="M4326" s="16">
        <v>721.996</v>
      </c>
      <c r="N4326" s="16">
        <v>432.498</v>
      </c>
      <c r="O4326" s="24">
        <v>18.0</v>
      </c>
      <c r="P4326" s="18">
        <f t="shared" si="1"/>
        <v>565.71</v>
      </c>
    </row>
    <row r="4327" ht="15.75" customHeight="1">
      <c r="A4327" s="19" t="s">
        <v>247</v>
      </c>
      <c r="B4327" s="19" t="s">
        <v>133</v>
      </c>
      <c r="C4327" s="20" t="s">
        <v>145</v>
      </c>
      <c r="D4327" s="14" t="str">
        <f>VLOOKUP(C4327,'State Key'!$A$2:$B$210,2,False)</f>
        <v>Madhya Pradesh</v>
      </c>
      <c r="E4327" s="21">
        <v>500.0</v>
      </c>
      <c r="F4327" s="22">
        <v>70.66</v>
      </c>
      <c r="G4327" s="22">
        <v>0.0</v>
      </c>
      <c r="H4327" s="22">
        <v>0.0</v>
      </c>
      <c r="I4327" s="22">
        <v>23.29</v>
      </c>
      <c r="J4327" s="22">
        <v>0.0</v>
      </c>
      <c r="K4327" s="22">
        <v>0.085</v>
      </c>
      <c r="L4327" s="22">
        <v>94.035</v>
      </c>
      <c r="M4327" s="22">
        <v>92.14</v>
      </c>
      <c r="N4327" s="22">
        <v>206.31</v>
      </c>
      <c r="O4327" s="24">
        <v>67.2</v>
      </c>
      <c r="P4327" s="18">
        <f t="shared" si="1"/>
        <v>94.035</v>
      </c>
    </row>
    <row r="4328" ht="15.75" customHeight="1">
      <c r="A4328" s="13" t="s">
        <v>247</v>
      </c>
      <c r="B4328" s="13" t="s">
        <v>133</v>
      </c>
      <c r="C4328" s="14" t="s">
        <v>146</v>
      </c>
      <c r="D4328" s="14" t="str">
        <f>VLOOKUP(C4328,'State Key'!$A$2:$B$210,2,False)</f>
        <v>Chhattisgarh</v>
      </c>
      <c r="E4328" s="15">
        <v>600.0</v>
      </c>
      <c r="F4328" s="16">
        <v>5.65</v>
      </c>
      <c r="G4328" s="16">
        <v>0.0</v>
      </c>
      <c r="H4328" s="16">
        <v>0.0</v>
      </c>
      <c r="I4328" s="16">
        <v>218.066</v>
      </c>
      <c r="J4328" s="16">
        <v>0.0</v>
      </c>
      <c r="K4328" s="16">
        <v>46.574</v>
      </c>
      <c r="L4328" s="16">
        <v>270.29</v>
      </c>
      <c r="M4328" s="16">
        <v>184.583</v>
      </c>
      <c r="N4328" s="16">
        <v>249.95</v>
      </c>
      <c r="O4328" s="24">
        <v>40.6</v>
      </c>
      <c r="P4328" s="18">
        <f t="shared" si="1"/>
        <v>270.29</v>
      </c>
    </row>
    <row r="4329" ht="15.75" customHeight="1">
      <c r="A4329" s="19" t="s">
        <v>247</v>
      </c>
      <c r="B4329" s="19" t="s">
        <v>133</v>
      </c>
      <c r="C4329" s="20" t="s">
        <v>147</v>
      </c>
      <c r="D4329" s="14" t="str">
        <f>VLOOKUP(C4329,'State Key'!$A$2:$B$210,2,False)</f>
        <v>Maharashtra</v>
      </c>
      <c r="E4329" s="21">
        <v>600.0</v>
      </c>
      <c r="F4329" s="22">
        <v>0.0</v>
      </c>
      <c r="G4329" s="22">
        <v>0.0</v>
      </c>
      <c r="H4329" s="22">
        <v>0.0</v>
      </c>
      <c r="I4329" s="22">
        <v>0.0</v>
      </c>
      <c r="J4329" s="22">
        <v>0.0</v>
      </c>
      <c r="K4329" s="22">
        <v>0.0</v>
      </c>
      <c r="L4329" s="22">
        <v>0.0</v>
      </c>
      <c r="M4329" s="22">
        <v>0.0</v>
      </c>
      <c r="N4329" s="22">
        <v>0.0</v>
      </c>
      <c r="O4329" s="19" t="s">
        <v>58</v>
      </c>
      <c r="P4329" s="18">
        <f t="shared" si="1"/>
        <v>0</v>
      </c>
    </row>
    <row r="4330" ht="15.75" customHeight="1">
      <c r="A4330" s="13" t="s">
        <v>247</v>
      </c>
      <c r="B4330" s="13" t="s">
        <v>133</v>
      </c>
      <c r="C4330" s="14" t="s">
        <v>148</v>
      </c>
      <c r="D4330" s="14" t="str">
        <f>VLOOKUP(C4330,'State Key'!$A$2:$B$210,2,False)</f>
        <v>Chhattisgarh</v>
      </c>
      <c r="E4330" s="15">
        <v>30.0</v>
      </c>
      <c r="F4330" s="16">
        <v>14.3554</v>
      </c>
      <c r="G4330" s="16">
        <v>0.0</v>
      </c>
      <c r="H4330" s="16">
        <v>0.0</v>
      </c>
      <c r="I4330" s="16">
        <v>0.0</v>
      </c>
      <c r="J4330" s="16">
        <v>0.0</v>
      </c>
      <c r="K4330" s="16">
        <v>49.649</v>
      </c>
      <c r="L4330" s="16">
        <v>64.0044</v>
      </c>
      <c r="M4330" s="16">
        <v>36.332</v>
      </c>
      <c r="N4330" s="16">
        <v>34.85</v>
      </c>
      <c r="O4330" s="24">
        <v>28.8</v>
      </c>
      <c r="P4330" s="18">
        <f t="shared" si="1"/>
        <v>64.0044</v>
      </c>
    </row>
    <row r="4331" ht="15.75" customHeight="1">
      <c r="A4331" s="19" t="s">
        <v>247</v>
      </c>
      <c r="B4331" s="19" t="s">
        <v>133</v>
      </c>
      <c r="C4331" s="20" t="s">
        <v>149</v>
      </c>
      <c r="D4331" s="14" t="str">
        <f>VLOOKUP(C4331,'State Key'!$A$2:$B$210,2,False)</f>
        <v>Maharashtra</v>
      </c>
      <c r="E4331" s="21">
        <v>2920.0</v>
      </c>
      <c r="F4331" s="22">
        <v>701.31</v>
      </c>
      <c r="G4331" s="22">
        <v>224.9</v>
      </c>
      <c r="H4331" s="22">
        <v>0.0</v>
      </c>
      <c r="I4331" s="22">
        <v>0.0</v>
      </c>
      <c r="J4331" s="22">
        <v>35.127</v>
      </c>
      <c r="K4331" s="22">
        <v>0.0</v>
      </c>
      <c r="L4331" s="22">
        <v>961.337</v>
      </c>
      <c r="M4331" s="22">
        <v>1031.02</v>
      </c>
      <c r="N4331" s="22">
        <v>980.75</v>
      </c>
      <c r="O4331" s="24">
        <v>28.5</v>
      </c>
      <c r="P4331" s="18">
        <f t="shared" si="1"/>
        <v>961.337</v>
      </c>
    </row>
    <row r="4332" ht="15.75" customHeight="1">
      <c r="A4332" s="13" t="s">
        <v>247</v>
      </c>
      <c r="B4332" s="13" t="s">
        <v>133</v>
      </c>
      <c r="C4332" s="14" t="s">
        <v>150</v>
      </c>
      <c r="D4332" s="14" t="str">
        <f>VLOOKUP(C4332,'State Key'!$A$2:$B$210,2,False)</f>
        <v>Maharashtra</v>
      </c>
      <c r="E4332" s="15">
        <v>500.0</v>
      </c>
      <c r="F4332" s="16">
        <v>124.519</v>
      </c>
      <c r="G4332" s="16">
        <v>0.0</v>
      </c>
      <c r="H4332" s="16">
        <v>0.0</v>
      </c>
      <c r="I4332" s="16">
        <v>0.0</v>
      </c>
      <c r="J4332" s="16">
        <v>0.0</v>
      </c>
      <c r="K4332" s="16">
        <v>0.0</v>
      </c>
      <c r="L4332" s="16">
        <v>124.519</v>
      </c>
      <c r="M4332" s="16">
        <v>189.458</v>
      </c>
      <c r="N4332" s="16">
        <v>68.35</v>
      </c>
      <c r="O4332" s="23">
        <v>10.8</v>
      </c>
      <c r="P4332" s="18">
        <f t="shared" si="1"/>
        <v>124.519</v>
      </c>
    </row>
    <row r="4333" ht="15.75" customHeight="1">
      <c r="A4333" s="19" t="s">
        <v>247</v>
      </c>
      <c r="B4333" s="19" t="s">
        <v>133</v>
      </c>
      <c r="C4333" s="20" t="s">
        <v>151</v>
      </c>
      <c r="D4333" s="14" t="str">
        <f>VLOOKUP(C4333,'State Key'!$A$2:$B$210,2,False)</f>
        <v>Maharashtra</v>
      </c>
      <c r="E4333" s="21">
        <v>600.0</v>
      </c>
      <c r="F4333" s="22">
        <v>272.75</v>
      </c>
      <c r="G4333" s="22">
        <v>0.0</v>
      </c>
      <c r="H4333" s="22">
        <v>0.0</v>
      </c>
      <c r="I4333" s="22">
        <v>27.608</v>
      </c>
      <c r="J4333" s="22">
        <v>0.0</v>
      </c>
      <c r="K4333" s="22">
        <v>0.0</v>
      </c>
      <c r="L4333" s="22">
        <v>300.358</v>
      </c>
      <c r="M4333" s="22">
        <v>258.097</v>
      </c>
      <c r="N4333" s="22">
        <v>234.0</v>
      </c>
      <c r="O4333" s="24">
        <v>27.2</v>
      </c>
      <c r="P4333" s="18">
        <f t="shared" si="1"/>
        <v>300.358</v>
      </c>
    </row>
    <row r="4334" ht="15.75" customHeight="1">
      <c r="A4334" s="13" t="s">
        <v>247</v>
      </c>
      <c r="B4334" s="13" t="s">
        <v>133</v>
      </c>
      <c r="C4334" s="14" t="s">
        <v>152</v>
      </c>
      <c r="D4334" s="14" t="str">
        <f>VLOOKUP(C4334,'State Key'!$A$2:$B$210,2,False)</f>
        <v>Chhattisgarh</v>
      </c>
      <c r="E4334" s="15">
        <v>500.0</v>
      </c>
      <c r="F4334" s="16">
        <v>335.692</v>
      </c>
      <c r="G4334" s="16">
        <v>0.0</v>
      </c>
      <c r="H4334" s="16">
        <v>0.0</v>
      </c>
      <c r="I4334" s="16">
        <v>0.0</v>
      </c>
      <c r="J4334" s="16">
        <v>0.0</v>
      </c>
      <c r="K4334" s="16">
        <v>0.0</v>
      </c>
      <c r="L4334" s="16">
        <v>335.692</v>
      </c>
      <c r="M4334" s="16">
        <v>242.542</v>
      </c>
      <c r="N4334" s="16">
        <v>330.944</v>
      </c>
      <c r="O4334" s="24">
        <v>40.9</v>
      </c>
      <c r="P4334" s="18">
        <f t="shared" si="1"/>
        <v>335.692</v>
      </c>
    </row>
    <row r="4335" ht="15.75" customHeight="1">
      <c r="A4335" s="19" t="s">
        <v>247</v>
      </c>
      <c r="B4335" s="19" t="s">
        <v>133</v>
      </c>
      <c r="C4335" s="20" t="s">
        <v>153</v>
      </c>
      <c r="D4335" s="14" t="str">
        <f>VLOOKUP(C4335,'State Key'!$A$2:$B$210,2,False)</f>
        <v>Madhya Pradesh</v>
      </c>
      <c r="E4335" s="21">
        <v>1600.0</v>
      </c>
      <c r="F4335" s="22">
        <v>251.12</v>
      </c>
      <c r="G4335" s="22">
        <v>0.0</v>
      </c>
      <c r="H4335" s="22">
        <v>246.48</v>
      </c>
      <c r="I4335" s="22">
        <v>0.0</v>
      </c>
      <c r="J4335" s="22">
        <v>0.0</v>
      </c>
      <c r="K4335" s="22">
        <v>115.31</v>
      </c>
      <c r="L4335" s="22">
        <v>612.91</v>
      </c>
      <c r="M4335" s="22">
        <v>570.45</v>
      </c>
      <c r="N4335" s="22">
        <v>379.159</v>
      </c>
      <c r="O4335" s="24">
        <v>19.9</v>
      </c>
      <c r="P4335" s="18">
        <f t="shared" si="1"/>
        <v>612.91</v>
      </c>
    </row>
    <row r="4336" ht="15.75" customHeight="1">
      <c r="A4336" s="13" t="s">
        <v>247</v>
      </c>
      <c r="B4336" s="13" t="s">
        <v>133</v>
      </c>
      <c r="C4336" s="14" t="s">
        <v>154</v>
      </c>
      <c r="D4336" s="14" t="str">
        <f>VLOOKUP(C4336,'State Key'!$A$2:$B$210,2,False)</f>
        <v>Gujarat</v>
      </c>
      <c r="E4336" s="15">
        <v>630.0</v>
      </c>
      <c r="F4336" s="16">
        <v>116.8089</v>
      </c>
      <c r="G4336" s="16">
        <v>0.0</v>
      </c>
      <c r="H4336" s="16">
        <v>0.0</v>
      </c>
      <c r="I4336" s="16">
        <v>0.0</v>
      </c>
      <c r="J4336" s="16">
        <v>0.0</v>
      </c>
      <c r="K4336" s="16">
        <v>0.0</v>
      </c>
      <c r="L4336" s="16">
        <v>116.8089</v>
      </c>
      <c r="M4336" s="16">
        <v>126.422</v>
      </c>
      <c r="N4336" s="16">
        <v>154.02</v>
      </c>
      <c r="O4336" s="24">
        <v>36.5</v>
      </c>
      <c r="P4336" s="18">
        <f t="shared" si="1"/>
        <v>116.8089</v>
      </c>
    </row>
    <row r="4337" ht="15.75" customHeight="1">
      <c r="A4337" s="19" t="s">
        <v>247</v>
      </c>
      <c r="B4337" s="19" t="s">
        <v>133</v>
      </c>
      <c r="C4337" s="20" t="s">
        <v>155</v>
      </c>
      <c r="D4337" s="14" t="str">
        <f>VLOOKUP(C4337,'State Key'!$A$2:$B$210,2,False)</f>
        <v>Maharashtra</v>
      </c>
      <c r="E4337" s="21">
        <v>120.0</v>
      </c>
      <c r="F4337" s="22">
        <v>0.0</v>
      </c>
      <c r="G4337" s="22">
        <v>0.0</v>
      </c>
      <c r="H4337" s="22">
        <v>0.0</v>
      </c>
      <c r="I4337" s="22">
        <v>0.0</v>
      </c>
      <c r="J4337" s="22">
        <v>0.0</v>
      </c>
      <c r="K4337" s="22">
        <v>0.0</v>
      </c>
      <c r="L4337" s="22">
        <v>0.0</v>
      </c>
      <c r="M4337" s="22">
        <v>0.0</v>
      </c>
      <c r="N4337" s="22">
        <v>0.0</v>
      </c>
      <c r="O4337" s="19" t="s">
        <v>58</v>
      </c>
      <c r="P4337" s="18">
        <f t="shared" si="1"/>
        <v>0</v>
      </c>
    </row>
    <row r="4338" ht="15.75" customHeight="1">
      <c r="A4338" s="13" t="s">
        <v>247</v>
      </c>
      <c r="B4338" s="13" t="s">
        <v>133</v>
      </c>
      <c r="C4338" s="14" t="s">
        <v>156</v>
      </c>
      <c r="D4338" s="14" t="str">
        <f>VLOOKUP(C4338,'State Key'!$A$2:$B$210,2,False)</f>
        <v>Maharashtra</v>
      </c>
      <c r="E4338" s="15">
        <v>600.0</v>
      </c>
      <c r="F4338" s="16">
        <v>195.29</v>
      </c>
      <c r="G4338" s="16">
        <v>0.0</v>
      </c>
      <c r="H4338" s="16">
        <v>0.0</v>
      </c>
      <c r="I4338" s="16">
        <v>62.56</v>
      </c>
      <c r="J4338" s="16">
        <v>0.0</v>
      </c>
      <c r="K4338" s="16">
        <v>0.0</v>
      </c>
      <c r="L4338" s="16">
        <v>257.85</v>
      </c>
      <c r="M4338" s="16">
        <v>262.313</v>
      </c>
      <c r="N4338" s="16">
        <v>71.62</v>
      </c>
      <c r="O4338" s="23">
        <v>8.2</v>
      </c>
      <c r="P4338" s="18">
        <f t="shared" si="1"/>
        <v>257.85</v>
      </c>
    </row>
    <row r="4339" ht="15.75" customHeight="1">
      <c r="A4339" s="19" t="s">
        <v>247</v>
      </c>
      <c r="B4339" s="19" t="s">
        <v>133</v>
      </c>
      <c r="C4339" s="20" t="s">
        <v>157</v>
      </c>
      <c r="D4339" s="14" t="str">
        <f>VLOOKUP(C4339,'State Key'!$A$2:$B$210,2,False)</f>
        <v>Maharashtra</v>
      </c>
      <c r="E4339" s="21">
        <v>300.0</v>
      </c>
      <c r="F4339" s="22">
        <v>0.0</v>
      </c>
      <c r="G4339" s="22">
        <v>0.0</v>
      </c>
      <c r="H4339" s="22">
        <v>0.0</v>
      </c>
      <c r="I4339" s="22">
        <v>0.0</v>
      </c>
      <c r="J4339" s="22">
        <v>30.0</v>
      </c>
      <c r="K4339" s="22">
        <v>0.0</v>
      </c>
      <c r="L4339" s="22">
        <v>30.0</v>
      </c>
      <c r="M4339" s="22">
        <v>44.99</v>
      </c>
      <c r="N4339" s="22">
        <v>35.85</v>
      </c>
      <c r="O4339" s="24">
        <v>23.9</v>
      </c>
      <c r="P4339" s="18">
        <f t="shared" si="1"/>
        <v>30</v>
      </c>
    </row>
    <row r="4340" ht="15.75" customHeight="1">
      <c r="A4340" s="13" t="s">
        <v>247</v>
      </c>
      <c r="B4340" s="13" t="s">
        <v>133</v>
      </c>
      <c r="C4340" s="14" t="s">
        <v>158</v>
      </c>
      <c r="D4340" s="14" t="str">
        <f>VLOOKUP(C4340,'State Key'!$A$2:$B$210,2,False)</f>
        <v>Chhattisgarh</v>
      </c>
      <c r="E4340" s="15">
        <v>270.0</v>
      </c>
      <c r="F4340" s="16">
        <v>38.5255</v>
      </c>
      <c r="G4340" s="16">
        <v>0.0</v>
      </c>
      <c r="H4340" s="16">
        <v>0.0</v>
      </c>
      <c r="I4340" s="16">
        <v>0.0</v>
      </c>
      <c r="J4340" s="16">
        <v>0.0</v>
      </c>
      <c r="K4340" s="16">
        <v>90.3472</v>
      </c>
      <c r="L4340" s="16">
        <v>128.8727</v>
      </c>
      <c r="M4340" s="16">
        <v>127.94</v>
      </c>
      <c r="N4340" s="16">
        <v>33.88</v>
      </c>
      <c r="O4340" s="23">
        <v>7.9</v>
      </c>
      <c r="P4340" s="18">
        <f t="shared" si="1"/>
        <v>128.8727</v>
      </c>
    </row>
    <row r="4341" ht="15.75" customHeight="1">
      <c r="A4341" s="19" t="s">
        <v>247</v>
      </c>
      <c r="B4341" s="19" t="s">
        <v>133</v>
      </c>
      <c r="C4341" s="20" t="s">
        <v>159</v>
      </c>
      <c r="D4341" s="14" t="str">
        <f>VLOOKUP(C4341,'State Key'!$A$2:$B$210,2,False)</f>
        <v>Chhattisgarh</v>
      </c>
      <c r="E4341" s="21">
        <v>0.0</v>
      </c>
      <c r="F4341" s="22">
        <v>0.0</v>
      </c>
      <c r="G4341" s="22">
        <v>0.0</v>
      </c>
      <c r="H4341" s="22">
        <v>0.0</v>
      </c>
      <c r="I4341" s="22">
        <v>0.0</v>
      </c>
      <c r="J4341" s="22">
        <v>0.0</v>
      </c>
      <c r="K4341" s="22">
        <v>0.0</v>
      </c>
      <c r="L4341" s="22">
        <v>0.0</v>
      </c>
      <c r="M4341" s="22">
        <v>0.0</v>
      </c>
      <c r="N4341" s="22">
        <v>0.0</v>
      </c>
      <c r="O4341" s="19" t="s">
        <v>58</v>
      </c>
      <c r="P4341" s="18">
        <f t="shared" si="1"/>
        <v>0</v>
      </c>
    </row>
    <row r="4342" ht="15.75" customHeight="1">
      <c r="A4342" s="13" t="s">
        <v>247</v>
      </c>
      <c r="B4342" s="13" t="s">
        <v>133</v>
      </c>
      <c r="C4342" s="14" t="s">
        <v>160</v>
      </c>
      <c r="D4342" s="14" t="str">
        <f>VLOOKUP(C4342,'State Key'!$A$2:$B$210,2,False)</f>
        <v>Maharashtra</v>
      </c>
      <c r="E4342" s="15">
        <v>1340.0</v>
      </c>
      <c r="F4342" s="16">
        <v>607.244</v>
      </c>
      <c r="G4342" s="16">
        <v>0.0</v>
      </c>
      <c r="H4342" s="16">
        <v>0.0</v>
      </c>
      <c r="I4342" s="16">
        <v>0.0</v>
      </c>
      <c r="J4342" s="16">
        <v>83.45</v>
      </c>
      <c r="K4342" s="16">
        <v>0.453</v>
      </c>
      <c r="L4342" s="16">
        <v>691.147</v>
      </c>
      <c r="M4342" s="16">
        <v>734.717</v>
      </c>
      <c r="N4342" s="16">
        <v>170.38</v>
      </c>
      <c r="O4342" s="23">
        <v>7.0</v>
      </c>
      <c r="P4342" s="18">
        <f t="shared" si="1"/>
        <v>691.147</v>
      </c>
    </row>
    <row r="4343" ht="15.75" customHeight="1">
      <c r="A4343" s="19" t="s">
        <v>247</v>
      </c>
      <c r="B4343" s="19" t="s">
        <v>133</v>
      </c>
      <c r="C4343" s="20" t="s">
        <v>161</v>
      </c>
      <c r="D4343" s="14" t="str">
        <f>VLOOKUP(C4343,'State Key'!$A$2:$B$210,2,False)</f>
        <v>Madhya Pradesh</v>
      </c>
      <c r="E4343" s="21">
        <v>1320.0</v>
      </c>
      <c r="F4343" s="22">
        <v>270.64</v>
      </c>
      <c r="G4343" s="22">
        <v>4.11</v>
      </c>
      <c r="H4343" s="22">
        <v>56.2</v>
      </c>
      <c r="I4343" s="22">
        <v>0.0</v>
      </c>
      <c r="J4343" s="22">
        <v>0.0</v>
      </c>
      <c r="K4343" s="22">
        <v>79.88</v>
      </c>
      <c r="L4343" s="22">
        <v>410.83</v>
      </c>
      <c r="M4343" s="22">
        <v>484.004</v>
      </c>
      <c r="N4343" s="22">
        <v>254.04</v>
      </c>
      <c r="O4343" s="24">
        <v>15.7</v>
      </c>
      <c r="P4343" s="18">
        <f t="shared" si="1"/>
        <v>410.83</v>
      </c>
    </row>
    <row r="4344" ht="15.75" customHeight="1">
      <c r="A4344" s="13" t="s">
        <v>247</v>
      </c>
      <c r="B4344" s="13" t="s">
        <v>133</v>
      </c>
      <c r="C4344" s="14" t="s">
        <v>162</v>
      </c>
      <c r="D4344" s="14" t="str">
        <f>VLOOKUP(C4344,'State Key'!$A$2:$B$210,2,False)</f>
        <v>Maharashtra</v>
      </c>
      <c r="E4344" s="15">
        <v>2190.0</v>
      </c>
      <c r="F4344" s="16">
        <v>746.188</v>
      </c>
      <c r="G4344" s="16">
        <v>104.52</v>
      </c>
      <c r="H4344" s="16">
        <v>0.0</v>
      </c>
      <c r="I4344" s="16">
        <v>0.0</v>
      </c>
      <c r="J4344" s="16">
        <v>0.0</v>
      </c>
      <c r="K4344" s="16">
        <v>0.0</v>
      </c>
      <c r="L4344" s="16">
        <v>850.708</v>
      </c>
      <c r="M4344" s="16">
        <v>1008.096</v>
      </c>
      <c r="N4344" s="16">
        <v>326.104</v>
      </c>
      <c r="O4344" s="23">
        <v>9.7</v>
      </c>
      <c r="P4344" s="18">
        <f t="shared" si="1"/>
        <v>850.708</v>
      </c>
    </row>
    <row r="4345" ht="15.75" customHeight="1">
      <c r="A4345" s="19" t="s">
        <v>247</v>
      </c>
      <c r="B4345" s="19" t="s">
        <v>133</v>
      </c>
      <c r="C4345" s="20" t="s">
        <v>163</v>
      </c>
      <c r="D4345" s="14" t="str">
        <f>VLOOKUP(C4345,'State Key'!$A$2:$B$210,2,False)</f>
        <v>Chhattisgarh</v>
      </c>
      <c r="E4345" s="21">
        <v>2600.0</v>
      </c>
      <c r="F4345" s="22">
        <v>1265.82</v>
      </c>
      <c r="G4345" s="22">
        <v>0.0</v>
      </c>
      <c r="H4345" s="22">
        <v>0.0</v>
      </c>
      <c r="I4345" s="22">
        <v>0.0</v>
      </c>
      <c r="J4345" s="22">
        <v>0.0</v>
      </c>
      <c r="K4345" s="22">
        <v>0.0</v>
      </c>
      <c r="L4345" s="22">
        <v>1265.82</v>
      </c>
      <c r="M4345" s="22">
        <v>1310.288</v>
      </c>
      <c r="N4345" s="22">
        <v>699.379</v>
      </c>
      <c r="O4345" s="24">
        <v>16.0</v>
      </c>
      <c r="P4345" s="18">
        <f t="shared" si="1"/>
        <v>1265.82</v>
      </c>
    </row>
    <row r="4346" ht="15.75" customHeight="1">
      <c r="A4346" s="13" t="s">
        <v>247</v>
      </c>
      <c r="B4346" s="13" t="s">
        <v>133</v>
      </c>
      <c r="C4346" s="14" t="s">
        <v>164</v>
      </c>
      <c r="D4346" s="14" t="str">
        <f>VLOOKUP(C4346,'State Key'!$A$2:$B$210,2,False)</f>
        <v>Chhattisgarh</v>
      </c>
      <c r="E4346" s="15">
        <v>1340.0</v>
      </c>
      <c r="F4346" s="16">
        <v>742.4</v>
      </c>
      <c r="G4346" s="16">
        <v>0.0</v>
      </c>
      <c r="H4346" s="16">
        <v>0.0</v>
      </c>
      <c r="I4346" s="16">
        <v>0.0</v>
      </c>
      <c r="J4346" s="16">
        <v>0.0</v>
      </c>
      <c r="K4346" s="16">
        <v>0.0</v>
      </c>
      <c r="L4346" s="16">
        <v>742.4</v>
      </c>
      <c r="M4346" s="16">
        <v>606.5</v>
      </c>
      <c r="N4346" s="16">
        <v>355.93</v>
      </c>
      <c r="O4346" s="24">
        <v>17.6</v>
      </c>
      <c r="P4346" s="18">
        <f t="shared" si="1"/>
        <v>742.4</v>
      </c>
    </row>
    <row r="4347" ht="15.75" customHeight="1">
      <c r="A4347" s="19" t="s">
        <v>247</v>
      </c>
      <c r="B4347" s="19" t="s">
        <v>133</v>
      </c>
      <c r="C4347" s="20" t="s">
        <v>165</v>
      </c>
      <c r="D4347" s="14" t="str">
        <f>VLOOKUP(C4347,'State Key'!$A$2:$B$210,2,False)</f>
        <v>Chhattisgarh</v>
      </c>
      <c r="E4347" s="21">
        <v>1600.0</v>
      </c>
      <c r="F4347" s="22">
        <v>22.97</v>
      </c>
      <c r="G4347" s="22">
        <v>0.0</v>
      </c>
      <c r="H4347" s="22">
        <v>682.23</v>
      </c>
      <c r="I4347" s="22">
        <v>0.0</v>
      </c>
      <c r="J4347" s="22">
        <v>0.0</v>
      </c>
      <c r="K4347" s="22">
        <v>0.0</v>
      </c>
      <c r="L4347" s="22">
        <v>705.2</v>
      </c>
      <c r="M4347" s="22">
        <v>754.331</v>
      </c>
      <c r="N4347" s="22">
        <v>320.33</v>
      </c>
      <c r="O4347" s="23">
        <v>12.7</v>
      </c>
      <c r="P4347" s="18">
        <f t="shared" si="1"/>
        <v>705.2</v>
      </c>
    </row>
    <row r="4348" ht="15.75" customHeight="1">
      <c r="A4348" s="13" t="s">
        <v>247</v>
      </c>
      <c r="B4348" s="13" t="s">
        <v>133</v>
      </c>
      <c r="C4348" s="14" t="s">
        <v>166</v>
      </c>
      <c r="D4348" s="14" t="str">
        <f>VLOOKUP(C4348,'State Key'!$A$2:$B$210,2,False)</f>
        <v>Madhya Pradesh</v>
      </c>
      <c r="E4348" s="15">
        <v>1200.0</v>
      </c>
      <c r="F4348" s="16">
        <v>306.899</v>
      </c>
      <c r="G4348" s="16">
        <v>0.0</v>
      </c>
      <c r="H4348" s="16">
        <v>0.0</v>
      </c>
      <c r="I4348" s="16">
        <v>0.0</v>
      </c>
      <c r="J4348" s="16">
        <v>0.0</v>
      </c>
      <c r="K4348" s="16">
        <v>78.806</v>
      </c>
      <c r="L4348" s="16">
        <v>385.705</v>
      </c>
      <c r="M4348" s="16">
        <v>500.577</v>
      </c>
      <c r="N4348" s="16">
        <v>118.99</v>
      </c>
      <c r="O4348" s="23">
        <v>7.1</v>
      </c>
      <c r="P4348" s="18">
        <f t="shared" si="1"/>
        <v>385.705</v>
      </c>
    </row>
    <row r="4349" ht="15.75" customHeight="1">
      <c r="A4349" s="19" t="s">
        <v>247</v>
      </c>
      <c r="B4349" s="19" t="s">
        <v>133</v>
      </c>
      <c r="C4349" s="20" t="s">
        <v>167</v>
      </c>
      <c r="D4349" s="14" t="str">
        <f>VLOOKUP(C4349,'State Key'!$A$2:$B$210,2,False)</f>
        <v>Chhattisgarh</v>
      </c>
      <c r="E4349" s="21">
        <v>1000.0</v>
      </c>
      <c r="F4349" s="22">
        <v>3.331</v>
      </c>
      <c r="G4349" s="22">
        <v>0.0</v>
      </c>
      <c r="H4349" s="22">
        <v>506.118</v>
      </c>
      <c r="I4349" s="22">
        <v>0.0</v>
      </c>
      <c r="J4349" s="22">
        <v>0.0</v>
      </c>
      <c r="K4349" s="22">
        <v>0.0</v>
      </c>
      <c r="L4349" s="22">
        <v>509.449</v>
      </c>
      <c r="M4349" s="22">
        <v>486.466</v>
      </c>
      <c r="N4349" s="22">
        <v>639.07</v>
      </c>
      <c r="O4349" s="24">
        <v>39.4</v>
      </c>
      <c r="P4349" s="18">
        <f t="shared" si="1"/>
        <v>509.449</v>
      </c>
    </row>
    <row r="4350" ht="15.75" customHeight="1">
      <c r="A4350" s="13" t="s">
        <v>247</v>
      </c>
      <c r="B4350" s="13" t="s">
        <v>133</v>
      </c>
      <c r="C4350" s="14" t="s">
        <v>168</v>
      </c>
      <c r="D4350" s="14" t="str">
        <f>VLOOKUP(C4350,'State Key'!$A$2:$B$210,2,False)</f>
        <v>Maharashtra</v>
      </c>
      <c r="E4350" s="15">
        <v>2320.0</v>
      </c>
      <c r="F4350" s="16">
        <v>752.45</v>
      </c>
      <c r="G4350" s="16">
        <v>4.05</v>
      </c>
      <c r="H4350" s="16">
        <v>248.89</v>
      </c>
      <c r="I4350" s="16">
        <v>0.0</v>
      </c>
      <c r="J4350" s="16">
        <v>0.0</v>
      </c>
      <c r="K4350" s="16">
        <v>78.41</v>
      </c>
      <c r="L4350" s="16">
        <v>1083.8</v>
      </c>
      <c r="M4350" s="16">
        <v>893.178</v>
      </c>
      <c r="N4350" s="16">
        <v>685.97</v>
      </c>
      <c r="O4350" s="24">
        <v>23.0</v>
      </c>
      <c r="P4350" s="18">
        <f t="shared" si="1"/>
        <v>1083.8</v>
      </c>
    </row>
    <row r="4351" ht="15.75" customHeight="1">
      <c r="A4351" s="19" t="s">
        <v>247</v>
      </c>
      <c r="B4351" s="19" t="s">
        <v>133</v>
      </c>
      <c r="C4351" s="20" t="s">
        <v>169</v>
      </c>
      <c r="D4351" s="14" t="str">
        <f>VLOOKUP(C4351,'State Key'!$A$2:$B$210,2,False)</f>
        <v>Madhya Pradesh</v>
      </c>
      <c r="E4351" s="21">
        <v>246.01</v>
      </c>
      <c r="F4351" s="22">
        <v>0.0</v>
      </c>
      <c r="G4351" s="22">
        <v>0.0</v>
      </c>
      <c r="H4351" s="22">
        <v>0.0</v>
      </c>
      <c r="I4351" s="22">
        <v>0.0</v>
      </c>
      <c r="J4351" s="22">
        <v>0.0</v>
      </c>
      <c r="K4351" s="22">
        <v>0.0</v>
      </c>
      <c r="L4351" s="22">
        <v>0.0</v>
      </c>
      <c r="M4351" s="22">
        <v>0.0</v>
      </c>
      <c r="N4351" s="22">
        <v>0.0</v>
      </c>
      <c r="O4351" s="19" t="s">
        <v>58</v>
      </c>
      <c r="P4351" s="18">
        <f t="shared" si="1"/>
        <v>0</v>
      </c>
    </row>
    <row r="4352" ht="15.75" customHeight="1">
      <c r="A4352" s="13" t="s">
        <v>247</v>
      </c>
      <c r="B4352" s="13" t="s">
        <v>133</v>
      </c>
      <c r="C4352" s="14" t="s">
        <v>172</v>
      </c>
      <c r="D4352" s="14" t="str">
        <f>VLOOKUP(C4352,'State Key'!$A$2:$B$210,2,False)</f>
        <v>Gujarat</v>
      </c>
      <c r="E4352" s="15">
        <v>4000.0</v>
      </c>
      <c r="F4352" s="16">
        <v>0.0</v>
      </c>
      <c r="G4352" s="16">
        <v>0.0</v>
      </c>
      <c r="H4352" s="16">
        <v>0.0</v>
      </c>
      <c r="I4352" s="16">
        <v>0.0</v>
      </c>
      <c r="J4352" s="16">
        <v>971.031</v>
      </c>
      <c r="K4352" s="16">
        <v>0.0</v>
      </c>
      <c r="L4352" s="16">
        <v>971.031</v>
      </c>
      <c r="M4352" s="16">
        <v>768.4699</v>
      </c>
      <c r="N4352" s="16">
        <v>733.5</v>
      </c>
      <c r="O4352" s="24">
        <v>28.6</v>
      </c>
      <c r="P4352" s="18">
        <f t="shared" si="1"/>
        <v>971.031</v>
      </c>
    </row>
    <row r="4353" ht="15.75" customHeight="1">
      <c r="A4353" s="19" t="s">
        <v>247</v>
      </c>
      <c r="B4353" s="19" t="s">
        <v>133</v>
      </c>
      <c r="C4353" s="20" t="s">
        <v>173</v>
      </c>
      <c r="D4353" s="14" t="str">
        <f>VLOOKUP(C4353,'State Key'!$A$2:$B$210,2,False)</f>
        <v>Maharashtra</v>
      </c>
      <c r="E4353" s="21">
        <v>0.0</v>
      </c>
      <c r="F4353" s="22">
        <v>0.0</v>
      </c>
      <c r="G4353" s="22">
        <v>0.0</v>
      </c>
      <c r="H4353" s="22">
        <v>0.0</v>
      </c>
      <c r="I4353" s="22">
        <v>0.0</v>
      </c>
      <c r="J4353" s="22">
        <v>0.0</v>
      </c>
      <c r="K4353" s="22">
        <v>0.0</v>
      </c>
      <c r="L4353" s="22">
        <v>0.0</v>
      </c>
      <c r="M4353" s="22">
        <v>0.0</v>
      </c>
      <c r="N4353" s="22">
        <v>0.0</v>
      </c>
      <c r="O4353" s="19" t="s">
        <v>58</v>
      </c>
      <c r="P4353" s="18">
        <f t="shared" si="1"/>
        <v>0</v>
      </c>
    </row>
    <row r="4354" ht="15.75" customHeight="1">
      <c r="A4354" s="13" t="s">
        <v>247</v>
      </c>
      <c r="B4354" s="13" t="s">
        <v>133</v>
      </c>
      <c r="C4354" s="14" t="s">
        <v>174</v>
      </c>
      <c r="D4354" s="14" t="str">
        <f>VLOOKUP(C4354,'State Key'!$A$2:$B$210,2,False)</f>
        <v>Maharashtra</v>
      </c>
      <c r="E4354" s="15">
        <v>630.0</v>
      </c>
      <c r="F4354" s="16">
        <v>227.135</v>
      </c>
      <c r="G4354" s="16">
        <v>0.0</v>
      </c>
      <c r="H4354" s="16">
        <v>0.0</v>
      </c>
      <c r="I4354" s="16">
        <v>0.0</v>
      </c>
      <c r="J4354" s="16">
        <v>0.0</v>
      </c>
      <c r="K4354" s="16">
        <v>0.0</v>
      </c>
      <c r="L4354" s="16">
        <v>227.135</v>
      </c>
      <c r="M4354" s="16">
        <v>291.604</v>
      </c>
      <c r="N4354" s="16">
        <v>135.354</v>
      </c>
      <c r="O4354" s="23">
        <v>13.9</v>
      </c>
      <c r="P4354" s="18">
        <f t="shared" si="1"/>
        <v>227.135</v>
      </c>
    </row>
    <row r="4355" ht="15.75" customHeight="1">
      <c r="A4355" s="19" t="s">
        <v>247</v>
      </c>
      <c r="B4355" s="19" t="s">
        <v>133</v>
      </c>
      <c r="C4355" s="20" t="s">
        <v>175</v>
      </c>
      <c r="D4355" s="14" t="str">
        <f>VLOOKUP(C4355,'State Key'!$A$2:$B$210,2,False)</f>
        <v>Chhattisgarh</v>
      </c>
      <c r="E4355" s="21">
        <v>600.0</v>
      </c>
      <c r="F4355" s="22">
        <v>238.569</v>
      </c>
      <c r="G4355" s="22">
        <v>0.0</v>
      </c>
      <c r="H4355" s="22">
        <v>0.0</v>
      </c>
      <c r="I4355" s="22">
        <v>14.78</v>
      </c>
      <c r="J4355" s="22">
        <v>0.0</v>
      </c>
      <c r="K4355" s="22">
        <v>0.0</v>
      </c>
      <c r="L4355" s="22">
        <v>253.349</v>
      </c>
      <c r="M4355" s="22">
        <v>209.28</v>
      </c>
      <c r="N4355" s="22">
        <v>260.94</v>
      </c>
      <c r="O4355" s="24">
        <v>37.4</v>
      </c>
      <c r="P4355" s="18">
        <f t="shared" si="1"/>
        <v>253.349</v>
      </c>
    </row>
    <row r="4356" ht="15.75" customHeight="1">
      <c r="A4356" s="13" t="s">
        <v>247</v>
      </c>
      <c r="B4356" s="13" t="s">
        <v>133</v>
      </c>
      <c r="C4356" s="14" t="s">
        <v>176</v>
      </c>
      <c r="D4356" s="14" t="str">
        <f>VLOOKUP(C4356,'State Key'!$A$2:$B$210,2,False)</f>
        <v>Madhya Pradesh</v>
      </c>
      <c r="E4356" s="15">
        <v>1320.0</v>
      </c>
      <c r="F4356" s="16">
        <v>0.0</v>
      </c>
      <c r="G4356" s="16">
        <v>0.0</v>
      </c>
      <c r="H4356" s="16">
        <v>427.7965</v>
      </c>
      <c r="I4356" s="16">
        <v>118.0482</v>
      </c>
      <c r="J4356" s="16">
        <v>0.0</v>
      </c>
      <c r="K4356" s="16">
        <v>0.0</v>
      </c>
      <c r="L4356" s="16">
        <v>545.8447</v>
      </c>
      <c r="M4356" s="16">
        <v>527.3575</v>
      </c>
      <c r="N4356" s="16">
        <v>417.8839</v>
      </c>
      <c r="O4356" s="24">
        <v>23.8</v>
      </c>
      <c r="P4356" s="18">
        <f t="shared" si="1"/>
        <v>545.8447</v>
      </c>
    </row>
    <row r="4357" ht="15.75" customHeight="1">
      <c r="A4357" s="19" t="s">
        <v>247</v>
      </c>
      <c r="B4357" s="19" t="s">
        <v>133</v>
      </c>
      <c r="C4357" s="20" t="s">
        <v>177</v>
      </c>
      <c r="D4357" s="14" t="str">
        <f>VLOOKUP(C4357,'State Key'!$A$2:$B$210,2,False)</f>
        <v>Madhya Pradesh</v>
      </c>
      <c r="E4357" s="21">
        <v>90.0</v>
      </c>
      <c r="F4357" s="22">
        <v>58.357</v>
      </c>
      <c r="G4357" s="22">
        <v>0.0</v>
      </c>
      <c r="H4357" s="22">
        <v>0.0</v>
      </c>
      <c r="I4357" s="22">
        <v>0.0</v>
      </c>
      <c r="J4357" s="22">
        <v>0.0</v>
      </c>
      <c r="K4357" s="22">
        <v>0.06</v>
      </c>
      <c r="L4357" s="22">
        <v>58.417</v>
      </c>
      <c r="M4357" s="22">
        <v>42.37</v>
      </c>
      <c r="N4357" s="22">
        <v>85.88</v>
      </c>
      <c r="O4357" s="24">
        <v>60.8</v>
      </c>
      <c r="P4357" s="18">
        <f t="shared" si="1"/>
        <v>58.417</v>
      </c>
    </row>
    <row r="4358" ht="15.75" customHeight="1">
      <c r="A4358" s="13" t="s">
        <v>247</v>
      </c>
      <c r="B4358" s="13" t="s">
        <v>133</v>
      </c>
      <c r="C4358" s="14" t="s">
        <v>178</v>
      </c>
      <c r="D4358" s="14" t="str">
        <f>VLOOKUP(C4358,'State Key'!$A$2:$B$210,2,False)</f>
        <v>Chhattisgarh</v>
      </c>
      <c r="E4358" s="15">
        <v>1000.0</v>
      </c>
      <c r="F4358" s="16">
        <v>53.396</v>
      </c>
      <c r="G4358" s="16">
        <v>0.0</v>
      </c>
      <c r="H4358" s="16">
        <v>120.37</v>
      </c>
      <c r="I4358" s="16">
        <v>0.0</v>
      </c>
      <c r="J4358" s="16">
        <v>0.0</v>
      </c>
      <c r="K4358" s="16">
        <v>0.0</v>
      </c>
      <c r="L4358" s="16">
        <v>173.766</v>
      </c>
      <c r="M4358" s="16">
        <v>425.378</v>
      </c>
      <c r="N4358" s="16">
        <v>165.054</v>
      </c>
      <c r="O4358" s="23">
        <v>11.6</v>
      </c>
      <c r="P4358" s="18">
        <f t="shared" si="1"/>
        <v>173.766</v>
      </c>
    </row>
    <row r="4359" ht="15.75" customHeight="1">
      <c r="A4359" s="19" t="s">
        <v>247</v>
      </c>
      <c r="B4359" s="19" t="s">
        <v>133</v>
      </c>
      <c r="C4359" s="20" t="s">
        <v>179</v>
      </c>
      <c r="D4359" s="14" t="str">
        <f>VLOOKUP(C4359,'State Key'!$A$2:$B$210,2,False)</f>
        <v>Maharashtra</v>
      </c>
      <c r="E4359" s="21">
        <v>500.0</v>
      </c>
      <c r="F4359" s="22">
        <v>190.544</v>
      </c>
      <c r="G4359" s="22">
        <v>8.21</v>
      </c>
      <c r="H4359" s="22">
        <v>0.0</v>
      </c>
      <c r="I4359" s="22">
        <v>0.0</v>
      </c>
      <c r="J4359" s="22">
        <v>0.0</v>
      </c>
      <c r="K4359" s="22">
        <v>0.0</v>
      </c>
      <c r="L4359" s="22">
        <v>198.754</v>
      </c>
      <c r="M4359" s="22">
        <v>217.141</v>
      </c>
      <c r="N4359" s="22">
        <v>95.93</v>
      </c>
      <c r="O4359" s="23">
        <v>13.3</v>
      </c>
      <c r="P4359" s="18">
        <f t="shared" si="1"/>
        <v>198.754</v>
      </c>
    </row>
    <row r="4360" ht="15.75" customHeight="1">
      <c r="A4360" s="13" t="s">
        <v>247</v>
      </c>
      <c r="B4360" s="13" t="s">
        <v>133</v>
      </c>
      <c r="C4360" s="14" t="s">
        <v>180</v>
      </c>
      <c r="D4360" s="14" t="str">
        <f>VLOOKUP(C4360,'State Key'!$A$2:$B$210,2,False)</f>
        <v>Maharashtra</v>
      </c>
      <c r="E4360" s="15">
        <v>750.0</v>
      </c>
      <c r="F4360" s="16">
        <v>84.373</v>
      </c>
      <c r="G4360" s="16">
        <v>255.721</v>
      </c>
      <c r="H4360" s="16">
        <v>0.0</v>
      </c>
      <c r="I4360" s="16">
        <v>0.0</v>
      </c>
      <c r="J4360" s="16">
        <v>0.0</v>
      </c>
      <c r="K4360" s="16">
        <v>0.0</v>
      </c>
      <c r="L4360" s="16">
        <v>340.094</v>
      </c>
      <c r="M4360" s="16">
        <v>324.39</v>
      </c>
      <c r="N4360" s="16">
        <v>79.97</v>
      </c>
      <c r="O4360" s="23">
        <v>7.4</v>
      </c>
      <c r="P4360" s="18">
        <f t="shared" si="1"/>
        <v>340.094</v>
      </c>
    </row>
    <row r="4361" ht="15.75" customHeight="1">
      <c r="A4361" s="19" t="s">
        <v>247</v>
      </c>
      <c r="B4361" s="19" t="s">
        <v>133</v>
      </c>
      <c r="C4361" s="20" t="s">
        <v>181</v>
      </c>
      <c r="D4361" s="14" t="str">
        <f>VLOOKUP(C4361,'State Key'!$A$2:$B$210,2,False)</f>
        <v>Chhattisgarh</v>
      </c>
      <c r="E4361" s="21">
        <v>600.0</v>
      </c>
      <c r="F4361" s="22">
        <v>223.293</v>
      </c>
      <c r="G4361" s="22">
        <v>0.0</v>
      </c>
      <c r="H4361" s="22">
        <v>0.0</v>
      </c>
      <c r="I4361" s="22">
        <v>0.0</v>
      </c>
      <c r="J4361" s="22">
        <v>0.0</v>
      </c>
      <c r="K4361" s="22">
        <v>0.75</v>
      </c>
      <c r="L4361" s="22">
        <v>224.043</v>
      </c>
      <c r="M4361" s="22">
        <v>246.579</v>
      </c>
      <c r="N4361" s="22">
        <v>66.5</v>
      </c>
      <c r="O4361" s="23">
        <v>8.1</v>
      </c>
      <c r="P4361" s="18">
        <f t="shared" si="1"/>
        <v>224.043</v>
      </c>
    </row>
    <row r="4362" ht="15.75" customHeight="1">
      <c r="A4362" s="13" t="s">
        <v>247</v>
      </c>
      <c r="B4362" s="13" t="s">
        <v>133</v>
      </c>
      <c r="C4362" s="14" t="s">
        <v>183</v>
      </c>
      <c r="D4362" s="14" t="str">
        <f>VLOOKUP(C4362,'State Key'!$A$2:$B$210,2,False)</f>
        <v>Chhattisgarh</v>
      </c>
      <c r="E4362" s="15">
        <v>100.0</v>
      </c>
      <c r="F4362" s="16">
        <v>0.0</v>
      </c>
      <c r="G4362" s="16">
        <v>0.0</v>
      </c>
      <c r="H4362" s="16">
        <v>0.0</v>
      </c>
      <c r="I4362" s="16">
        <v>0.0</v>
      </c>
      <c r="J4362" s="16">
        <v>0.0</v>
      </c>
      <c r="K4362" s="16">
        <v>60.78</v>
      </c>
      <c r="L4362" s="16">
        <v>60.78</v>
      </c>
      <c r="M4362" s="16">
        <v>46.44</v>
      </c>
      <c r="N4362" s="16">
        <v>25.19</v>
      </c>
      <c r="O4362" s="24">
        <v>16.3</v>
      </c>
      <c r="P4362" s="18">
        <f t="shared" si="1"/>
        <v>60.78</v>
      </c>
    </row>
    <row r="4363" ht="15.75" customHeight="1">
      <c r="A4363" s="19" t="s">
        <v>247</v>
      </c>
      <c r="B4363" s="19" t="s">
        <v>133</v>
      </c>
      <c r="C4363" s="20" t="s">
        <v>184</v>
      </c>
      <c r="D4363" s="14" t="str">
        <f>VLOOKUP(C4363,'State Key'!$A$2:$B$210,2,False)</f>
        <v>Gujarat</v>
      </c>
      <c r="E4363" s="21">
        <v>362.0</v>
      </c>
      <c r="F4363" s="22">
        <v>111.62</v>
      </c>
      <c r="G4363" s="22">
        <v>0.0</v>
      </c>
      <c r="H4363" s="22">
        <v>0.0</v>
      </c>
      <c r="I4363" s="22">
        <v>0.0</v>
      </c>
      <c r="J4363" s="22">
        <v>0.0</v>
      </c>
      <c r="K4363" s="22">
        <v>0.0</v>
      </c>
      <c r="L4363" s="22">
        <v>111.62</v>
      </c>
      <c r="M4363" s="22">
        <v>147.54</v>
      </c>
      <c r="N4363" s="22">
        <v>116.34</v>
      </c>
      <c r="O4363" s="24">
        <v>23.7</v>
      </c>
      <c r="P4363" s="18">
        <f t="shared" si="1"/>
        <v>111.62</v>
      </c>
    </row>
    <row r="4364" ht="15.75" customHeight="1">
      <c r="A4364" s="13" t="s">
        <v>247</v>
      </c>
      <c r="B4364" s="13" t="s">
        <v>133</v>
      </c>
      <c r="C4364" s="14" t="s">
        <v>185</v>
      </c>
      <c r="D4364" s="14" t="str">
        <f>VLOOKUP(C4364,'State Key'!$A$2:$B$210,2,False)</f>
        <v>Gujarat</v>
      </c>
      <c r="E4364" s="15">
        <v>1200.0</v>
      </c>
      <c r="F4364" s="16">
        <v>0.0</v>
      </c>
      <c r="G4364" s="16">
        <v>0.0</v>
      </c>
      <c r="H4364" s="16">
        <v>0.0</v>
      </c>
      <c r="I4364" s="16">
        <v>0.0</v>
      </c>
      <c r="J4364" s="16">
        <v>143.57</v>
      </c>
      <c r="K4364" s="16">
        <v>0.0</v>
      </c>
      <c r="L4364" s="16">
        <v>143.57</v>
      </c>
      <c r="M4364" s="16">
        <v>142.736</v>
      </c>
      <c r="N4364" s="16">
        <v>191.75</v>
      </c>
      <c r="O4364" s="24">
        <v>40.3</v>
      </c>
      <c r="P4364" s="18">
        <f t="shared" si="1"/>
        <v>143.57</v>
      </c>
    </row>
    <row r="4365" ht="15.75" customHeight="1">
      <c r="A4365" s="19" t="s">
        <v>247</v>
      </c>
      <c r="B4365" s="19" t="s">
        <v>133</v>
      </c>
      <c r="C4365" s="20" t="s">
        <v>186</v>
      </c>
      <c r="D4365" s="14" t="str">
        <f>VLOOKUP(C4365,'State Key'!$A$2:$B$210,2,False)</f>
        <v>Chhattisgarh</v>
      </c>
      <c r="E4365" s="21">
        <v>0.0</v>
      </c>
      <c r="F4365" s="22">
        <v>0.0</v>
      </c>
      <c r="G4365" s="22">
        <v>0.0</v>
      </c>
      <c r="H4365" s="22">
        <v>0.0</v>
      </c>
      <c r="I4365" s="22">
        <v>0.0</v>
      </c>
      <c r="J4365" s="22">
        <v>0.0</v>
      </c>
      <c r="K4365" s="22">
        <v>0.0</v>
      </c>
      <c r="L4365" s="22">
        <v>0.0</v>
      </c>
      <c r="M4365" s="22">
        <v>0.0</v>
      </c>
      <c r="N4365" s="22">
        <v>0.0</v>
      </c>
      <c r="O4365" s="19" t="s">
        <v>58</v>
      </c>
      <c r="P4365" s="18">
        <f t="shared" si="1"/>
        <v>0</v>
      </c>
    </row>
    <row r="4366" ht="15.75" customHeight="1">
      <c r="A4366" s="13" t="s">
        <v>247</v>
      </c>
      <c r="B4366" s="13" t="s">
        <v>133</v>
      </c>
      <c r="C4366" s="14" t="s">
        <v>187</v>
      </c>
      <c r="D4366" s="14" t="str">
        <f>VLOOKUP(C4366,'State Key'!$A$2:$B$210,2,False)</f>
        <v>Madhya Pradesh</v>
      </c>
      <c r="E4366" s="15">
        <v>1340.0</v>
      </c>
      <c r="F4366" s="16">
        <v>635.849</v>
      </c>
      <c r="G4366" s="16">
        <v>0.0</v>
      </c>
      <c r="H4366" s="16">
        <v>0.0</v>
      </c>
      <c r="I4366" s="16">
        <v>0.0</v>
      </c>
      <c r="J4366" s="16">
        <v>0.0</v>
      </c>
      <c r="K4366" s="16">
        <v>0.0</v>
      </c>
      <c r="L4366" s="16">
        <v>635.849</v>
      </c>
      <c r="M4366" s="16">
        <v>472.713</v>
      </c>
      <c r="N4366" s="16">
        <v>454.21</v>
      </c>
      <c r="O4366" s="24">
        <v>28.8</v>
      </c>
      <c r="P4366" s="18">
        <f t="shared" si="1"/>
        <v>635.849</v>
      </c>
    </row>
    <row r="4367" ht="15.75" customHeight="1">
      <c r="A4367" s="19" t="s">
        <v>247</v>
      </c>
      <c r="B4367" s="19" t="s">
        <v>133</v>
      </c>
      <c r="C4367" s="20" t="s">
        <v>188</v>
      </c>
      <c r="D4367" s="14" t="str">
        <f>VLOOKUP(C4367,'State Key'!$A$2:$B$210,2,False)</f>
        <v>Madhya Pradesh</v>
      </c>
      <c r="E4367" s="21">
        <v>3960.0</v>
      </c>
      <c r="F4367" s="22">
        <v>0.0</v>
      </c>
      <c r="G4367" s="22">
        <v>0.0</v>
      </c>
      <c r="H4367" s="22">
        <v>1676.294</v>
      </c>
      <c r="I4367" s="22">
        <v>0.0</v>
      </c>
      <c r="J4367" s="22">
        <v>0.0</v>
      </c>
      <c r="K4367" s="22">
        <v>0.0</v>
      </c>
      <c r="L4367" s="22">
        <v>1676.294</v>
      </c>
      <c r="M4367" s="22">
        <v>1479.346</v>
      </c>
      <c r="N4367" s="22">
        <v>370.54</v>
      </c>
      <c r="O4367" s="23">
        <v>7.5</v>
      </c>
      <c r="P4367" s="18">
        <f t="shared" si="1"/>
        <v>1676.294</v>
      </c>
    </row>
    <row r="4368" ht="15.75" customHeight="1">
      <c r="A4368" s="13" t="s">
        <v>247</v>
      </c>
      <c r="B4368" s="13" t="s">
        <v>133</v>
      </c>
      <c r="C4368" s="14" t="s">
        <v>189</v>
      </c>
      <c r="D4368" s="14" t="str">
        <f>VLOOKUP(C4368,'State Key'!$A$2:$B$210,2,False)</f>
        <v>Madhya Pradesh</v>
      </c>
      <c r="E4368" s="15">
        <v>1330.0</v>
      </c>
      <c r="F4368" s="16">
        <v>209.69789</v>
      </c>
      <c r="G4368" s="16">
        <v>0.0</v>
      </c>
      <c r="H4368" s="16">
        <v>0.0</v>
      </c>
      <c r="I4368" s="16">
        <v>0.0</v>
      </c>
      <c r="J4368" s="16">
        <v>0.0</v>
      </c>
      <c r="K4368" s="16">
        <v>0.0</v>
      </c>
      <c r="L4368" s="16">
        <v>209.69789</v>
      </c>
      <c r="M4368" s="16">
        <v>212.427</v>
      </c>
      <c r="N4368" s="16">
        <v>192.35</v>
      </c>
      <c r="O4368" s="24">
        <v>27.2</v>
      </c>
      <c r="P4368" s="18">
        <f t="shared" si="1"/>
        <v>209.69789</v>
      </c>
    </row>
    <row r="4369" ht="15.75" customHeight="1">
      <c r="A4369" s="19" t="s">
        <v>247</v>
      </c>
      <c r="B4369" s="19" t="s">
        <v>133</v>
      </c>
      <c r="C4369" s="20" t="s">
        <v>190</v>
      </c>
      <c r="D4369" s="14" t="str">
        <f>VLOOKUP(C4369,'State Key'!$A$2:$B$210,2,False)</f>
        <v>Madhya Pradesh</v>
      </c>
      <c r="E4369" s="21">
        <v>600.0</v>
      </c>
      <c r="F4369" s="22">
        <v>109.382</v>
      </c>
      <c r="G4369" s="22">
        <v>0.0</v>
      </c>
      <c r="H4369" s="22">
        <v>0.0</v>
      </c>
      <c r="I4369" s="22">
        <v>226.041</v>
      </c>
      <c r="J4369" s="22">
        <v>0.0</v>
      </c>
      <c r="K4369" s="22">
        <v>0.0</v>
      </c>
      <c r="L4369" s="22">
        <v>335.423</v>
      </c>
      <c r="M4369" s="22">
        <v>315.468</v>
      </c>
      <c r="N4369" s="22">
        <v>240.35</v>
      </c>
      <c r="O4369" s="24">
        <v>22.9</v>
      </c>
      <c r="P4369" s="18">
        <f t="shared" si="1"/>
        <v>335.423</v>
      </c>
    </row>
    <row r="4370" ht="15.75" customHeight="1">
      <c r="A4370" s="13" t="s">
        <v>247</v>
      </c>
      <c r="B4370" s="13" t="s">
        <v>133</v>
      </c>
      <c r="C4370" s="14" t="s">
        <v>191</v>
      </c>
      <c r="D4370" s="14" t="str">
        <f>VLOOKUP(C4370,'State Key'!$A$2:$B$210,2,False)</f>
        <v>Maharashtra</v>
      </c>
      <c r="E4370" s="15">
        <v>300.0</v>
      </c>
      <c r="F4370" s="16">
        <v>0.0</v>
      </c>
      <c r="G4370" s="16">
        <v>0.0</v>
      </c>
      <c r="H4370" s="16">
        <v>0.0</v>
      </c>
      <c r="I4370" s="16">
        <v>0.0</v>
      </c>
      <c r="J4370" s="16">
        <v>0.0</v>
      </c>
      <c r="K4370" s="16">
        <v>145.496</v>
      </c>
      <c r="L4370" s="16">
        <v>145.496</v>
      </c>
      <c r="M4370" s="16">
        <v>102.911</v>
      </c>
      <c r="N4370" s="16">
        <v>163.05</v>
      </c>
      <c r="O4370" s="24">
        <v>47.5</v>
      </c>
      <c r="P4370" s="18">
        <f t="shared" si="1"/>
        <v>145.496</v>
      </c>
    </row>
    <row r="4371" ht="15.75" customHeight="1">
      <c r="A4371" s="19" t="s">
        <v>247</v>
      </c>
      <c r="B4371" s="19" t="s">
        <v>133</v>
      </c>
      <c r="C4371" s="20" t="s">
        <v>192</v>
      </c>
      <c r="D4371" s="14" t="str">
        <f>VLOOKUP(C4371,'State Key'!$A$2:$B$210,2,False)</f>
        <v>Madhya Pradesh</v>
      </c>
      <c r="E4371" s="21">
        <v>2520.0</v>
      </c>
      <c r="F4371" s="22">
        <v>919.152</v>
      </c>
      <c r="G4371" s="22">
        <v>0.0</v>
      </c>
      <c r="H4371" s="22">
        <v>0.0</v>
      </c>
      <c r="I4371" s="22">
        <v>0.0</v>
      </c>
      <c r="J4371" s="22">
        <v>0.0</v>
      </c>
      <c r="K4371" s="22">
        <v>0.0</v>
      </c>
      <c r="L4371" s="22">
        <v>919.152</v>
      </c>
      <c r="M4371" s="22">
        <v>1022.169</v>
      </c>
      <c r="N4371" s="22">
        <v>414.41</v>
      </c>
      <c r="O4371" s="23">
        <v>12.2</v>
      </c>
      <c r="P4371" s="18">
        <f t="shared" si="1"/>
        <v>919.152</v>
      </c>
    </row>
    <row r="4372" ht="15.75" customHeight="1">
      <c r="A4372" s="13" t="s">
        <v>247</v>
      </c>
      <c r="B4372" s="13" t="s">
        <v>133</v>
      </c>
      <c r="C4372" s="14" t="s">
        <v>193</v>
      </c>
      <c r="D4372" s="14" t="str">
        <f>VLOOKUP(C4372,'State Key'!$A$2:$B$210,2,False)</f>
        <v>Gujarat</v>
      </c>
      <c r="E4372" s="15">
        <v>500.0</v>
      </c>
      <c r="F4372" s="16">
        <v>0.0</v>
      </c>
      <c r="G4372" s="16">
        <v>0.0</v>
      </c>
      <c r="H4372" s="16">
        <v>0.0</v>
      </c>
      <c r="I4372" s="16">
        <v>0.0</v>
      </c>
      <c r="J4372" s="16">
        <v>88.6797</v>
      </c>
      <c r="K4372" s="16">
        <v>0.0</v>
      </c>
      <c r="L4372" s="16">
        <v>88.6797</v>
      </c>
      <c r="M4372" s="16">
        <v>55.0677</v>
      </c>
      <c r="N4372" s="16">
        <v>100.77</v>
      </c>
      <c r="O4372" s="24">
        <v>54.9</v>
      </c>
      <c r="P4372" s="18">
        <f t="shared" si="1"/>
        <v>88.6797</v>
      </c>
    </row>
    <row r="4373" ht="15.75" customHeight="1">
      <c r="A4373" s="19" t="s">
        <v>247</v>
      </c>
      <c r="B4373" s="19" t="s">
        <v>133</v>
      </c>
      <c r="C4373" s="20" t="s">
        <v>194</v>
      </c>
      <c r="D4373" s="14" t="str">
        <f>VLOOKUP(C4373,'State Key'!$A$2:$B$210,2,False)</f>
        <v>Chhattisgarh</v>
      </c>
      <c r="E4373" s="21">
        <v>2980.0</v>
      </c>
      <c r="F4373" s="22">
        <v>1219.75</v>
      </c>
      <c r="G4373" s="22">
        <v>0.0</v>
      </c>
      <c r="H4373" s="22">
        <v>18.82</v>
      </c>
      <c r="I4373" s="22">
        <v>0.0</v>
      </c>
      <c r="J4373" s="22">
        <v>0.0</v>
      </c>
      <c r="K4373" s="22">
        <v>0.0</v>
      </c>
      <c r="L4373" s="22">
        <v>1238.57</v>
      </c>
      <c r="M4373" s="22">
        <v>1219.099</v>
      </c>
      <c r="N4373" s="22">
        <v>870.824</v>
      </c>
      <c r="O4373" s="24">
        <v>21.4</v>
      </c>
      <c r="P4373" s="18">
        <f t="shared" si="1"/>
        <v>1238.57</v>
      </c>
    </row>
    <row r="4374" ht="15.75" customHeight="1">
      <c r="A4374" s="13" t="s">
        <v>247</v>
      </c>
      <c r="B4374" s="13" t="s">
        <v>133</v>
      </c>
      <c r="C4374" s="14" t="s">
        <v>195</v>
      </c>
      <c r="D4374" s="14" t="str">
        <f>VLOOKUP(C4374,'State Key'!$A$2:$B$210,2,False)</f>
        <v>Maharashtra</v>
      </c>
      <c r="E4374" s="15">
        <v>1320.0</v>
      </c>
      <c r="F4374" s="16">
        <v>152.79</v>
      </c>
      <c r="G4374" s="16">
        <v>212.73</v>
      </c>
      <c r="H4374" s="16">
        <v>58.62</v>
      </c>
      <c r="I4374" s="16">
        <v>0.0</v>
      </c>
      <c r="J4374" s="16">
        <v>0.0</v>
      </c>
      <c r="K4374" s="16">
        <v>60.7</v>
      </c>
      <c r="L4374" s="16">
        <v>484.84</v>
      </c>
      <c r="M4374" s="16">
        <v>452.056</v>
      </c>
      <c r="N4374" s="16">
        <v>244.88</v>
      </c>
      <c r="O4374" s="24">
        <v>16.3</v>
      </c>
      <c r="P4374" s="18">
        <f t="shared" si="1"/>
        <v>484.84</v>
      </c>
    </row>
    <row r="4375" ht="15.75" customHeight="1">
      <c r="A4375" s="19" t="s">
        <v>247</v>
      </c>
      <c r="B4375" s="19" t="s">
        <v>133</v>
      </c>
      <c r="C4375" s="20" t="s">
        <v>196</v>
      </c>
      <c r="D4375" s="14" t="str">
        <f>VLOOKUP(C4375,'State Key'!$A$2:$B$210,2,False)</f>
        <v>Chhattisgarh</v>
      </c>
      <c r="E4375" s="21">
        <v>63.0</v>
      </c>
      <c r="F4375" s="22">
        <v>27.4731</v>
      </c>
      <c r="G4375" s="22">
        <v>0.0</v>
      </c>
      <c r="H4375" s="22">
        <v>0.0</v>
      </c>
      <c r="I4375" s="22">
        <v>0.0</v>
      </c>
      <c r="J4375" s="22">
        <v>0.0</v>
      </c>
      <c r="K4375" s="22">
        <v>25.5815</v>
      </c>
      <c r="L4375" s="22">
        <v>53.0546</v>
      </c>
      <c r="M4375" s="22">
        <v>37.92</v>
      </c>
      <c r="N4375" s="22">
        <v>28.69</v>
      </c>
      <c r="O4375" s="24">
        <v>22.7</v>
      </c>
      <c r="P4375" s="18">
        <f t="shared" si="1"/>
        <v>53.0546</v>
      </c>
    </row>
    <row r="4376" ht="15.75" customHeight="1">
      <c r="A4376" s="13" t="s">
        <v>247</v>
      </c>
      <c r="B4376" s="13" t="s">
        <v>133</v>
      </c>
      <c r="C4376" s="14" t="s">
        <v>197</v>
      </c>
      <c r="D4376" s="14" t="str">
        <f>VLOOKUP(C4376,'State Key'!$A$2:$B$210,2,False)</f>
        <v>Chhattisgarh</v>
      </c>
      <c r="E4376" s="15">
        <v>0.0</v>
      </c>
      <c r="F4376" s="16">
        <v>0.0</v>
      </c>
      <c r="G4376" s="16">
        <v>0.0</v>
      </c>
      <c r="H4376" s="16">
        <v>0.0</v>
      </c>
      <c r="I4376" s="16">
        <v>0.0</v>
      </c>
      <c r="J4376" s="16">
        <v>0.0</v>
      </c>
      <c r="K4376" s="16">
        <v>0.0</v>
      </c>
      <c r="L4376" s="16">
        <v>0.0</v>
      </c>
      <c r="M4376" s="16">
        <v>0.0</v>
      </c>
      <c r="N4376" s="16">
        <v>0.0</v>
      </c>
      <c r="O4376" s="13" t="s">
        <v>58</v>
      </c>
      <c r="P4376" s="18">
        <f t="shared" si="1"/>
        <v>0</v>
      </c>
    </row>
    <row r="4377" ht="15.75" customHeight="1">
      <c r="A4377" s="19" t="s">
        <v>247</v>
      </c>
      <c r="B4377" s="19" t="s">
        <v>133</v>
      </c>
      <c r="C4377" s="20" t="s">
        <v>198</v>
      </c>
      <c r="D4377" s="14" t="str">
        <f>VLOOKUP(C4377,'State Key'!$A$2:$B$210,2,False)</f>
        <v>Chhattisgarh</v>
      </c>
      <c r="E4377" s="21">
        <v>2400.0</v>
      </c>
      <c r="F4377" s="22">
        <v>376.987</v>
      </c>
      <c r="G4377" s="22">
        <v>0.0</v>
      </c>
      <c r="H4377" s="22">
        <v>1095.5</v>
      </c>
      <c r="I4377" s="22">
        <v>0.0</v>
      </c>
      <c r="J4377" s="22">
        <v>0.0</v>
      </c>
      <c r="K4377" s="22">
        <v>0.0</v>
      </c>
      <c r="L4377" s="22">
        <v>1472.487</v>
      </c>
      <c r="M4377" s="22">
        <v>1303.581</v>
      </c>
      <c r="N4377" s="22">
        <v>587.56</v>
      </c>
      <c r="O4377" s="23">
        <v>13.5</v>
      </c>
      <c r="P4377" s="18">
        <f t="shared" si="1"/>
        <v>1472.487</v>
      </c>
    </row>
    <row r="4378" ht="15.75" customHeight="1">
      <c r="A4378" s="13" t="s">
        <v>247</v>
      </c>
      <c r="B4378" s="13" t="s">
        <v>133</v>
      </c>
      <c r="C4378" s="14" t="s">
        <v>200</v>
      </c>
      <c r="D4378" s="14" t="str">
        <f>VLOOKUP(C4378,'State Key'!$A$2:$B$210,2,False)</f>
        <v>Maharashtra</v>
      </c>
      <c r="E4378" s="15">
        <v>750.0</v>
      </c>
      <c r="F4378" s="16">
        <v>0.0</v>
      </c>
      <c r="G4378" s="16">
        <v>0.0</v>
      </c>
      <c r="H4378" s="16">
        <v>0.0</v>
      </c>
      <c r="I4378" s="16">
        <v>0.0</v>
      </c>
      <c r="J4378" s="16">
        <v>240.237</v>
      </c>
      <c r="K4378" s="16">
        <v>0.0</v>
      </c>
      <c r="L4378" s="16">
        <v>240.237</v>
      </c>
      <c r="M4378" s="16">
        <v>195.3</v>
      </c>
      <c r="N4378" s="16">
        <v>241.4</v>
      </c>
      <c r="O4378" s="24">
        <v>37.1</v>
      </c>
      <c r="P4378" s="18">
        <f t="shared" si="1"/>
        <v>240.237</v>
      </c>
    </row>
    <row r="4379" ht="15.75" customHeight="1">
      <c r="A4379" s="19" t="s">
        <v>247</v>
      </c>
      <c r="B4379" s="19" t="s">
        <v>133</v>
      </c>
      <c r="C4379" s="20" t="s">
        <v>201</v>
      </c>
      <c r="D4379" s="14" t="str">
        <f>VLOOKUP(C4379,'State Key'!$A$2:$B$210,2,False)</f>
        <v>Chhattisgarh</v>
      </c>
      <c r="E4379" s="21">
        <v>1440.0</v>
      </c>
      <c r="F4379" s="22">
        <v>449.557</v>
      </c>
      <c r="G4379" s="22">
        <v>0.0</v>
      </c>
      <c r="H4379" s="22">
        <v>0.0</v>
      </c>
      <c r="I4379" s="22">
        <v>130.559</v>
      </c>
      <c r="J4379" s="22">
        <v>0.0</v>
      </c>
      <c r="K4379" s="22">
        <v>56.832</v>
      </c>
      <c r="L4379" s="22">
        <v>636.948</v>
      </c>
      <c r="M4379" s="22">
        <v>525.0</v>
      </c>
      <c r="N4379" s="22">
        <v>1009.5</v>
      </c>
      <c r="O4379" s="24">
        <v>57.7</v>
      </c>
      <c r="P4379" s="18">
        <f t="shared" si="1"/>
        <v>636.948</v>
      </c>
    </row>
    <row r="4380" ht="15.75" customHeight="1">
      <c r="A4380" s="13" t="s">
        <v>247</v>
      </c>
      <c r="B4380" s="13" t="s">
        <v>133</v>
      </c>
      <c r="C4380" s="14" t="s">
        <v>202</v>
      </c>
      <c r="D4380" s="14" t="str">
        <f>VLOOKUP(C4380,'State Key'!$A$2:$B$210,2,False)</f>
        <v>Gujarat</v>
      </c>
      <c r="E4380" s="15">
        <v>1110.0</v>
      </c>
      <c r="F4380" s="16">
        <v>378.501</v>
      </c>
      <c r="G4380" s="16">
        <v>0.0</v>
      </c>
      <c r="H4380" s="16">
        <v>0.0</v>
      </c>
      <c r="I4380" s="16">
        <v>0.0</v>
      </c>
      <c r="J4380" s="16">
        <v>0.0</v>
      </c>
      <c r="K4380" s="16">
        <v>0.0</v>
      </c>
      <c r="L4380" s="16">
        <v>378.501</v>
      </c>
      <c r="M4380" s="16">
        <v>393.044</v>
      </c>
      <c r="N4380" s="16">
        <v>224.39</v>
      </c>
      <c r="O4380" s="24">
        <v>17.1</v>
      </c>
      <c r="P4380" s="18">
        <f t="shared" si="1"/>
        <v>378.501</v>
      </c>
    </row>
    <row r="4381" ht="15.75" customHeight="1">
      <c r="A4381" s="19" t="s">
        <v>247</v>
      </c>
      <c r="B4381" s="19" t="s">
        <v>133</v>
      </c>
      <c r="C4381" s="20" t="s">
        <v>203</v>
      </c>
      <c r="D4381" s="14" t="str">
        <f>VLOOKUP(C4381,'State Key'!$A$2:$B$210,2,False)</f>
        <v>Madhya Pradesh</v>
      </c>
      <c r="E4381" s="21">
        <v>4760.0</v>
      </c>
      <c r="F4381" s="22">
        <v>2052.98</v>
      </c>
      <c r="G4381" s="22">
        <v>0.0</v>
      </c>
      <c r="H4381" s="22">
        <v>6.51</v>
      </c>
      <c r="I4381" s="22">
        <v>0.0</v>
      </c>
      <c r="J4381" s="22">
        <v>0.0</v>
      </c>
      <c r="K4381" s="22">
        <v>0.0</v>
      </c>
      <c r="L4381" s="22">
        <v>2059.49</v>
      </c>
      <c r="M4381" s="22">
        <v>2055.491</v>
      </c>
      <c r="N4381" s="22">
        <v>1352.268</v>
      </c>
      <c r="O4381" s="24">
        <v>19.7</v>
      </c>
      <c r="P4381" s="18">
        <f t="shared" si="1"/>
        <v>2059.49</v>
      </c>
    </row>
    <row r="4382" ht="15.75" customHeight="1">
      <c r="A4382" s="13" t="s">
        <v>247</v>
      </c>
      <c r="B4382" s="13" t="s">
        <v>133</v>
      </c>
      <c r="C4382" s="14" t="s">
        <v>204</v>
      </c>
      <c r="D4382" s="14" t="str">
        <f>VLOOKUP(C4382,'State Key'!$A$2:$B$210,2,False)</f>
        <v>Gujarat</v>
      </c>
      <c r="E4382" s="15">
        <v>2270.0</v>
      </c>
      <c r="F4382" s="16">
        <v>667.25094</v>
      </c>
      <c r="G4382" s="16">
        <v>0.0</v>
      </c>
      <c r="H4382" s="16">
        <v>0.0</v>
      </c>
      <c r="I4382" s="16">
        <v>0.0</v>
      </c>
      <c r="J4382" s="16">
        <v>0.0</v>
      </c>
      <c r="K4382" s="16">
        <v>0.0</v>
      </c>
      <c r="L4382" s="16">
        <v>667.25094</v>
      </c>
      <c r="M4382" s="16">
        <v>750.954</v>
      </c>
      <c r="N4382" s="16">
        <v>568.9</v>
      </c>
      <c r="O4382" s="24">
        <v>22.7</v>
      </c>
      <c r="P4382" s="18">
        <f t="shared" si="1"/>
        <v>667.25094</v>
      </c>
    </row>
    <row r="4383" ht="15.75" customHeight="1">
      <c r="A4383" s="19" t="s">
        <v>247</v>
      </c>
      <c r="B4383" s="19" t="s">
        <v>133</v>
      </c>
      <c r="C4383" s="20" t="s">
        <v>205</v>
      </c>
      <c r="D4383" s="14" t="str">
        <f>VLOOKUP(C4383,'State Key'!$A$2:$B$210,2,False)</f>
        <v>Maharashtra</v>
      </c>
      <c r="E4383" s="21">
        <v>540.0</v>
      </c>
      <c r="F4383" s="22">
        <v>264.35</v>
      </c>
      <c r="G4383" s="22">
        <v>0.0</v>
      </c>
      <c r="H4383" s="22">
        <v>0.0</v>
      </c>
      <c r="I4383" s="22">
        <v>0.0</v>
      </c>
      <c r="J4383" s="22">
        <v>0.0</v>
      </c>
      <c r="K4383" s="22">
        <v>31.86</v>
      </c>
      <c r="L4383" s="22">
        <v>296.21</v>
      </c>
      <c r="M4383" s="22">
        <v>227.9466</v>
      </c>
      <c r="N4383" s="22">
        <v>391.28</v>
      </c>
      <c r="O4383" s="24">
        <v>51.5</v>
      </c>
      <c r="P4383" s="18">
        <f t="shared" si="1"/>
        <v>296.21</v>
      </c>
    </row>
    <row r="4384" ht="15.75" customHeight="1">
      <c r="A4384" s="13" t="s">
        <v>250</v>
      </c>
      <c r="B4384" s="13" t="s">
        <v>22</v>
      </c>
      <c r="C4384" s="14" t="s">
        <v>23</v>
      </c>
      <c r="D4384" s="14" t="str">
        <f>VLOOKUP(C4384,'State Key'!$A$2:$B$210,2,False)</f>
        <v>West Bengal</v>
      </c>
      <c r="E4384" s="15">
        <v>1050.0</v>
      </c>
      <c r="F4384" s="16">
        <v>0.0</v>
      </c>
      <c r="G4384" s="16">
        <v>0.0</v>
      </c>
      <c r="H4384" s="16">
        <v>433.904</v>
      </c>
      <c r="I4384" s="16">
        <v>0.0</v>
      </c>
      <c r="J4384" s="16">
        <v>0.0</v>
      </c>
      <c r="K4384" s="16">
        <v>0.0</v>
      </c>
      <c r="L4384" s="16">
        <v>433.904</v>
      </c>
      <c r="M4384" s="16">
        <v>444.347</v>
      </c>
      <c r="N4384" s="16">
        <v>166.39</v>
      </c>
      <c r="O4384" s="23">
        <v>11.2</v>
      </c>
      <c r="P4384" s="18">
        <f t="shared" si="1"/>
        <v>433.904</v>
      </c>
    </row>
    <row r="4385" ht="15.75" customHeight="1">
      <c r="A4385" s="19" t="s">
        <v>250</v>
      </c>
      <c r="B4385" s="19" t="s">
        <v>22</v>
      </c>
      <c r="C4385" s="20" t="s">
        <v>24</v>
      </c>
      <c r="D4385" s="14" t="str">
        <f>VLOOKUP(C4385,'State Key'!$A$2:$B$210,2,False)</f>
        <v>West Bengal</v>
      </c>
      <c r="E4385" s="21">
        <v>270.0</v>
      </c>
      <c r="F4385" s="22">
        <v>0.0</v>
      </c>
      <c r="G4385" s="22">
        <v>0.0</v>
      </c>
      <c r="H4385" s="22">
        <v>147.023</v>
      </c>
      <c r="I4385" s="22">
        <v>0.0</v>
      </c>
      <c r="J4385" s="22">
        <v>0.0</v>
      </c>
      <c r="K4385" s="22">
        <v>0.0</v>
      </c>
      <c r="L4385" s="22">
        <v>147.023</v>
      </c>
      <c r="M4385" s="22">
        <v>95.062</v>
      </c>
      <c r="N4385" s="22">
        <v>149.99</v>
      </c>
      <c r="O4385" s="24">
        <v>47.3</v>
      </c>
      <c r="P4385" s="18">
        <f t="shared" si="1"/>
        <v>147.023</v>
      </c>
    </row>
    <row r="4386" ht="15.75" customHeight="1">
      <c r="A4386" s="13" t="s">
        <v>250</v>
      </c>
      <c r="B4386" s="13" t="s">
        <v>22</v>
      </c>
      <c r="C4386" s="14" t="s">
        <v>25</v>
      </c>
      <c r="D4386" s="14" t="str">
        <f>VLOOKUP(C4386,'State Key'!$A$2:$B$210,2,False)</f>
        <v>Bihar</v>
      </c>
      <c r="E4386" s="15">
        <v>500.0</v>
      </c>
      <c r="F4386" s="16">
        <v>32.43</v>
      </c>
      <c r="G4386" s="16">
        <v>0.0</v>
      </c>
      <c r="H4386" s="16">
        <v>73.17</v>
      </c>
      <c r="I4386" s="16">
        <v>0.0</v>
      </c>
      <c r="J4386" s="16">
        <v>0.0</v>
      </c>
      <c r="K4386" s="16">
        <v>48.17</v>
      </c>
      <c r="L4386" s="16">
        <v>153.77</v>
      </c>
      <c r="M4386" s="16">
        <v>190.163</v>
      </c>
      <c r="N4386" s="16">
        <v>254.972</v>
      </c>
      <c r="O4386" s="24">
        <v>40.2</v>
      </c>
      <c r="P4386" s="18">
        <f t="shared" si="1"/>
        <v>153.77</v>
      </c>
    </row>
    <row r="4387" ht="15.75" customHeight="1">
      <c r="A4387" s="19" t="s">
        <v>250</v>
      </c>
      <c r="B4387" s="19" t="s">
        <v>22</v>
      </c>
      <c r="C4387" s="20" t="s">
        <v>26</v>
      </c>
      <c r="D4387" s="14" t="str">
        <f>VLOOKUP(C4387,'State Key'!$A$2:$B$210,2,False)</f>
        <v>Bihar</v>
      </c>
      <c r="E4387" s="21">
        <v>2640.0</v>
      </c>
      <c r="F4387" s="22">
        <v>585.32</v>
      </c>
      <c r="G4387" s="22">
        <v>0.0</v>
      </c>
      <c r="H4387" s="22">
        <v>412.63</v>
      </c>
      <c r="I4387" s="22">
        <v>0.0</v>
      </c>
      <c r="J4387" s="22">
        <v>0.0</v>
      </c>
      <c r="K4387" s="22">
        <v>52.78</v>
      </c>
      <c r="L4387" s="22">
        <v>1050.73</v>
      </c>
      <c r="M4387" s="22">
        <v>968.475</v>
      </c>
      <c r="N4387" s="22">
        <v>1077.648</v>
      </c>
      <c r="O4387" s="24">
        <v>33.4</v>
      </c>
      <c r="P4387" s="18">
        <f t="shared" si="1"/>
        <v>1050.73</v>
      </c>
    </row>
    <row r="4388" ht="15.75" customHeight="1">
      <c r="A4388" s="13" t="s">
        <v>250</v>
      </c>
      <c r="B4388" s="13" t="s">
        <v>22</v>
      </c>
      <c r="C4388" s="14" t="s">
        <v>27</v>
      </c>
      <c r="D4388" s="14" t="str">
        <f>VLOOKUP(C4388,'State Key'!$A$2:$B$210,2,False)</f>
        <v>Jharkhand</v>
      </c>
      <c r="E4388" s="15">
        <v>500.0</v>
      </c>
      <c r="F4388" s="16">
        <v>0.0</v>
      </c>
      <c r="G4388" s="16">
        <v>0.0</v>
      </c>
      <c r="H4388" s="16">
        <v>0.0</v>
      </c>
      <c r="I4388" s="16">
        <v>0.0</v>
      </c>
      <c r="J4388" s="16">
        <v>0.0</v>
      </c>
      <c r="K4388" s="16">
        <v>0.0</v>
      </c>
      <c r="L4388" s="16">
        <v>0.0</v>
      </c>
      <c r="M4388" s="16">
        <v>0.0</v>
      </c>
      <c r="N4388" s="16">
        <v>224.55</v>
      </c>
      <c r="O4388" s="13" t="s">
        <v>58</v>
      </c>
      <c r="P4388" s="18">
        <f t="shared" si="1"/>
        <v>0</v>
      </c>
    </row>
    <row r="4389" ht="15.75" customHeight="1">
      <c r="A4389" s="19" t="s">
        <v>250</v>
      </c>
      <c r="B4389" s="19" t="s">
        <v>22</v>
      </c>
      <c r="C4389" s="20" t="s">
        <v>28</v>
      </c>
      <c r="D4389" s="14" t="str">
        <f>VLOOKUP(C4389,'State Key'!$A$2:$B$210,2,False)</f>
        <v>West Bengal</v>
      </c>
      <c r="E4389" s="21">
        <v>750.0</v>
      </c>
      <c r="F4389" s="22">
        <v>109.505</v>
      </c>
      <c r="G4389" s="22">
        <v>0.0</v>
      </c>
      <c r="H4389" s="22">
        <v>100.265</v>
      </c>
      <c r="I4389" s="22">
        <v>57.387</v>
      </c>
      <c r="J4389" s="22">
        <v>0.0</v>
      </c>
      <c r="K4389" s="22">
        <v>0.0</v>
      </c>
      <c r="L4389" s="22">
        <v>267.157</v>
      </c>
      <c r="M4389" s="22">
        <v>305.252</v>
      </c>
      <c r="N4389" s="22">
        <v>159.467</v>
      </c>
      <c r="O4389" s="24">
        <v>15.7</v>
      </c>
      <c r="P4389" s="18">
        <f t="shared" si="1"/>
        <v>267.157</v>
      </c>
    </row>
    <row r="4390" ht="15.75" customHeight="1">
      <c r="A4390" s="13" t="s">
        <v>250</v>
      </c>
      <c r="B4390" s="13" t="s">
        <v>22</v>
      </c>
      <c r="C4390" s="14" t="s">
        <v>29</v>
      </c>
      <c r="D4390" s="14" t="str">
        <f>VLOOKUP(C4390,'State Key'!$A$2:$B$210,2,False)</f>
        <v>Jharkhand</v>
      </c>
      <c r="E4390" s="15">
        <v>500.0</v>
      </c>
      <c r="F4390" s="16">
        <v>113.064</v>
      </c>
      <c r="G4390" s="16">
        <v>0.0</v>
      </c>
      <c r="H4390" s="16">
        <v>129.889</v>
      </c>
      <c r="I4390" s="16">
        <v>0.0</v>
      </c>
      <c r="J4390" s="16">
        <v>0.0</v>
      </c>
      <c r="K4390" s="16">
        <v>0.0</v>
      </c>
      <c r="L4390" s="16">
        <v>242.953</v>
      </c>
      <c r="M4390" s="16">
        <v>213.395</v>
      </c>
      <c r="N4390" s="16">
        <v>257.08</v>
      </c>
      <c r="O4390" s="24">
        <v>36.1</v>
      </c>
      <c r="P4390" s="18">
        <f t="shared" si="1"/>
        <v>242.953</v>
      </c>
    </row>
    <row r="4391" ht="15.75" customHeight="1">
      <c r="A4391" s="19" t="s">
        <v>250</v>
      </c>
      <c r="B4391" s="19" t="s">
        <v>22</v>
      </c>
      <c r="C4391" s="20" t="s">
        <v>30</v>
      </c>
      <c r="D4391" s="14" t="str">
        <f>VLOOKUP(C4391,'State Key'!$A$2:$B$210,2,False)</f>
        <v>West Bengal</v>
      </c>
      <c r="E4391" s="21">
        <v>550.0</v>
      </c>
      <c r="F4391" s="22">
        <v>130.675</v>
      </c>
      <c r="G4391" s="22">
        <v>0.0</v>
      </c>
      <c r="H4391" s="22">
        <v>91.069</v>
      </c>
      <c r="I4391" s="22">
        <v>3.887</v>
      </c>
      <c r="J4391" s="22">
        <v>0.0</v>
      </c>
      <c r="K4391" s="22">
        <v>0.0</v>
      </c>
      <c r="L4391" s="22">
        <v>225.631</v>
      </c>
      <c r="M4391" s="22">
        <v>247.598</v>
      </c>
      <c r="N4391" s="22">
        <v>92.07</v>
      </c>
      <c r="O4391" s="23">
        <v>11.2</v>
      </c>
      <c r="P4391" s="18">
        <f t="shared" si="1"/>
        <v>225.631</v>
      </c>
    </row>
    <row r="4392" ht="15.75" customHeight="1">
      <c r="A4392" s="13" t="s">
        <v>250</v>
      </c>
      <c r="B4392" s="13" t="s">
        <v>22</v>
      </c>
      <c r="C4392" s="14" t="s">
        <v>31</v>
      </c>
      <c r="D4392" s="14" t="str">
        <f>VLOOKUP(C4392,'State Key'!$A$2:$B$210,2,False)</f>
        <v>Odisha</v>
      </c>
      <c r="E4392" s="15">
        <v>1600.0</v>
      </c>
      <c r="F4392" s="16">
        <v>0.0</v>
      </c>
      <c r="G4392" s="16">
        <v>0.0</v>
      </c>
      <c r="H4392" s="16">
        <v>715.01</v>
      </c>
      <c r="I4392" s="16">
        <v>0.0</v>
      </c>
      <c r="J4392" s="16">
        <v>0.0</v>
      </c>
      <c r="K4392" s="16">
        <v>0.0</v>
      </c>
      <c r="L4392" s="16">
        <v>715.01</v>
      </c>
      <c r="M4392" s="16">
        <v>712.616</v>
      </c>
      <c r="N4392" s="16">
        <v>356.36</v>
      </c>
      <c r="O4392" s="24">
        <v>15.0</v>
      </c>
      <c r="P4392" s="18">
        <f t="shared" si="1"/>
        <v>715.01</v>
      </c>
    </row>
    <row r="4393" ht="15.75" customHeight="1">
      <c r="A4393" s="19" t="s">
        <v>250</v>
      </c>
      <c r="B4393" s="19" t="s">
        <v>22</v>
      </c>
      <c r="C4393" s="20" t="s">
        <v>32</v>
      </c>
      <c r="D4393" s="14" t="str">
        <f>VLOOKUP(C4393,'State Key'!$A$2:$B$210,2,False)</f>
        <v>Odisha</v>
      </c>
      <c r="E4393" s="21">
        <v>1200.0</v>
      </c>
      <c r="F4393" s="22">
        <v>347.913</v>
      </c>
      <c r="G4393" s="22">
        <v>0.0</v>
      </c>
      <c r="H4393" s="22">
        <v>0.0</v>
      </c>
      <c r="I4393" s="22">
        <v>202.126</v>
      </c>
      <c r="J4393" s="22">
        <v>0.0</v>
      </c>
      <c r="K4393" s="22">
        <v>0.0</v>
      </c>
      <c r="L4393" s="22">
        <v>550.039</v>
      </c>
      <c r="M4393" s="22">
        <v>569.092</v>
      </c>
      <c r="N4393" s="22">
        <v>1036.67</v>
      </c>
      <c r="O4393" s="24">
        <v>54.6</v>
      </c>
      <c r="P4393" s="18">
        <f t="shared" si="1"/>
        <v>550.039</v>
      </c>
    </row>
    <row r="4394" ht="15.75" customHeight="1">
      <c r="A4394" s="13" t="s">
        <v>250</v>
      </c>
      <c r="B4394" s="13" t="s">
        <v>22</v>
      </c>
      <c r="C4394" s="14" t="s">
        <v>34</v>
      </c>
      <c r="D4394" s="14" t="str">
        <f>VLOOKUP(C4394,'State Key'!$A$2:$B$210,2,False)</f>
        <v>West Bengal</v>
      </c>
      <c r="E4394" s="15">
        <v>1000.0</v>
      </c>
      <c r="F4394" s="16">
        <v>365.941</v>
      </c>
      <c r="G4394" s="16">
        <v>0.0</v>
      </c>
      <c r="H4394" s="16">
        <v>0.0</v>
      </c>
      <c r="I4394" s="16">
        <v>0.0</v>
      </c>
      <c r="J4394" s="16">
        <v>0.0</v>
      </c>
      <c r="K4394" s="16">
        <v>0.927</v>
      </c>
      <c r="L4394" s="16">
        <v>366.868</v>
      </c>
      <c r="M4394" s="16">
        <v>349.399</v>
      </c>
      <c r="N4394" s="16">
        <v>402.09</v>
      </c>
      <c r="O4394" s="24">
        <v>34.5</v>
      </c>
      <c r="P4394" s="18">
        <f t="shared" si="1"/>
        <v>366.868</v>
      </c>
    </row>
    <row r="4395" ht="15.75" customHeight="1">
      <c r="A4395" s="19" t="s">
        <v>250</v>
      </c>
      <c r="B4395" s="19" t="s">
        <v>22</v>
      </c>
      <c r="C4395" s="20" t="s">
        <v>35</v>
      </c>
      <c r="D4395" s="14" t="str">
        <f>VLOOKUP(C4395,'State Key'!$A$2:$B$210,2,False)</f>
        <v>West Bengal</v>
      </c>
      <c r="E4395" s="21">
        <v>2100.0</v>
      </c>
      <c r="F4395" s="22">
        <v>583.8</v>
      </c>
      <c r="G4395" s="22">
        <v>0.0</v>
      </c>
      <c r="H4395" s="22">
        <v>15.67</v>
      </c>
      <c r="I4395" s="22">
        <v>0.0</v>
      </c>
      <c r="J4395" s="22">
        <v>0.0</v>
      </c>
      <c r="K4395" s="22">
        <v>0.0</v>
      </c>
      <c r="L4395" s="22">
        <v>599.47</v>
      </c>
      <c r="M4395" s="22">
        <v>728.038</v>
      </c>
      <c r="N4395" s="22">
        <v>741.08</v>
      </c>
      <c r="O4395" s="24">
        <v>30.5</v>
      </c>
      <c r="P4395" s="18">
        <f t="shared" si="1"/>
        <v>599.47</v>
      </c>
    </row>
    <row r="4396" ht="15.75" customHeight="1">
      <c r="A4396" s="13" t="s">
        <v>250</v>
      </c>
      <c r="B4396" s="13" t="s">
        <v>22</v>
      </c>
      <c r="C4396" s="14" t="s">
        <v>36</v>
      </c>
      <c r="D4396" s="14" t="str">
        <f>VLOOKUP(C4396,'State Key'!$A$2:$B$210,2,False)</f>
        <v>West Bengal</v>
      </c>
      <c r="E4396" s="15">
        <v>600.0</v>
      </c>
      <c r="F4396" s="16">
        <v>317.898</v>
      </c>
      <c r="G4396" s="16">
        <v>0.0</v>
      </c>
      <c r="H4396" s="16">
        <v>0.0</v>
      </c>
      <c r="I4396" s="16">
        <v>0.0</v>
      </c>
      <c r="J4396" s="16">
        <v>0.0</v>
      </c>
      <c r="K4396" s="16">
        <v>0.0</v>
      </c>
      <c r="L4396" s="16">
        <v>317.898</v>
      </c>
      <c r="M4396" s="16">
        <v>280.588</v>
      </c>
      <c r="N4396" s="16">
        <v>138.45</v>
      </c>
      <c r="O4396" s="24">
        <v>14.8</v>
      </c>
      <c r="P4396" s="18">
        <f t="shared" si="1"/>
        <v>317.898</v>
      </c>
    </row>
    <row r="4397" ht="15.75" customHeight="1">
      <c r="A4397" s="19" t="s">
        <v>250</v>
      </c>
      <c r="B4397" s="19" t="s">
        <v>22</v>
      </c>
      <c r="C4397" s="20" t="s">
        <v>37</v>
      </c>
      <c r="D4397" s="14" t="str">
        <f>VLOOKUP(C4397,'State Key'!$A$2:$B$210,2,False)</f>
        <v>West Bengal</v>
      </c>
      <c r="E4397" s="21">
        <v>300.0</v>
      </c>
      <c r="F4397" s="22">
        <v>154.127</v>
      </c>
      <c r="G4397" s="22">
        <v>0.0</v>
      </c>
      <c r="H4397" s="22">
        <v>0.0</v>
      </c>
      <c r="I4397" s="22">
        <v>0.0</v>
      </c>
      <c r="J4397" s="22">
        <v>0.0</v>
      </c>
      <c r="K4397" s="22">
        <v>0.0</v>
      </c>
      <c r="L4397" s="22">
        <v>154.127</v>
      </c>
      <c r="M4397" s="22">
        <v>123.726</v>
      </c>
      <c r="N4397" s="22">
        <v>118.11</v>
      </c>
      <c r="O4397" s="24">
        <v>28.6</v>
      </c>
      <c r="P4397" s="18">
        <f t="shared" si="1"/>
        <v>154.127</v>
      </c>
    </row>
    <row r="4398" ht="15.75" customHeight="1">
      <c r="A4398" s="13" t="s">
        <v>250</v>
      </c>
      <c r="B4398" s="13" t="s">
        <v>22</v>
      </c>
      <c r="C4398" s="14" t="s">
        <v>38</v>
      </c>
      <c r="D4398" s="14" t="str">
        <f>VLOOKUP(C4398,'State Key'!$A$2:$B$210,2,False)</f>
        <v>Odisha</v>
      </c>
      <c r="E4398" s="15">
        <v>1740.0</v>
      </c>
      <c r="F4398" s="16">
        <v>60.97</v>
      </c>
      <c r="G4398" s="16">
        <v>0.0</v>
      </c>
      <c r="H4398" s="16">
        <v>728.356</v>
      </c>
      <c r="I4398" s="16">
        <v>0.0</v>
      </c>
      <c r="J4398" s="16">
        <v>0.0</v>
      </c>
      <c r="K4398" s="16">
        <v>0.0</v>
      </c>
      <c r="L4398" s="16">
        <v>789.326</v>
      </c>
      <c r="M4398" s="16">
        <v>774.762</v>
      </c>
      <c r="N4398" s="16">
        <v>265.27</v>
      </c>
      <c r="O4398" s="23">
        <v>10.3</v>
      </c>
      <c r="P4398" s="18">
        <f t="shared" si="1"/>
        <v>789.326</v>
      </c>
    </row>
    <row r="4399" ht="15.75" customHeight="1">
      <c r="A4399" s="19" t="s">
        <v>250</v>
      </c>
      <c r="B4399" s="19" t="s">
        <v>22</v>
      </c>
      <c r="C4399" s="20" t="s">
        <v>39</v>
      </c>
      <c r="D4399" s="14" t="str">
        <f>VLOOKUP(C4399,'State Key'!$A$2:$B$210,2,False)</f>
        <v>Jharkhand</v>
      </c>
      <c r="E4399" s="21">
        <v>240.0</v>
      </c>
      <c r="F4399" s="22">
        <v>49.098</v>
      </c>
      <c r="G4399" s="22">
        <v>0.0</v>
      </c>
      <c r="H4399" s="22">
        <v>0.0</v>
      </c>
      <c r="I4399" s="22">
        <v>0.0</v>
      </c>
      <c r="J4399" s="22">
        <v>0.0</v>
      </c>
      <c r="K4399" s="22">
        <v>0.0</v>
      </c>
      <c r="L4399" s="22">
        <v>49.098</v>
      </c>
      <c r="M4399" s="22">
        <v>85.583</v>
      </c>
      <c r="N4399" s="22">
        <v>199.77</v>
      </c>
      <c r="O4399" s="24">
        <v>70.0</v>
      </c>
      <c r="P4399" s="18">
        <f t="shared" si="1"/>
        <v>49.098</v>
      </c>
    </row>
    <row r="4400" ht="15.75" customHeight="1">
      <c r="A4400" s="13" t="s">
        <v>250</v>
      </c>
      <c r="B4400" s="13" t="s">
        <v>22</v>
      </c>
      <c r="C4400" s="14" t="s">
        <v>245</v>
      </c>
      <c r="D4400" s="14" t="str">
        <f>VLOOKUP(C4400,'State Key'!$A$2:$B$210,2,False)</f>
        <v>Odisha</v>
      </c>
      <c r="E4400" s="15">
        <v>700.0</v>
      </c>
      <c r="F4400" s="16">
        <v>0.0</v>
      </c>
      <c r="G4400" s="16">
        <v>0.0</v>
      </c>
      <c r="H4400" s="16">
        <v>0.0</v>
      </c>
      <c r="I4400" s="16">
        <v>0.0</v>
      </c>
      <c r="J4400" s="16">
        <v>0.0</v>
      </c>
      <c r="K4400" s="16">
        <v>172.307</v>
      </c>
      <c r="L4400" s="16">
        <v>172.307</v>
      </c>
      <c r="M4400" s="16">
        <v>287.002</v>
      </c>
      <c r="N4400" s="16">
        <v>147.87</v>
      </c>
      <c r="O4400" s="24">
        <v>15.5</v>
      </c>
      <c r="P4400" s="18">
        <f t="shared" si="1"/>
        <v>172.307</v>
      </c>
    </row>
    <row r="4401" ht="15.75" customHeight="1">
      <c r="A4401" s="19" t="s">
        <v>250</v>
      </c>
      <c r="B4401" s="19" t="s">
        <v>22</v>
      </c>
      <c r="C4401" s="20" t="s">
        <v>40</v>
      </c>
      <c r="D4401" s="14" t="str">
        <f>VLOOKUP(C4401,'State Key'!$A$2:$B$210,2,False)</f>
        <v>Bihar</v>
      </c>
      <c r="E4401" s="21">
        <v>2340.0</v>
      </c>
      <c r="F4401" s="22">
        <v>1086.92</v>
      </c>
      <c r="G4401" s="22">
        <v>0.0</v>
      </c>
      <c r="H4401" s="22">
        <v>31.64</v>
      </c>
      <c r="I4401" s="22">
        <v>0.0</v>
      </c>
      <c r="J4401" s="22">
        <v>0.0</v>
      </c>
      <c r="K4401" s="22">
        <v>0.0</v>
      </c>
      <c r="L4401" s="22">
        <v>1118.56</v>
      </c>
      <c r="M4401" s="22">
        <v>1149.406</v>
      </c>
      <c r="N4401" s="22">
        <v>777.831</v>
      </c>
      <c r="O4401" s="24">
        <v>20.3</v>
      </c>
      <c r="P4401" s="18">
        <f t="shared" si="1"/>
        <v>1118.56</v>
      </c>
    </row>
    <row r="4402" ht="15.75" customHeight="1">
      <c r="A4402" s="13" t="s">
        <v>250</v>
      </c>
      <c r="B4402" s="13" t="s">
        <v>22</v>
      </c>
      <c r="C4402" s="14" t="s">
        <v>41</v>
      </c>
      <c r="D4402" s="14" t="str">
        <f>VLOOKUP(C4402,'State Key'!$A$2:$B$210,2,False)</f>
        <v>Odisha</v>
      </c>
      <c r="E4402" s="15">
        <v>1050.0</v>
      </c>
      <c r="F4402" s="16">
        <v>372.631</v>
      </c>
      <c r="G4402" s="16">
        <v>0.0</v>
      </c>
      <c r="H4402" s="16">
        <v>0.0</v>
      </c>
      <c r="I4402" s="16">
        <v>107.745</v>
      </c>
      <c r="J4402" s="16">
        <v>0.0</v>
      </c>
      <c r="K4402" s="16">
        <v>0.0</v>
      </c>
      <c r="L4402" s="16">
        <v>480.376</v>
      </c>
      <c r="M4402" s="16">
        <v>530.794</v>
      </c>
      <c r="N4402" s="16">
        <v>241.59</v>
      </c>
      <c r="O4402" s="23">
        <v>13.7</v>
      </c>
      <c r="P4402" s="18">
        <f t="shared" si="1"/>
        <v>480.376</v>
      </c>
    </row>
    <row r="4403" ht="15.75" customHeight="1">
      <c r="A4403" s="19" t="s">
        <v>250</v>
      </c>
      <c r="B4403" s="19" t="s">
        <v>22</v>
      </c>
      <c r="C4403" s="20" t="s">
        <v>42</v>
      </c>
      <c r="D4403" s="14" t="str">
        <f>VLOOKUP(C4403,'State Key'!$A$2:$B$210,2,False)</f>
        <v>Jharkhand</v>
      </c>
      <c r="E4403" s="21">
        <v>1000.0</v>
      </c>
      <c r="F4403" s="22">
        <v>310.056</v>
      </c>
      <c r="G4403" s="22">
        <v>0.0</v>
      </c>
      <c r="H4403" s="22">
        <v>173.531</v>
      </c>
      <c r="I4403" s="22">
        <v>0.0</v>
      </c>
      <c r="J4403" s="22">
        <v>0.0</v>
      </c>
      <c r="K4403" s="22">
        <v>0.0</v>
      </c>
      <c r="L4403" s="22">
        <v>483.587</v>
      </c>
      <c r="M4403" s="22">
        <v>460.867</v>
      </c>
      <c r="N4403" s="22">
        <v>432.5</v>
      </c>
      <c r="O4403" s="24">
        <v>28.2</v>
      </c>
      <c r="P4403" s="18">
        <f t="shared" si="1"/>
        <v>483.587</v>
      </c>
    </row>
    <row r="4404" ht="15.75" customHeight="1">
      <c r="A4404" s="13" t="s">
        <v>250</v>
      </c>
      <c r="B4404" s="13" t="s">
        <v>22</v>
      </c>
      <c r="C4404" s="14" t="s">
        <v>43</v>
      </c>
      <c r="D4404" s="14" t="str">
        <f>VLOOKUP(C4404,'State Key'!$A$2:$B$210,2,False)</f>
        <v>West Bengal</v>
      </c>
      <c r="E4404" s="15">
        <v>840.0</v>
      </c>
      <c r="F4404" s="16">
        <v>0.0</v>
      </c>
      <c r="G4404" s="16">
        <v>0.0</v>
      </c>
      <c r="H4404" s="16">
        <v>397.717</v>
      </c>
      <c r="I4404" s="16">
        <v>0.0</v>
      </c>
      <c r="J4404" s="16">
        <v>0.0</v>
      </c>
      <c r="K4404" s="16">
        <v>0.0</v>
      </c>
      <c r="L4404" s="16">
        <v>397.717</v>
      </c>
      <c r="M4404" s="16">
        <v>315.363</v>
      </c>
      <c r="N4404" s="16">
        <v>159.19</v>
      </c>
      <c r="O4404" s="24">
        <v>15.1</v>
      </c>
      <c r="P4404" s="18">
        <f t="shared" si="1"/>
        <v>397.717</v>
      </c>
    </row>
    <row r="4405" ht="15.75" customHeight="1">
      <c r="A4405" s="19" t="s">
        <v>250</v>
      </c>
      <c r="B4405" s="19" t="s">
        <v>22</v>
      </c>
      <c r="C4405" s="20" t="s">
        <v>44</v>
      </c>
      <c r="D4405" s="14" t="str">
        <f>VLOOKUP(C4405,'State Key'!$A$2:$B$210,2,False)</f>
        <v>Jharkhand</v>
      </c>
      <c r="E4405" s="21">
        <v>540.0</v>
      </c>
      <c r="F4405" s="22">
        <v>203.554</v>
      </c>
      <c r="G4405" s="22">
        <v>0.0</v>
      </c>
      <c r="H4405" s="22">
        <v>0.0</v>
      </c>
      <c r="I4405" s="22">
        <v>0.0</v>
      </c>
      <c r="J4405" s="22">
        <v>0.0</v>
      </c>
      <c r="K4405" s="22">
        <v>27.534</v>
      </c>
      <c r="L4405" s="22">
        <v>231.088</v>
      </c>
      <c r="M4405" s="22">
        <v>234.21</v>
      </c>
      <c r="N4405" s="22">
        <v>81.86</v>
      </c>
      <c r="O4405" s="23">
        <v>10.5</v>
      </c>
      <c r="P4405" s="18">
        <f t="shared" si="1"/>
        <v>231.088</v>
      </c>
    </row>
    <row r="4406" ht="15.75" customHeight="1">
      <c r="A4406" s="13" t="s">
        <v>250</v>
      </c>
      <c r="B4406" s="13" t="s">
        <v>22</v>
      </c>
      <c r="C4406" s="14" t="s">
        <v>45</v>
      </c>
      <c r="D4406" s="14" t="str">
        <f>VLOOKUP(C4406,'State Key'!$A$2:$B$210,2,False)</f>
        <v>Jharkhand</v>
      </c>
      <c r="E4406" s="15">
        <v>1050.0</v>
      </c>
      <c r="F4406" s="16">
        <v>311.002</v>
      </c>
      <c r="G4406" s="16">
        <v>0.0</v>
      </c>
      <c r="H4406" s="16">
        <v>0.0</v>
      </c>
      <c r="I4406" s="16">
        <v>0.0</v>
      </c>
      <c r="J4406" s="16">
        <v>0.0</v>
      </c>
      <c r="K4406" s="16">
        <v>0.0</v>
      </c>
      <c r="L4406" s="16">
        <v>311.002</v>
      </c>
      <c r="M4406" s="16">
        <v>366.677</v>
      </c>
      <c r="N4406" s="16">
        <v>575.4</v>
      </c>
      <c r="O4406" s="24">
        <v>47.1</v>
      </c>
      <c r="P4406" s="18">
        <f t="shared" si="1"/>
        <v>311.002</v>
      </c>
    </row>
    <row r="4407" ht="15.75" customHeight="1">
      <c r="A4407" s="19" t="s">
        <v>250</v>
      </c>
      <c r="B4407" s="19" t="s">
        <v>22</v>
      </c>
      <c r="C4407" s="20" t="s">
        <v>46</v>
      </c>
      <c r="D4407" s="14" t="str">
        <f>VLOOKUP(C4407,'State Key'!$A$2:$B$210,2,False)</f>
        <v>West Bengal</v>
      </c>
      <c r="E4407" s="21">
        <v>2340.0</v>
      </c>
      <c r="F4407" s="22">
        <v>662.376</v>
      </c>
      <c r="G4407" s="22">
        <v>0.0</v>
      </c>
      <c r="H4407" s="22">
        <v>101.414</v>
      </c>
      <c r="I4407" s="22">
        <v>0.0</v>
      </c>
      <c r="J4407" s="22">
        <v>0.0</v>
      </c>
      <c r="K4407" s="22">
        <v>0.0</v>
      </c>
      <c r="L4407" s="22">
        <v>763.79</v>
      </c>
      <c r="M4407" s="22">
        <v>864.72</v>
      </c>
      <c r="N4407" s="22">
        <v>465.94</v>
      </c>
      <c r="O4407" s="24">
        <v>16.2</v>
      </c>
      <c r="P4407" s="18">
        <f t="shared" si="1"/>
        <v>763.79</v>
      </c>
    </row>
    <row r="4408" ht="15.75" customHeight="1">
      <c r="A4408" s="13" t="s">
        <v>250</v>
      </c>
      <c r="B4408" s="13" t="s">
        <v>22</v>
      </c>
      <c r="C4408" s="14" t="s">
        <v>47</v>
      </c>
      <c r="D4408" s="14" t="str">
        <f>VLOOKUP(C4408,'State Key'!$A$2:$B$210,2,False)</f>
        <v>Bihar</v>
      </c>
      <c r="E4408" s="15">
        <v>390.0</v>
      </c>
      <c r="F4408" s="16">
        <v>31.82</v>
      </c>
      <c r="G4408" s="16">
        <v>0.0</v>
      </c>
      <c r="H4408" s="16">
        <v>80.25</v>
      </c>
      <c r="I4408" s="16">
        <v>0.0</v>
      </c>
      <c r="J4408" s="16">
        <v>0.0</v>
      </c>
      <c r="K4408" s="16">
        <v>0.0</v>
      </c>
      <c r="L4408" s="16">
        <v>112.07</v>
      </c>
      <c r="M4408" s="16">
        <v>138.464</v>
      </c>
      <c r="N4408" s="16">
        <v>123.2</v>
      </c>
      <c r="O4408" s="24">
        <v>26.7</v>
      </c>
      <c r="P4408" s="18">
        <f t="shared" si="1"/>
        <v>112.07</v>
      </c>
    </row>
    <row r="4409" ht="15.75" customHeight="1">
      <c r="A4409" s="19" t="s">
        <v>250</v>
      </c>
      <c r="B4409" s="19" t="s">
        <v>22</v>
      </c>
      <c r="C4409" s="20" t="s">
        <v>241</v>
      </c>
      <c r="D4409" s="14" t="str">
        <f>VLOOKUP(C4409,'State Key'!$A$2:$B$210,2,False)</f>
        <v>Odisha</v>
      </c>
      <c r="E4409" s="21">
        <v>60.0</v>
      </c>
      <c r="F4409" s="22">
        <v>37.38</v>
      </c>
      <c r="G4409" s="22">
        <v>0.0</v>
      </c>
      <c r="H4409" s="22">
        <v>0.0</v>
      </c>
      <c r="I4409" s="22">
        <v>0.0</v>
      </c>
      <c r="J4409" s="22">
        <v>0.0</v>
      </c>
      <c r="K4409" s="22">
        <v>0.0</v>
      </c>
      <c r="L4409" s="22">
        <v>37.38</v>
      </c>
      <c r="M4409" s="22">
        <v>36.22</v>
      </c>
      <c r="N4409" s="22">
        <v>4.49</v>
      </c>
      <c r="O4409" s="17">
        <v>3.7</v>
      </c>
      <c r="P4409" s="18">
        <f t="shared" si="1"/>
        <v>37.38</v>
      </c>
    </row>
    <row r="4410" ht="15.75" customHeight="1">
      <c r="A4410" s="13" t="s">
        <v>250</v>
      </c>
      <c r="B4410" s="13" t="s">
        <v>22</v>
      </c>
      <c r="C4410" s="14" t="s">
        <v>48</v>
      </c>
      <c r="D4410" s="14" t="str">
        <f>VLOOKUP(C4410,'State Key'!$A$2:$B$210,2,False)</f>
        <v>Bihar</v>
      </c>
      <c r="E4410" s="15">
        <v>1980.0</v>
      </c>
      <c r="F4410" s="16">
        <v>600.087</v>
      </c>
      <c r="G4410" s="16">
        <v>0.0</v>
      </c>
      <c r="H4410" s="16">
        <v>145.712</v>
      </c>
      <c r="I4410" s="16">
        <v>73.424</v>
      </c>
      <c r="J4410" s="16">
        <v>0.0</v>
      </c>
      <c r="K4410" s="16">
        <v>0.0</v>
      </c>
      <c r="L4410" s="16">
        <v>819.223</v>
      </c>
      <c r="M4410" s="16">
        <v>759.371</v>
      </c>
      <c r="N4410" s="16">
        <v>987.54</v>
      </c>
      <c r="O4410" s="24">
        <v>39.0</v>
      </c>
      <c r="P4410" s="18">
        <f t="shared" si="1"/>
        <v>819.223</v>
      </c>
    </row>
    <row r="4411" ht="15.75" customHeight="1">
      <c r="A4411" s="19" t="s">
        <v>250</v>
      </c>
      <c r="B4411" s="19" t="s">
        <v>22</v>
      </c>
      <c r="C4411" s="20" t="s">
        <v>49</v>
      </c>
      <c r="D4411" s="14" t="str">
        <f>VLOOKUP(C4411,'State Key'!$A$2:$B$210,2,False)</f>
        <v>Bihar</v>
      </c>
      <c r="E4411" s="21">
        <v>1000.0</v>
      </c>
      <c r="F4411" s="22">
        <v>395.295</v>
      </c>
      <c r="G4411" s="22">
        <v>0.0</v>
      </c>
      <c r="H4411" s="22">
        <v>0.0</v>
      </c>
      <c r="I4411" s="22">
        <v>0.0</v>
      </c>
      <c r="J4411" s="22">
        <v>0.0</v>
      </c>
      <c r="K4411" s="22">
        <v>0.0</v>
      </c>
      <c r="L4411" s="22">
        <v>395.295</v>
      </c>
      <c r="M4411" s="22">
        <v>401.736</v>
      </c>
      <c r="N4411" s="22">
        <v>341.39</v>
      </c>
      <c r="O4411" s="24">
        <v>25.5</v>
      </c>
      <c r="P4411" s="18">
        <f t="shared" si="1"/>
        <v>395.295</v>
      </c>
    </row>
    <row r="4412" ht="15.75" customHeight="1">
      <c r="A4412" s="13" t="s">
        <v>250</v>
      </c>
      <c r="B4412" s="13" t="s">
        <v>22</v>
      </c>
      <c r="C4412" s="14" t="s">
        <v>50</v>
      </c>
      <c r="D4412" s="14" t="str">
        <f>VLOOKUP(C4412,'State Key'!$A$2:$B$210,2,False)</f>
        <v>Jharkhand</v>
      </c>
      <c r="E4412" s="15">
        <v>1320.0</v>
      </c>
      <c r="F4412" s="16">
        <v>404.62</v>
      </c>
      <c r="G4412" s="16">
        <v>0.0</v>
      </c>
      <c r="H4412" s="16">
        <v>123.67</v>
      </c>
      <c r="I4412" s="16">
        <v>0.0</v>
      </c>
      <c r="J4412" s="16">
        <v>0.0</v>
      </c>
      <c r="K4412" s="16">
        <v>0.0</v>
      </c>
      <c r="L4412" s="16">
        <v>528.29</v>
      </c>
      <c r="M4412" s="16">
        <v>565.641</v>
      </c>
      <c r="N4412" s="16">
        <v>567.095</v>
      </c>
      <c r="O4412" s="24">
        <v>30.1</v>
      </c>
      <c r="P4412" s="18">
        <f t="shared" si="1"/>
        <v>528.29</v>
      </c>
    </row>
    <row r="4413" ht="15.75" customHeight="1">
      <c r="A4413" s="19" t="s">
        <v>250</v>
      </c>
      <c r="B4413" s="19" t="s">
        <v>22</v>
      </c>
      <c r="C4413" s="20" t="s">
        <v>51</v>
      </c>
      <c r="D4413" s="14" t="str">
        <f>VLOOKUP(C4413,'State Key'!$A$2:$B$210,2,False)</f>
        <v>West Bengal</v>
      </c>
      <c r="E4413" s="21">
        <v>1200.0</v>
      </c>
      <c r="F4413" s="22">
        <v>384.126</v>
      </c>
      <c r="G4413" s="22">
        <v>0.0</v>
      </c>
      <c r="H4413" s="22">
        <v>18.603</v>
      </c>
      <c r="I4413" s="22">
        <v>0.0</v>
      </c>
      <c r="J4413" s="22">
        <v>0.0</v>
      </c>
      <c r="K4413" s="22">
        <v>0.0</v>
      </c>
      <c r="L4413" s="22">
        <v>402.729</v>
      </c>
      <c r="M4413" s="22">
        <v>458.231</v>
      </c>
      <c r="N4413" s="22">
        <v>309.57</v>
      </c>
      <c r="O4413" s="24">
        <v>20.3</v>
      </c>
      <c r="P4413" s="18">
        <f t="shared" si="1"/>
        <v>402.729</v>
      </c>
    </row>
    <row r="4414" ht="15.75" customHeight="1">
      <c r="A4414" s="13" t="s">
        <v>250</v>
      </c>
      <c r="B4414" s="13" t="s">
        <v>22</v>
      </c>
      <c r="C4414" s="14" t="s">
        <v>52</v>
      </c>
      <c r="D4414" s="14" t="str">
        <f>VLOOKUP(C4414,'State Key'!$A$2:$B$210,2,False)</f>
        <v>West Bengal</v>
      </c>
      <c r="E4414" s="15">
        <v>1600.0</v>
      </c>
      <c r="F4414" s="16">
        <v>0.0</v>
      </c>
      <c r="G4414" s="16">
        <v>0.0</v>
      </c>
      <c r="H4414" s="16">
        <v>804.149</v>
      </c>
      <c r="I4414" s="16">
        <v>0.0</v>
      </c>
      <c r="J4414" s="16">
        <v>0.0</v>
      </c>
      <c r="K4414" s="16">
        <v>0.0</v>
      </c>
      <c r="L4414" s="16">
        <v>804.149</v>
      </c>
      <c r="M4414" s="16">
        <v>574.736</v>
      </c>
      <c r="N4414" s="16">
        <v>498.0</v>
      </c>
      <c r="O4414" s="24">
        <v>26.0</v>
      </c>
      <c r="P4414" s="18">
        <f t="shared" si="1"/>
        <v>804.149</v>
      </c>
    </row>
    <row r="4415" ht="15.75" customHeight="1">
      <c r="A4415" s="19" t="s">
        <v>250</v>
      </c>
      <c r="B4415" s="19" t="s">
        <v>22</v>
      </c>
      <c r="C4415" s="20" t="s">
        <v>53</v>
      </c>
      <c r="D4415" s="14" t="str">
        <f>VLOOKUP(C4415,'State Key'!$A$2:$B$210,2,False)</f>
        <v>West Bengal</v>
      </c>
      <c r="E4415" s="21">
        <v>500.0</v>
      </c>
      <c r="F4415" s="22">
        <v>0.0</v>
      </c>
      <c r="G4415" s="22">
        <v>0.0</v>
      </c>
      <c r="H4415" s="22">
        <v>266.745</v>
      </c>
      <c r="I4415" s="22">
        <v>0.0</v>
      </c>
      <c r="J4415" s="22">
        <v>0.0</v>
      </c>
      <c r="K4415" s="22">
        <v>0.0</v>
      </c>
      <c r="L4415" s="22">
        <v>266.745</v>
      </c>
      <c r="M4415" s="22">
        <v>219.64</v>
      </c>
      <c r="N4415" s="22">
        <v>79.3</v>
      </c>
      <c r="O4415" s="23">
        <v>10.8</v>
      </c>
      <c r="P4415" s="18">
        <f t="shared" si="1"/>
        <v>266.745</v>
      </c>
    </row>
    <row r="4416" ht="15.75" customHeight="1">
      <c r="A4416" s="13" t="s">
        <v>250</v>
      </c>
      <c r="B4416" s="13" t="s">
        <v>22</v>
      </c>
      <c r="C4416" s="14" t="s">
        <v>54</v>
      </c>
      <c r="D4416" s="14" t="str">
        <f>VLOOKUP(C4416,'State Key'!$A$2:$B$210,2,False)</f>
        <v>West Bengal</v>
      </c>
      <c r="E4416" s="15">
        <v>135.0</v>
      </c>
      <c r="F4416" s="16">
        <v>23.701</v>
      </c>
      <c r="G4416" s="16">
        <v>0.0</v>
      </c>
      <c r="H4416" s="16">
        <v>0.0</v>
      </c>
      <c r="I4416" s="16">
        <v>0.054</v>
      </c>
      <c r="J4416" s="16">
        <v>0.0</v>
      </c>
      <c r="K4416" s="16">
        <v>0.0</v>
      </c>
      <c r="L4416" s="16">
        <v>23.755</v>
      </c>
      <c r="M4416" s="16">
        <v>26.378</v>
      </c>
      <c r="N4416" s="16">
        <v>47.06</v>
      </c>
      <c r="O4416" s="24">
        <v>53.5</v>
      </c>
      <c r="P4416" s="18">
        <f t="shared" si="1"/>
        <v>23.755</v>
      </c>
    </row>
    <row r="4417" ht="15.75" customHeight="1">
      <c r="A4417" s="19" t="s">
        <v>250</v>
      </c>
      <c r="B4417" s="19" t="s">
        <v>22</v>
      </c>
      <c r="C4417" s="20" t="s">
        <v>55</v>
      </c>
      <c r="D4417" s="14" t="str">
        <f>VLOOKUP(C4417,'State Key'!$A$2:$B$210,2,False)</f>
        <v>Odisha</v>
      </c>
      <c r="E4417" s="21">
        <v>3000.0</v>
      </c>
      <c r="F4417" s="22">
        <v>1268.61</v>
      </c>
      <c r="G4417" s="22">
        <v>0.0</v>
      </c>
      <c r="H4417" s="22">
        <v>59.72</v>
      </c>
      <c r="I4417" s="22">
        <v>0.0</v>
      </c>
      <c r="J4417" s="22">
        <v>0.0</v>
      </c>
      <c r="K4417" s="22">
        <v>0.0</v>
      </c>
      <c r="L4417" s="22">
        <v>1328.33</v>
      </c>
      <c r="M4417" s="22">
        <v>1349.422</v>
      </c>
      <c r="N4417" s="22">
        <v>592.74</v>
      </c>
      <c r="O4417" s="23">
        <v>13.2</v>
      </c>
      <c r="P4417" s="18">
        <f t="shared" si="1"/>
        <v>1328.33</v>
      </c>
    </row>
    <row r="4418" ht="15.75" customHeight="1">
      <c r="A4418" s="13" t="s">
        <v>250</v>
      </c>
      <c r="B4418" s="13" t="s">
        <v>22</v>
      </c>
      <c r="C4418" s="14" t="s">
        <v>56</v>
      </c>
      <c r="D4418" s="14" t="str">
        <f>VLOOKUP(C4418,'State Key'!$A$2:$B$210,2,False)</f>
        <v>Jharkhand</v>
      </c>
      <c r="E4418" s="15">
        <v>420.0</v>
      </c>
      <c r="F4418" s="16">
        <v>153.17</v>
      </c>
      <c r="G4418" s="16">
        <v>0.0</v>
      </c>
      <c r="H4418" s="16">
        <v>0.0</v>
      </c>
      <c r="I4418" s="16">
        <v>0.0</v>
      </c>
      <c r="J4418" s="16">
        <v>0.0</v>
      </c>
      <c r="K4418" s="16">
        <v>0.0</v>
      </c>
      <c r="L4418" s="16">
        <v>153.17</v>
      </c>
      <c r="M4418" s="16">
        <v>114.91</v>
      </c>
      <c r="N4418" s="16">
        <v>311.94</v>
      </c>
      <c r="O4418" s="24">
        <v>81.4</v>
      </c>
      <c r="P4418" s="18">
        <f t="shared" si="1"/>
        <v>153.17</v>
      </c>
    </row>
    <row r="4419" ht="15.75" customHeight="1">
      <c r="A4419" s="19" t="s">
        <v>250</v>
      </c>
      <c r="B4419" s="19" t="s">
        <v>22</v>
      </c>
      <c r="C4419" s="20" t="s">
        <v>57</v>
      </c>
      <c r="D4419" s="14" t="str">
        <f>VLOOKUP(C4419,'State Key'!$A$2:$B$210,2,False)</f>
        <v>West Bengal</v>
      </c>
      <c r="E4419" s="21">
        <v>0.0</v>
      </c>
      <c r="F4419" s="22">
        <v>0.0</v>
      </c>
      <c r="G4419" s="22">
        <v>0.0</v>
      </c>
      <c r="H4419" s="22">
        <v>0.0</v>
      </c>
      <c r="I4419" s="22">
        <v>0.0</v>
      </c>
      <c r="J4419" s="22">
        <v>0.0</v>
      </c>
      <c r="K4419" s="22">
        <v>0.0</v>
      </c>
      <c r="L4419" s="22">
        <v>0.0</v>
      </c>
      <c r="M4419" s="22">
        <v>0.0</v>
      </c>
      <c r="N4419" s="22">
        <v>0.0</v>
      </c>
      <c r="O4419" s="19" t="s">
        <v>58</v>
      </c>
      <c r="P4419" s="18">
        <f t="shared" si="1"/>
        <v>0</v>
      </c>
    </row>
    <row r="4420" ht="15.75" customHeight="1">
      <c r="A4420" s="13" t="s">
        <v>250</v>
      </c>
      <c r="B4420" s="13" t="s">
        <v>22</v>
      </c>
      <c r="C4420" s="14" t="s">
        <v>60</v>
      </c>
      <c r="D4420" s="14" t="str">
        <f>VLOOKUP(C4420,'State Key'!$A$2:$B$210,2,False)</f>
        <v>Odisha</v>
      </c>
      <c r="E4420" s="15">
        <v>600.0</v>
      </c>
      <c r="F4420" s="16">
        <v>287.407</v>
      </c>
      <c r="G4420" s="16">
        <v>0.0</v>
      </c>
      <c r="H4420" s="16">
        <v>0.0</v>
      </c>
      <c r="I4420" s="16">
        <v>0.0</v>
      </c>
      <c r="J4420" s="16">
        <v>0.0</v>
      </c>
      <c r="K4420" s="16">
        <v>0.0</v>
      </c>
      <c r="L4420" s="16">
        <v>287.407</v>
      </c>
      <c r="M4420" s="16">
        <v>300.842</v>
      </c>
      <c r="N4420" s="16">
        <v>92.067</v>
      </c>
      <c r="O4420" s="23">
        <v>9.2</v>
      </c>
      <c r="P4420" s="18">
        <f t="shared" si="1"/>
        <v>287.407</v>
      </c>
    </row>
    <row r="4421" ht="15.75" customHeight="1">
      <c r="A4421" s="19" t="s">
        <v>250</v>
      </c>
      <c r="B4421" s="19" t="s">
        <v>61</v>
      </c>
      <c r="C4421" s="20" t="s">
        <v>209</v>
      </c>
      <c r="D4421" s="14" t="str">
        <f>VLOOKUP(C4421,'State Key'!$A$2:$B$210,2,False)</f>
        <v>Rajasthan</v>
      </c>
      <c r="E4421" s="21">
        <v>1320.0</v>
      </c>
      <c r="F4421" s="22">
        <v>321.649</v>
      </c>
      <c r="G4421" s="22">
        <v>0.0</v>
      </c>
      <c r="H4421" s="22">
        <v>0.0</v>
      </c>
      <c r="I4421" s="22">
        <v>0.0</v>
      </c>
      <c r="J4421" s="22">
        <v>160.563</v>
      </c>
      <c r="K4421" s="22">
        <v>0.0</v>
      </c>
      <c r="L4421" s="22">
        <v>482.212</v>
      </c>
      <c r="M4421" s="22">
        <v>409.805</v>
      </c>
      <c r="N4421" s="22">
        <v>332.678</v>
      </c>
      <c r="O4421" s="24">
        <v>24.4</v>
      </c>
      <c r="P4421" s="18">
        <f t="shared" si="1"/>
        <v>482.212</v>
      </c>
    </row>
    <row r="4422" ht="15.75" customHeight="1">
      <c r="A4422" s="13" t="s">
        <v>250</v>
      </c>
      <c r="B4422" s="13" t="s">
        <v>61</v>
      </c>
      <c r="C4422" s="14" t="s">
        <v>62</v>
      </c>
      <c r="D4422" s="14" t="str">
        <f>VLOOKUP(C4422,'State Key'!$A$2:$B$210,2,False)</f>
        <v>Uttar Pradesh</v>
      </c>
      <c r="E4422" s="15">
        <v>1200.0</v>
      </c>
      <c r="F4422" s="16">
        <v>367.09193</v>
      </c>
      <c r="G4422" s="16">
        <v>0.0</v>
      </c>
      <c r="H4422" s="16">
        <v>0.0</v>
      </c>
      <c r="I4422" s="16">
        <v>0.0</v>
      </c>
      <c r="J4422" s="16">
        <v>0.0</v>
      </c>
      <c r="K4422" s="16">
        <v>0.0</v>
      </c>
      <c r="L4422" s="16">
        <v>367.09193</v>
      </c>
      <c r="M4422" s="16">
        <v>479.865</v>
      </c>
      <c r="N4422" s="16">
        <v>214.108</v>
      </c>
      <c r="O4422" s="23">
        <v>13.4</v>
      </c>
      <c r="P4422" s="18">
        <f t="shared" si="1"/>
        <v>367.09193</v>
      </c>
    </row>
    <row r="4423" ht="15.75" customHeight="1">
      <c r="A4423" s="19" t="s">
        <v>250</v>
      </c>
      <c r="B4423" s="19" t="s">
        <v>61</v>
      </c>
      <c r="C4423" s="20" t="s">
        <v>63</v>
      </c>
      <c r="D4423" s="14" t="str">
        <f>VLOOKUP(C4423,'State Key'!$A$2:$B$210,2,False)</f>
        <v>Uttar Pradesh</v>
      </c>
      <c r="E4423" s="21">
        <v>2630.0</v>
      </c>
      <c r="F4423" s="22">
        <v>1037.589</v>
      </c>
      <c r="G4423" s="22">
        <v>0.0</v>
      </c>
      <c r="H4423" s="22">
        <v>0.0</v>
      </c>
      <c r="I4423" s="22">
        <v>0.0</v>
      </c>
      <c r="J4423" s="22">
        <v>0.0</v>
      </c>
      <c r="K4423" s="22">
        <v>0.0</v>
      </c>
      <c r="L4423" s="22">
        <v>1037.589</v>
      </c>
      <c r="M4423" s="22">
        <v>1110.062</v>
      </c>
      <c r="N4423" s="22">
        <v>836.61</v>
      </c>
      <c r="O4423" s="24">
        <v>22.6</v>
      </c>
      <c r="P4423" s="18">
        <f t="shared" si="1"/>
        <v>1037.589</v>
      </c>
    </row>
    <row r="4424" ht="15.75" customHeight="1">
      <c r="A4424" s="13" t="s">
        <v>250</v>
      </c>
      <c r="B4424" s="13" t="s">
        <v>61</v>
      </c>
      <c r="C4424" s="14" t="s">
        <v>64</v>
      </c>
      <c r="D4424" s="14" t="str">
        <f>VLOOKUP(C4424,'State Key'!$A$2:$B$210,2,False)</f>
        <v>Uttar Pradesh</v>
      </c>
      <c r="E4424" s="15">
        <v>90.0</v>
      </c>
      <c r="F4424" s="16">
        <v>35.705</v>
      </c>
      <c r="G4424" s="16">
        <v>0.0</v>
      </c>
      <c r="H4424" s="16">
        <v>0.0</v>
      </c>
      <c r="I4424" s="16">
        <v>0.0</v>
      </c>
      <c r="J4424" s="16">
        <v>0.0</v>
      </c>
      <c r="K4424" s="16">
        <v>0.0</v>
      </c>
      <c r="L4424" s="16">
        <v>35.705</v>
      </c>
      <c r="M4424" s="16">
        <v>27.583</v>
      </c>
      <c r="N4424" s="16">
        <v>80.18</v>
      </c>
      <c r="O4424" s="24">
        <v>87.2</v>
      </c>
      <c r="P4424" s="18">
        <f t="shared" si="1"/>
        <v>35.705</v>
      </c>
    </row>
    <row r="4425" ht="15.75" customHeight="1">
      <c r="A4425" s="19" t="s">
        <v>250</v>
      </c>
      <c r="B4425" s="19" t="s">
        <v>61</v>
      </c>
      <c r="C4425" s="20" t="s">
        <v>65</v>
      </c>
      <c r="D4425" s="14" t="str">
        <f>VLOOKUP(C4425,'State Key'!$A$2:$B$210,2,False)</f>
        <v>Rajasthan</v>
      </c>
      <c r="E4425" s="21">
        <v>500.0</v>
      </c>
      <c r="F4425" s="22">
        <v>36.7989</v>
      </c>
      <c r="G4425" s="22">
        <v>0.0</v>
      </c>
      <c r="H4425" s="22">
        <v>0.0</v>
      </c>
      <c r="I4425" s="22">
        <v>0.0</v>
      </c>
      <c r="J4425" s="22">
        <v>0.0</v>
      </c>
      <c r="K4425" s="22">
        <v>0.0</v>
      </c>
      <c r="L4425" s="22">
        <v>36.7989</v>
      </c>
      <c r="M4425" s="22">
        <v>170.7177</v>
      </c>
      <c r="N4425" s="22">
        <v>180.6661</v>
      </c>
      <c r="O4425" s="24">
        <v>31.7</v>
      </c>
      <c r="P4425" s="18">
        <f t="shared" si="1"/>
        <v>36.7989</v>
      </c>
    </row>
    <row r="4426" ht="15.75" customHeight="1">
      <c r="A4426" s="13" t="s">
        <v>250</v>
      </c>
      <c r="B4426" s="13" t="s">
        <v>61</v>
      </c>
      <c r="C4426" s="14" t="s">
        <v>66</v>
      </c>
      <c r="D4426" s="14" t="str">
        <f>VLOOKUP(C4426,'State Key'!$A$2:$B$210,2,False)</f>
        <v>Rajasthan</v>
      </c>
      <c r="E4426" s="15">
        <v>500.0</v>
      </c>
      <c r="F4426" s="16">
        <v>0.2383</v>
      </c>
      <c r="G4426" s="16">
        <v>0.0</v>
      </c>
      <c r="H4426" s="16">
        <v>357.8227</v>
      </c>
      <c r="I4426" s="16">
        <v>0.0</v>
      </c>
      <c r="J4426" s="16">
        <v>0.0</v>
      </c>
      <c r="K4426" s="16">
        <v>0.0</v>
      </c>
      <c r="L4426" s="16">
        <v>358.061</v>
      </c>
      <c r="M4426" s="16">
        <v>184.8872</v>
      </c>
      <c r="N4426" s="16">
        <v>180.5619</v>
      </c>
      <c r="O4426" s="24">
        <v>29.3</v>
      </c>
      <c r="P4426" s="18">
        <f t="shared" si="1"/>
        <v>358.061</v>
      </c>
    </row>
    <row r="4427" ht="15.75" customHeight="1">
      <c r="A4427" s="19" t="s">
        <v>250</v>
      </c>
      <c r="B4427" s="19" t="s">
        <v>61</v>
      </c>
      <c r="C4427" s="20" t="s">
        <v>67</v>
      </c>
      <c r="D4427" s="14" t="str">
        <f>VLOOKUP(C4427,'State Key'!$A$2:$B$210,2,False)</f>
        <v>Rajasthan</v>
      </c>
      <c r="E4427" s="21">
        <v>1320.0</v>
      </c>
      <c r="F4427" s="22">
        <v>11.10272</v>
      </c>
      <c r="G4427" s="22">
        <v>0.0</v>
      </c>
      <c r="H4427" s="22">
        <v>339.323</v>
      </c>
      <c r="I4427" s="22">
        <v>0.0</v>
      </c>
      <c r="J4427" s="22">
        <v>0.0</v>
      </c>
      <c r="K4427" s="22">
        <v>0.0</v>
      </c>
      <c r="L4427" s="22">
        <v>350.42572</v>
      </c>
      <c r="M4427" s="22">
        <v>316.6685</v>
      </c>
      <c r="N4427" s="22">
        <v>540.03</v>
      </c>
      <c r="O4427" s="24">
        <v>51.2</v>
      </c>
      <c r="P4427" s="18">
        <f t="shared" si="1"/>
        <v>350.42572</v>
      </c>
    </row>
    <row r="4428" ht="15.75" customHeight="1">
      <c r="A4428" s="13" t="s">
        <v>250</v>
      </c>
      <c r="B4428" s="13" t="s">
        <v>61</v>
      </c>
      <c r="C4428" s="14" t="s">
        <v>68</v>
      </c>
      <c r="D4428" s="14" t="str">
        <f>VLOOKUP(C4428,'State Key'!$A$2:$B$210,2,False)</f>
        <v>Uttar Pradesh</v>
      </c>
      <c r="E4428" s="15">
        <v>1820.0</v>
      </c>
      <c r="F4428" s="16">
        <v>462.38</v>
      </c>
      <c r="G4428" s="16">
        <v>0.0</v>
      </c>
      <c r="H4428" s="16">
        <v>119.68</v>
      </c>
      <c r="I4428" s="16">
        <v>0.0</v>
      </c>
      <c r="J4428" s="16">
        <v>0.0</v>
      </c>
      <c r="K4428" s="16">
        <v>0.0</v>
      </c>
      <c r="L4428" s="16">
        <v>582.06</v>
      </c>
      <c r="M4428" s="16">
        <v>609.049</v>
      </c>
      <c r="N4428" s="16">
        <v>481.13</v>
      </c>
      <c r="O4428" s="24">
        <v>23.7</v>
      </c>
      <c r="P4428" s="18">
        <f t="shared" si="1"/>
        <v>582.06</v>
      </c>
    </row>
    <row r="4429" ht="15.75" customHeight="1">
      <c r="A4429" s="19" t="s">
        <v>250</v>
      </c>
      <c r="B4429" s="19" t="s">
        <v>61</v>
      </c>
      <c r="C4429" s="20" t="s">
        <v>69</v>
      </c>
      <c r="D4429" s="14" t="str">
        <f>VLOOKUP(C4429,'State Key'!$A$2:$B$210,2,False)</f>
        <v>Punjab</v>
      </c>
      <c r="E4429" s="21">
        <v>920.0</v>
      </c>
      <c r="F4429" s="22">
        <v>0.0</v>
      </c>
      <c r="G4429" s="22">
        <v>0.0</v>
      </c>
      <c r="H4429" s="22">
        <v>281.548</v>
      </c>
      <c r="I4429" s="22">
        <v>0.0</v>
      </c>
      <c r="J4429" s="22">
        <v>0.0</v>
      </c>
      <c r="K4429" s="22">
        <v>0.0</v>
      </c>
      <c r="L4429" s="22">
        <v>281.548</v>
      </c>
      <c r="M4429" s="22">
        <v>297.655</v>
      </c>
      <c r="N4429" s="22">
        <v>356.73</v>
      </c>
      <c r="O4429" s="24">
        <v>36.0</v>
      </c>
      <c r="P4429" s="18">
        <f t="shared" si="1"/>
        <v>281.548</v>
      </c>
    </row>
    <row r="4430" ht="15.75" customHeight="1">
      <c r="A4430" s="13" t="s">
        <v>250</v>
      </c>
      <c r="B4430" s="13" t="s">
        <v>61</v>
      </c>
      <c r="C4430" s="14" t="s">
        <v>242</v>
      </c>
      <c r="D4430" s="14" t="str">
        <f>VLOOKUP(C4430,'State Key'!$A$2:$B$210,2,False)</f>
        <v>Uttar Pradesh</v>
      </c>
      <c r="E4430" s="15">
        <v>660.0</v>
      </c>
      <c r="F4430" s="16">
        <v>92.2</v>
      </c>
      <c r="G4430" s="16">
        <v>0.0</v>
      </c>
      <c r="H4430" s="16">
        <v>0.0</v>
      </c>
      <c r="I4430" s="16">
        <v>0.0</v>
      </c>
      <c r="J4430" s="16">
        <v>0.0</v>
      </c>
      <c r="K4430" s="16">
        <v>0.0</v>
      </c>
      <c r="L4430" s="16">
        <v>92.2</v>
      </c>
      <c r="M4430" s="16">
        <v>127.79</v>
      </c>
      <c r="N4430" s="16">
        <v>2.07</v>
      </c>
      <c r="O4430" s="17">
        <v>0.5</v>
      </c>
      <c r="P4430" s="18">
        <f t="shared" si="1"/>
        <v>92.2</v>
      </c>
    </row>
    <row r="4431" ht="15.75" customHeight="1">
      <c r="A4431" s="19" t="s">
        <v>250</v>
      </c>
      <c r="B4431" s="19" t="s">
        <v>61</v>
      </c>
      <c r="C4431" s="20" t="s">
        <v>70</v>
      </c>
      <c r="D4431" s="14" t="str">
        <f>VLOOKUP(C4431,'State Key'!$A$2:$B$210,2,False)</f>
        <v>Punjab</v>
      </c>
      <c r="E4431" s="21">
        <v>540.0</v>
      </c>
      <c r="F4431" s="22">
        <v>0.0</v>
      </c>
      <c r="G4431" s="22">
        <v>0.0</v>
      </c>
      <c r="H4431" s="22">
        <v>35.779</v>
      </c>
      <c r="I4431" s="22">
        <v>0.0</v>
      </c>
      <c r="J4431" s="22">
        <v>0.0</v>
      </c>
      <c r="K4431" s="22">
        <v>0.0</v>
      </c>
      <c r="L4431" s="22">
        <v>35.779</v>
      </c>
      <c r="M4431" s="22">
        <v>80.508</v>
      </c>
      <c r="N4431" s="22">
        <v>240.32</v>
      </c>
      <c r="O4431" s="24">
        <v>89.6</v>
      </c>
      <c r="P4431" s="18">
        <f t="shared" si="1"/>
        <v>35.779</v>
      </c>
    </row>
    <row r="4432" ht="15.75" customHeight="1">
      <c r="A4432" s="13" t="s">
        <v>250</v>
      </c>
      <c r="B4432" s="13" t="s">
        <v>61</v>
      </c>
      <c r="C4432" s="14" t="s">
        <v>71</v>
      </c>
      <c r="D4432" s="14" t="str">
        <f>VLOOKUP(C4432,'State Key'!$A$2:$B$210,2,False)</f>
        <v>Uttar Pradesh</v>
      </c>
      <c r="E4432" s="15">
        <v>1265.0</v>
      </c>
      <c r="F4432" s="16">
        <v>408.408</v>
      </c>
      <c r="G4432" s="16">
        <v>0.0</v>
      </c>
      <c r="H4432" s="16">
        <v>0.0</v>
      </c>
      <c r="I4432" s="16">
        <v>0.0</v>
      </c>
      <c r="J4432" s="16">
        <v>0.0</v>
      </c>
      <c r="K4432" s="16">
        <v>0.0</v>
      </c>
      <c r="L4432" s="16">
        <v>408.408</v>
      </c>
      <c r="M4432" s="16">
        <v>392.024</v>
      </c>
      <c r="N4432" s="16">
        <v>548.19</v>
      </c>
      <c r="O4432" s="24">
        <v>42.0</v>
      </c>
      <c r="P4432" s="18">
        <f t="shared" si="1"/>
        <v>408.408</v>
      </c>
    </row>
    <row r="4433" ht="15.75" customHeight="1">
      <c r="A4433" s="19" t="s">
        <v>250</v>
      </c>
      <c r="B4433" s="19" t="s">
        <v>61</v>
      </c>
      <c r="C4433" s="20" t="s">
        <v>72</v>
      </c>
      <c r="D4433" s="14" t="str">
        <f>VLOOKUP(C4433,'State Key'!$A$2:$B$210,2,False)</f>
        <v>Haryana</v>
      </c>
      <c r="E4433" s="21">
        <v>1500.0</v>
      </c>
      <c r="F4433" s="22">
        <v>540.018</v>
      </c>
      <c r="G4433" s="22">
        <v>0.0</v>
      </c>
      <c r="H4433" s="22">
        <v>0.0</v>
      </c>
      <c r="I4433" s="22">
        <v>0.0</v>
      </c>
      <c r="J4433" s="22">
        <v>0.0</v>
      </c>
      <c r="K4433" s="22">
        <v>0.804</v>
      </c>
      <c r="L4433" s="22">
        <v>540.822</v>
      </c>
      <c r="M4433" s="22">
        <v>498.233</v>
      </c>
      <c r="N4433" s="22">
        <v>908.042</v>
      </c>
      <c r="O4433" s="24">
        <v>54.7</v>
      </c>
      <c r="P4433" s="18">
        <f t="shared" si="1"/>
        <v>540.822</v>
      </c>
    </row>
    <row r="4434" ht="15.75" customHeight="1">
      <c r="A4434" s="13" t="s">
        <v>250</v>
      </c>
      <c r="B4434" s="13" t="s">
        <v>61</v>
      </c>
      <c r="C4434" s="14" t="s">
        <v>226</v>
      </c>
      <c r="D4434" s="14" t="str">
        <f>VLOOKUP(C4434,'State Key'!$A$2:$B$210,2,False)</f>
        <v>Uttar Pradesh</v>
      </c>
      <c r="E4434" s="15">
        <v>1320.0</v>
      </c>
      <c r="F4434" s="16">
        <v>289.956</v>
      </c>
      <c r="G4434" s="16">
        <v>0.0</v>
      </c>
      <c r="H4434" s="16">
        <v>0.0</v>
      </c>
      <c r="I4434" s="16">
        <v>0.0</v>
      </c>
      <c r="J4434" s="16">
        <v>0.0</v>
      </c>
      <c r="K4434" s="16">
        <v>0.0</v>
      </c>
      <c r="L4434" s="16">
        <v>289.956</v>
      </c>
      <c r="M4434" s="16">
        <v>281.2</v>
      </c>
      <c r="N4434" s="16">
        <v>378.02</v>
      </c>
      <c r="O4434" s="24">
        <v>40.3</v>
      </c>
      <c r="P4434" s="18">
        <f t="shared" si="1"/>
        <v>289.956</v>
      </c>
    </row>
    <row r="4435" ht="15.75" customHeight="1">
      <c r="A4435" s="19" t="s">
        <v>250</v>
      </c>
      <c r="B4435" s="19" t="s">
        <v>61</v>
      </c>
      <c r="C4435" s="20" t="s">
        <v>73</v>
      </c>
      <c r="D4435" s="14" t="str">
        <f>VLOOKUP(C4435,'State Key'!$A$2:$B$210,2,False)</f>
        <v>Rajasthan</v>
      </c>
      <c r="E4435" s="21">
        <v>1200.0</v>
      </c>
      <c r="F4435" s="22">
        <v>0.0</v>
      </c>
      <c r="G4435" s="22">
        <v>0.0</v>
      </c>
      <c r="H4435" s="22">
        <v>430.65679</v>
      </c>
      <c r="I4435" s="22">
        <v>0.0</v>
      </c>
      <c r="J4435" s="22">
        <v>0.0</v>
      </c>
      <c r="K4435" s="22">
        <v>0.0</v>
      </c>
      <c r="L4435" s="22">
        <v>430.65679</v>
      </c>
      <c r="M4435" s="22">
        <v>469.672</v>
      </c>
      <c r="N4435" s="22">
        <v>261.2</v>
      </c>
      <c r="O4435" s="24">
        <v>16.7</v>
      </c>
      <c r="P4435" s="18">
        <f t="shared" si="1"/>
        <v>430.65679</v>
      </c>
    </row>
    <row r="4436" ht="15.75" customHeight="1">
      <c r="A4436" s="13" t="s">
        <v>250</v>
      </c>
      <c r="B4436" s="13" t="s">
        <v>61</v>
      </c>
      <c r="C4436" s="14" t="s">
        <v>75</v>
      </c>
      <c r="D4436" s="14" t="str">
        <f>VLOOKUP(C4436,'State Key'!$A$2:$B$210,2,False)</f>
        <v>Uttar Pradesh</v>
      </c>
      <c r="E4436" s="15">
        <v>90.0</v>
      </c>
      <c r="F4436" s="16">
        <v>34.509</v>
      </c>
      <c r="G4436" s="16">
        <v>0.0</v>
      </c>
      <c r="H4436" s="16">
        <v>0.0</v>
      </c>
      <c r="I4436" s="16">
        <v>0.0</v>
      </c>
      <c r="J4436" s="16">
        <v>0.0</v>
      </c>
      <c r="K4436" s="16">
        <v>0.0</v>
      </c>
      <c r="L4436" s="16">
        <v>34.509</v>
      </c>
      <c r="M4436" s="16">
        <v>31.136</v>
      </c>
      <c r="N4436" s="16">
        <v>83.87</v>
      </c>
      <c r="O4436" s="24">
        <v>80.8</v>
      </c>
      <c r="P4436" s="18">
        <f t="shared" si="1"/>
        <v>34.509</v>
      </c>
    </row>
    <row r="4437" ht="15.75" customHeight="1">
      <c r="A4437" s="19" t="s">
        <v>250</v>
      </c>
      <c r="B4437" s="19" t="s">
        <v>61</v>
      </c>
      <c r="C4437" s="20" t="s">
        <v>246</v>
      </c>
      <c r="D4437" s="14" t="str">
        <f>VLOOKUP(C4437,'State Key'!$A$2:$B$210,2,False)</f>
        <v>Uttar Pradesh</v>
      </c>
      <c r="E4437" s="21">
        <v>660.0</v>
      </c>
      <c r="F4437" s="22">
        <v>0.0</v>
      </c>
      <c r="G4437" s="22">
        <v>0.0</v>
      </c>
      <c r="H4437" s="22">
        <v>227.601</v>
      </c>
      <c r="I4437" s="22">
        <v>0.0</v>
      </c>
      <c r="J4437" s="22">
        <v>0.0</v>
      </c>
      <c r="K4437" s="22">
        <v>0.0</v>
      </c>
      <c r="L4437" s="22">
        <v>227.601</v>
      </c>
      <c r="M4437" s="22">
        <v>208.608</v>
      </c>
      <c r="N4437" s="22">
        <v>92.5</v>
      </c>
      <c r="O4437" s="23">
        <v>13.3</v>
      </c>
      <c r="P4437" s="18">
        <f t="shared" si="1"/>
        <v>227.601</v>
      </c>
    </row>
    <row r="4438" ht="15.75" customHeight="1">
      <c r="A4438" s="13" t="s">
        <v>250</v>
      </c>
      <c r="B4438" s="13" t="s">
        <v>61</v>
      </c>
      <c r="C4438" s="14" t="s">
        <v>76</v>
      </c>
      <c r="D4438" s="14" t="str">
        <f>VLOOKUP(C4438,'State Key'!$A$2:$B$210,2,False)</f>
        <v>Rajasthan</v>
      </c>
      <c r="E4438" s="15">
        <v>1240.0</v>
      </c>
      <c r="F4438" s="16">
        <v>483.658</v>
      </c>
      <c r="G4438" s="16">
        <v>0.0</v>
      </c>
      <c r="H4438" s="16">
        <v>0.0</v>
      </c>
      <c r="I4438" s="16">
        <v>0.0</v>
      </c>
      <c r="J4438" s="16">
        <v>0.0</v>
      </c>
      <c r="K4438" s="16">
        <v>0.0</v>
      </c>
      <c r="L4438" s="16">
        <v>483.658</v>
      </c>
      <c r="M4438" s="16">
        <v>526.323</v>
      </c>
      <c r="N4438" s="16">
        <v>257.6</v>
      </c>
      <c r="O4438" s="24">
        <v>14.7</v>
      </c>
      <c r="P4438" s="18">
        <f t="shared" si="1"/>
        <v>483.658</v>
      </c>
    </row>
    <row r="4439" ht="15.75" customHeight="1">
      <c r="A4439" s="19" t="s">
        <v>250</v>
      </c>
      <c r="B4439" s="19" t="s">
        <v>61</v>
      </c>
      <c r="C4439" s="20" t="s">
        <v>77</v>
      </c>
      <c r="D4439" s="14" t="str">
        <f>VLOOKUP(C4439,'State Key'!$A$2:$B$210,2,False)</f>
        <v>Uttar Pradesh</v>
      </c>
      <c r="E4439" s="21">
        <v>90.0</v>
      </c>
      <c r="F4439" s="22">
        <v>40.165</v>
      </c>
      <c r="G4439" s="22">
        <v>0.0</v>
      </c>
      <c r="H4439" s="22">
        <v>0.0</v>
      </c>
      <c r="I4439" s="22">
        <v>0.0</v>
      </c>
      <c r="J4439" s="22">
        <v>0.0</v>
      </c>
      <c r="K4439" s="22">
        <v>0.0</v>
      </c>
      <c r="L4439" s="22">
        <v>40.165</v>
      </c>
      <c r="M4439" s="22">
        <v>27.138</v>
      </c>
      <c r="N4439" s="22">
        <v>65.89</v>
      </c>
      <c r="O4439" s="24">
        <v>72.8</v>
      </c>
      <c r="P4439" s="18">
        <f t="shared" si="1"/>
        <v>40.165</v>
      </c>
    </row>
    <row r="4440" ht="15.75" customHeight="1">
      <c r="A4440" s="13" t="s">
        <v>250</v>
      </c>
      <c r="B4440" s="13" t="s">
        <v>61</v>
      </c>
      <c r="C4440" s="14" t="s">
        <v>78</v>
      </c>
      <c r="D4440" s="14" t="str">
        <f>VLOOKUP(C4440,'State Key'!$A$2:$B$210,2,False)</f>
        <v>Uttar Pradesh</v>
      </c>
      <c r="E4440" s="15">
        <v>1980.0</v>
      </c>
      <c r="F4440" s="16">
        <v>681.441</v>
      </c>
      <c r="G4440" s="16">
        <v>0.0</v>
      </c>
      <c r="H4440" s="16">
        <v>0.0</v>
      </c>
      <c r="I4440" s="16">
        <v>0.0</v>
      </c>
      <c r="J4440" s="16">
        <v>0.0</v>
      </c>
      <c r="K4440" s="16">
        <v>0.0</v>
      </c>
      <c r="L4440" s="16">
        <v>681.441</v>
      </c>
      <c r="M4440" s="16">
        <v>653.429</v>
      </c>
      <c r="N4440" s="16">
        <v>594.01</v>
      </c>
      <c r="O4440" s="24">
        <v>27.3</v>
      </c>
      <c r="P4440" s="18">
        <f t="shared" si="1"/>
        <v>681.441</v>
      </c>
    </row>
    <row r="4441" ht="15.75" customHeight="1">
      <c r="A4441" s="19" t="s">
        <v>250</v>
      </c>
      <c r="B4441" s="19" t="s">
        <v>61</v>
      </c>
      <c r="C4441" s="20" t="s">
        <v>79</v>
      </c>
      <c r="D4441" s="14" t="str">
        <f>VLOOKUP(C4441,'State Key'!$A$2:$B$210,2,False)</f>
        <v>Haryana</v>
      </c>
      <c r="E4441" s="21">
        <v>1320.0</v>
      </c>
      <c r="F4441" s="22">
        <v>473.8</v>
      </c>
      <c r="G4441" s="22">
        <v>0.0</v>
      </c>
      <c r="H4441" s="22">
        <v>0.0</v>
      </c>
      <c r="I4441" s="22">
        <v>0.0</v>
      </c>
      <c r="J4441" s="22">
        <v>0.0</v>
      </c>
      <c r="K4441" s="22">
        <v>0.0</v>
      </c>
      <c r="L4441" s="22">
        <v>473.8</v>
      </c>
      <c r="M4441" s="22">
        <v>439.466</v>
      </c>
      <c r="N4441" s="22">
        <v>538.47</v>
      </c>
      <c r="O4441" s="24">
        <v>36.8</v>
      </c>
      <c r="P4441" s="18">
        <f t="shared" si="1"/>
        <v>473.8</v>
      </c>
    </row>
    <row r="4442" ht="15.75" customHeight="1">
      <c r="A4442" s="13" t="s">
        <v>250</v>
      </c>
      <c r="B4442" s="13" t="s">
        <v>61</v>
      </c>
      <c r="C4442" s="14" t="s">
        <v>80</v>
      </c>
      <c r="D4442" s="14" t="str">
        <f>VLOOKUP(C4442,'State Key'!$A$2:$B$210,2,False)</f>
        <v>Uttar Pradesh</v>
      </c>
      <c r="E4442" s="15">
        <v>90.0</v>
      </c>
      <c r="F4442" s="16">
        <v>39.732</v>
      </c>
      <c r="G4442" s="16">
        <v>0.0</v>
      </c>
      <c r="H4442" s="16">
        <v>0.0</v>
      </c>
      <c r="I4442" s="16">
        <v>0.0</v>
      </c>
      <c r="J4442" s="16">
        <v>0.0</v>
      </c>
      <c r="K4442" s="16">
        <v>0.0</v>
      </c>
      <c r="L4442" s="16">
        <v>39.732</v>
      </c>
      <c r="M4442" s="16">
        <v>29.001</v>
      </c>
      <c r="N4442" s="16">
        <v>77.91</v>
      </c>
      <c r="O4442" s="24">
        <v>80.6</v>
      </c>
      <c r="P4442" s="18">
        <f t="shared" si="1"/>
        <v>39.732</v>
      </c>
    </row>
    <row r="4443" ht="15.75" customHeight="1">
      <c r="A4443" s="19" t="s">
        <v>250</v>
      </c>
      <c r="B4443" s="19" t="s">
        <v>61</v>
      </c>
      <c r="C4443" s="20" t="s">
        <v>81</v>
      </c>
      <c r="D4443" s="14" t="str">
        <f>VLOOKUP(C4443,'State Key'!$A$2:$B$210,2,False)</f>
        <v>Uttar Pradesh</v>
      </c>
      <c r="E4443" s="21">
        <v>1320.0</v>
      </c>
      <c r="F4443" s="22">
        <v>255.4317</v>
      </c>
      <c r="G4443" s="22">
        <v>0.0</v>
      </c>
      <c r="H4443" s="22">
        <v>3.9459</v>
      </c>
      <c r="I4443" s="22">
        <v>0.0</v>
      </c>
      <c r="J4443" s="22">
        <v>0.0</v>
      </c>
      <c r="K4443" s="22">
        <v>0.0</v>
      </c>
      <c r="L4443" s="22">
        <v>259.3776</v>
      </c>
      <c r="M4443" s="22">
        <v>254.4</v>
      </c>
      <c r="N4443" s="22">
        <v>415.88</v>
      </c>
      <c r="O4443" s="24">
        <v>49.0</v>
      </c>
      <c r="P4443" s="18">
        <f t="shared" si="1"/>
        <v>259.3776</v>
      </c>
    </row>
    <row r="4444" ht="15.75" customHeight="1">
      <c r="A4444" s="13" t="s">
        <v>250</v>
      </c>
      <c r="B4444" s="13" t="s">
        <v>61</v>
      </c>
      <c r="C4444" s="14" t="s">
        <v>82</v>
      </c>
      <c r="D4444" s="14" t="str">
        <f>VLOOKUP(C4444,'State Key'!$A$2:$B$210,2,False)</f>
        <v>Uttar Pradesh</v>
      </c>
      <c r="E4444" s="15">
        <v>1660.0</v>
      </c>
      <c r="F4444" s="16">
        <v>637.44</v>
      </c>
      <c r="G4444" s="16">
        <v>0.0</v>
      </c>
      <c r="H4444" s="16">
        <v>0.0</v>
      </c>
      <c r="I4444" s="16">
        <v>0.0</v>
      </c>
      <c r="J4444" s="16">
        <v>0.0</v>
      </c>
      <c r="K4444" s="16">
        <v>0.0</v>
      </c>
      <c r="L4444" s="16">
        <v>637.44</v>
      </c>
      <c r="M4444" s="16">
        <v>581.71</v>
      </c>
      <c r="N4444" s="16">
        <v>444.5</v>
      </c>
      <c r="O4444" s="24">
        <v>22.9</v>
      </c>
      <c r="P4444" s="18">
        <f t="shared" si="1"/>
        <v>637.44</v>
      </c>
    </row>
    <row r="4445" ht="15.75" customHeight="1">
      <c r="A4445" s="19" t="s">
        <v>250</v>
      </c>
      <c r="B4445" s="19" t="s">
        <v>61</v>
      </c>
      <c r="C4445" s="20" t="s">
        <v>83</v>
      </c>
      <c r="D4445" s="14" t="str">
        <f>VLOOKUP(C4445,'State Key'!$A$2:$B$210,2,False)</f>
        <v>Haryana</v>
      </c>
      <c r="E4445" s="21">
        <v>710.0</v>
      </c>
      <c r="F4445" s="22">
        <v>99.439</v>
      </c>
      <c r="G4445" s="22">
        <v>0.0</v>
      </c>
      <c r="H4445" s="22">
        <v>0.0</v>
      </c>
      <c r="I4445" s="22">
        <v>0.0</v>
      </c>
      <c r="J4445" s="22">
        <v>0.0</v>
      </c>
      <c r="K4445" s="22">
        <v>0.0</v>
      </c>
      <c r="L4445" s="22">
        <v>99.439</v>
      </c>
      <c r="M4445" s="22">
        <v>159.772</v>
      </c>
      <c r="N4445" s="22">
        <v>507.04</v>
      </c>
      <c r="O4445" s="24">
        <v>95.2</v>
      </c>
      <c r="P4445" s="18">
        <f t="shared" si="1"/>
        <v>99.439</v>
      </c>
    </row>
    <row r="4446" ht="15.75" customHeight="1">
      <c r="A4446" s="13" t="s">
        <v>250</v>
      </c>
      <c r="B4446" s="13" t="s">
        <v>61</v>
      </c>
      <c r="C4446" s="14" t="s">
        <v>248</v>
      </c>
      <c r="D4446" s="14" t="str">
        <f>VLOOKUP(C4446,'State Key'!$A$2:$B$210,2,False)</f>
        <v>Uttar Pradesh</v>
      </c>
      <c r="E4446" s="15">
        <v>660.0</v>
      </c>
      <c r="F4446" s="16">
        <v>92.466</v>
      </c>
      <c r="G4446" s="16">
        <v>0.0</v>
      </c>
      <c r="H4446" s="16">
        <v>0.0</v>
      </c>
      <c r="I4446" s="16">
        <v>0.0</v>
      </c>
      <c r="J4446" s="16">
        <v>0.0</v>
      </c>
      <c r="K4446" s="16">
        <v>0.0</v>
      </c>
      <c r="L4446" s="16">
        <v>92.466</v>
      </c>
      <c r="M4446" s="16">
        <v>47.0</v>
      </c>
      <c r="N4446" s="16">
        <v>56.0</v>
      </c>
      <c r="O4446" s="24">
        <v>35.7</v>
      </c>
      <c r="P4446" s="18">
        <f t="shared" si="1"/>
        <v>92.466</v>
      </c>
    </row>
    <row r="4447" ht="15.75" customHeight="1">
      <c r="A4447" s="19" t="s">
        <v>250</v>
      </c>
      <c r="B4447" s="19" t="s">
        <v>61</v>
      </c>
      <c r="C4447" s="20" t="s">
        <v>84</v>
      </c>
      <c r="D4447" s="14" t="str">
        <f>VLOOKUP(C4447,'State Key'!$A$2:$B$210,2,False)</f>
        <v>Uttar Pradesh</v>
      </c>
      <c r="E4447" s="21">
        <v>920.0</v>
      </c>
      <c r="F4447" s="22">
        <v>372.786</v>
      </c>
      <c r="G4447" s="22">
        <v>0.0</v>
      </c>
      <c r="H4447" s="22">
        <v>0.0</v>
      </c>
      <c r="I4447" s="22">
        <v>0.0</v>
      </c>
      <c r="J4447" s="22">
        <v>0.0</v>
      </c>
      <c r="K4447" s="22">
        <v>0.0</v>
      </c>
      <c r="L4447" s="22">
        <v>372.786</v>
      </c>
      <c r="M4447" s="22">
        <v>348.384</v>
      </c>
      <c r="N4447" s="22">
        <v>297.52</v>
      </c>
      <c r="O4447" s="24">
        <v>25.6</v>
      </c>
      <c r="P4447" s="18">
        <f t="shared" si="1"/>
        <v>372.786</v>
      </c>
    </row>
    <row r="4448" ht="15.75" customHeight="1">
      <c r="A4448" s="13" t="s">
        <v>250</v>
      </c>
      <c r="B4448" s="13" t="s">
        <v>61</v>
      </c>
      <c r="C4448" s="14" t="s">
        <v>85</v>
      </c>
      <c r="D4448" s="14" t="str">
        <f>VLOOKUP(C4448,'State Key'!$A$2:$B$210,2,False)</f>
        <v>Uttar Pradesh</v>
      </c>
      <c r="E4448" s="15">
        <v>1980.0</v>
      </c>
      <c r="F4448" s="16">
        <v>647.961</v>
      </c>
      <c r="G4448" s="16">
        <v>0.0</v>
      </c>
      <c r="H4448" s="16">
        <v>0.0</v>
      </c>
      <c r="I4448" s="16">
        <v>0.0</v>
      </c>
      <c r="J4448" s="16">
        <v>0.0</v>
      </c>
      <c r="K4448" s="16">
        <v>0.0</v>
      </c>
      <c r="L4448" s="16">
        <v>647.961</v>
      </c>
      <c r="M4448" s="16">
        <v>697.795</v>
      </c>
      <c r="N4448" s="16">
        <v>543.97</v>
      </c>
      <c r="O4448" s="24">
        <v>23.4</v>
      </c>
      <c r="P4448" s="18">
        <f t="shared" si="1"/>
        <v>647.961</v>
      </c>
    </row>
    <row r="4449" ht="15.75" customHeight="1">
      <c r="A4449" s="19" t="s">
        <v>250</v>
      </c>
      <c r="B4449" s="19" t="s">
        <v>61</v>
      </c>
      <c r="C4449" s="20" t="s">
        <v>86</v>
      </c>
      <c r="D4449" s="14" t="str">
        <f>VLOOKUP(C4449,'State Key'!$A$2:$B$210,2,False)</f>
        <v>Haryana</v>
      </c>
      <c r="E4449" s="21">
        <v>1200.0</v>
      </c>
      <c r="F4449" s="22">
        <v>149.968</v>
      </c>
      <c r="G4449" s="22">
        <v>0.0</v>
      </c>
      <c r="H4449" s="22">
        <v>0.0</v>
      </c>
      <c r="I4449" s="22">
        <v>0.0</v>
      </c>
      <c r="J4449" s="22">
        <v>0.0</v>
      </c>
      <c r="K4449" s="22">
        <v>0.0</v>
      </c>
      <c r="L4449" s="22">
        <v>149.968</v>
      </c>
      <c r="M4449" s="22">
        <v>231.78</v>
      </c>
      <c r="N4449" s="22">
        <v>741.258</v>
      </c>
      <c r="O4449" s="24">
        <v>95.9</v>
      </c>
      <c r="P4449" s="18">
        <f t="shared" si="1"/>
        <v>149.968</v>
      </c>
    </row>
    <row r="4450" ht="15.75" customHeight="1">
      <c r="A4450" s="13" t="s">
        <v>250</v>
      </c>
      <c r="B4450" s="13" t="s">
        <v>61</v>
      </c>
      <c r="C4450" s="14" t="s">
        <v>87</v>
      </c>
      <c r="D4450" s="14" t="str">
        <f>VLOOKUP(C4450,'State Key'!$A$2:$B$210,2,False)</f>
        <v>Punjab</v>
      </c>
      <c r="E4450" s="15">
        <v>1400.0</v>
      </c>
      <c r="F4450" s="16">
        <v>486.3557</v>
      </c>
      <c r="G4450" s="16">
        <v>0.0</v>
      </c>
      <c r="H4450" s="16">
        <v>0.0</v>
      </c>
      <c r="I4450" s="16">
        <v>0.0</v>
      </c>
      <c r="J4450" s="16">
        <v>0.0</v>
      </c>
      <c r="K4450" s="16">
        <v>0.0</v>
      </c>
      <c r="L4450" s="16">
        <v>486.3557</v>
      </c>
      <c r="M4450" s="16">
        <v>460.168</v>
      </c>
      <c r="N4450" s="16">
        <v>374.5</v>
      </c>
      <c r="O4450" s="24">
        <v>24.4</v>
      </c>
      <c r="P4450" s="18">
        <f t="shared" si="1"/>
        <v>486.3557</v>
      </c>
    </row>
    <row r="4451" ht="15.75" customHeight="1">
      <c r="A4451" s="19" t="s">
        <v>250</v>
      </c>
      <c r="B4451" s="19" t="s">
        <v>61</v>
      </c>
      <c r="C4451" s="20" t="s">
        <v>88</v>
      </c>
      <c r="D4451" s="14" t="str">
        <f>VLOOKUP(C4451,'State Key'!$A$2:$B$210,2,False)</f>
        <v>Uttar Pradesh</v>
      </c>
      <c r="E4451" s="21">
        <v>3000.0</v>
      </c>
      <c r="F4451" s="22">
        <v>1193.9</v>
      </c>
      <c r="G4451" s="22">
        <v>0.0</v>
      </c>
      <c r="H4451" s="22">
        <v>0.0</v>
      </c>
      <c r="I4451" s="22">
        <v>0.0</v>
      </c>
      <c r="J4451" s="22">
        <v>0.0</v>
      </c>
      <c r="K4451" s="22">
        <v>0.0</v>
      </c>
      <c r="L4451" s="22">
        <v>1193.9</v>
      </c>
      <c r="M4451" s="22">
        <v>1214.702</v>
      </c>
      <c r="N4451" s="22">
        <v>897.52</v>
      </c>
      <c r="O4451" s="24">
        <v>22.2</v>
      </c>
      <c r="P4451" s="18">
        <f t="shared" si="1"/>
        <v>1193.9</v>
      </c>
    </row>
    <row r="4452" ht="15.75" customHeight="1">
      <c r="A4452" s="13" t="s">
        <v>250</v>
      </c>
      <c r="B4452" s="13" t="s">
        <v>61</v>
      </c>
      <c r="C4452" s="14" t="s">
        <v>89</v>
      </c>
      <c r="D4452" s="14" t="str">
        <f>VLOOKUP(C4452,'State Key'!$A$2:$B$210,2,False)</f>
        <v>Punjab</v>
      </c>
      <c r="E4452" s="15">
        <v>840.0</v>
      </c>
      <c r="F4452" s="16">
        <v>0.0</v>
      </c>
      <c r="G4452" s="16">
        <v>0.0</v>
      </c>
      <c r="H4452" s="16">
        <v>261.97</v>
      </c>
      <c r="I4452" s="16">
        <v>0.0</v>
      </c>
      <c r="J4452" s="16">
        <v>0.0</v>
      </c>
      <c r="K4452" s="16">
        <v>0.0</v>
      </c>
      <c r="L4452" s="16">
        <v>261.97</v>
      </c>
      <c r="M4452" s="16">
        <v>308.161</v>
      </c>
      <c r="N4452" s="16">
        <v>486.5</v>
      </c>
      <c r="O4452" s="24">
        <v>47.4</v>
      </c>
      <c r="P4452" s="18">
        <f t="shared" si="1"/>
        <v>261.97</v>
      </c>
    </row>
    <row r="4453" ht="15.75" customHeight="1">
      <c r="A4453" s="19" t="s">
        <v>250</v>
      </c>
      <c r="B4453" s="19" t="s">
        <v>61</v>
      </c>
      <c r="C4453" s="20" t="s">
        <v>90</v>
      </c>
      <c r="D4453" s="14" t="str">
        <f>VLOOKUP(C4453,'State Key'!$A$2:$B$210,2,False)</f>
        <v>Uttar Pradesh</v>
      </c>
      <c r="E4453" s="21">
        <v>1200.0</v>
      </c>
      <c r="F4453" s="22">
        <v>416.68728</v>
      </c>
      <c r="G4453" s="22">
        <v>0.0</v>
      </c>
      <c r="H4453" s="22">
        <v>0.0</v>
      </c>
      <c r="I4453" s="22">
        <v>0.0</v>
      </c>
      <c r="J4453" s="22">
        <v>0.0</v>
      </c>
      <c r="K4453" s="22">
        <v>0.0</v>
      </c>
      <c r="L4453" s="22">
        <v>416.68728</v>
      </c>
      <c r="M4453" s="22">
        <v>351.641</v>
      </c>
      <c r="N4453" s="22">
        <v>522.43</v>
      </c>
      <c r="O4453" s="24">
        <v>44.6</v>
      </c>
      <c r="P4453" s="18">
        <f t="shared" si="1"/>
        <v>416.68728</v>
      </c>
    </row>
    <row r="4454" ht="15.75" customHeight="1">
      <c r="A4454" s="13" t="s">
        <v>250</v>
      </c>
      <c r="B4454" s="13" t="s">
        <v>61</v>
      </c>
      <c r="C4454" s="14" t="s">
        <v>219</v>
      </c>
      <c r="D4454" s="14" t="str">
        <f>VLOOKUP(C4454,'State Key'!$A$2:$B$210,2,False)</f>
        <v>Rajasthan</v>
      </c>
      <c r="E4454" s="15">
        <v>300.0</v>
      </c>
      <c r="F4454" s="16">
        <v>0.0</v>
      </c>
      <c r="G4454" s="16">
        <v>0.0</v>
      </c>
      <c r="H4454" s="16">
        <v>0.0</v>
      </c>
      <c r="I4454" s="16">
        <v>0.0</v>
      </c>
      <c r="J4454" s="16">
        <v>89.82</v>
      </c>
      <c r="K4454" s="16">
        <v>0.0</v>
      </c>
      <c r="L4454" s="16">
        <v>89.82</v>
      </c>
      <c r="M4454" s="16">
        <v>89.82</v>
      </c>
      <c r="N4454" s="16">
        <v>0.0</v>
      </c>
      <c r="O4454" s="17">
        <v>0.0</v>
      </c>
      <c r="P4454" s="18">
        <f t="shared" si="1"/>
        <v>89.82</v>
      </c>
    </row>
    <row r="4455" ht="15.75" customHeight="1">
      <c r="A4455" s="19" t="s">
        <v>250</v>
      </c>
      <c r="B4455" s="19" t="s">
        <v>61</v>
      </c>
      <c r="C4455" s="20" t="s">
        <v>91</v>
      </c>
      <c r="D4455" s="14" t="str">
        <f>VLOOKUP(C4455,'State Key'!$A$2:$B$210,2,False)</f>
        <v>Uttar Pradesh</v>
      </c>
      <c r="E4455" s="21">
        <v>2000.0</v>
      </c>
      <c r="F4455" s="22">
        <v>820.2</v>
      </c>
      <c r="G4455" s="22">
        <v>0.0</v>
      </c>
      <c r="H4455" s="22">
        <v>0.0</v>
      </c>
      <c r="I4455" s="22">
        <v>0.0</v>
      </c>
      <c r="J4455" s="22">
        <v>0.0</v>
      </c>
      <c r="K4455" s="22">
        <v>0.0</v>
      </c>
      <c r="L4455" s="22">
        <v>820.2</v>
      </c>
      <c r="M4455" s="22">
        <v>861.09</v>
      </c>
      <c r="N4455" s="22">
        <v>568.83</v>
      </c>
      <c r="O4455" s="24">
        <v>19.8</v>
      </c>
      <c r="P4455" s="18">
        <f t="shared" si="1"/>
        <v>820.2</v>
      </c>
    </row>
    <row r="4456" ht="15.75" customHeight="1">
      <c r="A4456" s="13" t="s">
        <v>250</v>
      </c>
      <c r="B4456" s="13" t="s">
        <v>61</v>
      </c>
      <c r="C4456" s="14" t="s">
        <v>92</v>
      </c>
      <c r="D4456" s="14" t="str">
        <f>VLOOKUP(C4456,'State Key'!$A$2:$B$210,2,False)</f>
        <v>Rajasthan</v>
      </c>
      <c r="E4456" s="15">
        <v>1320.0</v>
      </c>
      <c r="F4456" s="16">
        <v>23.50272</v>
      </c>
      <c r="G4456" s="16">
        <v>0.0</v>
      </c>
      <c r="H4456" s="16">
        <v>339.62733</v>
      </c>
      <c r="I4456" s="16">
        <v>0.0</v>
      </c>
      <c r="J4456" s="16">
        <v>0.0</v>
      </c>
      <c r="K4456" s="16">
        <v>0.0</v>
      </c>
      <c r="L4456" s="16">
        <v>363.13005</v>
      </c>
      <c r="M4456" s="16">
        <v>405.628</v>
      </c>
      <c r="N4456" s="16">
        <v>485.66</v>
      </c>
      <c r="O4456" s="24">
        <v>35.9</v>
      </c>
      <c r="P4456" s="18">
        <f t="shared" si="1"/>
        <v>363.13005</v>
      </c>
    </row>
    <row r="4457" ht="15.75" customHeight="1">
      <c r="A4457" s="19" t="s">
        <v>250</v>
      </c>
      <c r="B4457" s="19" t="s">
        <v>61</v>
      </c>
      <c r="C4457" s="20" t="s">
        <v>93</v>
      </c>
      <c r="D4457" s="14" t="str">
        <f>VLOOKUP(C4457,'State Key'!$A$2:$B$210,2,False)</f>
        <v>Rajasthan</v>
      </c>
      <c r="E4457" s="21">
        <v>1500.0</v>
      </c>
      <c r="F4457" s="22">
        <v>540.339</v>
      </c>
      <c r="G4457" s="22">
        <v>0.0</v>
      </c>
      <c r="H4457" s="22">
        <v>27.827</v>
      </c>
      <c r="I4457" s="22">
        <v>0.0</v>
      </c>
      <c r="J4457" s="22">
        <v>0.0</v>
      </c>
      <c r="K4457" s="22">
        <v>0.0</v>
      </c>
      <c r="L4457" s="22">
        <v>568.166</v>
      </c>
      <c r="M4457" s="22">
        <v>378.24</v>
      </c>
      <c r="N4457" s="22">
        <v>506.49</v>
      </c>
      <c r="O4457" s="24">
        <v>40.2</v>
      </c>
      <c r="P4457" s="18">
        <f t="shared" si="1"/>
        <v>568.166</v>
      </c>
    </row>
    <row r="4458" ht="15.75" customHeight="1">
      <c r="A4458" s="13" t="s">
        <v>250</v>
      </c>
      <c r="B4458" s="13" t="s">
        <v>61</v>
      </c>
      <c r="C4458" s="14" t="s">
        <v>94</v>
      </c>
      <c r="D4458" s="14" t="str">
        <f>VLOOKUP(C4458,'State Key'!$A$2:$B$210,2,False)</f>
        <v>Punjab</v>
      </c>
      <c r="E4458" s="15">
        <v>1980.0</v>
      </c>
      <c r="F4458" s="16">
        <v>688.1</v>
      </c>
      <c r="G4458" s="16">
        <v>0.0</v>
      </c>
      <c r="H4458" s="16">
        <v>0.0</v>
      </c>
      <c r="I4458" s="16">
        <v>0.0</v>
      </c>
      <c r="J4458" s="16">
        <v>0.0</v>
      </c>
      <c r="K4458" s="16">
        <v>0.0</v>
      </c>
      <c r="L4458" s="16">
        <v>688.1</v>
      </c>
      <c r="M4458" s="16">
        <v>582.875</v>
      </c>
      <c r="N4458" s="16">
        <v>379.1</v>
      </c>
      <c r="O4458" s="24">
        <v>19.5</v>
      </c>
      <c r="P4458" s="18">
        <f t="shared" si="1"/>
        <v>688.1</v>
      </c>
    </row>
    <row r="4459" ht="15.75" customHeight="1">
      <c r="A4459" s="19" t="s">
        <v>250</v>
      </c>
      <c r="B4459" s="19" t="s">
        <v>61</v>
      </c>
      <c r="C4459" s="20" t="s">
        <v>95</v>
      </c>
      <c r="D4459" s="14" t="str">
        <f>VLOOKUP(C4459,'State Key'!$A$2:$B$210,2,False)</f>
        <v>Uttar Pradesh</v>
      </c>
      <c r="E4459" s="21">
        <v>1760.0</v>
      </c>
      <c r="F4459" s="22">
        <v>489.62</v>
      </c>
      <c r="G4459" s="22">
        <v>0.0</v>
      </c>
      <c r="H4459" s="22">
        <v>346.57</v>
      </c>
      <c r="I4459" s="22">
        <v>0.0</v>
      </c>
      <c r="J4459" s="22">
        <v>0.0</v>
      </c>
      <c r="K4459" s="22">
        <v>20.13</v>
      </c>
      <c r="L4459" s="22">
        <v>856.32</v>
      </c>
      <c r="M4459" s="22">
        <v>686.32</v>
      </c>
      <c r="N4459" s="22">
        <v>773.24</v>
      </c>
      <c r="O4459" s="24">
        <v>33.8</v>
      </c>
      <c r="P4459" s="18">
        <f t="shared" si="1"/>
        <v>856.32</v>
      </c>
    </row>
    <row r="4460" ht="15.75" customHeight="1">
      <c r="A4460" s="13" t="s">
        <v>250</v>
      </c>
      <c r="B4460" s="13" t="s">
        <v>61</v>
      </c>
      <c r="C4460" s="14" t="s">
        <v>96</v>
      </c>
      <c r="D4460" s="14" t="str">
        <f>VLOOKUP(C4460,'State Key'!$A$2:$B$210,2,False)</f>
        <v>Uttar Pradesh</v>
      </c>
      <c r="E4460" s="15">
        <v>1550.0</v>
      </c>
      <c r="F4460" s="16">
        <v>587.4</v>
      </c>
      <c r="G4460" s="16">
        <v>0.0</v>
      </c>
      <c r="H4460" s="16">
        <v>207.01</v>
      </c>
      <c r="I4460" s="16">
        <v>0.0</v>
      </c>
      <c r="J4460" s="16">
        <v>0.0</v>
      </c>
      <c r="K4460" s="16">
        <v>4.09</v>
      </c>
      <c r="L4460" s="16">
        <v>798.5</v>
      </c>
      <c r="M4460" s="16">
        <v>617.612</v>
      </c>
      <c r="N4460" s="16">
        <v>458.65</v>
      </c>
      <c r="O4460" s="24">
        <v>22.3</v>
      </c>
      <c r="P4460" s="18">
        <f t="shared" si="1"/>
        <v>798.5</v>
      </c>
    </row>
    <row r="4461" ht="15.75" customHeight="1">
      <c r="A4461" s="19" t="s">
        <v>250</v>
      </c>
      <c r="B4461" s="19" t="s">
        <v>61</v>
      </c>
      <c r="C4461" s="20" t="s">
        <v>97</v>
      </c>
      <c r="D4461" s="14" t="str">
        <f>VLOOKUP(C4461,'State Key'!$A$2:$B$210,2,False)</f>
        <v>Uttar Pradesh</v>
      </c>
      <c r="E4461" s="21">
        <v>90.0</v>
      </c>
      <c r="F4461" s="22">
        <v>48.538</v>
      </c>
      <c r="G4461" s="22">
        <v>0.0</v>
      </c>
      <c r="H4461" s="22">
        <v>0.0</v>
      </c>
      <c r="I4461" s="22">
        <v>0.0</v>
      </c>
      <c r="J4461" s="22">
        <v>0.0</v>
      </c>
      <c r="K4461" s="22">
        <v>0.0</v>
      </c>
      <c r="L4461" s="22">
        <v>48.538</v>
      </c>
      <c r="M4461" s="22">
        <v>32.019</v>
      </c>
      <c r="N4461" s="22">
        <v>74.34</v>
      </c>
      <c r="O4461" s="24">
        <v>69.7</v>
      </c>
      <c r="P4461" s="18">
        <f t="shared" si="1"/>
        <v>48.538</v>
      </c>
    </row>
    <row r="4462" ht="15.75" customHeight="1">
      <c r="A4462" s="13" t="s">
        <v>250</v>
      </c>
      <c r="B4462" s="13" t="s">
        <v>61</v>
      </c>
      <c r="C4462" s="14" t="s">
        <v>98</v>
      </c>
      <c r="D4462" s="14" t="str">
        <f>VLOOKUP(C4462,'State Key'!$A$2:$B$210,2,False)</f>
        <v>Haryana</v>
      </c>
      <c r="E4462" s="15">
        <v>600.0</v>
      </c>
      <c r="F4462" s="16">
        <v>178.616</v>
      </c>
      <c r="G4462" s="16">
        <v>0.0</v>
      </c>
      <c r="H4462" s="16">
        <v>0.0</v>
      </c>
      <c r="I4462" s="16">
        <v>0.0</v>
      </c>
      <c r="J4462" s="16">
        <v>0.0</v>
      </c>
      <c r="K4462" s="16">
        <v>0.0</v>
      </c>
      <c r="L4462" s="16">
        <v>178.616</v>
      </c>
      <c r="M4462" s="16">
        <v>258.671</v>
      </c>
      <c r="N4462" s="16">
        <v>194.47</v>
      </c>
      <c r="O4462" s="24">
        <v>22.6</v>
      </c>
      <c r="P4462" s="18">
        <f t="shared" si="1"/>
        <v>178.616</v>
      </c>
    </row>
    <row r="4463" ht="15.75" customHeight="1">
      <c r="A4463" s="19" t="s">
        <v>250</v>
      </c>
      <c r="B4463" s="19" t="s">
        <v>99</v>
      </c>
      <c r="C4463" s="20" t="s">
        <v>210</v>
      </c>
      <c r="D4463" s="14" t="str">
        <f>VLOOKUP(C4463,'State Key'!$A$2:$B$210,2,False)</f>
        <v>Karnataka</v>
      </c>
      <c r="E4463" s="21">
        <v>1200.0</v>
      </c>
      <c r="F4463" s="22">
        <v>0.0</v>
      </c>
      <c r="G4463" s="22">
        <v>0.0</v>
      </c>
      <c r="H4463" s="22">
        <v>0.0</v>
      </c>
      <c r="I4463" s="22">
        <v>0.0</v>
      </c>
      <c r="J4463" s="22">
        <v>275.77</v>
      </c>
      <c r="K4463" s="22">
        <v>0.0</v>
      </c>
      <c r="L4463" s="22">
        <v>275.77</v>
      </c>
      <c r="M4463" s="22">
        <v>256.232</v>
      </c>
      <c r="N4463" s="22">
        <v>113.21</v>
      </c>
      <c r="O4463" s="23">
        <v>13.3</v>
      </c>
      <c r="P4463" s="18">
        <f t="shared" si="1"/>
        <v>275.77</v>
      </c>
    </row>
    <row r="4464" ht="15.75" customHeight="1">
      <c r="A4464" s="13" t="s">
        <v>250</v>
      </c>
      <c r="B4464" s="13" t="s">
        <v>99</v>
      </c>
      <c r="C4464" s="14" t="s">
        <v>100</v>
      </c>
      <c r="D4464" s="14" t="str">
        <f>VLOOKUP(C4464,'State Key'!$A$2:$B$210,2,False)</f>
        <v>Karnataka</v>
      </c>
      <c r="E4464" s="15">
        <v>1700.0</v>
      </c>
      <c r="F4464" s="16">
        <v>212.30492</v>
      </c>
      <c r="G4464" s="16">
        <v>142.93898</v>
      </c>
      <c r="H4464" s="16">
        <v>350.97954</v>
      </c>
      <c r="I4464" s="16">
        <v>0.0</v>
      </c>
      <c r="J4464" s="16">
        <v>0.0</v>
      </c>
      <c r="K4464" s="16">
        <v>0.0</v>
      </c>
      <c r="L4464" s="16">
        <v>706.22344</v>
      </c>
      <c r="M4464" s="16">
        <v>594.246</v>
      </c>
      <c r="N4464" s="16">
        <v>309.9858</v>
      </c>
      <c r="O4464" s="24">
        <v>15.6</v>
      </c>
      <c r="P4464" s="18">
        <f t="shared" si="1"/>
        <v>706.22344</v>
      </c>
    </row>
    <row r="4465" ht="15.75" customHeight="1">
      <c r="A4465" s="19" t="s">
        <v>250</v>
      </c>
      <c r="B4465" s="19" t="s">
        <v>99</v>
      </c>
      <c r="C4465" s="20" t="s">
        <v>101</v>
      </c>
      <c r="D4465" s="14" t="str">
        <f>VLOOKUP(C4465,'State Key'!$A$2:$B$210,2,False)</f>
        <v>Telangana</v>
      </c>
      <c r="E4465" s="21">
        <v>1080.0</v>
      </c>
      <c r="F4465" s="22">
        <v>0.0</v>
      </c>
      <c r="G4465" s="22">
        <v>361.882</v>
      </c>
      <c r="H4465" s="22">
        <v>0.0</v>
      </c>
      <c r="I4465" s="22">
        <v>0.0</v>
      </c>
      <c r="J4465" s="22">
        <v>0.0</v>
      </c>
      <c r="K4465" s="22">
        <v>0.0</v>
      </c>
      <c r="L4465" s="22">
        <v>361.882</v>
      </c>
      <c r="M4465" s="22">
        <v>351.201</v>
      </c>
      <c r="N4465" s="22">
        <v>366.156</v>
      </c>
      <c r="O4465" s="24">
        <v>31.3</v>
      </c>
      <c r="P4465" s="18">
        <f t="shared" si="1"/>
        <v>361.882</v>
      </c>
    </row>
    <row r="4466" ht="15.75" customHeight="1">
      <c r="A4466" s="13" t="s">
        <v>250</v>
      </c>
      <c r="B4466" s="13" t="s">
        <v>99</v>
      </c>
      <c r="C4466" s="14" t="s">
        <v>102</v>
      </c>
      <c r="D4466" s="14" t="str">
        <f>VLOOKUP(C4466,'State Key'!$A$2:$B$210,2,False)</f>
        <v>Andhra Pradesh</v>
      </c>
      <c r="E4466" s="15">
        <v>2400.0</v>
      </c>
      <c r="F4466" s="16">
        <v>645.55</v>
      </c>
      <c r="G4466" s="16">
        <v>0.0</v>
      </c>
      <c r="H4466" s="16">
        <v>0.0</v>
      </c>
      <c r="I4466" s="16">
        <v>0.0</v>
      </c>
      <c r="J4466" s="16">
        <v>0.0</v>
      </c>
      <c r="K4466" s="16">
        <v>0.0</v>
      </c>
      <c r="L4466" s="16">
        <v>645.55</v>
      </c>
      <c r="M4466" s="16">
        <v>674.197</v>
      </c>
      <c r="N4466" s="16">
        <v>88.14</v>
      </c>
      <c r="O4466" s="17">
        <v>3.9</v>
      </c>
      <c r="P4466" s="18">
        <f t="shared" si="1"/>
        <v>645.55</v>
      </c>
    </row>
    <row r="4467" ht="15.75" customHeight="1">
      <c r="A4467" s="19" t="s">
        <v>250</v>
      </c>
      <c r="B4467" s="19" t="s">
        <v>99</v>
      </c>
      <c r="C4467" s="20" t="s">
        <v>103</v>
      </c>
      <c r="D4467" s="14" t="str">
        <f>VLOOKUP(C4467,'State Key'!$A$2:$B$210,2,False)</f>
        <v>Andhra Pradesh</v>
      </c>
      <c r="E4467" s="21">
        <v>2560.0</v>
      </c>
      <c r="F4467" s="22">
        <v>819.885</v>
      </c>
      <c r="G4467" s="22">
        <v>254.433</v>
      </c>
      <c r="H4467" s="22">
        <v>0.0</v>
      </c>
      <c r="I4467" s="22">
        <v>0.0</v>
      </c>
      <c r="J4467" s="22">
        <v>0.0</v>
      </c>
      <c r="K4467" s="22">
        <v>0.0</v>
      </c>
      <c r="L4467" s="22">
        <v>1074.318</v>
      </c>
      <c r="M4467" s="22">
        <v>1067.479</v>
      </c>
      <c r="N4467" s="22">
        <v>372.92</v>
      </c>
      <c r="O4467" s="23">
        <v>10.5</v>
      </c>
      <c r="P4467" s="18">
        <f t="shared" si="1"/>
        <v>1074.318</v>
      </c>
    </row>
    <row r="4468" ht="15.75" customHeight="1">
      <c r="A4468" s="13" t="s">
        <v>250</v>
      </c>
      <c r="B4468" s="13" t="s">
        <v>99</v>
      </c>
      <c r="C4468" s="14" t="s">
        <v>104</v>
      </c>
      <c r="D4468" s="14" t="str">
        <f>VLOOKUP(C4468,'State Key'!$A$2:$B$210,2,False)</f>
        <v>Tamil Nadu</v>
      </c>
      <c r="E4468" s="15">
        <v>1200.0</v>
      </c>
      <c r="F4468" s="16">
        <v>0.0</v>
      </c>
      <c r="G4468" s="16">
        <v>0.0</v>
      </c>
      <c r="H4468" s="16">
        <v>0.0</v>
      </c>
      <c r="I4468" s="16">
        <v>0.0</v>
      </c>
      <c r="J4468" s="16">
        <v>459.704</v>
      </c>
      <c r="K4468" s="16">
        <v>0.0</v>
      </c>
      <c r="L4468" s="16">
        <v>459.704</v>
      </c>
      <c r="M4468" s="16">
        <v>436.091</v>
      </c>
      <c r="N4468" s="16">
        <v>255.01</v>
      </c>
      <c r="O4468" s="24">
        <v>17.5</v>
      </c>
      <c r="P4468" s="18">
        <f t="shared" si="1"/>
        <v>459.704</v>
      </c>
    </row>
    <row r="4469" ht="15.75" customHeight="1">
      <c r="A4469" s="19" t="s">
        <v>250</v>
      </c>
      <c r="B4469" s="19" t="s">
        <v>99</v>
      </c>
      <c r="C4469" s="20" t="s">
        <v>105</v>
      </c>
      <c r="D4469" s="14" t="str">
        <f>VLOOKUP(C4469,'State Key'!$A$2:$B$210,2,False)</f>
        <v>Telangana</v>
      </c>
      <c r="E4469" s="21">
        <v>1100.0</v>
      </c>
      <c r="F4469" s="22">
        <v>0.0</v>
      </c>
      <c r="G4469" s="22">
        <v>124.388</v>
      </c>
      <c r="H4469" s="22">
        <v>207.861</v>
      </c>
      <c r="I4469" s="22">
        <v>0.0</v>
      </c>
      <c r="J4469" s="22">
        <v>0.0</v>
      </c>
      <c r="K4469" s="22">
        <v>0.0</v>
      </c>
      <c r="L4469" s="22">
        <v>332.249</v>
      </c>
      <c r="M4469" s="22">
        <v>349.391</v>
      </c>
      <c r="N4469" s="22">
        <v>330.349</v>
      </c>
      <c r="O4469" s="24">
        <v>28.4</v>
      </c>
      <c r="P4469" s="18">
        <f t="shared" si="1"/>
        <v>332.249</v>
      </c>
    </row>
    <row r="4470" ht="15.75" customHeight="1">
      <c r="A4470" s="13" t="s">
        <v>250</v>
      </c>
      <c r="B4470" s="13" t="s">
        <v>99</v>
      </c>
      <c r="C4470" s="14" t="s">
        <v>106</v>
      </c>
      <c r="D4470" s="14" t="str">
        <f>VLOOKUP(C4470,'State Key'!$A$2:$B$210,2,False)</f>
        <v>Telangana</v>
      </c>
      <c r="E4470" s="15">
        <v>1000.0</v>
      </c>
      <c r="F4470" s="16">
        <v>0.0</v>
      </c>
      <c r="G4470" s="16">
        <v>295.295</v>
      </c>
      <c r="H4470" s="16">
        <v>0.0</v>
      </c>
      <c r="I4470" s="16">
        <v>0.0</v>
      </c>
      <c r="J4470" s="16">
        <v>0.0</v>
      </c>
      <c r="K4470" s="16">
        <v>0.0</v>
      </c>
      <c r="L4470" s="16">
        <v>295.295</v>
      </c>
      <c r="M4470" s="16">
        <v>391.82</v>
      </c>
      <c r="N4470" s="16">
        <v>341.403</v>
      </c>
      <c r="O4470" s="24">
        <v>26.1</v>
      </c>
      <c r="P4470" s="18">
        <f t="shared" si="1"/>
        <v>295.295</v>
      </c>
    </row>
    <row r="4471" ht="15.75" customHeight="1">
      <c r="A4471" s="19" t="s">
        <v>250</v>
      </c>
      <c r="B4471" s="19" t="s">
        <v>99</v>
      </c>
      <c r="C4471" s="20" t="s">
        <v>107</v>
      </c>
      <c r="D4471" s="14" t="str">
        <f>VLOOKUP(C4471,'State Key'!$A$2:$B$210,2,False)</f>
        <v>Telangana</v>
      </c>
      <c r="E4471" s="21">
        <v>800.0</v>
      </c>
      <c r="F4471" s="22">
        <v>0.0</v>
      </c>
      <c r="G4471" s="22">
        <v>162.877</v>
      </c>
      <c r="H4471" s="22">
        <v>0.0</v>
      </c>
      <c r="I4471" s="22">
        <v>0.0</v>
      </c>
      <c r="J4471" s="22">
        <v>0.0</v>
      </c>
      <c r="K4471" s="22">
        <v>0.0</v>
      </c>
      <c r="L4471" s="22">
        <v>162.877</v>
      </c>
      <c r="M4471" s="22">
        <v>250.974</v>
      </c>
      <c r="N4471" s="22">
        <v>199.085</v>
      </c>
      <c r="O4471" s="24">
        <v>23.8</v>
      </c>
      <c r="P4471" s="18">
        <f t="shared" si="1"/>
        <v>162.877</v>
      </c>
    </row>
    <row r="4472" ht="15.75" customHeight="1">
      <c r="A4472" s="13" t="s">
        <v>250</v>
      </c>
      <c r="B4472" s="13" t="s">
        <v>99</v>
      </c>
      <c r="C4472" s="14" t="s">
        <v>108</v>
      </c>
      <c r="D4472" s="14" t="str">
        <f>VLOOKUP(C4472,'State Key'!$A$2:$B$210,2,False)</f>
        <v>Karnataka</v>
      </c>
      <c r="E4472" s="15">
        <v>2400.0</v>
      </c>
      <c r="F4472" s="16">
        <v>264.13</v>
      </c>
      <c r="G4472" s="16">
        <v>154.6</v>
      </c>
      <c r="H4472" s="16">
        <v>154.7</v>
      </c>
      <c r="I4472" s="16">
        <v>0.0</v>
      </c>
      <c r="J4472" s="16">
        <v>0.0</v>
      </c>
      <c r="K4472" s="16">
        <v>68.2</v>
      </c>
      <c r="L4472" s="16">
        <v>641.63</v>
      </c>
      <c r="M4472" s="16">
        <v>769.689</v>
      </c>
      <c r="N4472" s="16">
        <v>297.679</v>
      </c>
      <c r="O4472" s="23">
        <v>11.6</v>
      </c>
      <c r="P4472" s="18">
        <f t="shared" si="1"/>
        <v>641.63</v>
      </c>
    </row>
    <row r="4473" ht="15.75" customHeight="1">
      <c r="A4473" s="19" t="s">
        <v>250</v>
      </c>
      <c r="B4473" s="19" t="s">
        <v>99</v>
      </c>
      <c r="C4473" s="20" t="s">
        <v>109</v>
      </c>
      <c r="D4473" s="14" t="str">
        <f>VLOOKUP(C4473,'State Key'!$A$2:$B$210,2,False)</f>
        <v>Tamil Nadu</v>
      </c>
      <c r="E4473" s="21">
        <v>840.0</v>
      </c>
      <c r="F4473" s="22">
        <v>352.2619</v>
      </c>
      <c r="G4473" s="22">
        <v>0.0</v>
      </c>
      <c r="H4473" s="22">
        <v>0.0</v>
      </c>
      <c r="I4473" s="22">
        <v>0.0</v>
      </c>
      <c r="J4473" s="22">
        <v>0.0</v>
      </c>
      <c r="K4473" s="22">
        <v>0.0</v>
      </c>
      <c r="L4473" s="22">
        <v>352.2619</v>
      </c>
      <c r="M4473" s="22">
        <v>305.7844</v>
      </c>
      <c r="N4473" s="22">
        <v>208.5811</v>
      </c>
      <c r="O4473" s="24">
        <v>20.5</v>
      </c>
      <c r="P4473" s="18">
        <f t="shared" si="1"/>
        <v>352.2619</v>
      </c>
    </row>
    <row r="4474" ht="15.75" customHeight="1">
      <c r="A4474" s="13" t="s">
        <v>250</v>
      </c>
      <c r="B4474" s="13" t="s">
        <v>99</v>
      </c>
      <c r="C4474" s="14" t="s">
        <v>110</v>
      </c>
      <c r="D4474" s="14" t="str">
        <f>VLOOKUP(C4474,'State Key'!$A$2:$B$210,2,False)</f>
        <v>Tamil Nadu</v>
      </c>
      <c r="E4474" s="15">
        <v>600.0</v>
      </c>
      <c r="F4474" s="16">
        <v>219.02</v>
      </c>
      <c r="G4474" s="16">
        <v>0.0</v>
      </c>
      <c r="H4474" s="16">
        <v>0.0</v>
      </c>
      <c r="I4474" s="16">
        <v>0.0</v>
      </c>
      <c r="J4474" s="16">
        <v>0.0</v>
      </c>
      <c r="K4474" s="16">
        <v>0.0</v>
      </c>
      <c r="L4474" s="16">
        <v>219.02</v>
      </c>
      <c r="M4474" s="16">
        <v>183.86</v>
      </c>
      <c r="N4474" s="16">
        <v>178.51</v>
      </c>
      <c r="O4474" s="24">
        <v>29.1</v>
      </c>
      <c r="P4474" s="18">
        <f t="shared" si="1"/>
        <v>219.02</v>
      </c>
    </row>
    <row r="4475" ht="15.75" customHeight="1">
      <c r="A4475" s="19" t="s">
        <v>250</v>
      </c>
      <c r="B4475" s="19" t="s">
        <v>99</v>
      </c>
      <c r="C4475" s="20" t="s">
        <v>111</v>
      </c>
      <c r="D4475" s="14" t="str">
        <f>VLOOKUP(C4475,'State Key'!$A$2:$B$210,2,False)</f>
        <v>Tamil Nadu</v>
      </c>
      <c r="E4475" s="21">
        <v>1200.0</v>
      </c>
      <c r="F4475" s="22">
        <v>0.0</v>
      </c>
      <c r="G4475" s="22">
        <v>0.0</v>
      </c>
      <c r="H4475" s="22">
        <v>0.0</v>
      </c>
      <c r="I4475" s="22">
        <v>0.0</v>
      </c>
      <c r="J4475" s="22">
        <v>232.426</v>
      </c>
      <c r="K4475" s="22">
        <v>0.0</v>
      </c>
      <c r="L4475" s="22">
        <v>232.426</v>
      </c>
      <c r="M4475" s="22">
        <v>208.976</v>
      </c>
      <c r="N4475" s="22">
        <v>204.794</v>
      </c>
      <c r="O4475" s="24">
        <v>29.4</v>
      </c>
      <c r="P4475" s="18">
        <f t="shared" si="1"/>
        <v>232.426</v>
      </c>
    </row>
    <row r="4476" ht="15.75" customHeight="1">
      <c r="A4476" s="13" t="s">
        <v>250</v>
      </c>
      <c r="B4476" s="13" t="s">
        <v>99</v>
      </c>
      <c r="C4476" s="14" t="s">
        <v>112</v>
      </c>
      <c r="D4476" s="14" t="str">
        <f>VLOOKUP(C4476,'State Key'!$A$2:$B$210,2,False)</f>
        <v>Tamil Nadu</v>
      </c>
      <c r="E4476" s="15">
        <v>1830.0</v>
      </c>
      <c r="F4476" s="16">
        <v>517.291</v>
      </c>
      <c r="G4476" s="16">
        <v>0.0</v>
      </c>
      <c r="H4476" s="16">
        <v>0.0</v>
      </c>
      <c r="I4476" s="16">
        <v>0.0</v>
      </c>
      <c r="J4476" s="16">
        <v>0.0</v>
      </c>
      <c r="K4476" s="16">
        <v>0.0</v>
      </c>
      <c r="L4476" s="16">
        <v>517.291</v>
      </c>
      <c r="M4476" s="16">
        <v>556.327</v>
      </c>
      <c r="N4476" s="16">
        <v>490.052</v>
      </c>
      <c r="O4476" s="24">
        <v>26.4</v>
      </c>
      <c r="P4476" s="18">
        <f t="shared" si="1"/>
        <v>517.291</v>
      </c>
    </row>
    <row r="4477" ht="15.75" customHeight="1">
      <c r="A4477" s="19" t="s">
        <v>250</v>
      </c>
      <c r="B4477" s="19" t="s">
        <v>99</v>
      </c>
      <c r="C4477" s="20" t="s">
        <v>113</v>
      </c>
      <c r="D4477" s="14" t="str">
        <f>VLOOKUP(C4477,'State Key'!$A$2:$B$210,2,False)</f>
        <v>Tamil Nadu</v>
      </c>
      <c r="E4477" s="21">
        <v>1000.0</v>
      </c>
      <c r="F4477" s="22">
        <v>0.0</v>
      </c>
      <c r="G4477" s="22">
        <v>0.0</v>
      </c>
      <c r="H4477" s="22">
        <v>152.68</v>
      </c>
      <c r="I4477" s="22">
        <v>0.0</v>
      </c>
      <c r="J4477" s="22">
        <v>0.0</v>
      </c>
      <c r="K4477" s="22">
        <v>0.0</v>
      </c>
      <c r="L4477" s="22">
        <v>152.68</v>
      </c>
      <c r="M4477" s="22">
        <v>349.7008</v>
      </c>
      <c r="N4477" s="22">
        <v>139.88</v>
      </c>
      <c r="O4477" s="23">
        <v>12.0</v>
      </c>
      <c r="P4477" s="18">
        <f t="shared" si="1"/>
        <v>152.68</v>
      </c>
    </row>
    <row r="4478" ht="15.75" customHeight="1">
      <c r="A4478" s="13" t="s">
        <v>250</v>
      </c>
      <c r="B4478" s="13" t="s">
        <v>99</v>
      </c>
      <c r="C4478" s="14" t="s">
        <v>228</v>
      </c>
      <c r="D4478" s="14" t="str">
        <f>VLOOKUP(C4478,'State Key'!$A$2:$B$210,2,False)</f>
        <v>Tamil Nadu</v>
      </c>
      <c r="E4478" s="15">
        <v>414.0</v>
      </c>
      <c r="F4478" s="16">
        <v>25.763</v>
      </c>
      <c r="G4478" s="16">
        <v>0.0</v>
      </c>
      <c r="H4478" s="16">
        <v>0.0</v>
      </c>
      <c r="I4478" s="16">
        <v>0.0</v>
      </c>
      <c r="J4478" s="16">
        <v>160.284</v>
      </c>
      <c r="K4478" s="16">
        <v>0.0</v>
      </c>
      <c r="L4478" s="16">
        <v>186.047</v>
      </c>
      <c r="M4478" s="16">
        <v>180.924</v>
      </c>
      <c r="N4478" s="16">
        <v>49.35</v>
      </c>
      <c r="O4478" s="23">
        <v>8.2</v>
      </c>
      <c r="P4478" s="18">
        <f t="shared" si="1"/>
        <v>186.047</v>
      </c>
    </row>
    <row r="4479" ht="15.75" customHeight="1">
      <c r="A4479" s="19" t="s">
        <v>250</v>
      </c>
      <c r="B4479" s="19" t="s">
        <v>99</v>
      </c>
      <c r="C4479" s="20" t="s">
        <v>114</v>
      </c>
      <c r="D4479" s="14" t="str">
        <f>VLOOKUP(C4479,'State Key'!$A$2:$B$210,2,False)</f>
        <v>Andhra Pradesh</v>
      </c>
      <c r="E4479" s="21">
        <v>1320.0</v>
      </c>
      <c r="F4479" s="22">
        <v>333.367</v>
      </c>
      <c r="G4479" s="22">
        <v>0.0</v>
      </c>
      <c r="H4479" s="22">
        <v>0.0</v>
      </c>
      <c r="I4479" s="22">
        <v>0.0</v>
      </c>
      <c r="J4479" s="22">
        <v>174.088</v>
      </c>
      <c r="K4479" s="22">
        <v>0.0</v>
      </c>
      <c r="L4479" s="22">
        <v>507.455</v>
      </c>
      <c r="M4479" s="22">
        <v>459.232</v>
      </c>
      <c r="N4479" s="22">
        <v>208.83</v>
      </c>
      <c r="O4479" s="23">
        <v>13.6</v>
      </c>
      <c r="P4479" s="18">
        <f t="shared" si="1"/>
        <v>507.455</v>
      </c>
    </row>
    <row r="4480" ht="15.75" customHeight="1">
      <c r="A4480" s="13" t="s">
        <v>250</v>
      </c>
      <c r="B4480" s="13" t="s">
        <v>99</v>
      </c>
      <c r="C4480" s="14" t="s">
        <v>115</v>
      </c>
      <c r="D4480" s="14" t="str">
        <f>VLOOKUP(C4480,'State Key'!$A$2:$B$210,2,False)</f>
        <v>Karnataka</v>
      </c>
      <c r="E4480" s="15">
        <v>1720.0</v>
      </c>
      <c r="F4480" s="16">
        <v>343.099</v>
      </c>
      <c r="G4480" s="16">
        <v>288.727</v>
      </c>
      <c r="H4480" s="16">
        <v>0.0</v>
      </c>
      <c r="I4480" s="16">
        <v>0.0</v>
      </c>
      <c r="J4480" s="16">
        <v>0.0</v>
      </c>
      <c r="K4480" s="16">
        <v>0.0</v>
      </c>
      <c r="L4480" s="16">
        <v>631.826</v>
      </c>
      <c r="M4480" s="16">
        <v>526.615</v>
      </c>
      <c r="N4480" s="16">
        <v>649.14</v>
      </c>
      <c r="O4480" s="24">
        <v>37.0</v>
      </c>
      <c r="P4480" s="18">
        <f t="shared" si="1"/>
        <v>631.826</v>
      </c>
    </row>
    <row r="4481" ht="15.75" customHeight="1">
      <c r="A4481" s="19" t="s">
        <v>250</v>
      </c>
      <c r="B4481" s="19" t="s">
        <v>99</v>
      </c>
      <c r="C4481" s="20" t="s">
        <v>116</v>
      </c>
      <c r="D4481" s="14" t="str">
        <f>VLOOKUP(C4481,'State Key'!$A$2:$B$210,2,False)</f>
        <v>Telangana</v>
      </c>
      <c r="E4481" s="21">
        <v>2600.0</v>
      </c>
      <c r="F4481" s="22">
        <v>0.0</v>
      </c>
      <c r="G4481" s="22">
        <v>874.57</v>
      </c>
      <c r="H4481" s="22">
        <v>0.0</v>
      </c>
      <c r="I4481" s="22">
        <v>0.0</v>
      </c>
      <c r="J4481" s="22">
        <v>0.0</v>
      </c>
      <c r="K4481" s="22">
        <v>0.0</v>
      </c>
      <c r="L4481" s="22">
        <v>874.57</v>
      </c>
      <c r="M4481" s="22">
        <v>945.919</v>
      </c>
      <c r="N4481" s="22">
        <v>790.18</v>
      </c>
      <c r="O4481" s="24">
        <v>25.1</v>
      </c>
      <c r="P4481" s="18">
        <f t="shared" si="1"/>
        <v>874.57</v>
      </c>
    </row>
    <row r="4482" ht="15.75" customHeight="1">
      <c r="A4482" s="13" t="s">
        <v>250</v>
      </c>
      <c r="B4482" s="13" t="s">
        <v>99</v>
      </c>
      <c r="C4482" s="14" t="s">
        <v>117</v>
      </c>
      <c r="D4482" s="14" t="str">
        <f>VLOOKUP(C4482,'State Key'!$A$2:$B$210,2,False)</f>
        <v>Telangana</v>
      </c>
      <c r="E4482" s="15">
        <v>62.5</v>
      </c>
      <c r="F4482" s="16">
        <v>0.0</v>
      </c>
      <c r="G4482" s="16">
        <v>0.0</v>
      </c>
      <c r="H4482" s="16">
        <v>0.0</v>
      </c>
      <c r="I4482" s="16">
        <v>0.0</v>
      </c>
      <c r="J4482" s="16">
        <v>0.0</v>
      </c>
      <c r="K4482" s="16">
        <v>0.0</v>
      </c>
      <c r="L4482" s="16">
        <v>0.0</v>
      </c>
      <c r="M4482" s="16">
        <v>0.0</v>
      </c>
      <c r="N4482" s="16">
        <v>3.72</v>
      </c>
      <c r="O4482" s="13" t="s">
        <v>58</v>
      </c>
      <c r="P4482" s="18">
        <f t="shared" si="1"/>
        <v>0</v>
      </c>
    </row>
    <row r="4483" ht="15.75" customHeight="1">
      <c r="A4483" s="19" t="s">
        <v>250</v>
      </c>
      <c r="B4483" s="19" t="s">
        <v>99</v>
      </c>
      <c r="C4483" s="20" t="s">
        <v>118</v>
      </c>
      <c r="D4483" s="14" t="str">
        <f>VLOOKUP(C4483,'State Key'!$A$2:$B$210,2,False)</f>
        <v>Andhra Pradesh</v>
      </c>
      <c r="E4483" s="21">
        <v>1650.0</v>
      </c>
      <c r="F4483" s="22">
        <v>431.716</v>
      </c>
      <c r="G4483" s="22">
        <v>203.178</v>
      </c>
      <c r="H4483" s="22">
        <v>0.0</v>
      </c>
      <c r="I4483" s="22">
        <v>0.0</v>
      </c>
      <c r="J4483" s="22">
        <v>0.0</v>
      </c>
      <c r="K4483" s="22">
        <v>0.0</v>
      </c>
      <c r="L4483" s="22">
        <v>634.894</v>
      </c>
      <c r="M4483" s="22">
        <v>695.849</v>
      </c>
      <c r="N4483" s="22">
        <v>91.31</v>
      </c>
      <c r="O4483" s="17">
        <v>3.9</v>
      </c>
      <c r="P4483" s="18">
        <f t="shared" si="1"/>
        <v>634.894</v>
      </c>
    </row>
    <row r="4484" ht="15.75" customHeight="1">
      <c r="A4484" s="13" t="s">
        <v>250</v>
      </c>
      <c r="B4484" s="13" t="s">
        <v>99</v>
      </c>
      <c r="C4484" s="14" t="s">
        <v>119</v>
      </c>
      <c r="D4484" s="14" t="str">
        <f>VLOOKUP(C4484,'State Key'!$A$2:$B$210,2,False)</f>
        <v>Andhra Pradesh</v>
      </c>
      <c r="E4484" s="15">
        <v>1320.0</v>
      </c>
      <c r="F4484" s="16">
        <v>277.851</v>
      </c>
      <c r="G4484" s="16">
        <v>0.0</v>
      </c>
      <c r="H4484" s="16">
        <v>0.0</v>
      </c>
      <c r="I4484" s="16">
        <v>0.0</v>
      </c>
      <c r="J4484" s="16">
        <v>268.174</v>
      </c>
      <c r="K4484" s="16">
        <v>0.0</v>
      </c>
      <c r="L4484" s="16">
        <v>546.025</v>
      </c>
      <c r="M4484" s="16">
        <v>546.486</v>
      </c>
      <c r="N4484" s="16">
        <v>289.61</v>
      </c>
      <c r="O4484" s="24">
        <v>15.9</v>
      </c>
      <c r="P4484" s="18">
        <f t="shared" si="1"/>
        <v>546.025</v>
      </c>
    </row>
    <row r="4485" ht="15.75" customHeight="1">
      <c r="A4485" s="19" t="s">
        <v>250</v>
      </c>
      <c r="B4485" s="19" t="s">
        <v>99</v>
      </c>
      <c r="C4485" s="20" t="s">
        <v>120</v>
      </c>
      <c r="D4485" s="14" t="str">
        <f>VLOOKUP(C4485,'State Key'!$A$2:$B$210,2,False)</f>
        <v>Andhra Pradesh</v>
      </c>
      <c r="E4485" s="21">
        <v>2000.0</v>
      </c>
      <c r="F4485" s="22">
        <v>673.96</v>
      </c>
      <c r="G4485" s="22">
        <v>65.77</v>
      </c>
      <c r="H4485" s="22">
        <v>37.9</v>
      </c>
      <c r="I4485" s="22">
        <v>0.0</v>
      </c>
      <c r="J4485" s="22">
        <v>0.0</v>
      </c>
      <c r="K4485" s="22">
        <v>69.72</v>
      </c>
      <c r="L4485" s="22">
        <v>847.35</v>
      </c>
      <c r="M4485" s="22">
        <v>897.005</v>
      </c>
      <c r="N4485" s="22">
        <v>245.843</v>
      </c>
      <c r="O4485" s="23">
        <v>8.2</v>
      </c>
      <c r="P4485" s="18">
        <f t="shared" si="1"/>
        <v>847.35</v>
      </c>
    </row>
    <row r="4486" ht="15.75" customHeight="1">
      <c r="A4486" s="13" t="s">
        <v>250</v>
      </c>
      <c r="B4486" s="13" t="s">
        <v>99</v>
      </c>
      <c r="C4486" s="14" t="s">
        <v>121</v>
      </c>
      <c r="D4486" s="14" t="str">
        <f>VLOOKUP(C4486,'State Key'!$A$2:$B$210,2,False)</f>
        <v>Andhra Pradesh</v>
      </c>
      <c r="E4486" s="15">
        <v>600.0</v>
      </c>
      <c r="F4486" s="16">
        <v>0.0</v>
      </c>
      <c r="G4486" s="16">
        <v>0.0</v>
      </c>
      <c r="H4486" s="16">
        <v>0.0</v>
      </c>
      <c r="I4486" s="16">
        <v>0.0</v>
      </c>
      <c r="J4486" s="16">
        <v>97.344</v>
      </c>
      <c r="K4486" s="16">
        <v>0.0</v>
      </c>
      <c r="L4486" s="16">
        <v>97.344</v>
      </c>
      <c r="M4486" s="16">
        <v>178.438</v>
      </c>
      <c r="N4486" s="16">
        <v>92.478</v>
      </c>
      <c r="O4486" s="24">
        <v>15.5</v>
      </c>
      <c r="P4486" s="18">
        <f t="shared" si="1"/>
        <v>97.344</v>
      </c>
    </row>
    <row r="4487" ht="15.75" customHeight="1">
      <c r="A4487" s="19" t="s">
        <v>250</v>
      </c>
      <c r="B4487" s="19" t="s">
        <v>99</v>
      </c>
      <c r="C4487" s="20" t="s">
        <v>122</v>
      </c>
      <c r="D4487" s="14" t="str">
        <f>VLOOKUP(C4487,'State Key'!$A$2:$B$210,2,False)</f>
        <v>Telangana</v>
      </c>
      <c r="E4487" s="21">
        <v>1200.0</v>
      </c>
      <c r="F4487" s="22">
        <v>0.0</v>
      </c>
      <c r="G4487" s="22">
        <v>425.437</v>
      </c>
      <c r="H4487" s="22">
        <v>0.0</v>
      </c>
      <c r="I4487" s="22">
        <v>0.0</v>
      </c>
      <c r="J4487" s="22">
        <v>0.0</v>
      </c>
      <c r="K4487" s="22">
        <v>0.0</v>
      </c>
      <c r="L4487" s="22">
        <v>425.437</v>
      </c>
      <c r="M4487" s="22">
        <v>429.531</v>
      </c>
      <c r="N4487" s="22">
        <v>308.46</v>
      </c>
      <c r="O4487" s="24">
        <v>21.5</v>
      </c>
      <c r="P4487" s="18">
        <f t="shared" si="1"/>
        <v>425.437</v>
      </c>
    </row>
    <row r="4488" ht="15.75" customHeight="1">
      <c r="A4488" s="13" t="s">
        <v>250</v>
      </c>
      <c r="B4488" s="13" t="s">
        <v>99</v>
      </c>
      <c r="C4488" s="14" t="s">
        <v>243</v>
      </c>
      <c r="D4488" s="14" t="str">
        <f>VLOOKUP(C4488,'State Key'!$A$2:$B$210,2,False)</f>
        <v>Tamil Nadu</v>
      </c>
      <c r="E4488" s="15">
        <v>63.5</v>
      </c>
      <c r="F4488" s="16">
        <v>0.0</v>
      </c>
      <c r="G4488" s="16">
        <v>0.0</v>
      </c>
      <c r="H4488" s="16">
        <v>0.0</v>
      </c>
      <c r="I4488" s="16">
        <v>0.0</v>
      </c>
      <c r="J4488" s="16">
        <v>0.0</v>
      </c>
      <c r="K4488" s="16">
        <v>0.0</v>
      </c>
      <c r="L4488" s="16">
        <v>0.0</v>
      </c>
      <c r="M4488" s="16">
        <v>0.0</v>
      </c>
      <c r="N4488" s="16">
        <v>0.0</v>
      </c>
      <c r="O4488" s="13" t="s">
        <v>58</v>
      </c>
      <c r="P4488" s="18">
        <f t="shared" si="1"/>
        <v>0</v>
      </c>
    </row>
    <row r="4489" ht="15.75" customHeight="1">
      <c r="A4489" s="19" t="s">
        <v>250</v>
      </c>
      <c r="B4489" s="19" t="s">
        <v>99</v>
      </c>
      <c r="C4489" s="20" t="s">
        <v>220</v>
      </c>
      <c r="D4489" s="14" t="str">
        <f>VLOOKUP(C4489,'State Key'!$A$2:$B$210,2,False)</f>
        <v>Telangana</v>
      </c>
      <c r="E4489" s="21">
        <v>1600.0</v>
      </c>
      <c r="F4489" s="22">
        <v>23.5</v>
      </c>
      <c r="G4489" s="22">
        <v>412.31</v>
      </c>
      <c r="H4489" s="22">
        <v>0.0</v>
      </c>
      <c r="I4489" s="22">
        <v>0.0</v>
      </c>
      <c r="J4489" s="22">
        <v>0.0</v>
      </c>
      <c r="K4489" s="22">
        <v>56.02</v>
      </c>
      <c r="L4489" s="22">
        <v>491.83</v>
      </c>
      <c r="M4489" s="22">
        <v>500.502</v>
      </c>
      <c r="N4489" s="22">
        <v>623.234</v>
      </c>
      <c r="O4489" s="24">
        <v>37.4</v>
      </c>
      <c r="P4489" s="18">
        <f t="shared" si="1"/>
        <v>491.83</v>
      </c>
    </row>
    <row r="4490" ht="15.75" customHeight="1">
      <c r="A4490" s="13" t="s">
        <v>250</v>
      </c>
      <c r="B4490" s="13" t="s">
        <v>99</v>
      </c>
      <c r="C4490" s="14" t="s">
        <v>123</v>
      </c>
      <c r="D4490" s="14" t="str">
        <f>VLOOKUP(C4490,'State Key'!$A$2:$B$210,2,False)</f>
        <v>Andhra Pradesh</v>
      </c>
      <c r="E4490" s="15">
        <v>300.0</v>
      </c>
      <c r="F4490" s="16">
        <v>0.0</v>
      </c>
      <c r="G4490" s="16">
        <v>0.0</v>
      </c>
      <c r="H4490" s="16">
        <v>0.0</v>
      </c>
      <c r="I4490" s="16">
        <v>0.0</v>
      </c>
      <c r="J4490" s="16">
        <v>0.0</v>
      </c>
      <c r="K4490" s="16">
        <v>0.0</v>
      </c>
      <c r="L4490" s="16">
        <v>0.0</v>
      </c>
      <c r="M4490" s="16">
        <v>0.0</v>
      </c>
      <c r="N4490" s="16">
        <v>0.0</v>
      </c>
      <c r="O4490" s="13" t="s">
        <v>58</v>
      </c>
      <c r="P4490" s="18">
        <f t="shared" si="1"/>
        <v>0</v>
      </c>
    </row>
    <row r="4491" ht="15.75" customHeight="1">
      <c r="A4491" s="19" t="s">
        <v>250</v>
      </c>
      <c r="B4491" s="19" t="s">
        <v>99</v>
      </c>
      <c r="C4491" s="20" t="s">
        <v>124</v>
      </c>
      <c r="D4491" s="14" t="str">
        <f>VLOOKUP(C4491,'State Key'!$A$2:$B$210,2,False)</f>
        <v>Karnataka</v>
      </c>
      <c r="E4491" s="21">
        <v>260.0</v>
      </c>
      <c r="F4491" s="22">
        <v>0.0</v>
      </c>
      <c r="G4491" s="22">
        <v>0.0</v>
      </c>
      <c r="H4491" s="22">
        <v>0.0</v>
      </c>
      <c r="I4491" s="22">
        <v>0.0</v>
      </c>
      <c r="J4491" s="22">
        <v>33.0</v>
      </c>
      <c r="K4491" s="22">
        <v>0.0</v>
      </c>
      <c r="L4491" s="22">
        <v>33.0</v>
      </c>
      <c r="M4491" s="22">
        <v>33.0</v>
      </c>
      <c r="N4491" s="22">
        <v>0.0</v>
      </c>
      <c r="O4491" s="17">
        <v>0.0</v>
      </c>
      <c r="P4491" s="18">
        <f t="shared" si="1"/>
        <v>33</v>
      </c>
    </row>
    <row r="4492" ht="15.75" customHeight="1">
      <c r="A4492" s="13" t="s">
        <v>250</v>
      </c>
      <c r="B4492" s="13" t="s">
        <v>99</v>
      </c>
      <c r="C4492" s="14" t="s">
        <v>125</v>
      </c>
      <c r="D4492" s="14" t="str">
        <f>VLOOKUP(C4492,'State Key'!$A$2:$B$210,2,False)</f>
        <v>Karnataka</v>
      </c>
      <c r="E4492" s="15">
        <v>600.0</v>
      </c>
      <c r="F4492" s="16">
        <v>0.0</v>
      </c>
      <c r="G4492" s="16">
        <v>0.0</v>
      </c>
      <c r="H4492" s="16">
        <v>0.0</v>
      </c>
      <c r="I4492" s="16">
        <v>0.0</v>
      </c>
      <c r="J4492" s="16">
        <v>132.68</v>
      </c>
      <c r="K4492" s="16">
        <v>0.0</v>
      </c>
      <c r="L4492" s="16">
        <v>132.68</v>
      </c>
      <c r="M4492" s="16">
        <v>142.97</v>
      </c>
      <c r="N4492" s="16">
        <v>3.22</v>
      </c>
      <c r="O4492" s="17">
        <v>0.7</v>
      </c>
      <c r="P4492" s="18">
        <f t="shared" si="1"/>
        <v>132.68</v>
      </c>
    </row>
    <row r="4493" ht="15.75" customHeight="1">
      <c r="A4493" s="19" t="s">
        <v>250</v>
      </c>
      <c r="B4493" s="19" t="s">
        <v>99</v>
      </c>
      <c r="C4493" s="20" t="s">
        <v>126</v>
      </c>
      <c r="D4493" s="14" t="str">
        <f>VLOOKUP(C4493,'State Key'!$A$2:$B$210,2,False)</f>
        <v>Tamil Nadu</v>
      </c>
      <c r="E4493" s="21">
        <v>300.0</v>
      </c>
      <c r="F4493" s="22">
        <v>0.0</v>
      </c>
      <c r="G4493" s="22">
        <v>0.0</v>
      </c>
      <c r="H4493" s="22">
        <v>0.0</v>
      </c>
      <c r="I4493" s="22">
        <v>0.0</v>
      </c>
      <c r="J4493" s="22">
        <v>0.0</v>
      </c>
      <c r="K4493" s="22">
        <v>0.0</v>
      </c>
      <c r="L4493" s="22">
        <v>0.0</v>
      </c>
      <c r="M4493" s="22">
        <v>0.0</v>
      </c>
      <c r="N4493" s="22">
        <v>0.0</v>
      </c>
      <c r="O4493" s="19" t="s">
        <v>58</v>
      </c>
      <c r="P4493" s="18">
        <f t="shared" si="1"/>
        <v>0</v>
      </c>
    </row>
    <row r="4494" ht="15.75" customHeight="1">
      <c r="A4494" s="13" t="s">
        <v>250</v>
      </c>
      <c r="B4494" s="13" t="s">
        <v>99</v>
      </c>
      <c r="C4494" s="14" t="s">
        <v>127</v>
      </c>
      <c r="D4494" s="14" t="str">
        <f>VLOOKUP(C4494,'State Key'!$A$2:$B$210,2,False)</f>
        <v>Tamil Nadu</v>
      </c>
      <c r="E4494" s="15">
        <v>525.0</v>
      </c>
      <c r="F4494" s="16">
        <v>0.0</v>
      </c>
      <c r="G4494" s="16">
        <v>0.0</v>
      </c>
      <c r="H4494" s="16">
        <v>0.0</v>
      </c>
      <c r="I4494" s="16">
        <v>0.0</v>
      </c>
      <c r="J4494" s="16">
        <v>126.755</v>
      </c>
      <c r="K4494" s="16">
        <v>0.0</v>
      </c>
      <c r="L4494" s="16">
        <v>126.755</v>
      </c>
      <c r="M4494" s="16">
        <v>137.377</v>
      </c>
      <c r="N4494" s="16">
        <v>17.23</v>
      </c>
      <c r="O4494" s="17">
        <v>3.8</v>
      </c>
      <c r="P4494" s="18">
        <f t="shared" si="1"/>
        <v>126.755</v>
      </c>
    </row>
    <row r="4495" ht="15.75" customHeight="1">
      <c r="A4495" s="19" t="s">
        <v>250</v>
      </c>
      <c r="B4495" s="19" t="s">
        <v>99</v>
      </c>
      <c r="C4495" s="20" t="s">
        <v>128</v>
      </c>
      <c r="D4495" s="14" t="str">
        <f>VLOOKUP(C4495,'State Key'!$A$2:$B$210,2,False)</f>
        <v>Tamil Nadu</v>
      </c>
      <c r="E4495" s="21">
        <v>1050.0</v>
      </c>
      <c r="F4495" s="22">
        <v>363.785</v>
      </c>
      <c r="G4495" s="22">
        <v>0.0</v>
      </c>
      <c r="H4495" s="22">
        <v>0.0</v>
      </c>
      <c r="I4495" s="22">
        <v>0.0</v>
      </c>
      <c r="J4495" s="22">
        <v>0.0</v>
      </c>
      <c r="K4495" s="22">
        <v>0.0</v>
      </c>
      <c r="L4495" s="22">
        <v>363.785</v>
      </c>
      <c r="M4495" s="22">
        <v>314.776</v>
      </c>
      <c r="N4495" s="22">
        <v>374.5</v>
      </c>
      <c r="O4495" s="24">
        <v>35.7</v>
      </c>
      <c r="P4495" s="18">
        <f t="shared" si="1"/>
        <v>363.785</v>
      </c>
    </row>
    <row r="4496" ht="15.75" customHeight="1">
      <c r="A4496" s="13" t="s">
        <v>250</v>
      </c>
      <c r="B4496" s="13" t="s">
        <v>99</v>
      </c>
      <c r="C4496" s="14" t="s">
        <v>130</v>
      </c>
      <c r="D4496" s="14" t="str">
        <f>VLOOKUP(C4496,'State Key'!$A$2:$B$210,2,False)</f>
        <v>Tamil Nadu</v>
      </c>
      <c r="E4496" s="15">
        <v>1500.0</v>
      </c>
      <c r="F4496" s="16">
        <v>558.62816</v>
      </c>
      <c r="G4496" s="16">
        <v>76.273</v>
      </c>
      <c r="H4496" s="16">
        <v>0.0</v>
      </c>
      <c r="I4496" s="16">
        <v>0.0</v>
      </c>
      <c r="J4496" s="16">
        <v>0.0</v>
      </c>
      <c r="K4496" s="16">
        <v>0.0</v>
      </c>
      <c r="L4496" s="16">
        <v>634.90116</v>
      </c>
      <c r="M4496" s="16">
        <v>567.191</v>
      </c>
      <c r="N4496" s="16">
        <v>641.7</v>
      </c>
      <c r="O4496" s="24">
        <v>33.9</v>
      </c>
      <c r="P4496" s="18">
        <f t="shared" si="1"/>
        <v>634.90116</v>
      </c>
    </row>
    <row r="4497" ht="15.75" customHeight="1">
      <c r="A4497" s="19" t="s">
        <v>250</v>
      </c>
      <c r="B4497" s="19" t="s">
        <v>99</v>
      </c>
      <c r="C4497" s="20" t="s">
        <v>131</v>
      </c>
      <c r="D4497" s="14" t="str">
        <f>VLOOKUP(C4497,'State Key'!$A$2:$B$210,2,False)</f>
        <v>Andhra Pradesh</v>
      </c>
      <c r="E4497" s="21">
        <v>1040.0</v>
      </c>
      <c r="F4497" s="22">
        <v>264.67546</v>
      </c>
      <c r="G4497" s="22">
        <v>0.0</v>
      </c>
      <c r="H4497" s="22">
        <v>0.0</v>
      </c>
      <c r="I4497" s="22">
        <v>0.0</v>
      </c>
      <c r="J4497" s="22">
        <v>0.0</v>
      </c>
      <c r="K4497" s="22">
        <v>0.0</v>
      </c>
      <c r="L4497" s="22">
        <v>264.67546</v>
      </c>
      <c r="M4497" s="22">
        <v>275.562</v>
      </c>
      <c r="N4497" s="22">
        <v>71.9481</v>
      </c>
      <c r="O4497" s="23">
        <v>7.8</v>
      </c>
      <c r="P4497" s="18">
        <f t="shared" si="1"/>
        <v>264.67546</v>
      </c>
    </row>
    <row r="4498" ht="15.75" customHeight="1">
      <c r="A4498" s="13" t="s">
        <v>250</v>
      </c>
      <c r="B4498" s="13" t="s">
        <v>99</v>
      </c>
      <c r="C4498" s="14" t="s">
        <v>249</v>
      </c>
      <c r="D4498" s="14" t="str">
        <f>VLOOKUP(C4498,'State Key'!$A$2:$B$210,2,False)</f>
        <v>Telangana</v>
      </c>
      <c r="E4498" s="15">
        <v>800.0</v>
      </c>
      <c r="F4498" s="16">
        <v>0.0</v>
      </c>
      <c r="G4498" s="16">
        <v>321.249</v>
      </c>
      <c r="H4498" s="16">
        <v>0.0</v>
      </c>
      <c r="I4498" s="16">
        <v>0.0</v>
      </c>
      <c r="J4498" s="16">
        <v>0.0</v>
      </c>
      <c r="K4498" s="16">
        <v>0.0</v>
      </c>
      <c r="L4498" s="16">
        <v>321.249</v>
      </c>
      <c r="M4498" s="16">
        <v>370.06</v>
      </c>
      <c r="N4498" s="16">
        <v>155.941</v>
      </c>
      <c r="O4498" s="23">
        <v>12.6</v>
      </c>
      <c r="P4498" s="18">
        <f t="shared" si="1"/>
        <v>321.249</v>
      </c>
    </row>
    <row r="4499" ht="15.75" customHeight="1">
      <c r="A4499" s="19" t="s">
        <v>250</v>
      </c>
      <c r="B4499" s="19" t="s">
        <v>99</v>
      </c>
      <c r="C4499" s="20" t="s">
        <v>132</v>
      </c>
      <c r="D4499" s="14" t="str">
        <f>VLOOKUP(C4499,'State Key'!$A$2:$B$210,2,False)</f>
        <v>Karnataka</v>
      </c>
      <c r="E4499" s="21">
        <v>1600.0</v>
      </c>
      <c r="F4499" s="22">
        <v>0.0</v>
      </c>
      <c r="G4499" s="22">
        <v>391.838</v>
      </c>
      <c r="H4499" s="22">
        <v>0.0</v>
      </c>
      <c r="I4499" s="22">
        <v>0.0</v>
      </c>
      <c r="J4499" s="22">
        <v>0.0</v>
      </c>
      <c r="K4499" s="22">
        <v>0.0</v>
      </c>
      <c r="L4499" s="22">
        <v>391.838</v>
      </c>
      <c r="M4499" s="22">
        <v>411.771</v>
      </c>
      <c r="N4499" s="22">
        <v>247.11</v>
      </c>
      <c r="O4499" s="24">
        <v>18.0</v>
      </c>
      <c r="P4499" s="18">
        <f t="shared" si="1"/>
        <v>391.838</v>
      </c>
    </row>
    <row r="4500" ht="15.75" customHeight="1">
      <c r="A4500" s="13" t="s">
        <v>250</v>
      </c>
      <c r="B4500" s="13" t="s">
        <v>133</v>
      </c>
      <c r="C4500" s="14" t="s">
        <v>211</v>
      </c>
      <c r="D4500" s="14" t="str">
        <f>VLOOKUP(C4500,'State Key'!$A$2:$B$210,2,False)</f>
        <v>Gujarat</v>
      </c>
      <c r="E4500" s="15">
        <v>2640.0</v>
      </c>
      <c r="F4500" s="16">
        <v>0.0</v>
      </c>
      <c r="G4500" s="16">
        <v>0.0</v>
      </c>
      <c r="H4500" s="16">
        <v>0.0</v>
      </c>
      <c r="I4500" s="16">
        <v>0.0</v>
      </c>
      <c r="J4500" s="16">
        <v>549.289</v>
      </c>
      <c r="K4500" s="16">
        <v>0.0</v>
      </c>
      <c r="L4500" s="16">
        <v>549.289</v>
      </c>
      <c r="M4500" s="16">
        <v>666.293</v>
      </c>
      <c r="N4500" s="16">
        <v>80.511</v>
      </c>
      <c r="O4500" s="17">
        <v>3.6</v>
      </c>
      <c r="P4500" s="18">
        <f t="shared" si="1"/>
        <v>549.289</v>
      </c>
    </row>
    <row r="4501" ht="15.75" customHeight="1">
      <c r="A4501" s="19" t="s">
        <v>250</v>
      </c>
      <c r="B4501" s="19" t="s">
        <v>133</v>
      </c>
      <c r="C4501" s="20" t="s">
        <v>212</v>
      </c>
      <c r="D4501" s="14" t="str">
        <f>VLOOKUP(C4501,'State Key'!$A$2:$B$210,2,False)</f>
        <v>Gujarat</v>
      </c>
      <c r="E4501" s="21">
        <v>1980.0</v>
      </c>
      <c r="F4501" s="22">
        <v>0.0</v>
      </c>
      <c r="G4501" s="22">
        <v>0.0</v>
      </c>
      <c r="H4501" s="22">
        <v>0.0</v>
      </c>
      <c r="I4501" s="22">
        <v>0.0</v>
      </c>
      <c r="J4501" s="22">
        <v>558.482</v>
      </c>
      <c r="K4501" s="22">
        <v>0.0</v>
      </c>
      <c r="L4501" s="22">
        <v>558.482</v>
      </c>
      <c r="M4501" s="22">
        <v>585.235</v>
      </c>
      <c r="N4501" s="22">
        <v>81.968</v>
      </c>
      <c r="O4501" s="17">
        <v>4.2</v>
      </c>
      <c r="P4501" s="18">
        <f t="shared" si="1"/>
        <v>558.482</v>
      </c>
    </row>
    <row r="4502" ht="15.75" customHeight="1">
      <c r="A4502" s="13" t="s">
        <v>250</v>
      </c>
      <c r="B4502" s="13" t="s">
        <v>133</v>
      </c>
      <c r="C4502" s="14" t="s">
        <v>213</v>
      </c>
      <c r="D4502" s="14" t="str">
        <f>VLOOKUP(C4502,'State Key'!$A$2:$B$210,2,False)</f>
        <v>Chhattisgarh</v>
      </c>
      <c r="E4502" s="15">
        <v>600.0</v>
      </c>
      <c r="F4502" s="16">
        <v>329.022</v>
      </c>
      <c r="G4502" s="16">
        <v>0.0</v>
      </c>
      <c r="H4502" s="16">
        <v>0.0</v>
      </c>
      <c r="I4502" s="16">
        <v>0.0</v>
      </c>
      <c r="J4502" s="16">
        <v>0.0</v>
      </c>
      <c r="K4502" s="16">
        <v>0.0</v>
      </c>
      <c r="L4502" s="16">
        <v>329.022</v>
      </c>
      <c r="M4502" s="16">
        <v>259.217</v>
      </c>
      <c r="N4502" s="16">
        <v>226.38</v>
      </c>
      <c r="O4502" s="24">
        <v>26.2</v>
      </c>
      <c r="P4502" s="18">
        <f t="shared" si="1"/>
        <v>329.022</v>
      </c>
    </row>
    <row r="4503" ht="15.75" customHeight="1">
      <c r="A4503" s="19" t="s">
        <v>250</v>
      </c>
      <c r="B4503" s="19" t="s">
        <v>133</v>
      </c>
      <c r="C4503" s="20" t="s">
        <v>214</v>
      </c>
      <c r="D4503" s="14" t="str">
        <f>VLOOKUP(C4503,'State Key'!$A$2:$B$210,2,False)</f>
        <v>Chhattisgarh</v>
      </c>
      <c r="E4503" s="21">
        <v>1370.0</v>
      </c>
      <c r="F4503" s="22">
        <v>459.447</v>
      </c>
      <c r="G4503" s="22">
        <v>0.0</v>
      </c>
      <c r="H4503" s="22">
        <v>0.0</v>
      </c>
      <c r="I4503" s="22">
        <v>0.0</v>
      </c>
      <c r="J4503" s="22">
        <v>0.0</v>
      </c>
      <c r="K4503" s="22">
        <v>72.264</v>
      </c>
      <c r="L4503" s="22">
        <v>531.711</v>
      </c>
      <c r="M4503" s="22">
        <v>559.729</v>
      </c>
      <c r="N4503" s="22">
        <v>44.2</v>
      </c>
      <c r="O4503" s="17">
        <v>2.4</v>
      </c>
      <c r="P4503" s="18">
        <f t="shared" si="1"/>
        <v>531.711</v>
      </c>
    </row>
    <row r="4504" ht="15.75" customHeight="1">
      <c r="A4504" s="13" t="s">
        <v>250</v>
      </c>
      <c r="B4504" s="13" t="s">
        <v>133</v>
      </c>
      <c r="C4504" s="14" t="s">
        <v>215</v>
      </c>
      <c r="D4504" s="14" t="str">
        <f>VLOOKUP(C4504,'State Key'!$A$2:$B$210,2,False)</f>
        <v>Maharashtra</v>
      </c>
      <c r="E4504" s="15">
        <v>3300.0</v>
      </c>
      <c r="F4504" s="16">
        <v>1008.909</v>
      </c>
      <c r="G4504" s="16">
        <v>0.0</v>
      </c>
      <c r="H4504" s="16">
        <v>0.0</v>
      </c>
      <c r="I4504" s="16">
        <v>0.0</v>
      </c>
      <c r="J4504" s="16">
        <v>0.0</v>
      </c>
      <c r="K4504" s="16">
        <v>0.0</v>
      </c>
      <c r="L4504" s="16">
        <v>1008.909</v>
      </c>
      <c r="M4504" s="16">
        <v>1217.383</v>
      </c>
      <c r="N4504" s="16">
        <v>27.42</v>
      </c>
      <c r="O4504" s="17">
        <v>0.7</v>
      </c>
      <c r="P4504" s="18">
        <f t="shared" si="1"/>
        <v>1008.909</v>
      </c>
    </row>
    <row r="4505" ht="15.75" customHeight="1">
      <c r="A4505" s="19" t="s">
        <v>250</v>
      </c>
      <c r="B4505" s="19" t="s">
        <v>133</v>
      </c>
      <c r="C4505" s="20" t="s">
        <v>134</v>
      </c>
      <c r="D4505" s="14" t="str">
        <f>VLOOKUP(C4505,'State Key'!$A$2:$B$210,2,False)</f>
        <v>Chhattisgarh</v>
      </c>
      <c r="E4505" s="21">
        <v>1800.0</v>
      </c>
      <c r="F4505" s="22">
        <v>801.9981</v>
      </c>
      <c r="G4505" s="22">
        <v>0.0</v>
      </c>
      <c r="H4505" s="22">
        <v>0.0</v>
      </c>
      <c r="I4505" s="22">
        <v>0.0</v>
      </c>
      <c r="J4505" s="22">
        <v>0.0</v>
      </c>
      <c r="K4505" s="22">
        <v>0.0</v>
      </c>
      <c r="L4505" s="22">
        <v>801.9981</v>
      </c>
      <c r="M4505" s="22">
        <v>638.45</v>
      </c>
      <c r="N4505" s="22">
        <v>863.85</v>
      </c>
      <c r="O4505" s="24">
        <v>40.6</v>
      </c>
      <c r="P4505" s="18">
        <f t="shared" si="1"/>
        <v>801.9981</v>
      </c>
    </row>
    <row r="4506" ht="15.75" customHeight="1">
      <c r="A4506" s="13" t="s">
        <v>250</v>
      </c>
      <c r="B4506" s="13" t="s">
        <v>133</v>
      </c>
      <c r="C4506" s="14" t="s">
        <v>135</v>
      </c>
      <c r="D4506" s="14" t="str">
        <f>VLOOKUP(C4506,'State Key'!$A$2:$B$210,2,False)</f>
        <v>Madhya Pradesh</v>
      </c>
      <c r="E4506" s="15">
        <v>210.0</v>
      </c>
      <c r="F4506" s="16">
        <v>91.128</v>
      </c>
      <c r="G4506" s="16">
        <v>0.0</v>
      </c>
      <c r="H4506" s="16">
        <v>0.0</v>
      </c>
      <c r="I4506" s="16">
        <v>0.0</v>
      </c>
      <c r="J4506" s="16">
        <v>0.0</v>
      </c>
      <c r="K4506" s="16">
        <v>0.0</v>
      </c>
      <c r="L4506" s="16">
        <v>91.128</v>
      </c>
      <c r="M4506" s="16">
        <v>86.449</v>
      </c>
      <c r="N4506" s="16">
        <v>102.43</v>
      </c>
      <c r="O4506" s="24">
        <v>35.5</v>
      </c>
      <c r="P4506" s="18">
        <f t="shared" si="1"/>
        <v>91.128</v>
      </c>
    </row>
    <row r="4507" ht="15.75" customHeight="1">
      <c r="A4507" s="19" t="s">
        <v>250</v>
      </c>
      <c r="B4507" s="19" t="s">
        <v>133</v>
      </c>
      <c r="C4507" s="20" t="s">
        <v>136</v>
      </c>
      <c r="D4507" s="14" t="str">
        <f>VLOOKUP(C4507,'State Key'!$A$2:$B$210,2,False)</f>
        <v>Maharashtra</v>
      </c>
      <c r="E4507" s="21">
        <v>1350.0</v>
      </c>
      <c r="F4507" s="22">
        <v>561.241</v>
      </c>
      <c r="G4507" s="22">
        <v>0.0</v>
      </c>
      <c r="H4507" s="22">
        <v>0.0</v>
      </c>
      <c r="I4507" s="22">
        <v>0.0</v>
      </c>
      <c r="J4507" s="22">
        <v>0.0</v>
      </c>
      <c r="K4507" s="22">
        <v>0.0</v>
      </c>
      <c r="L4507" s="22">
        <v>561.241</v>
      </c>
      <c r="M4507" s="22">
        <v>567.676</v>
      </c>
      <c r="N4507" s="22">
        <v>221.7</v>
      </c>
      <c r="O4507" s="23">
        <v>11.7</v>
      </c>
      <c r="P4507" s="18">
        <f t="shared" si="1"/>
        <v>561.241</v>
      </c>
    </row>
    <row r="4508" ht="15.75" customHeight="1">
      <c r="A4508" s="13" t="s">
        <v>250</v>
      </c>
      <c r="B4508" s="13" t="s">
        <v>133</v>
      </c>
      <c r="C4508" s="14" t="s">
        <v>137</v>
      </c>
      <c r="D4508" s="14" t="str">
        <f>VLOOKUP(C4508,'State Key'!$A$2:$B$210,2,False)</f>
        <v>Madhya Pradesh</v>
      </c>
      <c r="E4508" s="15">
        <v>1250.0</v>
      </c>
      <c r="F4508" s="16">
        <v>316.33</v>
      </c>
      <c r="G4508" s="16">
        <v>0.0</v>
      </c>
      <c r="H4508" s="16">
        <v>0.0</v>
      </c>
      <c r="I4508" s="16">
        <v>146.97</v>
      </c>
      <c r="J4508" s="16">
        <v>0.0</v>
      </c>
      <c r="K4508" s="16">
        <v>0.0</v>
      </c>
      <c r="L4508" s="16">
        <v>463.3</v>
      </c>
      <c r="M4508" s="16">
        <v>522.93</v>
      </c>
      <c r="N4508" s="16">
        <v>485.25</v>
      </c>
      <c r="O4508" s="24">
        <v>27.8</v>
      </c>
      <c r="P4508" s="18">
        <f t="shared" si="1"/>
        <v>463.3</v>
      </c>
    </row>
    <row r="4509" ht="15.75" customHeight="1">
      <c r="A4509" s="19" t="s">
        <v>250</v>
      </c>
      <c r="B4509" s="19" t="s">
        <v>133</v>
      </c>
      <c r="C4509" s="20" t="s">
        <v>139</v>
      </c>
      <c r="D4509" s="14" t="str">
        <f>VLOOKUP(C4509,'State Key'!$A$2:$B$210,2,False)</f>
        <v>Chhattisgarh</v>
      </c>
      <c r="E4509" s="21">
        <v>600.0</v>
      </c>
      <c r="F4509" s="22">
        <v>120.0</v>
      </c>
      <c r="G4509" s="22">
        <v>0.0</v>
      </c>
      <c r="H4509" s="22">
        <v>0.0</v>
      </c>
      <c r="I4509" s="22">
        <v>0.0</v>
      </c>
      <c r="J4509" s="22">
        <v>0.0</v>
      </c>
      <c r="K4509" s="22">
        <v>0.0</v>
      </c>
      <c r="L4509" s="22">
        <v>120.0</v>
      </c>
      <c r="M4509" s="22">
        <v>92.71</v>
      </c>
      <c r="N4509" s="22">
        <v>81.14</v>
      </c>
      <c r="O4509" s="24">
        <v>26.3</v>
      </c>
      <c r="P4509" s="18">
        <f t="shared" si="1"/>
        <v>120</v>
      </c>
    </row>
    <row r="4510" ht="15.75" customHeight="1">
      <c r="A4510" s="13" t="s">
        <v>250</v>
      </c>
      <c r="B4510" s="13" t="s">
        <v>133</v>
      </c>
      <c r="C4510" s="14" t="s">
        <v>140</v>
      </c>
      <c r="D4510" s="14" t="str">
        <f>VLOOKUP(C4510,'State Key'!$A$2:$B$210,2,False)</f>
        <v>Chhattisgarh</v>
      </c>
      <c r="E4510" s="15">
        <v>300.0</v>
      </c>
      <c r="F4510" s="16">
        <v>106.898</v>
      </c>
      <c r="G4510" s="16">
        <v>0.0</v>
      </c>
      <c r="H4510" s="16">
        <v>0.0</v>
      </c>
      <c r="I4510" s="16">
        <v>15.537</v>
      </c>
      <c r="J4510" s="16">
        <v>0.0</v>
      </c>
      <c r="K4510" s="16">
        <v>0.0</v>
      </c>
      <c r="L4510" s="16">
        <v>122.435</v>
      </c>
      <c r="M4510" s="16">
        <v>135.325</v>
      </c>
      <c r="N4510" s="16">
        <v>164.13</v>
      </c>
      <c r="O4510" s="24">
        <v>36.4</v>
      </c>
      <c r="P4510" s="18">
        <f t="shared" si="1"/>
        <v>122.435</v>
      </c>
    </row>
    <row r="4511" ht="15.75" customHeight="1">
      <c r="A4511" s="19" t="s">
        <v>250</v>
      </c>
      <c r="B4511" s="19" t="s">
        <v>133</v>
      </c>
      <c r="C4511" s="20" t="s">
        <v>141</v>
      </c>
      <c r="D4511" s="14" t="str">
        <f>VLOOKUP(C4511,'State Key'!$A$2:$B$210,2,False)</f>
        <v>Chhattisgarh</v>
      </c>
      <c r="E4511" s="21">
        <v>1200.0</v>
      </c>
      <c r="F4511" s="22">
        <v>402.039</v>
      </c>
      <c r="G4511" s="22">
        <v>0.0</v>
      </c>
      <c r="H4511" s="22">
        <v>0.0</v>
      </c>
      <c r="I4511" s="22">
        <v>0.0</v>
      </c>
      <c r="J4511" s="22">
        <v>0.0</v>
      </c>
      <c r="K4511" s="22">
        <v>0.0</v>
      </c>
      <c r="L4511" s="22">
        <v>402.039</v>
      </c>
      <c r="M4511" s="22">
        <v>471.743</v>
      </c>
      <c r="N4511" s="22">
        <v>505.33</v>
      </c>
      <c r="O4511" s="24">
        <v>32.1</v>
      </c>
      <c r="P4511" s="18">
        <f t="shared" si="1"/>
        <v>402.039</v>
      </c>
    </row>
    <row r="4512" ht="15.75" customHeight="1">
      <c r="A4512" s="13" t="s">
        <v>250</v>
      </c>
      <c r="B4512" s="13" t="s">
        <v>133</v>
      </c>
      <c r="C4512" s="14" t="s">
        <v>142</v>
      </c>
      <c r="D4512" s="14" t="str">
        <f>VLOOKUP(C4512,'State Key'!$A$2:$B$210,2,False)</f>
        <v>Maharashtra</v>
      </c>
      <c r="E4512" s="15">
        <v>270.0</v>
      </c>
      <c r="F4512" s="16">
        <v>62.076</v>
      </c>
      <c r="G4512" s="16">
        <v>0.0</v>
      </c>
      <c r="H4512" s="16">
        <v>0.0</v>
      </c>
      <c r="I4512" s="16">
        <v>17.189</v>
      </c>
      <c r="J4512" s="16">
        <v>0.0</v>
      </c>
      <c r="K4512" s="16">
        <v>0.0</v>
      </c>
      <c r="L4512" s="16">
        <v>79.265</v>
      </c>
      <c r="M4512" s="16">
        <v>136.582</v>
      </c>
      <c r="N4512" s="16">
        <v>58.06</v>
      </c>
      <c r="O4512" s="23">
        <v>12.8</v>
      </c>
      <c r="P4512" s="18">
        <f t="shared" si="1"/>
        <v>79.265</v>
      </c>
    </row>
    <row r="4513" ht="15.75" customHeight="1">
      <c r="A4513" s="19" t="s">
        <v>250</v>
      </c>
      <c r="B4513" s="19" t="s">
        <v>133</v>
      </c>
      <c r="C4513" s="20" t="s">
        <v>143</v>
      </c>
      <c r="D4513" s="14" t="str">
        <f>VLOOKUP(C4513,'State Key'!$A$2:$B$210,2,False)</f>
        <v>Chhattisgarh</v>
      </c>
      <c r="E4513" s="21">
        <v>500.0</v>
      </c>
      <c r="F4513" s="22">
        <v>244.556</v>
      </c>
      <c r="G4513" s="22">
        <v>0.0</v>
      </c>
      <c r="H4513" s="22">
        <v>0.0</v>
      </c>
      <c r="I4513" s="22">
        <v>0.0</v>
      </c>
      <c r="J4513" s="22">
        <v>0.0</v>
      </c>
      <c r="K4513" s="22">
        <v>0.0</v>
      </c>
      <c r="L4513" s="22">
        <v>244.556</v>
      </c>
      <c r="M4513" s="22">
        <v>223.676</v>
      </c>
      <c r="N4513" s="22">
        <v>275.52</v>
      </c>
      <c r="O4513" s="24">
        <v>37.0</v>
      </c>
      <c r="P4513" s="18">
        <f t="shared" si="1"/>
        <v>244.556</v>
      </c>
    </row>
    <row r="4514" ht="15.75" customHeight="1">
      <c r="A4514" s="13" t="s">
        <v>250</v>
      </c>
      <c r="B4514" s="13" t="s">
        <v>133</v>
      </c>
      <c r="C4514" s="14" t="s">
        <v>144</v>
      </c>
      <c r="D4514" s="14" t="str">
        <f>VLOOKUP(C4514,'State Key'!$A$2:$B$210,2,False)</f>
        <v>Maharashtra</v>
      </c>
      <c r="E4514" s="15">
        <v>1870.0</v>
      </c>
      <c r="F4514" s="16">
        <v>620.807</v>
      </c>
      <c r="G4514" s="16">
        <v>141.173</v>
      </c>
      <c r="H4514" s="16">
        <v>0.0</v>
      </c>
      <c r="I4514" s="16">
        <v>0.0</v>
      </c>
      <c r="J4514" s="16">
        <v>0.0</v>
      </c>
      <c r="K4514" s="16">
        <v>0.0</v>
      </c>
      <c r="L4514" s="16">
        <v>761.98</v>
      </c>
      <c r="M4514" s="16">
        <v>731.565</v>
      </c>
      <c r="N4514" s="16">
        <v>458.463</v>
      </c>
      <c r="O4514" s="24">
        <v>18.8</v>
      </c>
      <c r="P4514" s="18">
        <f t="shared" si="1"/>
        <v>761.98</v>
      </c>
    </row>
    <row r="4515" ht="15.75" customHeight="1">
      <c r="A4515" s="19" t="s">
        <v>250</v>
      </c>
      <c r="B4515" s="19" t="s">
        <v>133</v>
      </c>
      <c r="C4515" s="20" t="s">
        <v>145</v>
      </c>
      <c r="D4515" s="14" t="str">
        <f>VLOOKUP(C4515,'State Key'!$A$2:$B$210,2,False)</f>
        <v>Madhya Pradesh</v>
      </c>
      <c r="E4515" s="21">
        <v>500.0</v>
      </c>
      <c r="F4515" s="22">
        <v>46.78595392</v>
      </c>
      <c r="G4515" s="22">
        <v>0.0</v>
      </c>
      <c r="H4515" s="22">
        <v>0.0</v>
      </c>
      <c r="I4515" s="22">
        <v>67.9110894</v>
      </c>
      <c r="J4515" s="22">
        <v>0.0</v>
      </c>
      <c r="K4515" s="22">
        <v>0.15426</v>
      </c>
      <c r="L4515" s="22">
        <v>114.85130332</v>
      </c>
      <c r="M4515" s="22">
        <v>151.99</v>
      </c>
      <c r="N4515" s="22">
        <v>169.17</v>
      </c>
      <c r="O4515" s="24">
        <v>33.4</v>
      </c>
      <c r="P4515" s="18">
        <f t="shared" si="1"/>
        <v>114.8513033</v>
      </c>
    </row>
    <row r="4516" ht="15.75" customHeight="1">
      <c r="A4516" s="13" t="s">
        <v>250</v>
      </c>
      <c r="B4516" s="13" t="s">
        <v>133</v>
      </c>
      <c r="C4516" s="14" t="s">
        <v>146</v>
      </c>
      <c r="D4516" s="14" t="str">
        <f>VLOOKUP(C4516,'State Key'!$A$2:$B$210,2,False)</f>
        <v>Chhattisgarh</v>
      </c>
      <c r="E4516" s="15">
        <v>600.0</v>
      </c>
      <c r="F4516" s="16">
        <v>0.0</v>
      </c>
      <c r="G4516" s="16">
        <v>0.0</v>
      </c>
      <c r="H4516" s="16">
        <v>0.0</v>
      </c>
      <c r="I4516" s="16">
        <v>266.95</v>
      </c>
      <c r="J4516" s="16">
        <v>0.0</v>
      </c>
      <c r="K4516" s="16">
        <v>9.395</v>
      </c>
      <c r="L4516" s="16">
        <v>276.345</v>
      </c>
      <c r="M4516" s="16">
        <v>310.034</v>
      </c>
      <c r="N4516" s="16">
        <v>192.13</v>
      </c>
      <c r="O4516" s="24">
        <v>18.6</v>
      </c>
      <c r="P4516" s="18">
        <f t="shared" si="1"/>
        <v>276.345</v>
      </c>
    </row>
    <row r="4517" ht="15.75" customHeight="1">
      <c r="A4517" s="19" t="s">
        <v>250</v>
      </c>
      <c r="B4517" s="19" t="s">
        <v>133</v>
      </c>
      <c r="C4517" s="20" t="s">
        <v>147</v>
      </c>
      <c r="D4517" s="14" t="str">
        <f>VLOOKUP(C4517,'State Key'!$A$2:$B$210,2,False)</f>
        <v>Maharashtra</v>
      </c>
      <c r="E4517" s="21">
        <v>600.0</v>
      </c>
      <c r="F4517" s="22">
        <v>0.0</v>
      </c>
      <c r="G4517" s="22">
        <v>0.0</v>
      </c>
      <c r="H4517" s="22">
        <v>0.0</v>
      </c>
      <c r="I4517" s="22">
        <v>0.0</v>
      </c>
      <c r="J4517" s="22">
        <v>0.0</v>
      </c>
      <c r="K4517" s="22">
        <v>0.0</v>
      </c>
      <c r="L4517" s="22">
        <v>0.0</v>
      </c>
      <c r="M4517" s="22">
        <v>0.0</v>
      </c>
      <c r="N4517" s="22">
        <v>0.0</v>
      </c>
      <c r="O4517" s="19" t="s">
        <v>58</v>
      </c>
      <c r="P4517" s="18">
        <f t="shared" si="1"/>
        <v>0</v>
      </c>
    </row>
    <row r="4518" ht="15.75" customHeight="1">
      <c r="A4518" s="13" t="s">
        <v>250</v>
      </c>
      <c r="B4518" s="13" t="s">
        <v>133</v>
      </c>
      <c r="C4518" s="14" t="s">
        <v>148</v>
      </c>
      <c r="D4518" s="14" t="str">
        <f>VLOOKUP(C4518,'State Key'!$A$2:$B$210,2,False)</f>
        <v>Chhattisgarh</v>
      </c>
      <c r="E4518" s="15">
        <v>30.0</v>
      </c>
      <c r="F4518" s="16">
        <v>11.2541</v>
      </c>
      <c r="G4518" s="16">
        <v>0.0</v>
      </c>
      <c r="H4518" s="16">
        <v>0.0</v>
      </c>
      <c r="I4518" s="16">
        <v>0.0</v>
      </c>
      <c r="J4518" s="16">
        <v>0.0</v>
      </c>
      <c r="K4518" s="16">
        <v>32.9694</v>
      </c>
      <c r="L4518" s="16">
        <v>44.2235</v>
      </c>
      <c r="M4518" s="16">
        <v>26.56</v>
      </c>
      <c r="N4518" s="16">
        <v>47.299</v>
      </c>
      <c r="O4518" s="24">
        <v>53.4</v>
      </c>
      <c r="P4518" s="18">
        <f t="shared" si="1"/>
        <v>44.2235</v>
      </c>
    </row>
    <row r="4519" ht="15.75" customHeight="1">
      <c r="A4519" s="19" t="s">
        <v>250</v>
      </c>
      <c r="B4519" s="19" t="s">
        <v>133</v>
      </c>
      <c r="C4519" s="20" t="s">
        <v>149</v>
      </c>
      <c r="D4519" s="14" t="str">
        <f>VLOOKUP(C4519,'State Key'!$A$2:$B$210,2,False)</f>
        <v>Maharashtra</v>
      </c>
      <c r="E4519" s="21">
        <v>2920.0</v>
      </c>
      <c r="F4519" s="22">
        <v>637.26</v>
      </c>
      <c r="G4519" s="22">
        <v>231.29</v>
      </c>
      <c r="H4519" s="22">
        <v>0.0</v>
      </c>
      <c r="I4519" s="22">
        <v>0.0</v>
      </c>
      <c r="J4519" s="22">
        <v>0.0</v>
      </c>
      <c r="K4519" s="22">
        <v>0.0</v>
      </c>
      <c r="L4519" s="22">
        <v>868.55</v>
      </c>
      <c r="M4519" s="22">
        <v>918.32</v>
      </c>
      <c r="N4519" s="22">
        <v>930.98</v>
      </c>
      <c r="O4519" s="24">
        <v>30.4</v>
      </c>
      <c r="P4519" s="18">
        <f t="shared" si="1"/>
        <v>868.55</v>
      </c>
    </row>
    <row r="4520" ht="15.75" customHeight="1">
      <c r="A4520" s="13" t="s">
        <v>250</v>
      </c>
      <c r="B4520" s="13" t="s">
        <v>133</v>
      </c>
      <c r="C4520" s="14" t="s">
        <v>150</v>
      </c>
      <c r="D4520" s="14" t="str">
        <f>VLOOKUP(C4520,'State Key'!$A$2:$B$210,2,False)</f>
        <v>Maharashtra</v>
      </c>
      <c r="E4520" s="15">
        <v>500.0</v>
      </c>
      <c r="F4520" s="16">
        <v>186.919</v>
      </c>
      <c r="G4520" s="16">
        <v>0.0</v>
      </c>
      <c r="H4520" s="16">
        <v>0.0</v>
      </c>
      <c r="I4520" s="16">
        <v>0.0</v>
      </c>
      <c r="J4520" s="16">
        <v>0.0</v>
      </c>
      <c r="K4520" s="16">
        <v>0.0</v>
      </c>
      <c r="L4520" s="16">
        <v>186.919</v>
      </c>
      <c r="M4520" s="16">
        <v>179.618</v>
      </c>
      <c r="N4520" s="16">
        <v>146.085</v>
      </c>
      <c r="O4520" s="24">
        <v>24.4</v>
      </c>
      <c r="P4520" s="18">
        <f t="shared" si="1"/>
        <v>186.919</v>
      </c>
    </row>
    <row r="4521" ht="15.75" customHeight="1">
      <c r="A4521" s="19" t="s">
        <v>250</v>
      </c>
      <c r="B4521" s="19" t="s">
        <v>133</v>
      </c>
      <c r="C4521" s="20" t="s">
        <v>151</v>
      </c>
      <c r="D4521" s="14" t="str">
        <f>VLOOKUP(C4521,'State Key'!$A$2:$B$210,2,False)</f>
        <v>Maharashtra</v>
      </c>
      <c r="E4521" s="21">
        <v>600.0</v>
      </c>
      <c r="F4521" s="22">
        <v>172.246</v>
      </c>
      <c r="G4521" s="22">
        <v>0.0</v>
      </c>
      <c r="H4521" s="22">
        <v>0.0</v>
      </c>
      <c r="I4521" s="22">
        <v>49.49</v>
      </c>
      <c r="J4521" s="22">
        <v>0.0</v>
      </c>
      <c r="K4521" s="22">
        <v>0.0</v>
      </c>
      <c r="L4521" s="22">
        <v>221.736</v>
      </c>
      <c r="M4521" s="22">
        <v>245.069</v>
      </c>
      <c r="N4521" s="22">
        <v>210.67</v>
      </c>
      <c r="O4521" s="24">
        <v>25.8</v>
      </c>
      <c r="P4521" s="18">
        <f t="shared" si="1"/>
        <v>221.736</v>
      </c>
    </row>
    <row r="4522" ht="15.75" customHeight="1">
      <c r="A4522" s="13" t="s">
        <v>250</v>
      </c>
      <c r="B4522" s="13" t="s">
        <v>133</v>
      </c>
      <c r="C4522" s="14" t="s">
        <v>152</v>
      </c>
      <c r="D4522" s="14" t="str">
        <f>VLOOKUP(C4522,'State Key'!$A$2:$B$210,2,False)</f>
        <v>Chhattisgarh</v>
      </c>
      <c r="E4522" s="15">
        <v>500.0</v>
      </c>
      <c r="F4522" s="16">
        <v>238.7</v>
      </c>
      <c r="G4522" s="16">
        <v>0.0</v>
      </c>
      <c r="H4522" s="16">
        <v>0.0</v>
      </c>
      <c r="I4522" s="16">
        <v>0.0</v>
      </c>
      <c r="J4522" s="16">
        <v>0.0</v>
      </c>
      <c r="K4522" s="16">
        <v>0.0</v>
      </c>
      <c r="L4522" s="16">
        <v>238.7</v>
      </c>
      <c r="M4522" s="16">
        <v>220.453</v>
      </c>
      <c r="N4522" s="16">
        <v>348.83</v>
      </c>
      <c r="O4522" s="24">
        <v>47.5</v>
      </c>
      <c r="P4522" s="18">
        <f t="shared" si="1"/>
        <v>238.7</v>
      </c>
    </row>
    <row r="4523" ht="15.75" customHeight="1">
      <c r="A4523" s="19" t="s">
        <v>250</v>
      </c>
      <c r="B4523" s="19" t="s">
        <v>133</v>
      </c>
      <c r="C4523" s="20" t="s">
        <v>153</v>
      </c>
      <c r="D4523" s="14" t="str">
        <f>VLOOKUP(C4523,'State Key'!$A$2:$B$210,2,False)</f>
        <v>Madhya Pradesh</v>
      </c>
      <c r="E4523" s="21">
        <v>1600.0</v>
      </c>
      <c r="F4523" s="22">
        <v>329.26</v>
      </c>
      <c r="G4523" s="22">
        <v>0.0</v>
      </c>
      <c r="H4523" s="22">
        <v>70.31</v>
      </c>
      <c r="I4523" s="22">
        <v>0.0</v>
      </c>
      <c r="J4523" s="22">
        <v>0.0</v>
      </c>
      <c r="K4523" s="22">
        <v>44.09</v>
      </c>
      <c r="L4523" s="22">
        <v>443.66</v>
      </c>
      <c r="M4523" s="22">
        <v>613.207</v>
      </c>
      <c r="N4523" s="22">
        <v>228.27</v>
      </c>
      <c r="O4523" s="23">
        <v>11.2</v>
      </c>
      <c r="P4523" s="18">
        <f t="shared" si="1"/>
        <v>443.66</v>
      </c>
    </row>
    <row r="4524" ht="15.75" customHeight="1">
      <c r="A4524" s="13" t="s">
        <v>250</v>
      </c>
      <c r="B4524" s="13" t="s">
        <v>133</v>
      </c>
      <c r="C4524" s="14" t="s">
        <v>154</v>
      </c>
      <c r="D4524" s="14" t="str">
        <f>VLOOKUP(C4524,'State Key'!$A$2:$B$210,2,False)</f>
        <v>Gujarat</v>
      </c>
      <c r="E4524" s="15">
        <v>630.0</v>
      </c>
      <c r="F4524" s="16">
        <v>170.47581</v>
      </c>
      <c r="G4524" s="16">
        <v>0.0</v>
      </c>
      <c r="H4524" s="16">
        <v>0.0</v>
      </c>
      <c r="I4524" s="16">
        <v>0.0</v>
      </c>
      <c r="J4524" s="16">
        <v>0.0</v>
      </c>
      <c r="K4524" s="16">
        <v>0.0</v>
      </c>
      <c r="L4524" s="16">
        <v>170.47581</v>
      </c>
      <c r="M4524" s="16">
        <v>155.609</v>
      </c>
      <c r="N4524" s="16">
        <v>168.89</v>
      </c>
      <c r="O4524" s="24">
        <v>32.6</v>
      </c>
      <c r="P4524" s="18">
        <f t="shared" si="1"/>
        <v>170.47581</v>
      </c>
    </row>
    <row r="4525" ht="15.75" customHeight="1">
      <c r="A4525" s="19" t="s">
        <v>250</v>
      </c>
      <c r="B4525" s="19" t="s">
        <v>133</v>
      </c>
      <c r="C4525" s="20" t="s">
        <v>155</v>
      </c>
      <c r="D4525" s="14" t="str">
        <f>VLOOKUP(C4525,'State Key'!$A$2:$B$210,2,False)</f>
        <v>Maharashtra</v>
      </c>
      <c r="E4525" s="21">
        <v>120.0</v>
      </c>
      <c r="F4525" s="22">
        <v>0.0</v>
      </c>
      <c r="G4525" s="22">
        <v>0.0</v>
      </c>
      <c r="H4525" s="22">
        <v>0.0</v>
      </c>
      <c r="I4525" s="22">
        <v>0.0</v>
      </c>
      <c r="J4525" s="22">
        <v>0.0</v>
      </c>
      <c r="K4525" s="22">
        <v>0.0</v>
      </c>
      <c r="L4525" s="22">
        <v>0.0</v>
      </c>
      <c r="M4525" s="22">
        <v>0.0</v>
      </c>
      <c r="N4525" s="22">
        <v>0.0</v>
      </c>
      <c r="O4525" s="19" t="s">
        <v>58</v>
      </c>
      <c r="P4525" s="18">
        <f t="shared" si="1"/>
        <v>0</v>
      </c>
    </row>
    <row r="4526" ht="15.75" customHeight="1">
      <c r="A4526" s="13" t="s">
        <v>250</v>
      </c>
      <c r="B4526" s="13" t="s">
        <v>133</v>
      </c>
      <c r="C4526" s="14" t="s">
        <v>156</v>
      </c>
      <c r="D4526" s="14" t="str">
        <f>VLOOKUP(C4526,'State Key'!$A$2:$B$210,2,False)</f>
        <v>Maharashtra</v>
      </c>
      <c r="E4526" s="15">
        <v>600.0</v>
      </c>
      <c r="F4526" s="16">
        <v>237.736</v>
      </c>
      <c r="G4526" s="16">
        <v>0.0</v>
      </c>
      <c r="H4526" s="16">
        <v>0.0</v>
      </c>
      <c r="I4526" s="16">
        <v>93.893</v>
      </c>
      <c r="J4526" s="16">
        <v>0.0</v>
      </c>
      <c r="K4526" s="16">
        <v>0.0</v>
      </c>
      <c r="L4526" s="16">
        <v>331.629</v>
      </c>
      <c r="M4526" s="16">
        <v>253.9823</v>
      </c>
      <c r="N4526" s="16">
        <v>149.27</v>
      </c>
      <c r="O4526" s="24">
        <v>17.6</v>
      </c>
      <c r="P4526" s="18">
        <f t="shared" si="1"/>
        <v>331.629</v>
      </c>
    </row>
    <row r="4527" ht="15.75" customHeight="1">
      <c r="A4527" s="19" t="s">
        <v>250</v>
      </c>
      <c r="B4527" s="19" t="s">
        <v>133</v>
      </c>
      <c r="C4527" s="20" t="s">
        <v>157</v>
      </c>
      <c r="D4527" s="14" t="str">
        <f>VLOOKUP(C4527,'State Key'!$A$2:$B$210,2,False)</f>
        <v>Maharashtra</v>
      </c>
      <c r="E4527" s="21">
        <v>300.0</v>
      </c>
      <c r="F4527" s="22">
        <v>0.0</v>
      </c>
      <c r="G4527" s="22">
        <v>0.0</v>
      </c>
      <c r="H4527" s="22">
        <v>0.0</v>
      </c>
      <c r="I4527" s="22">
        <v>0.0</v>
      </c>
      <c r="J4527" s="22">
        <v>119.0</v>
      </c>
      <c r="K4527" s="22">
        <v>0.0</v>
      </c>
      <c r="L4527" s="22">
        <v>119.0</v>
      </c>
      <c r="M4527" s="22">
        <v>84.65</v>
      </c>
      <c r="N4527" s="22">
        <v>70.2</v>
      </c>
      <c r="O4527" s="24">
        <v>24.9</v>
      </c>
      <c r="P4527" s="18">
        <f t="shared" si="1"/>
        <v>119</v>
      </c>
    </row>
    <row r="4528" ht="15.75" customHeight="1">
      <c r="A4528" s="13" t="s">
        <v>250</v>
      </c>
      <c r="B4528" s="13" t="s">
        <v>133</v>
      </c>
      <c r="C4528" s="14" t="s">
        <v>158</v>
      </c>
      <c r="D4528" s="14" t="str">
        <f>VLOOKUP(C4528,'State Key'!$A$2:$B$210,2,False)</f>
        <v>Chhattisgarh</v>
      </c>
      <c r="E4528" s="15">
        <v>270.0</v>
      </c>
      <c r="F4528" s="16">
        <v>144.01</v>
      </c>
      <c r="G4528" s="16">
        <v>0.0</v>
      </c>
      <c r="H4528" s="16">
        <v>0.0</v>
      </c>
      <c r="I4528" s="16">
        <v>0.0</v>
      </c>
      <c r="J4528" s="16">
        <v>0.0</v>
      </c>
      <c r="K4528" s="16">
        <v>0.0</v>
      </c>
      <c r="L4528" s="16">
        <v>144.01</v>
      </c>
      <c r="M4528" s="16">
        <v>126.0</v>
      </c>
      <c r="N4528" s="16">
        <v>51.89</v>
      </c>
      <c r="O4528" s="23">
        <v>12.4</v>
      </c>
      <c r="P4528" s="18">
        <f t="shared" si="1"/>
        <v>144.01</v>
      </c>
    </row>
    <row r="4529" ht="15.75" customHeight="1">
      <c r="A4529" s="19" t="s">
        <v>250</v>
      </c>
      <c r="B4529" s="19" t="s">
        <v>133</v>
      </c>
      <c r="C4529" s="20" t="s">
        <v>159</v>
      </c>
      <c r="D4529" s="14" t="str">
        <f>VLOOKUP(C4529,'State Key'!$A$2:$B$210,2,False)</f>
        <v>Chhattisgarh</v>
      </c>
      <c r="E4529" s="21">
        <v>0.0</v>
      </c>
      <c r="F4529" s="22">
        <v>0.0</v>
      </c>
      <c r="G4529" s="22">
        <v>0.0</v>
      </c>
      <c r="H4529" s="22">
        <v>0.0</v>
      </c>
      <c r="I4529" s="22">
        <v>0.0</v>
      </c>
      <c r="J4529" s="22">
        <v>0.0</v>
      </c>
      <c r="K4529" s="22">
        <v>0.0</v>
      </c>
      <c r="L4529" s="22">
        <v>0.0</v>
      </c>
      <c r="M4529" s="22">
        <v>0.0</v>
      </c>
      <c r="N4529" s="22">
        <v>0.0</v>
      </c>
      <c r="O4529" s="19" t="s">
        <v>58</v>
      </c>
      <c r="P4529" s="18">
        <f t="shared" si="1"/>
        <v>0</v>
      </c>
    </row>
    <row r="4530" ht="15.75" customHeight="1">
      <c r="A4530" s="13" t="s">
        <v>250</v>
      </c>
      <c r="B4530" s="13" t="s">
        <v>133</v>
      </c>
      <c r="C4530" s="14" t="s">
        <v>160</v>
      </c>
      <c r="D4530" s="14" t="str">
        <f>VLOOKUP(C4530,'State Key'!$A$2:$B$210,2,False)</f>
        <v>Maharashtra</v>
      </c>
      <c r="E4530" s="15">
        <v>1340.0</v>
      </c>
      <c r="F4530" s="16">
        <v>604.495</v>
      </c>
      <c r="G4530" s="16">
        <v>0.0</v>
      </c>
      <c r="H4530" s="16">
        <v>0.0</v>
      </c>
      <c r="I4530" s="16">
        <v>0.0</v>
      </c>
      <c r="J4530" s="16">
        <v>103.228</v>
      </c>
      <c r="K4530" s="16">
        <v>0.0</v>
      </c>
      <c r="L4530" s="16">
        <v>707.723</v>
      </c>
      <c r="M4530" s="16">
        <v>636.98</v>
      </c>
      <c r="N4530" s="16">
        <v>241.13</v>
      </c>
      <c r="O4530" s="23">
        <v>11.4</v>
      </c>
      <c r="P4530" s="18">
        <f t="shared" si="1"/>
        <v>707.723</v>
      </c>
    </row>
    <row r="4531" ht="15.75" customHeight="1">
      <c r="A4531" s="19" t="s">
        <v>250</v>
      </c>
      <c r="B4531" s="19" t="s">
        <v>133</v>
      </c>
      <c r="C4531" s="20" t="s">
        <v>161</v>
      </c>
      <c r="D4531" s="14" t="str">
        <f>VLOOKUP(C4531,'State Key'!$A$2:$B$210,2,False)</f>
        <v>Madhya Pradesh</v>
      </c>
      <c r="E4531" s="21">
        <v>1320.0</v>
      </c>
      <c r="F4531" s="22">
        <v>185.38</v>
      </c>
      <c r="G4531" s="22">
        <v>0.0</v>
      </c>
      <c r="H4531" s="22">
        <v>88.48</v>
      </c>
      <c r="I4531" s="22">
        <v>0.0</v>
      </c>
      <c r="J4531" s="22">
        <v>0.0</v>
      </c>
      <c r="K4531" s="22">
        <v>133.04</v>
      </c>
      <c r="L4531" s="22">
        <v>406.9</v>
      </c>
      <c r="M4531" s="22">
        <v>508.82</v>
      </c>
      <c r="N4531" s="22">
        <v>164.842</v>
      </c>
      <c r="O4531" s="23">
        <v>9.7</v>
      </c>
      <c r="P4531" s="18">
        <f t="shared" si="1"/>
        <v>406.9</v>
      </c>
    </row>
    <row r="4532" ht="15.75" customHeight="1">
      <c r="A4532" s="13" t="s">
        <v>250</v>
      </c>
      <c r="B4532" s="13" t="s">
        <v>133</v>
      </c>
      <c r="C4532" s="14" t="s">
        <v>162</v>
      </c>
      <c r="D4532" s="14" t="str">
        <f>VLOOKUP(C4532,'State Key'!$A$2:$B$210,2,False)</f>
        <v>Maharashtra</v>
      </c>
      <c r="E4532" s="15">
        <v>2190.0</v>
      </c>
      <c r="F4532" s="16">
        <v>701.673</v>
      </c>
      <c r="G4532" s="16">
        <v>96.748</v>
      </c>
      <c r="H4532" s="16">
        <v>0.0</v>
      </c>
      <c r="I4532" s="16">
        <v>0.0</v>
      </c>
      <c r="J4532" s="16">
        <v>0.0</v>
      </c>
      <c r="K4532" s="16">
        <v>0.0</v>
      </c>
      <c r="L4532" s="16">
        <v>798.421</v>
      </c>
      <c r="M4532" s="16">
        <v>957.204</v>
      </c>
      <c r="N4532" s="16">
        <v>167.321</v>
      </c>
      <c r="O4532" s="17">
        <v>5.2</v>
      </c>
      <c r="P4532" s="18">
        <f t="shared" si="1"/>
        <v>798.421</v>
      </c>
    </row>
    <row r="4533" ht="15.75" customHeight="1">
      <c r="A4533" s="19" t="s">
        <v>250</v>
      </c>
      <c r="B4533" s="19" t="s">
        <v>133</v>
      </c>
      <c r="C4533" s="20" t="s">
        <v>163</v>
      </c>
      <c r="D4533" s="14" t="str">
        <f>VLOOKUP(C4533,'State Key'!$A$2:$B$210,2,False)</f>
        <v>Chhattisgarh</v>
      </c>
      <c r="E4533" s="21">
        <v>2600.0</v>
      </c>
      <c r="F4533" s="22">
        <v>980.41</v>
      </c>
      <c r="G4533" s="22">
        <v>0.0</v>
      </c>
      <c r="H4533" s="22">
        <v>0.0</v>
      </c>
      <c r="I4533" s="22">
        <v>0.0</v>
      </c>
      <c r="J4533" s="22">
        <v>0.0</v>
      </c>
      <c r="K4533" s="22">
        <v>0.0</v>
      </c>
      <c r="L4533" s="22">
        <v>980.41</v>
      </c>
      <c r="M4533" s="22">
        <v>1198.267</v>
      </c>
      <c r="N4533" s="22">
        <v>483.11</v>
      </c>
      <c r="O4533" s="23">
        <v>12.1</v>
      </c>
      <c r="P4533" s="18">
        <f t="shared" si="1"/>
        <v>980.41</v>
      </c>
    </row>
    <row r="4534" ht="15.75" customHeight="1">
      <c r="A4534" s="13" t="s">
        <v>250</v>
      </c>
      <c r="B4534" s="13" t="s">
        <v>133</v>
      </c>
      <c r="C4534" s="14" t="s">
        <v>164</v>
      </c>
      <c r="D4534" s="14" t="str">
        <f>VLOOKUP(C4534,'State Key'!$A$2:$B$210,2,False)</f>
        <v>Chhattisgarh</v>
      </c>
      <c r="E4534" s="15">
        <v>1340.0</v>
      </c>
      <c r="F4534" s="16">
        <v>666.58</v>
      </c>
      <c r="G4534" s="16">
        <v>0.0</v>
      </c>
      <c r="H4534" s="16">
        <v>0.0</v>
      </c>
      <c r="I4534" s="16">
        <v>0.0</v>
      </c>
      <c r="J4534" s="16">
        <v>0.0</v>
      </c>
      <c r="K4534" s="16">
        <v>0.0</v>
      </c>
      <c r="L4534" s="16">
        <v>666.58</v>
      </c>
      <c r="M4534" s="16">
        <v>618.07</v>
      </c>
      <c r="N4534" s="16">
        <v>404.44</v>
      </c>
      <c r="O4534" s="24">
        <v>19.6</v>
      </c>
      <c r="P4534" s="18">
        <f t="shared" si="1"/>
        <v>666.58</v>
      </c>
    </row>
    <row r="4535" ht="15.75" customHeight="1">
      <c r="A4535" s="19" t="s">
        <v>250</v>
      </c>
      <c r="B4535" s="19" t="s">
        <v>133</v>
      </c>
      <c r="C4535" s="20" t="s">
        <v>165</v>
      </c>
      <c r="D4535" s="14" t="str">
        <f>VLOOKUP(C4535,'State Key'!$A$2:$B$210,2,False)</f>
        <v>Chhattisgarh</v>
      </c>
      <c r="E4535" s="21">
        <v>1600.0</v>
      </c>
      <c r="F4535" s="22">
        <v>0.0</v>
      </c>
      <c r="G4535" s="22">
        <v>0.0</v>
      </c>
      <c r="H4535" s="22">
        <v>714.67</v>
      </c>
      <c r="I4535" s="22">
        <v>0.0</v>
      </c>
      <c r="J4535" s="22">
        <v>0.0</v>
      </c>
      <c r="K4535" s="22">
        <v>0.0</v>
      </c>
      <c r="L4535" s="22">
        <v>714.67</v>
      </c>
      <c r="M4535" s="22">
        <v>717.775</v>
      </c>
      <c r="N4535" s="22">
        <v>316.94</v>
      </c>
      <c r="O4535" s="23">
        <v>13.2</v>
      </c>
      <c r="P4535" s="18">
        <f t="shared" si="1"/>
        <v>714.67</v>
      </c>
    </row>
    <row r="4536" ht="15.75" customHeight="1">
      <c r="A4536" s="13" t="s">
        <v>250</v>
      </c>
      <c r="B4536" s="13" t="s">
        <v>133</v>
      </c>
      <c r="C4536" s="14" t="s">
        <v>166</v>
      </c>
      <c r="D4536" s="14" t="str">
        <f>VLOOKUP(C4536,'State Key'!$A$2:$B$210,2,False)</f>
        <v>Madhya Pradesh</v>
      </c>
      <c r="E4536" s="15">
        <v>1200.0</v>
      </c>
      <c r="F4536" s="16">
        <v>151.272</v>
      </c>
      <c r="G4536" s="16">
        <v>0.0</v>
      </c>
      <c r="H4536" s="16">
        <v>0.0</v>
      </c>
      <c r="I4536" s="16">
        <v>0.0</v>
      </c>
      <c r="J4536" s="16">
        <v>0.0</v>
      </c>
      <c r="K4536" s="16">
        <v>190.683</v>
      </c>
      <c r="L4536" s="16">
        <v>341.955</v>
      </c>
      <c r="M4536" s="16">
        <v>315.47</v>
      </c>
      <c r="N4536" s="16">
        <v>145.47</v>
      </c>
      <c r="O4536" s="23">
        <v>13.8</v>
      </c>
      <c r="P4536" s="18">
        <f t="shared" si="1"/>
        <v>341.955</v>
      </c>
    </row>
    <row r="4537" ht="15.75" customHeight="1">
      <c r="A4537" s="19" t="s">
        <v>250</v>
      </c>
      <c r="B4537" s="19" t="s">
        <v>133</v>
      </c>
      <c r="C4537" s="20" t="s">
        <v>167</v>
      </c>
      <c r="D4537" s="14" t="str">
        <f>VLOOKUP(C4537,'State Key'!$A$2:$B$210,2,False)</f>
        <v>Chhattisgarh</v>
      </c>
      <c r="E4537" s="21">
        <v>1000.0</v>
      </c>
      <c r="F4537" s="22">
        <v>0.0</v>
      </c>
      <c r="G4537" s="22">
        <v>0.0</v>
      </c>
      <c r="H4537" s="22">
        <v>336.7</v>
      </c>
      <c r="I4537" s="22">
        <v>0.0</v>
      </c>
      <c r="J4537" s="22">
        <v>0.0</v>
      </c>
      <c r="K4537" s="22">
        <v>0.0</v>
      </c>
      <c r="L4537" s="22">
        <v>336.7</v>
      </c>
      <c r="M4537" s="22">
        <v>441.799</v>
      </c>
      <c r="N4537" s="22">
        <v>533.97</v>
      </c>
      <c r="O4537" s="24">
        <v>36.3</v>
      </c>
      <c r="P4537" s="18">
        <f t="shared" si="1"/>
        <v>336.7</v>
      </c>
    </row>
    <row r="4538" ht="15.75" customHeight="1">
      <c r="A4538" s="13" t="s">
        <v>250</v>
      </c>
      <c r="B4538" s="13" t="s">
        <v>133</v>
      </c>
      <c r="C4538" s="14" t="s">
        <v>168</v>
      </c>
      <c r="D4538" s="14" t="str">
        <f>VLOOKUP(C4538,'State Key'!$A$2:$B$210,2,False)</f>
        <v>Maharashtra</v>
      </c>
      <c r="E4538" s="15">
        <v>2320.0</v>
      </c>
      <c r="F4538" s="16">
        <v>669.56</v>
      </c>
      <c r="G4538" s="16">
        <v>0.0</v>
      </c>
      <c r="H4538" s="16">
        <v>57.61</v>
      </c>
      <c r="I4538" s="16">
        <v>0.0</v>
      </c>
      <c r="J4538" s="16">
        <v>0.0</v>
      </c>
      <c r="K4538" s="16">
        <v>92.8</v>
      </c>
      <c r="L4538" s="16">
        <v>819.97</v>
      </c>
      <c r="M4538" s="16">
        <v>797.164</v>
      </c>
      <c r="N4538" s="16">
        <v>707.578</v>
      </c>
      <c r="O4538" s="24">
        <v>26.6</v>
      </c>
      <c r="P4538" s="18">
        <f t="shared" si="1"/>
        <v>819.97</v>
      </c>
    </row>
    <row r="4539" ht="15.75" customHeight="1">
      <c r="A4539" s="19" t="s">
        <v>250</v>
      </c>
      <c r="B4539" s="19" t="s">
        <v>133</v>
      </c>
      <c r="C4539" s="20" t="s">
        <v>169</v>
      </c>
      <c r="D4539" s="14" t="str">
        <f>VLOOKUP(C4539,'State Key'!$A$2:$B$210,2,False)</f>
        <v>Madhya Pradesh</v>
      </c>
      <c r="E4539" s="21">
        <v>246.01</v>
      </c>
      <c r="F4539" s="22">
        <v>0.0</v>
      </c>
      <c r="G4539" s="22">
        <v>0.0</v>
      </c>
      <c r="H4539" s="22">
        <v>0.0</v>
      </c>
      <c r="I4539" s="22">
        <v>0.0</v>
      </c>
      <c r="J4539" s="22">
        <v>0.0</v>
      </c>
      <c r="K4539" s="22">
        <v>0.0</v>
      </c>
      <c r="L4539" s="22">
        <v>0.0</v>
      </c>
      <c r="M4539" s="22">
        <v>0.0</v>
      </c>
      <c r="N4539" s="22">
        <v>0.0</v>
      </c>
      <c r="O4539" s="19" t="s">
        <v>58</v>
      </c>
      <c r="P4539" s="18">
        <f t="shared" si="1"/>
        <v>0</v>
      </c>
    </row>
    <row r="4540" ht="15.75" customHeight="1">
      <c r="A4540" s="13" t="s">
        <v>250</v>
      </c>
      <c r="B4540" s="13" t="s">
        <v>133</v>
      </c>
      <c r="C4540" s="14" t="s">
        <v>172</v>
      </c>
      <c r="D4540" s="14" t="str">
        <f>VLOOKUP(C4540,'State Key'!$A$2:$B$210,2,False)</f>
        <v>Gujarat</v>
      </c>
      <c r="E4540" s="15">
        <v>4000.0</v>
      </c>
      <c r="F4540" s="16">
        <v>0.0</v>
      </c>
      <c r="G4540" s="16">
        <v>0.0</v>
      </c>
      <c r="H4540" s="16">
        <v>0.0</v>
      </c>
      <c r="I4540" s="16">
        <v>0.0</v>
      </c>
      <c r="J4540" s="16">
        <v>792.064</v>
      </c>
      <c r="K4540" s="16">
        <v>0.0</v>
      </c>
      <c r="L4540" s="16">
        <v>792.064</v>
      </c>
      <c r="M4540" s="16">
        <v>778.057</v>
      </c>
      <c r="N4540" s="16">
        <v>747.51</v>
      </c>
      <c r="O4540" s="24">
        <v>28.8</v>
      </c>
      <c r="P4540" s="18">
        <f t="shared" si="1"/>
        <v>792.064</v>
      </c>
    </row>
    <row r="4541" ht="15.75" customHeight="1">
      <c r="A4541" s="19" t="s">
        <v>250</v>
      </c>
      <c r="B4541" s="19" t="s">
        <v>133</v>
      </c>
      <c r="C4541" s="20" t="s">
        <v>173</v>
      </c>
      <c r="D4541" s="14" t="str">
        <f>VLOOKUP(C4541,'State Key'!$A$2:$B$210,2,False)</f>
        <v>Maharashtra</v>
      </c>
      <c r="E4541" s="21">
        <v>0.0</v>
      </c>
      <c r="F4541" s="22">
        <v>0.0</v>
      </c>
      <c r="G4541" s="22">
        <v>0.0</v>
      </c>
      <c r="H4541" s="22">
        <v>0.0</v>
      </c>
      <c r="I4541" s="22">
        <v>0.0</v>
      </c>
      <c r="J4541" s="22">
        <v>0.0</v>
      </c>
      <c r="K4541" s="22">
        <v>0.0</v>
      </c>
      <c r="L4541" s="22">
        <v>0.0</v>
      </c>
      <c r="M4541" s="22">
        <v>0.0</v>
      </c>
      <c r="N4541" s="22">
        <v>0.0</v>
      </c>
      <c r="O4541" s="19" t="s">
        <v>58</v>
      </c>
      <c r="P4541" s="18">
        <f t="shared" si="1"/>
        <v>0</v>
      </c>
    </row>
    <row r="4542" ht="15.75" customHeight="1">
      <c r="A4542" s="13" t="s">
        <v>250</v>
      </c>
      <c r="B4542" s="13" t="s">
        <v>133</v>
      </c>
      <c r="C4542" s="14" t="s">
        <v>174</v>
      </c>
      <c r="D4542" s="14" t="str">
        <f>VLOOKUP(C4542,'State Key'!$A$2:$B$210,2,False)</f>
        <v>Maharashtra</v>
      </c>
      <c r="E4542" s="15">
        <v>630.0</v>
      </c>
      <c r="F4542" s="16">
        <v>260.619</v>
      </c>
      <c r="G4542" s="16">
        <v>0.0</v>
      </c>
      <c r="H4542" s="16">
        <v>0.0</v>
      </c>
      <c r="I4542" s="16">
        <v>0.0</v>
      </c>
      <c r="J4542" s="16">
        <v>0.0</v>
      </c>
      <c r="K4542" s="16">
        <v>0.0</v>
      </c>
      <c r="L4542" s="16">
        <v>260.619</v>
      </c>
      <c r="M4542" s="16">
        <v>254.761</v>
      </c>
      <c r="N4542" s="16">
        <v>141.21</v>
      </c>
      <c r="O4542" s="24">
        <v>16.6</v>
      </c>
      <c r="P4542" s="18">
        <f t="shared" si="1"/>
        <v>260.619</v>
      </c>
    </row>
    <row r="4543" ht="15.75" customHeight="1">
      <c r="A4543" s="19" t="s">
        <v>250</v>
      </c>
      <c r="B4543" s="19" t="s">
        <v>133</v>
      </c>
      <c r="C4543" s="20" t="s">
        <v>175</v>
      </c>
      <c r="D4543" s="14" t="str">
        <f>VLOOKUP(C4543,'State Key'!$A$2:$B$210,2,False)</f>
        <v>Chhattisgarh</v>
      </c>
      <c r="E4543" s="21">
        <v>600.0</v>
      </c>
      <c r="F4543" s="22">
        <v>158.72</v>
      </c>
      <c r="G4543" s="22">
        <v>0.0</v>
      </c>
      <c r="H4543" s="22">
        <v>0.0</v>
      </c>
      <c r="I4543" s="22">
        <v>64.471</v>
      </c>
      <c r="J4543" s="22">
        <v>0.0</v>
      </c>
      <c r="K4543" s="22">
        <v>0.0</v>
      </c>
      <c r="L4543" s="22">
        <v>223.191</v>
      </c>
      <c r="M4543" s="22">
        <v>248.695</v>
      </c>
      <c r="N4543" s="22">
        <v>235.438</v>
      </c>
      <c r="O4543" s="24">
        <v>28.4</v>
      </c>
      <c r="P4543" s="18">
        <f t="shared" si="1"/>
        <v>223.191</v>
      </c>
    </row>
    <row r="4544" ht="15.75" customHeight="1">
      <c r="A4544" s="13" t="s">
        <v>250</v>
      </c>
      <c r="B4544" s="13" t="s">
        <v>133</v>
      </c>
      <c r="C4544" s="14" t="s">
        <v>176</v>
      </c>
      <c r="D4544" s="14" t="str">
        <f>VLOOKUP(C4544,'State Key'!$A$2:$B$210,2,False)</f>
        <v>Madhya Pradesh</v>
      </c>
      <c r="E4544" s="15">
        <v>1320.0</v>
      </c>
      <c r="F4544" s="16">
        <v>0.0</v>
      </c>
      <c r="G4544" s="16">
        <v>0.0</v>
      </c>
      <c r="H4544" s="16">
        <v>333.0274</v>
      </c>
      <c r="I4544" s="16">
        <v>124.3308</v>
      </c>
      <c r="J4544" s="16">
        <v>0.0</v>
      </c>
      <c r="K4544" s="16">
        <v>0.0</v>
      </c>
      <c r="L4544" s="16">
        <v>457.3582</v>
      </c>
      <c r="M4544" s="16">
        <v>502.3706</v>
      </c>
      <c r="N4544" s="16">
        <v>369.2126</v>
      </c>
      <c r="O4544" s="24">
        <v>22.0</v>
      </c>
      <c r="P4544" s="18">
        <f t="shared" si="1"/>
        <v>457.3582</v>
      </c>
    </row>
    <row r="4545" ht="15.75" customHeight="1">
      <c r="A4545" s="19" t="s">
        <v>250</v>
      </c>
      <c r="B4545" s="19" t="s">
        <v>133</v>
      </c>
      <c r="C4545" s="20" t="s">
        <v>177</v>
      </c>
      <c r="D4545" s="14" t="str">
        <f>VLOOKUP(C4545,'State Key'!$A$2:$B$210,2,False)</f>
        <v>Madhya Pradesh</v>
      </c>
      <c r="E4545" s="21">
        <v>90.0</v>
      </c>
      <c r="F4545" s="22">
        <v>30.242</v>
      </c>
      <c r="G4545" s="22">
        <v>0.0</v>
      </c>
      <c r="H4545" s="22">
        <v>0.0</v>
      </c>
      <c r="I4545" s="22">
        <v>0.0</v>
      </c>
      <c r="J4545" s="22">
        <v>0.0</v>
      </c>
      <c r="K4545" s="22">
        <v>0.0</v>
      </c>
      <c r="L4545" s="22">
        <v>30.242</v>
      </c>
      <c r="M4545" s="22">
        <v>36.004</v>
      </c>
      <c r="N4545" s="22">
        <v>80.12</v>
      </c>
      <c r="O4545" s="24">
        <v>66.8</v>
      </c>
      <c r="P4545" s="18">
        <f t="shared" si="1"/>
        <v>30.242</v>
      </c>
    </row>
    <row r="4546" ht="15.75" customHeight="1">
      <c r="A4546" s="13" t="s">
        <v>250</v>
      </c>
      <c r="B4546" s="13" t="s">
        <v>133</v>
      </c>
      <c r="C4546" s="14" t="s">
        <v>178</v>
      </c>
      <c r="D4546" s="14" t="str">
        <f>VLOOKUP(C4546,'State Key'!$A$2:$B$210,2,False)</f>
        <v>Chhattisgarh</v>
      </c>
      <c r="E4546" s="15">
        <v>1000.0</v>
      </c>
      <c r="F4546" s="16">
        <v>22.04</v>
      </c>
      <c r="G4546" s="16">
        <v>18.201</v>
      </c>
      <c r="H4546" s="16">
        <v>438.917</v>
      </c>
      <c r="I4546" s="16">
        <v>0.0</v>
      </c>
      <c r="J4546" s="16">
        <v>0.0</v>
      </c>
      <c r="K4546" s="16">
        <v>0.0</v>
      </c>
      <c r="L4546" s="16">
        <v>479.158</v>
      </c>
      <c r="M4546" s="16">
        <v>415.717</v>
      </c>
      <c r="N4546" s="16">
        <v>228.497</v>
      </c>
      <c r="O4546" s="24">
        <v>16.5</v>
      </c>
      <c r="P4546" s="18">
        <f t="shared" si="1"/>
        <v>479.158</v>
      </c>
    </row>
    <row r="4547" ht="15.75" customHeight="1">
      <c r="A4547" s="19" t="s">
        <v>250</v>
      </c>
      <c r="B4547" s="19" t="s">
        <v>133</v>
      </c>
      <c r="C4547" s="20" t="s">
        <v>179</v>
      </c>
      <c r="D4547" s="14" t="str">
        <f>VLOOKUP(C4547,'State Key'!$A$2:$B$210,2,False)</f>
        <v>Maharashtra</v>
      </c>
      <c r="E4547" s="21">
        <v>500.0</v>
      </c>
      <c r="F4547" s="22">
        <v>185.305</v>
      </c>
      <c r="G4547" s="22">
        <v>48.429</v>
      </c>
      <c r="H4547" s="22">
        <v>0.0</v>
      </c>
      <c r="I4547" s="22">
        <v>0.0</v>
      </c>
      <c r="J4547" s="22">
        <v>0.0</v>
      </c>
      <c r="K4547" s="22">
        <v>0.0</v>
      </c>
      <c r="L4547" s="22">
        <v>233.734</v>
      </c>
      <c r="M4547" s="22">
        <v>208.917</v>
      </c>
      <c r="N4547" s="22">
        <v>120.75</v>
      </c>
      <c r="O4547" s="24">
        <v>17.3</v>
      </c>
      <c r="P4547" s="18">
        <f t="shared" si="1"/>
        <v>233.734</v>
      </c>
    </row>
    <row r="4548" ht="15.75" customHeight="1">
      <c r="A4548" s="13" t="s">
        <v>250</v>
      </c>
      <c r="B4548" s="13" t="s">
        <v>133</v>
      </c>
      <c r="C4548" s="14" t="s">
        <v>180</v>
      </c>
      <c r="D4548" s="14" t="str">
        <f>VLOOKUP(C4548,'State Key'!$A$2:$B$210,2,False)</f>
        <v>Maharashtra</v>
      </c>
      <c r="E4548" s="15">
        <v>750.0</v>
      </c>
      <c r="F4548" s="16">
        <v>68.975</v>
      </c>
      <c r="G4548" s="16">
        <v>219.615</v>
      </c>
      <c r="H4548" s="16">
        <v>0.0</v>
      </c>
      <c r="I4548" s="16">
        <v>0.0</v>
      </c>
      <c r="J4548" s="16">
        <v>0.0</v>
      </c>
      <c r="K4548" s="16">
        <v>0.0</v>
      </c>
      <c r="L4548" s="16">
        <v>288.59</v>
      </c>
      <c r="M4548" s="16">
        <v>303.642</v>
      </c>
      <c r="N4548" s="16">
        <v>64.92</v>
      </c>
      <c r="O4548" s="17">
        <v>6.4</v>
      </c>
      <c r="P4548" s="18">
        <f t="shared" si="1"/>
        <v>288.59</v>
      </c>
    </row>
    <row r="4549" ht="15.75" customHeight="1">
      <c r="A4549" s="19" t="s">
        <v>250</v>
      </c>
      <c r="B4549" s="19" t="s">
        <v>133</v>
      </c>
      <c r="C4549" s="20" t="s">
        <v>181</v>
      </c>
      <c r="D4549" s="14" t="str">
        <f>VLOOKUP(C4549,'State Key'!$A$2:$B$210,2,False)</f>
        <v>Chhattisgarh</v>
      </c>
      <c r="E4549" s="21">
        <v>600.0</v>
      </c>
      <c r="F4549" s="22">
        <v>259.389</v>
      </c>
      <c r="G4549" s="22">
        <v>0.0</v>
      </c>
      <c r="H4549" s="22">
        <v>0.0</v>
      </c>
      <c r="I4549" s="22">
        <v>0.0</v>
      </c>
      <c r="J4549" s="22">
        <v>0.0</v>
      </c>
      <c r="K4549" s="22">
        <v>0.0</v>
      </c>
      <c r="L4549" s="22">
        <v>259.389</v>
      </c>
      <c r="M4549" s="22">
        <v>266.867</v>
      </c>
      <c r="N4549" s="22">
        <v>57.74</v>
      </c>
      <c r="O4549" s="17">
        <v>6.5</v>
      </c>
      <c r="P4549" s="18">
        <f t="shared" si="1"/>
        <v>259.389</v>
      </c>
    </row>
    <row r="4550" ht="15.75" customHeight="1">
      <c r="A4550" s="13" t="s">
        <v>250</v>
      </c>
      <c r="B4550" s="13" t="s">
        <v>133</v>
      </c>
      <c r="C4550" s="14" t="s">
        <v>183</v>
      </c>
      <c r="D4550" s="14" t="str">
        <f>VLOOKUP(C4550,'State Key'!$A$2:$B$210,2,False)</f>
        <v>Chhattisgarh</v>
      </c>
      <c r="E4550" s="15">
        <v>100.0</v>
      </c>
      <c r="F4550" s="16">
        <v>11.77</v>
      </c>
      <c r="G4550" s="16">
        <v>0.0</v>
      </c>
      <c r="H4550" s="16">
        <v>0.0</v>
      </c>
      <c r="I4550" s="16">
        <v>0.0</v>
      </c>
      <c r="J4550" s="16">
        <v>0.0</v>
      </c>
      <c r="K4550" s="16">
        <v>45.34</v>
      </c>
      <c r="L4550" s="16">
        <v>57.11</v>
      </c>
      <c r="M4550" s="16">
        <v>62.35</v>
      </c>
      <c r="N4550" s="16">
        <v>19.95</v>
      </c>
      <c r="O4550" s="23">
        <v>9.6</v>
      </c>
      <c r="P4550" s="18">
        <f t="shared" si="1"/>
        <v>57.11</v>
      </c>
    </row>
    <row r="4551" ht="15.75" customHeight="1">
      <c r="A4551" s="19" t="s">
        <v>250</v>
      </c>
      <c r="B4551" s="19" t="s">
        <v>133</v>
      </c>
      <c r="C4551" s="20" t="s">
        <v>184</v>
      </c>
      <c r="D4551" s="14" t="str">
        <f>VLOOKUP(C4551,'State Key'!$A$2:$B$210,2,False)</f>
        <v>Gujarat</v>
      </c>
      <c r="E4551" s="21">
        <v>362.0</v>
      </c>
      <c r="F4551" s="22">
        <v>133.979</v>
      </c>
      <c r="G4551" s="22">
        <v>0.0</v>
      </c>
      <c r="H4551" s="22">
        <v>0.0</v>
      </c>
      <c r="I4551" s="22">
        <v>0.0</v>
      </c>
      <c r="J4551" s="22">
        <v>0.0</v>
      </c>
      <c r="K4551" s="22">
        <v>0.0</v>
      </c>
      <c r="L4551" s="22">
        <v>133.979</v>
      </c>
      <c r="M4551" s="22">
        <v>141.3342</v>
      </c>
      <c r="N4551" s="22">
        <v>108.98</v>
      </c>
      <c r="O4551" s="24">
        <v>23.1</v>
      </c>
      <c r="P4551" s="18">
        <f t="shared" si="1"/>
        <v>133.979</v>
      </c>
    </row>
    <row r="4552" ht="15.75" customHeight="1">
      <c r="A4552" s="13" t="s">
        <v>250</v>
      </c>
      <c r="B4552" s="13" t="s">
        <v>133</v>
      </c>
      <c r="C4552" s="14" t="s">
        <v>185</v>
      </c>
      <c r="D4552" s="14" t="str">
        <f>VLOOKUP(C4552,'State Key'!$A$2:$B$210,2,False)</f>
        <v>Gujarat</v>
      </c>
      <c r="E4552" s="15">
        <v>1200.0</v>
      </c>
      <c r="F4552" s="16">
        <v>0.0</v>
      </c>
      <c r="G4552" s="16">
        <v>0.0</v>
      </c>
      <c r="H4552" s="16">
        <v>0.0</v>
      </c>
      <c r="I4552" s="16">
        <v>0.0</v>
      </c>
      <c r="J4552" s="16">
        <v>212.633</v>
      </c>
      <c r="K4552" s="16">
        <v>0.0</v>
      </c>
      <c r="L4552" s="16">
        <v>212.633</v>
      </c>
      <c r="M4552" s="16">
        <v>284.917</v>
      </c>
      <c r="N4552" s="16">
        <v>119.47</v>
      </c>
      <c r="O4552" s="23">
        <v>12.6</v>
      </c>
      <c r="P4552" s="18">
        <f t="shared" si="1"/>
        <v>212.633</v>
      </c>
    </row>
    <row r="4553" ht="15.75" customHeight="1">
      <c r="A4553" s="19" t="s">
        <v>250</v>
      </c>
      <c r="B4553" s="19" t="s">
        <v>133</v>
      </c>
      <c r="C4553" s="20" t="s">
        <v>186</v>
      </c>
      <c r="D4553" s="14" t="str">
        <f>VLOOKUP(C4553,'State Key'!$A$2:$B$210,2,False)</f>
        <v>Chhattisgarh</v>
      </c>
      <c r="E4553" s="21">
        <v>0.0</v>
      </c>
      <c r="F4553" s="22">
        <v>0.0</v>
      </c>
      <c r="G4553" s="22">
        <v>0.0</v>
      </c>
      <c r="H4553" s="22">
        <v>0.0</v>
      </c>
      <c r="I4553" s="22">
        <v>0.0</v>
      </c>
      <c r="J4553" s="22">
        <v>0.0</v>
      </c>
      <c r="K4553" s="22">
        <v>0.0</v>
      </c>
      <c r="L4553" s="22">
        <v>0.0</v>
      </c>
      <c r="M4553" s="22">
        <v>0.0</v>
      </c>
      <c r="N4553" s="22">
        <v>0.0</v>
      </c>
      <c r="O4553" s="19" t="s">
        <v>58</v>
      </c>
      <c r="P4553" s="18">
        <f t="shared" si="1"/>
        <v>0</v>
      </c>
    </row>
    <row r="4554" ht="15.75" customHeight="1">
      <c r="A4554" s="13" t="s">
        <v>250</v>
      </c>
      <c r="B4554" s="13" t="s">
        <v>133</v>
      </c>
      <c r="C4554" s="14" t="s">
        <v>187</v>
      </c>
      <c r="D4554" s="14" t="str">
        <f>VLOOKUP(C4554,'State Key'!$A$2:$B$210,2,False)</f>
        <v>Madhya Pradesh</v>
      </c>
      <c r="E4554" s="15">
        <v>1340.0</v>
      </c>
      <c r="F4554" s="16">
        <v>361.596</v>
      </c>
      <c r="G4554" s="16">
        <v>0.0</v>
      </c>
      <c r="H4554" s="16">
        <v>0.0</v>
      </c>
      <c r="I4554" s="16">
        <v>0.0</v>
      </c>
      <c r="J4554" s="16">
        <v>0.0</v>
      </c>
      <c r="K4554" s="16">
        <v>0.0</v>
      </c>
      <c r="L4554" s="16">
        <v>361.596</v>
      </c>
      <c r="M4554" s="16">
        <v>462.713</v>
      </c>
      <c r="N4554" s="16">
        <v>348.27</v>
      </c>
      <c r="O4554" s="24">
        <v>22.6</v>
      </c>
      <c r="P4554" s="18">
        <f t="shared" si="1"/>
        <v>361.596</v>
      </c>
    </row>
    <row r="4555" ht="15.75" customHeight="1">
      <c r="A4555" s="19" t="s">
        <v>250</v>
      </c>
      <c r="B4555" s="19" t="s">
        <v>133</v>
      </c>
      <c r="C4555" s="20" t="s">
        <v>188</v>
      </c>
      <c r="D4555" s="14" t="str">
        <f>VLOOKUP(C4555,'State Key'!$A$2:$B$210,2,False)</f>
        <v>Madhya Pradesh</v>
      </c>
      <c r="E4555" s="21">
        <v>3960.0</v>
      </c>
      <c r="F4555" s="22">
        <v>0.0</v>
      </c>
      <c r="G4555" s="22">
        <v>0.0</v>
      </c>
      <c r="H4555" s="22">
        <v>1395.016</v>
      </c>
      <c r="I4555" s="22">
        <v>0.0</v>
      </c>
      <c r="J4555" s="22">
        <v>0.0</v>
      </c>
      <c r="K4555" s="22">
        <v>0.0</v>
      </c>
      <c r="L4555" s="22">
        <v>1395.016</v>
      </c>
      <c r="M4555" s="22">
        <v>1462.097</v>
      </c>
      <c r="N4555" s="22">
        <v>303.46</v>
      </c>
      <c r="O4555" s="17">
        <v>6.2</v>
      </c>
      <c r="P4555" s="18">
        <f t="shared" si="1"/>
        <v>1395.016</v>
      </c>
    </row>
    <row r="4556" ht="15.75" customHeight="1">
      <c r="A4556" s="13" t="s">
        <v>250</v>
      </c>
      <c r="B4556" s="13" t="s">
        <v>133</v>
      </c>
      <c r="C4556" s="14" t="s">
        <v>189</v>
      </c>
      <c r="D4556" s="14" t="str">
        <f>VLOOKUP(C4556,'State Key'!$A$2:$B$210,2,False)</f>
        <v>Madhya Pradesh</v>
      </c>
      <c r="E4556" s="15">
        <v>1330.0</v>
      </c>
      <c r="F4556" s="16">
        <v>178.19271</v>
      </c>
      <c r="G4556" s="16">
        <v>0.0</v>
      </c>
      <c r="H4556" s="16">
        <v>0.0</v>
      </c>
      <c r="I4556" s="16">
        <v>0.0</v>
      </c>
      <c r="J4556" s="16">
        <v>0.0</v>
      </c>
      <c r="K4556" s="16">
        <v>0.0</v>
      </c>
      <c r="L4556" s="16">
        <v>178.19271</v>
      </c>
      <c r="M4556" s="16">
        <v>222.0709</v>
      </c>
      <c r="N4556" s="16">
        <v>148.47</v>
      </c>
      <c r="O4556" s="24">
        <v>20.1</v>
      </c>
      <c r="P4556" s="18">
        <f t="shared" si="1"/>
        <v>178.19271</v>
      </c>
    </row>
    <row r="4557" ht="15.75" customHeight="1">
      <c r="A4557" s="19" t="s">
        <v>250</v>
      </c>
      <c r="B4557" s="19" t="s">
        <v>133</v>
      </c>
      <c r="C4557" s="20" t="s">
        <v>190</v>
      </c>
      <c r="D4557" s="14" t="str">
        <f>VLOOKUP(C4557,'State Key'!$A$2:$B$210,2,False)</f>
        <v>Madhya Pradesh</v>
      </c>
      <c r="E4557" s="21">
        <v>600.0</v>
      </c>
      <c r="F4557" s="22">
        <v>116.169</v>
      </c>
      <c r="G4557" s="22">
        <v>0.0</v>
      </c>
      <c r="H4557" s="22">
        <v>0.0</v>
      </c>
      <c r="I4557" s="22">
        <v>230.142</v>
      </c>
      <c r="J4557" s="22">
        <v>0.0</v>
      </c>
      <c r="K4557" s="22">
        <v>0.0</v>
      </c>
      <c r="L4557" s="22">
        <v>346.311</v>
      </c>
      <c r="M4557" s="22">
        <v>297.555</v>
      </c>
      <c r="N4557" s="22">
        <v>289.11</v>
      </c>
      <c r="O4557" s="24">
        <v>29.1</v>
      </c>
      <c r="P4557" s="18">
        <f t="shared" si="1"/>
        <v>346.311</v>
      </c>
    </row>
    <row r="4558" ht="15.75" customHeight="1">
      <c r="A4558" s="13" t="s">
        <v>250</v>
      </c>
      <c r="B4558" s="13" t="s">
        <v>133</v>
      </c>
      <c r="C4558" s="14" t="s">
        <v>191</v>
      </c>
      <c r="D4558" s="14" t="str">
        <f>VLOOKUP(C4558,'State Key'!$A$2:$B$210,2,False)</f>
        <v>Maharashtra</v>
      </c>
      <c r="E4558" s="15">
        <v>300.0</v>
      </c>
      <c r="F4558" s="16">
        <v>0.0</v>
      </c>
      <c r="G4558" s="16">
        <v>0.0</v>
      </c>
      <c r="H4558" s="16">
        <v>0.0</v>
      </c>
      <c r="I4558" s="16">
        <v>0.0</v>
      </c>
      <c r="J4558" s="16">
        <v>0.0</v>
      </c>
      <c r="K4558" s="16">
        <v>65.656</v>
      </c>
      <c r="L4558" s="16">
        <v>65.656</v>
      </c>
      <c r="M4558" s="16">
        <v>130.677</v>
      </c>
      <c r="N4558" s="16">
        <v>97.99</v>
      </c>
      <c r="O4558" s="24">
        <v>22.5</v>
      </c>
      <c r="P4558" s="18">
        <f t="shared" si="1"/>
        <v>65.656</v>
      </c>
    </row>
    <row r="4559" ht="15.75" customHeight="1">
      <c r="A4559" s="19" t="s">
        <v>250</v>
      </c>
      <c r="B4559" s="19" t="s">
        <v>133</v>
      </c>
      <c r="C4559" s="20" t="s">
        <v>192</v>
      </c>
      <c r="D4559" s="14" t="str">
        <f>VLOOKUP(C4559,'State Key'!$A$2:$B$210,2,False)</f>
        <v>Madhya Pradesh</v>
      </c>
      <c r="E4559" s="21">
        <v>2520.0</v>
      </c>
      <c r="F4559" s="22">
        <v>924.579</v>
      </c>
      <c r="G4559" s="22">
        <v>0.0</v>
      </c>
      <c r="H4559" s="22">
        <v>0.0</v>
      </c>
      <c r="I4559" s="22">
        <v>0.0</v>
      </c>
      <c r="J4559" s="22">
        <v>0.0</v>
      </c>
      <c r="K4559" s="22">
        <v>0.0</v>
      </c>
      <c r="L4559" s="22">
        <v>924.579</v>
      </c>
      <c r="M4559" s="22">
        <v>914.792</v>
      </c>
      <c r="N4559" s="22">
        <v>423.87</v>
      </c>
      <c r="O4559" s="23">
        <v>13.9</v>
      </c>
      <c r="P4559" s="18">
        <f t="shared" si="1"/>
        <v>924.579</v>
      </c>
    </row>
    <row r="4560" ht="15.75" customHeight="1">
      <c r="A4560" s="13" t="s">
        <v>250</v>
      </c>
      <c r="B4560" s="13" t="s">
        <v>133</v>
      </c>
      <c r="C4560" s="14" t="s">
        <v>193</v>
      </c>
      <c r="D4560" s="14" t="str">
        <f>VLOOKUP(C4560,'State Key'!$A$2:$B$210,2,False)</f>
        <v>Gujarat</v>
      </c>
      <c r="E4560" s="15">
        <v>500.0</v>
      </c>
      <c r="F4560" s="16">
        <v>0.0</v>
      </c>
      <c r="G4560" s="16">
        <v>0.0</v>
      </c>
      <c r="H4560" s="16">
        <v>0.0</v>
      </c>
      <c r="I4560" s="16">
        <v>0.0</v>
      </c>
      <c r="J4560" s="16">
        <v>3.617</v>
      </c>
      <c r="K4560" s="16">
        <v>0.0</v>
      </c>
      <c r="L4560" s="16">
        <v>3.617</v>
      </c>
      <c r="M4560" s="16">
        <v>41.771</v>
      </c>
      <c r="N4560" s="16">
        <v>62.62</v>
      </c>
      <c r="O4560" s="24">
        <v>45.0</v>
      </c>
      <c r="P4560" s="18">
        <f t="shared" si="1"/>
        <v>3.617</v>
      </c>
    </row>
    <row r="4561" ht="15.75" customHeight="1">
      <c r="A4561" s="19" t="s">
        <v>250</v>
      </c>
      <c r="B4561" s="19" t="s">
        <v>133</v>
      </c>
      <c r="C4561" s="20" t="s">
        <v>194</v>
      </c>
      <c r="D4561" s="14" t="str">
        <f>VLOOKUP(C4561,'State Key'!$A$2:$B$210,2,False)</f>
        <v>Chhattisgarh</v>
      </c>
      <c r="E4561" s="21">
        <v>2980.0</v>
      </c>
      <c r="F4561" s="22">
        <v>910.99</v>
      </c>
      <c r="G4561" s="22">
        <v>0.0</v>
      </c>
      <c r="H4561" s="22">
        <v>0.0</v>
      </c>
      <c r="I4561" s="22">
        <v>0.0</v>
      </c>
      <c r="J4561" s="22">
        <v>0.0</v>
      </c>
      <c r="K4561" s="22">
        <v>0.0</v>
      </c>
      <c r="L4561" s="22">
        <v>910.99</v>
      </c>
      <c r="M4561" s="22">
        <v>1159.499</v>
      </c>
      <c r="N4561" s="22">
        <v>633.27</v>
      </c>
      <c r="O4561" s="24">
        <v>16.4</v>
      </c>
      <c r="P4561" s="18">
        <f t="shared" si="1"/>
        <v>910.99</v>
      </c>
    </row>
    <row r="4562" ht="15.75" customHeight="1">
      <c r="A4562" s="13" t="s">
        <v>250</v>
      </c>
      <c r="B4562" s="13" t="s">
        <v>133</v>
      </c>
      <c r="C4562" s="14" t="s">
        <v>195</v>
      </c>
      <c r="D4562" s="14" t="str">
        <f>VLOOKUP(C4562,'State Key'!$A$2:$B$210,2,False)</f>
        <v>Maharashtra</v>
      </c>
      <c r="E4562" s="15">
        <v>1320.0</v>
      </c>
      <c r="F4562" s="16">
        <v>82.3</v>
      </c>
      <c r="G4562" s="16">
        <v>215.97</v>
      </c>
      <c r="H4562" s="16">
        <v>158.05</v>
      </c>
      <c r="I4562" s="16">
        <v>0.0</v>
      </c>
      <c r="J4562" s="16">
        <v>0.0</v>
      </c>
      <c r="K4562" s="16">
        <v>34.96</v>
      </c>
      <c r="L4562" s="16">
        <v>491.28</v>
      </c>
      <c r="M4562" s="16">
        <v>420.711</v>
      </c>
      <c r="N4562" s="16">
        <v>315.895</v>
      </c>
      <c r="O4562" s="24">
        <v>22.5</v>
      </c>
      <c r="P4562" s="18">
        <f t="shared" si="1"/>
        <v>491.28</v>
      </c>
    </row>
    <row r="4563" ht="15.75" customHeight="1">
      <c r="A4563" s="19" t="s">
        <v>250</v>
      </c>
      <c r="B4563" s="19" t="s">
        <v>133</v>
      </c>
      <c r="C4563" s="20" t="s">
        <v>196</v>
      </c>
      <c r="D4563" s="14" t="str">
        <f>VLOOKUP(C4563,'State Key'!$A$2:$B$210,2,False)</f>
        <v>Chhattisgarh</v>
      </c>
      <c r="E4563" s="21">
        <v>63.0</v>
      </c>
      <c r="F4563" s="22">
        <v>25.1482</v>
      </c>
      <c r="G4563" s="22">
        <v>0.0</v>
      </c>
      <c r="H4563" s="22">
        <v>0.0</v>
      </c>
      <c r="I4563" s="22">
        <v>0.0</v>
      </c>
      <c r="J4563" s="22">
        <v>0.0</v>
      </c>
      <c r="K4563" s="22">
        <v>33.5839</v>
      </c>
      <c r="L4563" s="22">
        <v>58.7321</v>
      </c>
      <c r="M4563" s="22">
        <v>50.794</v>
      </c>
      <c r="N4563" s="22">
        <v>36.63</v>
      </c>
      <c r="O4563" s="24">
        <v>21.6</v>
      </c>
      <c r="P4563" s="18">
        <f t="shared" si="1"/>
        <v>58.7321</v>
      </c>
    </row>
    <row r="4564" ht="15.75" customHeight="1">
      <c r="A4564" s="13" t="s">
        <v>250</v>
      </c>
      <c r="B4564" s="13" t="s">
        <v>133</v>
      </c>
      <c r="C4564" s="14" t="s">
        <v>197</v>
      </c>
      <c r="D4564" s="14" t="str">
        <f>VLOOKUP(C4564,'State Key'!$A$2:$B$210,2,False)</f>
        <v>Chhattisgarh</v>
      </c>
      <c r="E4564" s="15">
        <v>0.0</v>
      </c>
      <c r="F4564" s="16">
        <v>0.0</v>
      </c>
      <c r="G4564" s="16">
        <v>0.0</v>
      </c>
      <c r="H4564" s="16">
        <v>0.0</v>
      </c>
      <c r="I4564" s="16">
        <v>0.0</v>
      </c>
      <c r="J4564" s="16">
        <v>0.0</v>
      </c>
      <c r="K4564" s="16">
        <v>0.0</v>
      </c>
      <c r="L4564" s="16">
        <v>0.0</v>
      </c>
      <c r="M4564" s="16">
        <v>0.0</v>
      </c>
      <c r="N4564" s="16">
        <v>0.0</v>
      </c>
      <c r="O4564" s="13" t="s">
        <v>58</v>
      </c>
      <c r="P4564" s="18">
        <f t="shared" si="1"/>
        <v>0</v>
      </c>
    </row>
    <row r="4565" ht="15.75" customHeight="1">
      <c r="A4565" s="19" t="s">
        <v>250</v>
      </c>
      <c r="B4565" s="19" t="s">
        <v>133</v>
      </c>
      <c r="C4565" s="20" t="s">
        <v>198</v>
      </c>
      <c r="D4565" s="14" t="str">
        <f>VLOOKUP(C4565,'State Key'!$A$2:$B$210,2,False)</f>
        <v>Chhattisgarh</v>
      </c>
      <c r="E4565" s="21">
        <v>2400.0</v>
      </c>
      <c r="F4565" s="22">
        <v>440.804</v>
      </c>
      <c r="G4565" s="22">
        <v>0.0</v>
      </c>
      <c r="H4565" s="22">
        <v>915.0</v>
      </c>
      <c r="I4565" s="22">
        <v>0.0</v>
      </c>
      <c r="J4565" s="22">
        <v>0.0</v>
      </c>
      <c r="K4565" s="22">
        <v>0.0</v>
      </c>
      <c r="L4565" s="22">
        <v>1355.804</v>
      </c>
      <c r="M4565" s="22">
        <v>1223.925</v>
      </c>
      <c r="N4565" s="22">
        <v>719.439</v>
      </c>
      <c r="O4565" s="24">
        <v>17.6</v>
      </c>
      <c r="P4565" s="18">
        <f t="shared" si="1"/>
        <v>1355.804</v>
      </c>
    </row>
    <row r="4566" ht="15.75" customHeight="1">
      <c r="A4566" s="13" t="s">
        <v>250</v>
      </c>
      <c r="B4566" s="13" t="s">
        <v>133</v>
      </c>
      <c r="C4566" s="14" t="s">
        <v>200</v>
      </c>
      <c r="D4566" s="14" t="str">
        <f>VLOOKUP(C4566,'State Key'!$A$2:$B$210,2,False)</f>
        <v>Maharashtra</v>
      </c>
      <c r="E4566" s="15">
        <v>750.0</v>
      </c>
      <c r="F4566" s="16">
        <v>0.0</v>
      </c>
      <c r="G4566" s="16">
        <v>0.0</v>
      </c>
      <c r="H4566" s="16">
        <v>0.0</v>
      </c>
      <c r="I4566" s="16">
        <v>0.0</v>
      </c>
      <c r="J4566" s="16">
        <v>122.125</v>
      </c>
      <c r="K4566" s="16">
        <v>0.0</v>
      </c>
      <c r="L4566" s="16">
        <v>122.125</v>
      </c>
      <c r="M4566" s="16">
        <v>208.199</v>
      </c>
      <c r="N4566" s="16">
        <v>155.33</v>
      </c>
      <c r="O4566" s="24">
        <v>22.4</v>
      </c>
      <c r="P4566" s="18">
        <f t="shared" si="1"/>
        <v>122.125</v>
      </c>
    </row>
    <row r="4567" ht="15.75" customHeight="1">
      <c r="A4567" s="19" t="s">
        <v>250</v>
      </c>
      <c r="B4567" s="19" t="s">
        <v>133</v>
      </c>
      <c r="C4567" s="20" t="s">
        <v>201</v>
      </c>
      <c r="D4567" s="14" t="str">
        <f>VLOOKUP(C4567,'State Key'!$A$2:$B$210,2,False)</f>
        <v>Chhattisgarh</v>
      </c>
      <c r="E4567" s="21">
        <v>1440.0</v>
      </c>
      <c r="F4567" s="22">
        <v>434.807</v>
      </c>
      <c r="G4567" s="22">
        <v>0.0</v>
      </c>
      <c r="H4567" s="22">
        <v>0.0</v>
      </c>
      <c r="I4567" s="22">
        <v>142.021</v>
      </c>
      <c r="J4567" s="22">
        <v>0.0</v>
      </c>
      <c r="K4567" s="22">
        <v>113.048</v>
      </c>
      <c r="L4567" s="22">
        <v>689.876</v>
      </c>
      <c r="M4567" s="22">
        <v>537.971</v>
      </c>
      <c r="N4567" s="22">
        <v>1161.4</v>
      </c>
      <c r="O4567" s="24">
        <v>64.8</v>
      </c>
      <c r="P4567" s="18">
        <f t="shared" si="1"/>
        <v>689.876</v>
      </c>
    </row>
    <row r="4568" ht="15.75" customHeight="1">
      <c r="A4568" s="13" t="s">
        <v>250</v>
      </c>
      <c r="B4568" s="13" t="s">
        <v>133</v>
      </c>
      <c r="C4568" s="14" t="s">
        <v>202</v>
      </c>
      <c r="D4568" s="14" t="str">
        <f>VLOOKUP(C4568,'State Key'!$A$2:$B$210,2,False)</f>
        <v>Gujarat</v>
      </c>
      <c r="E4568" s="15">
        <v>1110.0</v>
      </c>
      <c r="F4568" s="16">
        <v>403.7801</v>
      </c>
      <c r="G4568" s="16">
        <v>0.0</v>
      </c>
      <c r="H4568" s="16">
        <v>0.0</v>
      </c>
      <c r="I4568" s="16">
        <v>0.0</v>
      </c>
      <c r="J4568" s="16">
        <v>0.0</v>
      </c>
      <c r="K4568" s="16">
        <v>0.0</v>
      </c>
      <c r="L4568" s="16">
        <v>403.7801</v>
      </c>
      <c r="M4568" s="16">
        <v>448.556</v>
      </c>
      <c r="N4568" s="16">
        <v>179.61</v>
      </c>
      <c r="O4568" s="23">
        <v>12.0</v>
      </c>
      <c r="P4568" s="18">
        <f t="shared" si="1"/>
        <v>403.7801</v>
      </c>
    </row>
    <row r="4569" ht="15.75" customHeight="1">
      <c r="A4569" s="19" t="s">
        <v>250</v>
      </c>
      <c r="B4569" s="19" t="s">
        <v>133</v>
      </c>
      <c r="C4569" s="20" t="s">
        <v>203</v>
      </c>
      <c r="D4569" s="14" t="str">
        <f>VLOOKUP(C4569,'State Key'!$A$2:$B$210,2,False)</f>
        <v>Madhya Pradesh</v>
      </c>
      <c r="E4569" s="21">
        <v>4760.0</v>
      </c>
      <c r="F4569" s="22">
        <v>1752.96</v>
      </c>
      <c r="G4569" s="22">
        <v>0.0</v>
      </c>
      <c r="H4569" s="22">
        <v>0.0</v>
      </c>
      <c r="I4569" s="22">
        <v>0.0</v>
      </c>
      <c r="J4569" s="22">
        <v>0.0</v>
      </c>
      <c r="K4569" s="22">
        <v>0.0</v>
      </c>
      <c r="L4569" s="22">
        <v>1752.96</v>
      </c>
      <c r="M4569" s="22">
        <v>1989.684</v>
      </c>
      <c r="N4569" s="22">
        <v>1112.97</v>
      </c>
      <c r="O4569" s="24">
        <v>16.8</v>
      </c>
      <c r="P4569" s="18">
        <f t="shared" si="1"/>
        <v>1752.96</v>
      </c>
    </row>
    <row r="4570" ht="15.75" customHeight="1">
      <c r="A4570" s="13" t="s">
        <v>250</v>
      </c>
      <c r="B4570" s="13" t="s">
        <v>133</v>
      </c>
      <c r="C4570" s="14" t="s">
        <v>204</v>
      </c>
      <c r="D4570" s="14" t="str">
        <f>VLOOKUP(C4570,'State Key'!$A$2:$B$210,2,False)</f>
        <v>Gujarat</v>
      </c>
      <c r="E4570" s="15">
        <v>2270.0</v>
      </c>
      <c r="F4570" s="16">
        <v>629.67103</v>
      </c>
      <c r="G4570" s="16">
        <v>0.0</v>
      </c>
      <c r="H4570" s="16">
        <v>0.0</v>
      </c>
      <c r="I4570" s="16">
        <v>0.0</v>
      </c>
      <c r="J4570" s="16">
        <v>0.0</v>
      </c>
      <c r="K4570" s="16">
        <v>0.0</v>
      </c>
      <c r="L4570" s="16">
        <v>629.67103</v>
      </c>
      <c r="M4570" s="16">
        <v>732.451</v>
      </c>
      <c r="N4570" s="16">
        <v>466.12</v>
      </c>
      <c r="O4570" s="24">
        <v>19.1</v>
      </c>
      <c r="P4570" s="18">
        <f t="shared" si="1"/>
        <v>629.67103</v>
      </c>
    </row>
    <row r="4571" ht="15.75" customHeight="1">
      <c r="A4571" s="19" t="s">
        <v>250</v>
      </c>
      <c r="B4571" s="19" t="s">
        <v>133</v>
      </c>
      <c r="C4571" s="20" t="s">
        <v>205</v>
      </c>
      <c r="D4571" s="14" t="str">
        <f>VLOOKUP(C4571,'State Key'!$A$2:$B$210,2,False)</f>
        <v>Maharashtra</v>
      </c>
      <c r="E4571" s="21">
        <v>540.0</v>
      </c>
      <c r="F4571" s="22">
        <v>161.18</v>
      </c>
      <c r="G4571" s="22">
        <v>0.0</v>
      </c>
      <c r="H4571" s="22">
        <v>0.0</v>
      </c>
      <c r="I4571" s="22">
        <v>0.0</v>
      </c>
      <c r="J4571" s="22">
        <v>0.0</v>
      </c>
      <c r="K4571" s="22">
        <v>34.48</v>
      </c>
      <c r="L4571" s="22">
        <v>195.66</v>
      </c>
      <c r="M4571" s="22">
        <v>221.43</v>
      </c>
      <c r="N4571" s="22">
        <v>365.51</v>
      </c>
      <c r="O4571" s="24">
        <v>49.5</v>
      </c>
      <c r="P4571" s="18">
        <f t="shared" si="1"/>
        <v>195.66</v>
      </c>
    </row>
    <row r="4572" ht="15.75" customHeight="1">
      <c r="A4572" s="13" t="s">
        <v>251</v>
      </c>
      <c r="B4572" s="13" t="s">
        <v>22</v>
      </c>
      <c r="C4572" s="14" t="s">
        <v>23</v>
      </c>
      <c r="D4572" s="14" t="str">
        <f>VLOOKUP(C4572,'State Key'!$A$2:$B$210,2,False)</f>
        <v>West Bengal</v>
      </c>
      <c r="E4572" s="15">
        <v>1050.0</v>
      </c>
      <c r="F4572" s="16">
        <v>0.0</v>
      </c>
      <c r="G4572" s="16">
        <v>0.0</v>
      </c>
      <c r="H4572" s="16">
        <v>578.095</v>
      </c>
      <c r="I4572" s="16">
        <v>0.0</v>
      </c>
      <c r="J4572" s="16">
        <v>0.0</v>
      </c>
      <c r="K4572" s="16">
        <v>0.0</v>
      </c>
      <c r="L4572" s="16">
        <v>578.095</v>
      </c>
      <c r="M4572" s="16">
        <v>447.97</v>
      </c>
      <c r="N4572" s="16">
        <v>296.57</v>
      </c>
      <c r="O4572" s="24">
        <v>19.9</v>
      </c>
      <c r="P4572" s="18">
        <f t="shared" si="1"/>
        <v>578.095</v>
      </c>
    </row>
    <row r="4573" ht="15.75" customHeight="1">
      <c r="A4573" s="19" t="s">
        <v>251</v>
      </c>
      <c r="B4573" s="19" t="s">
        <v>22</v>
      </c>
      <c r="C4573" s="20" t="s">
        <v>24</v>
      </c>
      <c r="D4573" s="14" t="str">
        <f>VLOOKUP(C4573,'State Key'!$A$2:$B$210,2,False)</f>
        <v>West Bengal</v>
      </c>
      <c r="E4573" s="21">
        <v>270.0</v>
      </c>
      <c r="F4573" s="22">
        <v>0.0</v>
      </c>
      <c r="G4573" s="22">
        <v>0.0</v>
      </c>
      <c r="H4573" s="22">
        <v>46.249</v>
      </c>
      <c r="I4573" s="22">
        <v>0.0</v>
      </c>
      <c r="J4573" s="22">
        <v>0.0</v>
      </c>
      <c r="K4573" s="22">
        <v>0.0</v>
      </c>
      <c r="L4573" s="22">
        <v>46.249</v>
      </c>
      <c r="M4573" s="22">
        <v>117.638</v>
      </c>
      <c r="N4573" s="22">
        <v>78.6</v>
      </c>
      <c r="O4573" s="24">
        <v>20.0</v>
      </c>
      <c r="P4573" s="18">
        <f t="shared" si="1"/>
        <v>46.249</v>
      </c>
    </row>
    <row r="4574" ht="15.75" customHeight="1">
      <c r="A4574" s="13" t="s">
        <v>251</v>
      </c>
      <c r="B4574" s="13" t="s">
        <v>22</v>
      </c>
      <c r="C4574" s="14" t="s">
        <v>25</v>
      </c>
      <c r="D4574" s="14" t="str">
        <f>VLOOKUP(C4574,'State Key'!$A$2:$B$210,2,False)</f>
        <v>Bihar</v>
      </c>
      <c r="E4574" s="15">
        <v>500.0</v>
      </c>
      <c r="F4574" s="16">
        <v>0.0</v>
      </c>
      <c r="G4574" s="16">
        <v>0.0</v>
      </c>
      <c r="H4574" s="16">
        <v>132.68</v>
      </c>
      <c r="I4574" s="16">
        <v>0.0</v>
      </c>
      <c r="J4574" s="16">
        <v>0.0</v>
      </c>
      <c r="K4574" s="16">
        <v>48.62</v>
      </c>
      <c r="L4574" s="16">
        <v>181.3</v>
      </c>
      <c r="M4574" s="16">
        <v>184.042</v>
      </c>
      <c r="N4574" s="16">
        <v>252.683</v>
      </c>
      <c r="O4574" s="24">
        <v>41.2</v>
      </c>
      <c r="P4574" s="18">
        <f t="shared" si="1"/>
        <v>181.3</v>
      </c>
    </row>
    <row r="4575" ht="15.75" customHeight="1">
      <c r="A4575" s="19" t="s">
        <v>251</v>
      </c>
      <c r="B4575" s="19" t="s">
        <v>22</v>
      </c>
      <c r="C4575" s="20" t="s">
        <v>26</v>
      </c>
      <c r="D4575" s="14" t="str">
        <f>VLOOKUP(C4575,'State Key'!$A$2:$B$210,2,False)</f>
        <v>Bihar</v>
      </c>
      <c r="E4575" s="21">
        <v>2640.0</v>
      </c>
      <c r="F4575" s="22">
        <v>337.32</v>
      </c>
      <c r="G4575" s="22">
        <v>0.0</v>
      </c>
      <c r="H4575" s="22">
        <v>462.15</v>
      </c>
      <c r="I4575" s="22">
        <v>0.0</v>
      </c>
      <c r="J4575" s="22">
        <v>0.0</v>
      </c>
      <c r="K4575" s="22">
        <v>76.27</v>
      </c>
      <c r="L4575" s="22">
        <v>875.74</v>
      </c>
      <c r="M4575" s="22">
        <v>883.158</v>
      </c>
      <c r="N4575" s="22">
        <v>1178.734</v>
      </c>
      <c r="O4575" s="24">
        <v>40.0</v>
      </c>
      <c r="P4575" s="18">
        <f t="shared" si="1"/>
        <v>875.74</v>
      </c>
    </row>
    <row r="4576" ht="15.75" customHeight="1">
      <c r="A4576" s="13" t="s">
        <v>251</v>
      </c>
      <c r="B4576" s="13" t="s">
        <v>22</v>
      </c>
      <c r="C4576" s="14" t="s">
        <v>27</v>
      </c>
      <c r="D4576" s="14" t="str">
        <f>VLOOKUP(C4576,'State Key'!$A$2:$B$210,2,False)</f>
        <v>Jharkhand</v>
      </c>
      <c r="E4576" s="15">
        <v>500.0</v>
      </c>
      <c r="F4576" s="16">
        <v>0.0</v>
      </c>
      <c r="G4576" s="16">
        <v>0.0</v>
      </c>
      <c r="H4576" s="16">
        <v>3.984</v>
      </c>
      <c r="I4576" s="16">
        <v>0.0</v>
      </c>
      <c r="J4576" s="16">
        <v>0.0</v>
      </c>
      <c r="K4576" s="16">
        <v>0.0</v>
      </c>
      <c r="L4576" s="16">
        <v>3.984</v>
      </c>
      <c r="M4576" s="16">
        <v>47.456</v>
      </c>
      <c r="N4576" s="16">
        <v>179.08</v>
      </c>
      <c r="O4576" s="24">
        <v>113.2</v>
      </c>
      <c r="P4576" s="18">
        <f t="shared" si="1"/>
        <v>3.984</v>
      </c>
    </row>
    <row r="4577" ht="15.75" customHeight="1">
      <c r="A4577" s="19" t="s">
        <v>251</v>
      </c>
      <c r="B4577" s="19" t="s">
        <v>22</v>
      </c>
      <c r="C4577" s="20" t="s">
        <v>28</v>
      </c>
      <c r="D4577" s="14" t="str">
        <f>VLOOKUP(C4577,'State Key'!$A$2:$B$210,2,False)</f>
        <v>West Bengal</v>
      </c>
      <c r="E4577" s="21">
        <v>750.0</v>
      </c>
      <c r="F4577" s="22">
        <v>83.935</v>
      </c>
      <c r="G4577" s="22">
        <v>0.0</v>
      </c>
      <c r="H4577" s="22">
        <v>127.763</v>
      </c>
      <c r="I4577" s="22">
        <v>96.66</v>
      </c>
      <c r="J4577" s="22">
        <v>0.0</v>
      </c>
      <c r="K4577" s="22">
        <v>0.0</v>
      </c>
      <c r="L4577" s="22">
        <v>308.358</v>
      </c>
      <c r="M4577" s="22">
        <v>290.306</v>
      </c>
      <c r="N4577" s="22">
        <v>177.52</v>
      </c>
      <c r="O4577" s="24">
        <v>18.3</v>
      </c>
      <c r="P4577" s="18">
        <f t="shared" si="1"/>
        <v>308.358</v>
      </c>
    </row>
    <row r="4578" ht="15.75" customHeight="1">
      <c r="A4578" s="13" t="s">
        <v>251</v>
      </c>
      <c r="B4578" s="13" t="s">
        <v>22</v>
      </c>
      <c r="C4578" s="14" t="s">
        <v>29</v>
      </c>
      <c r="D4578" s="14" t="str">
        <f>VLOOKUP(C4578,'State Key'!$A$2:$B$210,2,False)</f>
        <v>Jharkhand</v>
      </c>
      <c r="E4578" s="15">
        <v>500.0</v>
      </c>
      <c r="F4578" s="16">
        <v>65.717</v>
      </c>
      <c r="G4578" s="16">
        <v>0.0</v>
      </c>
      <c r="H4578" s="16">
        <v>164.874</v>
      </c>
      <c r="I4578" s="16">
        <v>0.0</v>
      </c>
      <c r="J4578" s="16">
        <v>0.0</v>
      </c>
      <c r="K4578" s="16">
        <v>0.0</v>
      </c>
      <c r="L4578" s="16">
        <v>230.591</v>
      </c>
      <c r="M4578" s="16">
        <v>233.804</v>
      </c>
      <c r="N4578" s="16">
        <v>251.02</v>
      </c>
      <c r="O4578" s="24">
        <v>32.2</v>
      </c>
      <c r="P4578" s="18">
        <f t="shared" si="1"/>
        <v>230.591</v>
      </c>
    </row>
    <row r="4579" ht="15.75" customHeight="1">
      <c r="A4579" s="19" t="s">
        <v>251</v>
      </c>
      <c r="B4579" s="19" t="s">
        <v>22</v>
      </c>
      <c r="C4579" s="20" t="s">
        <v>30</v>
      </c>
      <c r="D4579" s="14" t="str">
        <f>VLOOKUP(C4579,'State Key'!$A$2:$B$210,2,False)</f>
        <v>West Bengal</v>
      </c>
      <c r="E4579" s="21">
        <v>550.0</v>
      </c>
      <c r="F4579" s="22">
        <v>143.232</v>
      </c>
      <c r="G4579" s="22">
        <v>0.0</v>
      </c>
      <c r="H4579" s="22">
        <v>75.579</v>
      </c>
      <c r="I4579" s="22">
        <v>0.0</v>
      </c>
      <c r="J4579" s="22">
        <v>0.0</v>
      </c>
      <c r="K4579" s="22">
        <v>0.0</v>
      </c>
      <c r="L4579" s="22">
        <v>218.811</v>
      </c>
      <c r="M4579" s="22">
        <v>196.604</v>
      </c>
      <c r="N4579" s="22">
        <v>114.28</v>
      </c>
      <c r="O4579" s="24">
        <v>17.4</v>
      </c>
      <c r="P4579" s="18">
        <f t="shared" si="1"/>
        <v>218.811</v>
      </c>
    </row>
    <row r="4580" ht="15.75" customHeight="1">
      <c r="A4580" s="13" t="s">
        <v>251</v>
      </c>
      <c r="B4580" s="13" t="s">
        <v>22</v>
      </c>
      <c r="C4580" s="14" t="s">
        <v>31</v>
      </c>
      <c r="D4580" s="14" t="str">
        <f>VLOOKUP(C4580,'State Key'!$A$2:$B$210,2,False)</f>
        <v>Odisha</v>
      </c>
      <c r="E4580" s="15">
        <v>1600.0</v>
      </c>
      <c r="F4580" s="16">
        <v>0.0</v>
      </c>
      <c r="G4580" s="16">
        <v>0.0</v>
      </c>
      <c r="H4580" s="16">
        <v>724.27</v>
      </c>
      <c r="I4580" s="16">
        <v>0.0</v>
      </c>
      <c r="J4580" s="16">
        <v>0.0</v>
      </c>
      <c r="K4580" s="16">
        <v>0.0</v>
      </c>
      <c r="L4580" s="16">
        <v>724.27</v>
      </c>
      <c r="M4580" s="16">
        <v>712.634</v>
      </c>
      <c r="N4580" s="16">
        <v>367.995</v>
      </c>
      <c r="O4580" s="24">
        <v>15.5</v>
      </c>
      <c r="P4580" s="18">
        <f t="shared" si="1"/>
        <v>724.27</v>
      </c>
    </row>
    <row r="4581" ht="15.75" customHeight="1">
      <c r="A4581" s="19" t="s">
        <v>251</v>
      </c>
      <c r="B4581" s="19" t="s">
        <v>22</v>
      </c>
      <c r="C4581" s="20" t="s">
        <v>32</v>
      </c>
      <c r="D4581" s="14" t="str">
        <f>VLOOKUP(C4581,'State Key'!$A$2:$B$210,2,False)</f>
        <v>Odisha</v>
      </c>
      <c r="E4581" s="21">
        <v>1200.0</v>
      </c>
      <c r="F4581" s="22">
        <v>398.634</v>
      </c>
      <c r="G4581" s="22">
        <v>0.0</v>
      </c>
      <c r="H4581" s="22">
        <v>0.0</v>
      </c>
      <c r="I4581" s="22">
        <v>198.13</v>
      </c>
      <c r="J4581" s="22">
        <v>0.0</v>
      </c>
      <c r="K4581" s="22">
        <v>0.0</v>
      </c>
      <c r="L4581" s="22">
        <v>596.764</v>
      </c>
      <c r="M4581" s="22">
        <v>617.627</v>
      </c>
      <c r="N4581" s="22">
        <v>1015.81</v>
      </c>
      <c r="O4581" s="24">
        <v>49.3</v>
      </c>
      <c r="P4581" s="18">
        <f t="shared" si="1"/>
        <v>596.764</v>
      </c>
    </row>
    <row r="4582" ht="15.75" customHeight="1">
      <c r="A4582" s="13" t="s">
        <v>251</v>
      </c>
      <c r="B4582" s="13" t="s">
        <v>22</v>
      </c>
      <c r="C4582" s="14" t="s">
        <v>34</v>
      </c>
      <c r="D4582" s="14" t="str">
        <f>VLOOKUP(C4582,'State Key'!$A$2:$B$210,2,False)</f>
        <v>West Bengal</v>
      </c>
      <c r="E4582" s="15">
        <v>1000.0</v>
      </c>
      <c r="F4582" s="16">
        <v>418.898</v>
      </c>
      <c r="G4582" s="16">
        <v>0.0</v>
      </c>
      <c r="H4582" s="16">
        <v>0.0</v>
      </c>
      <c r="I4582" s="16">
        <v>0.0</v>
      </c>
      <c r="J4582" s="16">
        <v>0.0</v>
      </c>
      <c r="K4582" s="16">
        <v>0.0</v>
      </c>
      <c r="L4582" s="16">
        <v>418.898</v>
      </c>
      <c r="M4582" s="16">
        <v>362.064</v>
      </c>
      <c r="N4582" s="16">
        <v>454.82</v>
      </c>
      <c r="O4582" s="24">
        <v>37.7</v>
      </c>
      <c r="P4582" s="18">
        <f t="shared" si="1"/>
        <v>418.898</v>
      </c>
    </row>
    <row r="4583" ht="15.75" customHeight="1">
      <c r="A4583" s="19" t="s">
        <v>251</v>
      </c>
      <c r="B4583" s="19" t="s">
        <v>22</v>
      </c>
      <c r="C4583" s="20" t="s">
        <v>35</v>
      </c>
      <c r="D4583" s="14" t="str">
        <f>VLOOKUP(C4583,'State Key'!$A$2:$B$210,2,False)</f>
        <v>West Bengal</v>
      </c>
      <c r="E4583" s="21">
        <v>2100.0</v>
      </c>
      <c r="F4583" s="22">
        <v>705.49</v>
      </c>
      <c r="G4583" s="22">
        <v>0.0</v>
      </c>
      <c r="H4583" s="22">
        <v>84.52</v>
      </c>
      <c r="I4583" s="22">
        <v>0.0</v>
      </c>
      <c r="J4583" s="22">
        <v>0.0</v>
      </c>
      <c r="K4583" s="22">
        <v>0.0</v>
      </c>
      <c r="L4583" s="22">
        <v>790.01</v>
      </c>
      <c r="M4583" s="22">
        <v>764.077</v>
      </c>
      <c r="N4583" s="22">
        <v>769.925</v>
      </c>
      <c r="O4583" s="24">
        <v>30.2</v>
      </c>
      <c r="P4583" s="18">
        <f t="shared" si="1"/>
        <v>790.01</v>
      </c>
    </row>
    <row r="4584" ht="15.75" customHeight="1">
      <c r="A4584" s="13" t="s">
        <v>251</v>
      </c>
      <c r="B4584" s="13" t="s">
        <v>22</v>
      </c>
      <c r="C4584" s="14" t="s">
        <v>36</v>
      </c>
      <c r="D4584" s="14" t="str">
        <f>VLOOKUP(C4584,'State Key'!$A$2:$B$210,2,False)</f>
        <v>West Bengal</v>
      </c>
      <c r="E4584" s="15">
        <v>600.0</v>
      </c>
      <c r="F4584" s="16">
        <v>279.699</v>
      </c>
      <c r="G4584" s="16">
        <v>0.0</v>
      </c>
      <c r="H4584" s="16">
        <v>0.0</v>
      </c>
      <c r="I4584" s="16">
        <v>0.0</v>
      </c>
      <c r="J4584" s="16">
        <v>0.0</v>
      </c>
      <c r="K4584" s="16">
        <v>0.0</v>
      </c>
      <c r="L4584" s="16">
        <v>279.699</v>
      </c>
      <c r="M4584" s="16">
        <v>283.41</v>
      </c>
      <c r="N4584" s="16">
        <v>134.74</v>
      </c>
      <c r="O4584" s="24">
        <v>14.3</v>
      </c>
      <c r="P4584" s="18">
        <f t="shared" si="1"/>
        <v>279.699</v>
      </c>
    </row>
    <row r="4585" ht="15.75" customHeight="1">
      <c r="A4585" s="19" t="s">
        <v>251</v>
      </c>
      <c r="B4585" s="19" t="s">
        <v>22</v>
      </c>
      <c r="C4585" s="20" t="s">
        <v>37</v>
      </c>
      <c r="D4585" s="14" t="str">
        <f>VLOOKUP(C4585,'State Key'!$A$2:$B$210,2,False)</f>
        <v>West Bengal</v>
      </c>
      <c r="E4585" s="21">
        <v>300.0</v>
      </c>
      <c r="F4585" s="22">
        <v>108.691</v>
      </c>
      <c r="G4585" s="22">
        <v>0.0</v>
      </c>
      <c r="H4585" s="22">
        <v>0.0</v>
      </c>
      <c r="I4585" s="22">
        <v>0.0</v>
      </c>
      <c r="J4585" s="22">
        <v>0.0</v>
      </c>
      <c r="K4585" s="22">
        <v>0.0</v>
      </c>
      <c r="L4585" s="22">
        <v>108.691</v>
      </c>
      <c r="M4585" s="22">
        <v>77.391</v>
      </c>
      <c r="N4585" s="22">
        <v>145.7</v>
      </c>
      <c r="O4585" s="24">
        <v>56.5</v>
      </c>
      <c r="P4585" s="18">
        <f t="shared" si="1"/>
        <v>108.691</v>
      </c>
    </row>
    <row r="4586" ht="15.75" customHeight="1">
      <c r="A4586" s="13" t="s">
        <v>251</v>
      </c>
      <c r="B4586" s="13" t="s">
        <v>22</v>
      </c>
      <c r="C4586" s="14" t="s">
        <v>38</v>
      </c>
      <c r="D4586" s="14" t="str">
        <f>VLOOKUP(C4586,'State Key'!$A$2:$B$210,2,False)</f>
        <v>Odisha</v>
      </c>
      <c r="E4586" s="15">
        <v>1740.0</v>
      </c>
      <c r="F4586" s="16">
        <v>96.6914</v>
      </c>
      <c r="G4586" s="16">
        <v>0.0</v>
      </c>
      <c r="H4586" s="16">
        <v>687.631</v>
      </c>
      <c r="I4586" s="16">
        <v>0.0</v>
      </c>
      <c r="J4586" s="16">
        <v>0.0</v>
      </c>
      <c r="K4586" s="16">
        <v>0.0</v>
      </c>
      <c r="L4586" s="16">
        <v>784.3224</v>
      </c>
      <c r="M4586" s="16">
        <v>732.203</v>
      </c>
      <c r="N4586" s="16">
        <v>317.39</v>
      </c>
      <c r="O4586" s="23">
        <v>13.0</v>
      </c>
      <c r="P4586" s="18">
        <f t="shared" si="1"/>
        <v>784.3224</v>
      </c>
    </row>
    <row r="4587" ht="15.75" customHeight="1">
      <c r="A4587" s="19" t="s">
        <v>251</v>
      </c>
      <c r="B4587" s="19" t="s">
        <v>22</v>
      </c>
      <c r="C4587" s="20" t="s">
        <v>39</v>
      </c>
      <c r="D4587" s="14" t="str">
        <f>VLOOKUP(C4587,'State Key'!$A$2:$B$210,2,False)</f>
        <v>Jharkhand</v>
      </c>
      <c r="E4587" s="21">
        <v>240.0</v>
      </c>
      <c r="F4587" s="22">
        <v>74.793</v>
      </c>
      <c r="G4587" s="22">
        <v>0.0</v>
      </c>
      <c r="H4587" s="22">
        <v>0.0</v>
      </c>
      <c r="I4587" s="22">
        <v>0.0</v>
      </c>
      <c r="J4587" s="22">
        <v>0.0</v>
      </c>
      <c r="K4587" s="22">
        <v>0.0</v>
      </c>
      <c r="L4587" s="22">
        <v>74.793</v>
      </c>
      <c r="M4587" s="22">
        <v>89.825</v>
      </c>
      <c r="N4587" s="22">
        <v>184.74</v>
      </c>
      <c r="O4587" s="24">
        <v>61.7</v>
      </c>
      <c r="P4587" s="18">
        <f t="shared" si="1"/>
        <v>74.793</v>
      </c>
    </row>
    <row r="4588" ht="15.75" customHeight="1">
      <c r="A4588" s="13" t="s">
        <v>251</v>
      </c>
      <c r="B4588" s="13" t="s">
        <v>22</v>
      </c>
      <c r="C4588" s="14" t="s">
        <v>245</v>
      </c>
      <c r="D4588" s="14" t="str">
        <f>VLOOKUP(C4588,'State Key'!$A$2:$B$210,2,False)</f>
        <v>Odisha</v>
      </c>
      <c r="E4588" s="15">
        <v>700.0</v>
      </c>
      <c r="F4588" s="16">
        <v>180.42</v>
      </c>
      <c r="G4588" s="16">
        <v>0.0</v>
      </c>
      <c r="H4588" s="16">
        <v>0.0</v>
      </c>
      <c r="I4588" s="16">
        <v>0.0</v>
      </c>
      <c r="J4588" s="16">
        <v>0.0</v>
      </c>
      <c r="K4588" s="16">
        <v>0.0</v>
      </c>
      <c r="L4588" s="16">
        <v>180.42</v>
      </c>
      <c r="M4588" s="16">
        <v>246.262</v>
      </c>
      <c r="N4588" s="16">
        <v>82.03</v>
      </c>
      <c r="O4588" s="23">
        <v>10.0</v>
      </c>
      <c r="P4588" s="18">
        <f t="shared" si="1"/>
        <v>180.42</v>
      </c>
    </row>
    <row r="4589" ht="15.75" customHeight="1">
      <c r="A4589" s="19" t="s">
        <v>251</v>
      </c>
      <c r="B4589" s="19" t="s">
        <v>22</v>
      </c>
      <c r="C4589" s="20" t="s">
        <v>40</v>
      </c>
      <c r="D4589" s="14" t="str">
        <f>VLOOKUP(C4589,'State Key'!$A$2:$B$210,2,False)</f>
        <v>Bihar</v>
      </c>
      <c r="E4589" s="21">
        <v>2340.0</v>
      </c>
      <c r="F4589" s="22">
        <v>1131.48</v>
      </c>
      <c r="G4589" s="22">
        <v>0.0</v>
      </c>
      <c r="H4589" s="22">
        <v>15.14</v>
      </c>
      <c r="I4589" s="22">
        <v>0.0</v>
      </c>
      <c r="J4589" s="22">
        <v>0.0</v>
      </c>
      <c r="K4589" s="22">
        <v>0.0</v>
      </c>
      <c r="L4589" s="22">
        <v>1146.62</v>
      </c>
      <c r="M4589" s="22">
        <v>1165.939</v>
      </c>
      <c r="N4589" s="22">
        <v>760.178</v>
      </c>
      <c r="O4589" s="24">
        <v>19.6</v>
      </c>
      <c r="P4589" s="18">
        <f t="shared" si="1"/>
        <v>1146.62</v>
      </c>
    </row>
    <row r="4590" ht="15.75" customHeight="1">
      <c r="A4590" s="13" t="s">
        <v>251</v>
      </c>
      <c r="B4590" s="13" t="s">
        <v>22</v>
      </c>
      <c r="C4590" s="14" t="s">
        <v>41</v>
      </c>
      <c r="D4590" s="14" t="str">
        <f>VLOOKUP(C4590,'State Key'!$A$2:$B$210,2,False)</f>
        <v>Odisha</v>
      </c>
      <c r="E4590" s="15">
        <v>1050.0</v>
      </c>
      <c r="F4590" s="16">
        <v>392.176</v>
      </c>
      <c r="G4590" s="16">
        <v>0.0</v>
      </c>
      <c r="H4590" s="16">
        <v>0.0</v>
      </c>
      <c r="I4590" s="16">
        <v>174.688</v>
      </c>
      <c r="J4590" s="16">
        <v>0.0</v>
      </c>
      <c r="K4590" s="16">
        <v>0.0</v>
      </c>
      <c r="L4590" s="16">
        <v>566.864</v>
      </c>
      <c r="M4590" s="16">
        <v>503.642</v>
      </c>
      <c r="N4590" s="16">
        <v>320.91</v>
      </c>
      <c r="O4590" s="24">
        <v>19.1</v>
      </c>
      <c r="P4590" s="18">
        <f t="shared" si="1"/>
        <v>566.864</v>
      </c>
    </row>
    <row r="4591" ht="15.75" customHeight="1">
      <c r="A4591" s="19" t="s">
        <v>251</v>
      </c>
      <c r="B4591" s="19" t="s">
        <v>22</v>
      </c>
      <c r="C4591" s="20" t="s">
        <v>42</v>
      </c>
      <c r="D4591" s="14" t="str">
        <f>VLOOKUP(C4591,'State Key'!$A$2:$B$210,2,False)</f>
        <v>Jharkhand</v>
      </c>
      <c r="E4591" s="21">
        <v>1000.0</v>
      </c>
      <c r="F4591" s="22">
        <v>313.879</v>
      </c>
      <c r="G4591" s="22">
        <v>0.0</v>
      </c>
      <c r="H4591" s="22">
        <v>154.507</v>
      </c>
      <c r="I4591" s="22">
        <v>0.0</v>
      </c>
      <c r="J4591" s="22">
        <v>0.0</v>
      </c>
      <c r="K4591" s="22">
        <v>0.0</v>
      </c>
      <c r="L4591" s="22">
        <v>468.386</v>
      </c>
      <c r="M4591" s="22">
        <v>408.564</v>
      </c>
      <c r="N4591" s="22">
        <v>489.32</v>
      </c>
      <c r="O4591" s="24">
        <v>35.9</v>
      </c>
      <c r="P4591" s="18">
        <f t="shared" si="1"/>
        <v>468.386</v>
      </c>
    </row>
    <row r="4592" ht="15.75" customHeight="1">
      <c r="A4592" s="13" t="s">
        <v>251</v>
      </c>
      <c r="B4592" s="13" t="s">
        <v>22</v>
      </c>
      <c r="C4592" s="14" t="s">
        <v>43</v>
      </c>
      <c r="D4592" s="14" t="str">
        <f>VLOOKUP(C4592,'State Key'!$A$2:$B$210,2,False)</f>
        <v>West Bengal</v>
      </c>
      <c r="E4592" s="15">
        <v>840.0</v>
      </c>
      <c r="F4592" s="16">
        <v>0.0</v>
      </c>
      <c r="G4592" s="16">
        <v>0.0</v>
      </c>
      <c r="H4592" s="16">
        <v>366.301</v>
      </c>
      <c r="I4592" s="16">
        <v>0.0</v>
      </c>
      <c r="J4592" s="16">
        <v>0.0</v>
      </c>
      <c r="K4592" s="16">
        <v>0.0</v>
      </c>
      <c r="L4592" s="16">
        <v>366.301</v>
      </c>
      <c r="M4592" s="16">
        <v>347.29</v>
      </c>
      <c r="N4592" s="16">
        <v>178.2</v>
      </c>
      <c r="O4592" s="24">
        <v>15.4</v>
      </c>
      <c r="P4592" s="18">
        <f t="shared" si="1"/>
        <v>366.301</v>
      </c>
    </row>
    <row r="4593" ht="15.75" customHeight="1">
      <c r="A4593" s="19" t="s">
        <v>251</v>
      </c>
      <c r="B4593" s="19" t="s">
        <v>22</v>
      </c>
      <c r="C4593" s="20" t="s">
        <v>44</v>
      </c>
      <c r="D4593" s="14" t="str">
        <f>VLOOKUP(C4593,'State Key'!$A$2:$B$210,2,False)</f>
        <v>Jharkhand</v>
      </c>
      <c r="E4593" s="21">
        <v>540.0</v>
      </c>
      <c r="F4593" s="22">
        <v>146.097</v>
      </c>
      <c r="G4593" s="22">
        <v>0.0</v>
      </c>
      <c r="H4593" s="22">
        <v>0.0</v>
      </c>
      <c r="I4593" s="22">
        <v>0.0</v>
      </c>
      <c r="J4593" s="22">
        <v>0.0</v>
      </c>
      <c r="K4593" s="22">
        <v>45.715</v>
      </c>
      <c r="L4593" s="22">
        <v>191.812</v>
      </c>
      <c r="M4593" s="22">
        <v>199.924</v>
      </c>
      <c r="N4593" s="22">
        <v>73.75</v>
      </c>
      <c r="O4593" s="23">
        <v>11.1</v>
      </c>
      <c r="P4593" s="18">
        <f t="shared" si="1"/>
        <v>191.812</v>
      </c>
    </row>
    <row r="4594" ht="15.75" customHeight="1">
      <c r="A4594" s="13" t="s">
        <v>251</v>
      </c>
      <c r="B4594" s="13" t="s">
        <v>22</v>
      </c>
      <c r="C4594" s="14" t="s">
        <v>45</v>
      </c>
      <c r="D4594" s="14" t="str">
        <f>VLOOKUP(C4594,'State Key'!$A$2:$B$210,2,False)</f>
        <v>Jharkhand</v>
      </c>
      <c r="E4594" s="15">
        <v>1050.0</v>
      </c>
      <c r="F4594" s="16">
        <v>413.815</v>
      </c>
      <c r="G4594" s="16">
        <v>0.0</v>
      </c>
      <c r="H4594" s="16">
        <v>0.0</v>
      </c>
      <c r="I4594" s="16">
        <v>0.0</v>
      </c>
      <c r="J4594" s="16">
        <v>0.0</v>
      </c>
      <c r="K4594" s="16">
        <v>0.0</v>
      </c>
      <c r="L4594" s="16">
        <v>413.815</v>
      </c>
      <c r="M4594" s="16">
        <v>364.665</v>
      </c>
      <c r="N4594" s="16">
        <v>622.73</v>
      </c>
      <c r="O4594" s="24">
        <v>51.2</v>
      </c>
      <c r="P4594" s="18">
        <f t="shared" si="1"/>
        <v>413.815</v>
      </c>
    </row>
    <row r="4595" ht="15.75" customHeight="1">
      <c r="A4595" s="19" t="s">
        <v>251</v>
      </c>
      <c r="B4595" s="19" t="s">
        <v>22</v>
      </c>
      <c r="C4595" s="20" t="s">
        <v>46</v>
      </c>
      <c r="D4595" s="14" t="str">
        <f>VLOOKUP(C4595,'State Key'!$A$2:$B$210,2,False)</f>
        <v>West Bengal</v>
      </c>
      <c r="E4595" s="21">
        <v>2340.0</v>
      </c>
      <c r="F4595" s="22">
        <v>669.816</v>
      </c>
      <c r="G4595" s="22">
        <v>0.0</v>
      </c>
      <c r="H4595" s="22">
        <v>113.429</v>
      </c>
      <c r="I4595" s="22">
        <v>0.0</v>
      </c>
      <c r="J4595" s="22">
        <v>0.0</v>
      </c>
      <c r="K4595" s="22">
        <v>12.843</v>
      </c>
      <c r="L4595" s="22">
        <v>796.088</v>
      </c>
      <c r="M4595" s="22">
        <v>842.161</v>
      </c>
      <c r="N4595" s="22">
        <v>419.87</v>
      </c>
      <c r="O4595" s="24">
        <v>15.0</v>
      </c>
      <c r="P4595" s="18">
        <f t="shared" si="1"/>
        <v>796.088</v>
      </c>
    </row>
    <row r="4596" ht="15.75" customHeight="1">
      <c r="A4596" s="13" t="s">
        <v>251</v>
      </c>
      <c r="B4596" s="13" t="s">
        <v>22</v>
      </c>
      <c r="C4596" s="14" t="s">
        <v>47</v>
      </c>
      <c r="D4596" s="14" t="str">
        <f>VLOOKUP(C4596,'State Key'!$A$2:$B$210,2,False)</f>
        <v>Bihar</v>
      </c>
      <c r="E4596" s="15">
        <v>390.0</v>
      </c>
      <c r="F4596" s="16">
        <v>12.088</v>
      </c>
      <c r="G4596" s="16">
        <v>0.0</v>
      </c>
      <c r="H4596" s="16">
        <v>121.505</v>
      </c>
      <c r="I4596" s="16">
        <v>61.646</v>
      </c>
      <c r="J4596" s="16">
        <v>0.0</v>
      </c>
      <c r="K4596" s="16">
        <v>0.0</v>
      </c>
      <c r="L4596" s="16">
        <v>195.239</v>
      </c>
      <c r="M4596" s="16">
        <v>154.997</v>
      </c>
      <c r="N4596" s="16">
        <v>163.44</v>
      </c>
      <c r="O4596" s="24">
        <v>31.6</v>
      </c>
      <c r="P4596" s="18">
        <f t="shared" si="1"/>
        <v>195.239</v>
      </c>
    </row>
    <row r="4597" ht="15.75" customHeight="1">
      <c r="A4597" s="19" t="s">
        <v>251</v>
      </c>
      <c r="B4597" s="19" t="s">
        <v>22</v>
      </c>
      <c r="C4597" s="20" t="s">
        <v>241</v>
      </c>
      <c r="D4597" s="14" t="str">
        <f>VLOOKUP(C4597,'State Key'!$A$2:$B$210,2,False)</f>
        <v>Odisha</v>
      </c>
      <c r="E4597" s="21">
        <v>60.0</v>
      </c>
      <c r="F4597" s="22">
        <v>0.0</v>
      </c>
      <c r="G4597" s="22">
        <v>0.0</v>
      </c>
      <c r="H4597" s="22">
        <v>0.0</v>
      </c>
      <c r="I4597" s="22">
        <v>19.456</v>
      </c>
      <c r="J4597" s="22">
        <v>0.0</v>
      </c>
      <c r="K4597" s="22">
        <v>7.296</v>
      </c>
      <c r="L4597" s="22">
        <v>26.752</v>
      </c>
      <c r="M4597" s="22">
        <v>25.073</v>
      </c>
      <c r="N4597" s="22">
        <v>6.17</v>
      </c>
      <c r="O4597" s="23">
        <v>7.4</v>
      </c>
      <c r="P4597" s="18">
        <f t="shared" si="1"/>
        <v>26.752</v>
      </c>
    </row>
    <row r="4598" ht="15.75" customHeight="1">
      <c r="A4598" s="13" t="s">
        <v>251</v>
      </c>
      <c r="B4598" s="13" t="s">
        <v>22</v>
      </c>
      <c r="C4598" s="14" t="s">
        <v>48</v>
      </c>
      <c r="D4598" s="14" t="str">
        <f>VLOOKUP(C4598,'State Key'!$A$2:$B$210,2,False)</f>
        <v>Bihar</v>
      </c>
      <c r="E4598" s="15">
        <v>1980.0</v>
      </c>
      <c r="F4598" s="16">
        <v>451.04</v>
      </c>
      <c r="G4598" s="16">
        <v>0.0</v>
      </c>
      <c r="H4598" s="16">
        <v>83.051</v>
      </c>
      <c r="I4598" s="16">
        <v>110.057</v>
      </c>
      <c r="J4598" s="16">
        <v>0.0</v>
      </c>
      <c r="K4598" s="16">
        <v>0.0</v>
      </c>
      <c r="L4598" s="16">
        <v>644.148</v>
      </c>
      <c r="M4598" s="16">
        <v>698.174</v>
      </c>
      <c r="N4598" s="16">
        <v>933.12</v>
      </c>
      <c r="O4598" s="24">
        <v>40.1</v>
      </c>
      <c r="P4598" s="18">
        <f t="shared" si="1"/>
        <v>644.148</v>
      </c>
    </row>
    <row r="4599" ht="15.75" customHeight="1">
      <c r="A4599" s="19" t="s">
        <v>251</v>
      </c>
      <c r="B4599" s="19" t="s">
        <v>22</v>
      </c>
      <c r="C4599" s="20" t="s">
        <v>49</v>
      </c>
      <c r="D4599" s="14" t="str">
        <f>VLOOKUP(C4599,'State Key'!$A$2:$B$210,2,False)</f>
        <v>Bihar</v>
      </c>
      <c r="E4599" s="21">
        <v>1000.0</v>
      </c>
      <c r="F4599" s="22">
        <v>401.1112</v>
      </c>
      <c r="G4599" s="22">
        <v>0.0</v>
      </c>
      <c r="H4599" s="22">
        <v>0.0</v>
      </c>
      <c r="I4599" s="22">
        <v>0.0</v>
      </c>
      <c r="J4599" s="22">
        <v>0.0</v>
      </c>
      <c r="K4599" s="22">
        <v>0.0</v>
      </c>
      <c r="L4599" s="22">
        <v>401.1112</v>
      </c>
      <c r="M4599" s="22">
        <v>393.955</v>
      </c>
      <c r="N4599" s="22">
        <v>348.55</v>
      </c>
      <c r="O4599" s="24">
        <v>26.5</v>
      </c>
      <c r="P4599" s="18">
        <f t="shared" si="1"/>
        <v>401.1112</v>
      </c>
    </row>
    <row r="4600" ht="15.75" customHeight="1">
      <c r="A4600" s="13" t="s">
        <v>251</v>
      </c>
      <c r="B4600" s="13" t="s">
        <v>22</v>
      </c>
      <c r="C4600" s="14" t="s">
        <v>50</v>
      </c>
      <c r="D4600" s="14" t="str">
        <f>VLOOKUP(C4600,'State Key'!$A$2:$B$210,2,False)</f>
        <v>Jharkhand</v>
      </c>
      <c r="E4600" s="15">
        <v>1980.0</v>
      </c>
      <c r="F4600" s="16">
        <v>360.26</v>
      </c>
      <c r="G4600" s="16">
        <v>0.0</v>
      </c>
      <c r="H4600" s="16">
        <v>267.31</v>
      </c>
      <c r="I4600" s="16">
        <v>0.0</v>
      </c>
      <c r="J4600" s="16">
        <v>0.0</v>
      </c>
      <c r="K4600" s="16">
        <v>0.0</v>
      </c>
      <c r="L4600" s="16">
        <v>627.57</v>
      </c>
      <c r="M4600" s="16">
        <v>606.862</v>
      </c>
      <c r="N4600" s="16">
        <v>557.54</v>
      </c>
      <c r="O4600" s="24">
        <v>27.6</v>
      </c>
      <c r="P4600" s="18">
        <f t="shared" si="1"/>
        <v>627.57</v>
      </c>
    </row>
    <row r="4601" ht="15.75" customHeight="1">
      <c r="A4601" s="19" t="s">
        <v>251</v>
      </c>
      <c r="B4601" s="19" t="s">
        <v>22</v>
      </c>
      <c r="C4601" s="20" t="s">
        <v>51</v>
      </c>
      <c r="D4601" s="14" t="str">
        <f>VLOOKUP(C4601,'State Key'!$A$2:$B$210,2,False)</f>
        <v>West Bengal</v>
      </c>
      <c r="E4601" s="21">
        <v>1200.0</v>
      </c>
      <c r="F4601" s="22">
        <v>377.104</v>
      </c>
      <c r="G4601" s="22">
        <v>0.0</v>
      </c>
      <c r="H4601" s="22">
        <v>60.824</v>
      </c>
      <c r="I4601" s="22">
        <v>0.0</v>
      </c>
      <c r="J4601" s="22">
        <v>0.0</v>
      </c>
      <c r="K4601" s="22">
        <v>0.0</v>
      </c>
      <c r="L4601" s="22">
        <v>437.928</v>
      </c>
      <c r="M4601" s="22">
        <v>363.327</v>
      </c>
      <c r="N4601" s="22">
        <v>384.17</v>
      </c>
      <c r="O4601" s="24">
        <v>31.7</v>
      </c>
      <c r="P4601" s="18">
        <f t="shared" si="1"/>
        <v>437.928</v>
      </c>
    </row>
    <row r="4602" ht="15.75" customHeight="1">
      <c r="A4602" s="13" t="s">
        <v>251</v>
      </c>
      <c r="B4602" s="13" t="s">
        <v>22</v>
      </c>
      <c r="C4602" s="14" t="s">
        <v>52</v>
      </c>
      <c r="D4602" s="14" t="str">
        <f>VLOOKUP(C4602,'State Key'!$A$2:$B$210,2,False)</f>
        <v>West Bengal</v>
      </c>
      <c r="E4602" s="15">
        <v>1600.0</v>
      </c>
      <c r="F4602" s="16">
        <v>0.0</v>
      </c>
      <c r="G4602" s="16">
        <v>0.0</v>
      </c>
      <c r="H4602" s="16">
        <v>708.253</v>
      </c>
      <c r="I4602" s="16">
        <v>0.0</v>
      </c>
      <c r="J4602" s="16">
        <v>0.0</v>
      </c>
      <c r="K4602" s="16">
        <v>0.0</v>
      </c>
      <c r="L4602" s="16">
        <v>708.253</v>
      </c>
      <c r="M4602" s="16">
        <v>695.203</v>
      </c>
      <c r="N4602" s="16">
        <v>515.61</v>
      </c>
      <c r="O4602" s="24">
        <v>22.3</v>
      </c>
      <c r="P4602" s="18">
        <f t="shared" si="1"/>
        <v>708.253</v>
      </c>
    </row>
    <row r="4603" ht="15.75" customHeight="1">
      <c r="A4603" s="19" t="s">
        <v>251</v>
      </c>
      <c r="B4603" s="19" t="s">
        <v>22</v>
      </c>
      <c r="C4603" s="20" t="s">
        <v>53</v>
      </c>
      <c r="D4603" s="14" t="str">
        <f>VLOOKUP(C4603,'State Key'!$A$2:$B$210,2,False)</f>
        <v>West Bengal</v>
      </c>
      <c r="E4603" s="21">
        <v>500.0</v>
      </c>
      <c r="F4603" s="22">
        <v>0.0</v>
      </c>
      <c r="G4603" s="22">
        <v>0.0</v>
      </c>
      <c r="H4603" s="22">
        <v>245.303</v>
      </c>
      <c r="I4603" s="22">
        <v>0.0</v>
      </c>
      <c r="J4603" s="22">
        <v>0.0</v>
      </c>
      <c r="K4603" s="22">
        <v>0.0</v>
      </c>
      <c r="L4603" s="22">
        <v>245.303</v>
      </c>
      <c r="M4603" s="22">
        <v>215.744</v>
      </c>
      <c r="N4603" s="22">
        <v>110.123</v>
      </c>
      <c r="O4603" s="24">
        <v>15.3</v>
      </c>
      <c r="P4603" s="18">
        <f t="shared" si="1"/>
        <v>245.303</v>
      </c>
    </row>
    <row r="4604" ht="15.75" customHeight="1">
      <c r="A4604" s="13" t="s">
        <v>251</v>
      </c>
      <c r="B4604" s="13" t="s">
        <v>22</v>
      </c>
      <c r="C4604" s="14" t="s">
        <v>54</v>
      </c>
      <c r="D4604" s="14" t="str">
        <f>VLOOKUP(C4604,'State Key'!$A$2:$B$210,2,False)</f>
        <v>West Bengal</v>
      </c>
      <c r="E4604" s="15">
        <v>135.0</v>
      </c>
      <c r="F4604" s="16">
        <v>3.912</v>
      </c>
      <c r="G4604" s="16">
        <v>0.0</v>
      </c>
      <c r="H4604" s="16">
        <v>0.0</v>
      </c>
      <c r="I4604" s="16">
        <v>0.0</v>
      </c>
      <c r="J4604" s="16">
        <v>0.0</v>
      </c>
      <c r="K4604" s="16">
        <v>0.0</v>
      </c>
      <c r="L4604" s="16">
        <v>3.912</v>
      </c>
      <c r="M4604" s="16">
        <v>29.694</v>
      </c>
      <c r="N4604" s="16">
        <v>21.28</v>
      </c>
      <c r="O4604" s="24">
        <v>21.5</v>
      </c>
      <c r="P4604" s="18">
        <f t="shared" si="1"/>
        <v>3.912</v>
      </c>
    </row>
    <row r="4605" ht="15.75" customHeight="1">
      <c r="A4605" s="19" t="s">
        <v>251</v>
      </c>
      <c r="B4605" s="19" t="s">
        <v>22</v>
      </c>
      <c r="C4605" s="20" t="s">
        <v>55</v>
      </c>
      <c r="D4605" s="14" t="str">
        <f>VLOOKUP(C4605,'State Key'!$A$2:$B$210,2,False)</f>
        <v>Odisha</v>
      </c>
      <c r="E4605" s="21">
        <v>3000.0</v>
      </c>
      <c r="F4605" s="22">
        <v>1411.14</v>
      </c>
      <c r="G4605" s="22">
        <v>0.0</v>
      </c>
      <c r="H4605" s="22">
        <v>30.02</v>
      </c>
      <c r="I4605" s="22">
        <v>0.0</v>
      </c>
      <c r="J4605" s="22">
        <v>0.0</v>
      </c>
      <c r="K4605" s="22">
        <v>0.0</v>
      </c>
      <c r="L4605" s="22">
        <v>1441.16</v>
      </c>
      <c r="M4605" s="22">
        <v>1401.668</v>
      </c>
      <c r="N4605" s="22">
        <v>630.213</v>
      </c>
      <c r="O4605" s="23">
        <v>13.5</v>
      </c>
      <c r="P4605" s="18">
        <f t="shared" si="1"/>
        <v>1441.16</v>
      </c>
    </row>
    <row r="4606" ht="15.75" customHeight="1">
      <c r="A4606" s="13" t="s">
        <v>251</v>
      </c>
      <c r="B4606" s="13" t="s">
        <v>22</v>
      </c>
      <c r="C4606" s="14" t="s">
        <v>56</v>
      </c>
      <c r="D4606" s="14" t="str">
        <f>VLOOKUP(C4606,'State Key'!$A$2:$B$210,2,False)</f>
        <v>Jharkhand</v>
      </c>
      <c r="E4606" s="15">
        <v>420.0</v>
      </c>
      <c r="F4606" s="16">
        <v>86.23</v>
      </c>
      <c r="G4606" s="16">
        <v>0.0</v>
      </c>
      <c r="H4606" s="16">
        <v>0.0</v>
      </c>
      <c r="I4606" s="16">
        <v>0.0</v>
      </c>
      <c r="J4606" s="16">
        <v>0.0</v>
      </c>
      <c r="K4606" s="16">
        <v>0.0</v>
      </c>
      <c r="L4606" s="16">
        <v>86.23</v>
      </c>
      <c r="M4606" s="16">
        <v>78.22</v>
      </c>
      <c r="N4606" s="16">
        <v>319.95</v>
      </c>
      <c r="O4606" s="24">
        <v>122.7</v>
      </c>
      <c r="P4606" s="18">
        <f t="shared" si="1"/>
        <v>86.23</v>
      </c>
    </row>
    <row r="4607" ht="15.75" customHeight="1">
      <c r="A4607" s="19" t="s">
        <v>251</v>
      </c>
      <c r="B4607" s="19" t="s">
        <v>22</v>
      </c>
      <c r="C4607" s="20" t="s">
        <v>60</v>
      </c>
      <c r="D4607" s="14" t="str">
        <f>VLOOKUP(C4607,'State Key'!$A$2:$B$210,2,False)</f>
        <v>Odisha</v>
      </c>
      <c r="E4607" s="21">
        <v>600.0</v>
      </c>
      <c r="F4607" s="22">
        <v>278.967</v>
      </c>
      <c r="G4607" s="22">
        <v>0.0</v>
      </c>
      <c r="H4607" s="22">
        <v>0.0</v>
      </c>
      <c r="I4607" s="22">
        <v>0.0</v>
      </c>
      <c r="J4607" s="22">
        <v>0.0</v>
      </c>
      <c r="K4607" s="22">
        <v>0.0</v>
      </c>
      <c r="L4607" s="22">
        <v>278.967</v>
      </c>
      <c r="M4607" s="22">
        <v>262.497</v>
      </c>
      <c r="N4607" s="22">
        <v>108.54</v>
      </c>
      <c r="O4607" s="23">
        <v>12.4</v>
      </c>
      <c r="P4607" s="18">
        <f t="shared" si="1"/>
        <v>278.967</v>
      </c>
    </row>
    <row r="4608" ht="15.75" customHeight="1">
      <c r="A4608" s="13" t="s">
        <v>251</v>
      </c>
      <c r="B4608" s="13" t="s">
        <v>61</v>
      </c>
      <c r="C4608" s="14" t="s">
        <v>209</v>
      </c>
      <c r="D4608" s="14" t="str">
        <f>VLOOKUP(C4608,'State Key'!$A$2:$B$210,2,False)</f>
        <v>Rajasthan</v>
      </c>
      <c r="E4608" s="15">
        <v>1320.0</v>
      </c>
      <c r="F4608" s="16">
        <v>261.519</v>
      </c>
      <c r="G4608" s="16">
        <v>0.0</v>
      </c>
      <c r="H4608" s="16">
        <v>0.0</v>
      </c>
      <c r="I4608" s="16">
        <v>0.0</v>
      </c>
      <c r="J4608" s="16">
        <v>68.547</v>
      </c>
      <c r="K4608" s="16">
        <v>0.0</v>
      </c>
      <c r="L4608" s="16">
        <v>330.066</v>
      </c>
      <c r="M4608" s="16">
        <v>415.172</v>
      </c>
      <c r="N4608" s="16">
        <v>247.57</v>
      </c>
      <c r="O4608" s="24">
        <v>17.9</v>
      </c>
      <c r="P4608" s="18">
        <f t="shared" si="1"/>
        <v>330.066</v>
      </c>
    </row>
    <row r="4609" ht="15.75" customHeight="1">
      <c r="A4609" s="19" t="s">
        <v>251</v>
      </c>
      <c r="B4609" s="19" t="s">
        <v>61</v>
      </c>
      <c r="C4609" s="20" t="s">
        <v>62</v>
      </c>
      <c r="D4609" s="14" t="str">
        <f>VLOOKUP(C4609,'State Key'!$A$2:$B$210,2,False)</f>
        <v>Uttar Pradesh</v>
      </c>
      <c r="E4609" s="21">
        <v>1200.0</v>
      </c>
      <c r="F4609" s="22">
        <v>414.827</v>
      </c>
      <c r="G4609" s="22">
        <v>0.0</v>
      </c>
      <c r="H4609" s="22">
        <v>0.0</v>
      </c>
      <c r="I4609" s="22">
        <v>0.0</v>
      </c>
      <c r="J4609" s="22">
        <v>0.0</v>
      </c>
      <c r="K4609" s="22">
        <v>0.0</v>
      </c>
      <c r="L4609" s="22">
        <v>414.827</v>
      </c>
      <c r="M4609" s="22">
        <v>491.22</v>
      </c>
      <c r="N4609" s="22">
        <v>137.71</v>
      </c>
      <c r="O4609" s="23">
        <v>8.4</v>
      </c>
      <c r="P4609" s="18">
        <f t="shared" si="1"/>
        <v>414.827</v>
      </c>
    </row>
    <row r="4610" ht="15.75" customHeight="1">
      <c r="A4610" s="13" t="s">
        <v>251</v>
      </c>
      <c r="B4610" s="13" t="s">
        <v>61</v>
      </c>
      <c r="C4610" s="14" t="s">
        <v>63</v>
      </c>
      <c r="D4610" s="14" t="str">
        <f>VLOOKUP(C4610,'State Key'!$A$2:$B$210,2,False)</f>
        <v>Uttar Pradesh</v>
      </c>
      <c r="E4610" s="15">
        <v>2630.0</v>
      </c>
      <c r="F4610" s="16">
        <v>1058.46</v>
      </c>
      <c r="G4610" s="16">
        <v>0.0</v>
      </c>
      <c r="H4610" s="16">
        <v>0.0</v>
      </c>
      <c r="I4610" s="16">
        <v>0.0</v>
      </c>
      <c r="J4610" s="16">
        <v>0.0</v>
      </c>
      <c r="K4610" s="16">
        <v>0.0</v>
      </c>
      <c r="L4610" s="16">
        <v>1058.46</v>
      </c>
      <c r="M4610" s="16">
        <v>1096.01</v>
      </c>
      <c r="N4610" s="16">
        <v>799.06</v>
      </c>
      <c r="O4610" s="24">
        <v>21.9</v>
      </c>
      <c r="P4610" s="18">
        <f t="shared" si="1"/>
        <v>1058.46</v>
      </c>
    </row>
    <row r="4611" ht="15.75" customHeight="1">
      <c r="A4611" s="19" t="s">
        <v>251</v>
      </c>
      <c r="B4611" s="19" t="s">
        <v>61</v>
      </c>
      <c r="C4611" s="20" t="s">
        <v>64</v>
      </c>
      <c r="D4611" s="14" t="str">
        <f>VLOOKUP(C4611,'State Key'!$A$2:$B$210,2,False)</f>
        <v>Uttar Pradesh</v>
      </c>
      <c r="E4611" s="21">
        <v>90.0</v>
      </c>
      <c r="F4611" s="22">
        <v>31.76</v>
      </c>
      <c r="G4611" s="22">
        <v>0.0</v>
      </c>
      <c r="H4611" s="22">
        <v>0.0</v>
      </c>
      <c r="I4611" s="22">
        <v>0.0</v>
      </c>
      <c r="J4611" s="22">
        <v>0.0</v>
      </c>
      <c r="K4611" s="22">
        <v>0.0</v>
      </c>
      <c r="L4611" s="22">
        <v>31.76</v>
      </c>
      <c r="M4611" s="22">
        <v>21.79</v>
      </c>
      <c r="N4611" s="22">
        <v>89.83</v>
      </c>
      <c r="O4611" s="24">
        <v>123.7</v>
      </c>
      <c r="P4611" s="18">
        <f t="shared" si="1"/>
        <v>31.76</v>
      </c>
    </row>
    <row r="4612" ht="15.75" customHeight="1">
      <c r="A4612" s="13" t="s">
        <v>251</v>
      </c>
      <c r="B4612" s="13" t="s">
        <v>61</v>
      </c>
      <c r="C4612" s="14" t="s">
        <v>65</v>
      </c>
      <c r="D4612" s="14" t="str">
        <f>VLOOKUP(C4612,'State Key'!$A$2:$B$210,2,False)</f>
        <v>Rajasthan</v>
      </c>
      <c r="E4612" s="15">
        <v>500.0</v>
      </c>
      <c r="F4612" s="16">
        <v>75.2154</v>
      </c>
      <c r="G4612" s="16">
        <v>0.0</v>
      </c>
      <c r="H4612" s="16">
        <v>0.0</v>
      </c>
      <c r="I4612" s="16">
        <v>0.0</v>
      </c>
      <c r="J4612" s="16">
        <v>0.0</v>
      </c>
      <c r="K4612" s="16">
        <v>0.0</v>
      </c>
      <c r="L4612" s="16">
        <v>75.2154</v>
      </c>
      <c r="M4612" s="16">
        <v>201.6631</v>
      </c>
      <c r="N4612" s="16">
        <v>175.1941</v>
      </c>
      <c r="O4612" s="24">
        <v>26.1</v>
      </c>
      <c r="P4612" s="18">
        <f t="shared" si="1"/>
        <v>75.2154</v>
      </c>
    </row>
    <row r="4613" ht="15.75" customHeight="1">
      <c r="A4613" s="19" t="s">
        <v>251</v>
      </c>
      <c r="B4613" s="19" t="s">
        <v>61</v>
      </c>
      <c r="C4613" s="20" t="s">
        <v>66</v>
      </c>
      <c r="D4613" s="14" t="str">
        <f>VLOOKUP(C4613,'State Key'!$A$2:$B$210,2,False)</f>
        <v>Rajasthan</v>
      </c>
      <c r="E4613" s="21">
        <v>500.0</v>
      </c>
      <c r="F4613" s="22">
        <v>0.1348</v>
      </c>
      <c r="G4613" s="22">
        <v>0.0</v>
      </c>
      <c r="H4613" s="22">
        <v>323.5804</v>
      </c>
      <c r="I4613" s="22">
        <v>0.0</v>
      </c>
      <c r="J4613" s="22">
        <v>0.0</v>
      </c>
      <c r="K4613" s="22">
        <v>0.0</v>
      </c>
      <c r="L4613" s="22">
        <v>323.7152</v>
      </c>
      <c r="M4613" s="22">
        <v>206.8655</v>
      </c>
      <c r="N4613" s="22">
        <v>176.4359</v>
      </c>
      <c r="O4613" s="24">
        <v>25.6</v>
      </c>
      <c r="P4613" s="18">
        <f t="shared" si="1"/>
        <v>323.7152</v>
      </c>
    </row>
    <row r="4614" ht="15.75" customHeight="1">
      <c r="A4614" s="13" t="s">
        <v>251</v>
      </c>
      <c r="B4614" s="13" t="s">
        <v>61</v>
      </c>
      <c r="C4614" s="14" t="s">
        <v>67</v>
      </c>
      <c r="D4614" s="14" t="str">
        <f>VLOOKUP(C4614,'State Key'!$A$2:$B$210,2,False)</f>
        <v>Rajasthan</v>
      </c>
      <c r="E4614" s="15">
        <v>1320.0</v>
      </c>
      <c r="F4614" s="16">
        <v>4.05193</v>
      </c>
      <c r="G4614" s="16">
        <v>0.0</v>
      </c>
      <c r="H4614" s="16">
        <v>206.79299</v>
      </c>
      <c r="I4614" s="16">
        <v>0.0</v>
      </c>
      <c r="J4614" s="16">
        <v>0.0</v>
      </c>
      <c r="K4614" s="16">
        <v>0.0</v>
      </c>
      <c r="L4614" s="16">
        <v>210.84492</v>
      </c>
      <c r="M4614" s="16">
        <v>227.9189</v>
      </c>
      <c r="N4614" s="16">
        <v>522.9515</v>
      </c>
      <c r="O4614" s="24">
        <v>68.8</v>
      </c>
      <c r="P4614" s="18">
        <f t="shared" si="1"/>
        <v>210.84492</v>
      </c>
    </row>
    <row r="4615" ht="15.75" customHeight="1">
      <c r="A4615" s="19" t="s">
        <v>251</v>
      </c>
      <c r="B4615" s="19" t="s">
        <v>61</v>
      </c>
      <c r="C4615" s="20" t="s">
        <v>68</v>
      </c>
      <c r="D4615" s="14" t="str">
        <f>VLOOKUP(C4615,'State Key'!$A$2:$B$210,2,False)</f>
        <v>Uttar Pradesh</v>
      </c>
      <c r="E4615" s="21">
        <v>1820.0</v>
      </c>
      <c r="F4615" s="22">
        <v>304.14</v>
      </c>
      <c r="G4615" s="22">
        <v>0.0</v>
      </c>
      <c r="H4615" s="22">
        <v>183.61</v>
      </c>
      <c r="I4615" s="22">
        <v>0.0</v>
      </c>
      <c r="J4615" s="22">
        <v>0.0</v>
      </c>
      <c r="K4615" s="22">
        <v>55.29</v>
      </c>
      <c r="L4615" s="22">
        <v>543.04</v>
      </c>
      <c r="M4615" s="22">
        <v>473.944</v>
      </c>
      <c r="N4615" s="22">
        <v>538.813</v>
      </c>
      <c r="O4615" s="24">
        <v>34.1</v>
      </c>
      <c r="P4615" s="18">
        <f t="shared" si="1"/>
        <v>543.04</v>
      </c>
    </row>
    <row r="4616" ht="15.75" customHeight="1">
      <c r="A4616" s="13" t="s">
        <v>251</v>
      </c>
      <c r="B4616" s="13" t="s">
        <v>61</v>
      </c>
      <c r="C4616" s="14" t="s">
        <v>69</v>
      </c>
      <c r="D4616" s="14" t="str">
        <f>VLOOKUP(C4616,'State Key'!$A$2:$B$210,2,False)</f>
        <v>Punjab</v>
      </c>
      <c r="E4616" s="15">
        <v>920.0</v>
      </c>
      <c r="F4616" s="16">
        <v>7.698</v>
      </c>
      <c r="G4616" s="16">
        <v>0.0</v>
      </c>
      <c r="H4616" s="16">
        <v>285.609</v>
      </c>
      <c r="I4616" s="16">
        <v>0.0</v>
      </c>
      <c r="J4616" s="16">
        <v>0.0</v>
      </c>
      <c r="K4616" s="16">
        <v>0.207</v>
      </c>
      <c r="L4616" s="16">
        <v>293.514</v>
      </c>
      <c r="M4616" s="16">
        <v>292.236</v>
      </c>
      <c r="N4616" s="16">
        <v>351.587</v>
      </c>
      <c r="O4616" s="24">
        <v>36.1</v>
      </c>
      <c r="P4616" s="18">
        <f t="shared" si="1"/>
        <v>293.514</v>
      </c>
    </row>
    <row r="4617" ht="15.75" customHeight="1">
      <c r="A4617" s="19" t="s">
        <v>251</v>
      </c>
      <c r="B4617" s="19" t="s">
        <v>61</v>
      </c>
      <c r="C4617" s="20" t="s">
        <v>242</v>
      </c>
      <c r="D4617" s="14" t="str">
        <f>VLOOKUP(C4617,'State Key'!$A$2:$B$210,2,False)</f>
        <v>Uttar Pradesh</v>
      </c>
      <c r="E4617" s="21">
        <v>660.0</v>
      </c>
      <c r="F4617" s="22">
        <v>267.07</v>
      </c>
      <c r="G4617" s="22">
        <v>0.0</v>
      </c>
      <c r="H4617" s="22">
        <v>0.0</v>
      </c>
      <c r="I4617" s="22">
        <v>0.0</v>
      </c>
      <c r="J4617" s="22">
        <v>0.0</v>
      </c>
      <c r="K4617" s="22">
        <v>0.0</v>
      </c>
      <c r="L4617" s="22">
        <v>267.07</v>
      </c>
      <c r="M4617" s="22">
        <v>230.76</v>
      </c>
      <c r="N4617" s="22">
        <v>38.38</v>
      </c>
      <c r="O4617" s="17">
        <v>5.0</v>
      </c>
      <c r="P4617" s="18">
        <f t="shared" si="1"/>
        <v>267.07</v>
      </c>
    </row>
    <row r="4618" ht="15.75" customHeight="1">
      <c r="A4618" s="13" t="s">
        <v>251</v>
      </c>
      <c r="B4618" s="13" t="s">
        <v>61</v>
      </c>
      <c r="C4618" s="14" t="s">
        <v>70</v>
      </c>
      <c r="D4618" s="14" t="str">
        <f>VLOOKUP(C4618,'State Key'!$A$2:$B$210,2,False)</f>
        <v>Punjab</v>
      </c>
      <c r="E4618" s="15">
        <v>540.0</v>
      </c>
      <c r="F4618" s="16">
        <v>59.02975</v>
      </c>
      <c r="G4618" s="16">
        <v>0.0</v>
      </c>
      <c r="H4618" s="16">
        <v>0.0</v>
      </c>
      <c r="I4618" s="16">
        <v>0.0</v>
      </c>
      <c r="J4618" s="16">
        <v>0.0</v>
      </c>
      <c r="K4618" s="16">
        <v>0.0</v>
      </c>
      <c r="L4618" s="16">
        <v>59.02975</v>
      </c>
      <c r="M4618" s="16">
        <v>110.183</v>
      </c>
      <c r="N4618" s="16">
        <v>189.17</v>
      </c>
      <c r="O4618" s="24">
        <v>51.5</v>
      </c>
      <c r="P4618" s="18">
        <f t="shared" si="1"/>
        <v>59.02975</v>
      </c>
    </row>
    <row r="4619" ht="15.75" customHeight="1">
      <c r="A4619" s="19" t="s">
        <v>251</v>
      </c>
      <c r="B4619" s="19" t="s">
        <v>61</v>
      </c>
      <c r="C4619" s="20" t="s">
        <v>71</v>
      </c>
      <c r="D4619" s="14" t="str">
        <f>VLOOKUP(C4619,'State Key'!$A$2:$B$210,2,False)</f>
        <v>Uttar Pradesh</v>
      </c>
      <c r="E4619" s="21">
        <v>1265.0</v>
      </c>
      <c r="F4619" s="22">
        <v>376.584</v>
      </c>
      <c r="G4619" s="22">
        <v>0.0</v>
      </c>
      <c r="H4619" s="22">
        <v>0.0</v>
      </c>
      <c r="I4619" s="22">
        <v>0.0</v>
      </c>
      <c r="J4619" s="22">
        <v>0.0</v>
      </c>
      <c r="K4619" s="22">
        <v>0.0</v>
      </c>
      <c r="L4619" s="22">
        <v>376.584</v>
      </c>
      <c r="M4619" s="22">
        <v>405.386</v>
      </c>
      <c r="N4619" s="22">
        <v>519.39</v>
      </c>
      <c r="O4619" s="24">
        <v>38.4</v>
      </c>
      <c r="P4619" s="18">
        <f t="shared" si="1"/>
        <v>376.584</v>
      </c>
    </row>
    <row r="4620" ht="15.75" customHeight="1">
      <c r="A4620" s="13" t="s">
        <v>251</v>
      </c>
      <c r="B4620" s="13" t="s">
        <v>61</v>
      </c>
      <c r="C4620" s="14" t="s">
        <v>72</v>
      </c>
      <c r="D4620" s="14" t="str">
        <f>VLOOKUP(C4620,'State Key'!$A$2:$B$210,2,False)</f>
        <v>Haryana</v>
      </c>
      <c r="E4620" s="15">
        <v>1500.0</v>
      </c>
      <c r="F4620" s="16">
        <v>481.44</v>
      </c>
      <c r="G4620" s="16">
        <v>0.0</v>
      </c>
      <c r="H4620" s="16">
        <v>0.0</v>
      </c>
      <c r="I4620" s="16">
        <v>0.0</v>
      </c>
      <c r="J4620" s="16">
        <v>0.0</v>
      </c>
      <c r="K4620" s="16">
        <v>0.0</v>
      </c>
      <c r="L4620" s="16">
        <v>481.44</v>
      </c>
      <c r="M4620" s="16">
        <v>418.59</v>
      </c>
      <c r="N4620" s="16">
        <v>967.07</v>
      </c>
      <c r="O4620" s="24">
        <v>69.3</v>
      </c>
      <c r="P4620" s="18">
        <f t="shared" si="1"/>
        <v>481.44</v>
      </c>
    </row>
    <row r="4621" ht="15.75" customHeight="1">
      <c r="A4621" s="19" t="s">
        <v>251</v>
      </c>
      <c r="B4621" s="19" t="s">
        <v>61</v>
      </c>
      <c r="C4621" s="20" t="s">
        <v>226</v>
      </c>
      <c r="D4621" s="14" t="str">
        <f>VLOOKUP(C4621,'State Key'!$A$2:$B$210,2,False)</f>
        <v>Uttar Pradesh</v>
      </c>
      <c r="E4621" s="21">
        <v>1320.0</v>
      </c>
      <c r="F4621" s="22">
        <v>270.559</v>
      </c>
      <c r="G4621" s="22">
        <v>0.0</v>
      </c>
      <c r="H4621" s="22">
        <v>0.0</v>
      </c>
      <c r="I4621" s="22">
        <v>0.0</v>
      </c>
      <c r="J4621" s="22">
        <v>0.0</v>
      </c>
      <c r="K4621" s="22">
        <v>0.0</v>
      </c>
      <c r="L4621" s="22">
        <v>270.559</v>
      </c>
      <c r="M4621" s="22">
        <v>183.33</v>
      </c>
      <c r="N4621" s="22">
        <v>465.25</v>
      </c>
      <c r="O4621" s="24">
        <v>76.1</v>
      </c>
      <c r="P4621" s="18">
        <f t="shared" si="1"/>
        <v>270.559</v>
      </c>
    </row>
    <row r="4622" ht="15.75" customHeight="1">
      <c r="A4622" s="13" t="s">
        <v>251</v>
      </c>
      <c r="B4622" s="13" t="s">
        <v>61</v>
      </c>
      <c r="C4622" s="14" t="s">
        <v>73</v>
      </c>
      <c r="D4622" s="14" t="str">
        <f>VLOOKUP(C4622,'State Key'!$A$2:$B$210,2,False)</f>
        <v>Rajasthan</v>
      </c>
      <c r="E4622" s="15">
        <v>1200.0</v>
      </c>
      <c r="F4622" s="16">
        <v>0.0</v>
      </c>
      <c r="G4622" s="16">
        <v>0.0</v>
      </c>
      <c r="H4622" s="16">
        <v>420.861</v>
      </c>
      <c r="I4622" s="16">
        <v>0.0</v>
      </c>
      <c r="J4622" s="16">
        <v>0.0</v>
      </c>
      <c r="K4622" s="16">
        <v>0.0</v>
      </c>
      <c r="L4622" s="16">
        <v>420.861</v>
      </c>
      <c r="M4622" s="16">
        <v>383.634</v>
      </c>
      <c r="N4622" s="16">
        <v>298.43</v>
      </c>
      <c r="O4622" s="24">
        <v>23.3</v>
      </c>
      <c r="P4622" s="18">
        <f t="shared" si="1"/>
        <v>420.861</v>
      </c>
    </row>
    <row r="4623" ht="15.75" customHeight="1">
      <c r="A4623" s="19" t="s">
        <v>251</v>
      </c>
      <c r="B4623" s="19" t="s">
        <v>61</v>
      </c>
      <c r="C4623" s="20" t="s">
        <v>75</v>
      </c>
      <c r="D4623" s="14" t="str">
        <f>VLOOKUP(C4623,'State Key'!$A$2:$B$210,2,False)</f>
        <v>Uttar Pradesh</v>
      </c>
      <c r="E4623" s="21">
        <v>90.0</v>
      </c>
      <c r="F4623" s="22">
        <v>26.211</v>
      </c>
      <c r="G4623" s="22">
        <v>0.0</v>
      </c>
      <c r="H4623" s="22">
        <v>0.0</v>
      </c>
      <c r="I4623" s="22">
        <v>0.0</v>
      </c>
      <c r="J4623" s="22">
        <v>0.0</v>
      </c>
      <c r="K4623" s="22">
        <v>0.0</v>
      </c>
      <c r="L4623" s="22">
        <v>26.211</v>
      </c>
      <c r="M4623" s="22">
        <v>22.139</v>
      </c>
      <c r="N4623" s="22">
        <v>87.68</v>
      </c>
      <c r="O4623" s="24">
        <v>118.8</v>
      </c>
      <c r="P4623" s="18">
        <f t="shared" si="1"/>
        <v>26.211</v>
      </c>
    </row>
    <row r="4624" ht="15.75" customHeight="1">
      <c r="A4624" s="13" t="s">
        <v>251</v>
      </c>
      <c r="B4624" s="13" t="s">
        <v>61</v>
      </c>
      <c r="C4624" s="14" t="s">
        <v>246</v>
      </c>
      <c r="D4624" s="14" t="str">
        <f>VLOOKUP(C4624,'State Key'!$A$2:$B$210,2,False)</f>
        <v>Uttar Pradesh</v>
      </c>
      <c r="E4624" s="15">
        <v>660.0</v>
      </c>
      <c r="F4624" s="16">
        <v>0.0</v>
      </c>
      <c r="G4624" s="16">
        <v>0.0</v>
      </c>
      <c r="H4624" s="16">
        <v>234.01</v>
      </c>
      <c r="I4624" s="16">
        <v>0.0</v>
      </c>
      <c r="J4624" s="16">
        <v>0.0</v>
      </c>
      <c r="K4624" s="16">
        <v>0.0</v>
      </c>
      <c r="L4624" s="16">
        <v>234.01</v>
      </c>
      <c r="M4624" s="16">
        <v>223.04</v>
      </c>
      <c r="N4624" s="16">
        <v>216.37</v>
      </c>
      <c r="O4624" s="24">
        <v>29.1</v>
      </c>
      <c r="P4624" s="18">
        <f t="shared" si="1"/>
        <v>234.01</v>
      </c>
    </row>
    <row r="4625" ht="15.75" customHeight="1">
      <c r="A4625" s="19" t="s">
        <v>251</v>
      </c>
      <c r="B4625" s="19" t="s">
        <v>61</v>
      </c>
      <c r="C4625" s="20" t="s">
        <v>76</v>
      </c>
      <c r="D4625" s="14" t="str">
        <f>VLOOKUP(C4625,'State Key'!$A$2:$B$210,2,False)</f>
        <v>Rajasthan</v>
      </c>
      <c r="E4625" s="21">
        <v>1240.0</v>
      </c>
      <c r="F4625" s="22">
        <v>601.859</v>
      </c>
      <c r="G4625" s="22">
        <v>0.0</v>
      </c>
      <c r="H4625" s="22">
        <v>0.0</v>
      </c>
      <c r="I4625" s="22">
        <v>0.0</v>
      </c>
      <c r="J4625" s="22">
        <v>0.0</v>
      </c>
      <c r="K4625" s="22">
        <v>0.0</v>
      </c>
      <c r="L4625" s="22">
        <v>601.859</v>
      </c>
      <c r="M4625" s="22">
        <v>489.221</v>
      </c>
      <c r="N4625" s="22">
        <v>370.24</v>
      </c>
      <c r="O4625" s="24">
        <v>22.7</v>
      </c>
      <c r="P4625" s="18">
        <f t="shared" si="1"/>
        <v>601.859</v>
      </c>
    </row>
    <row r="4626" ht="15.75" customHeight="1">
      <c r="A4626" s="13" t="s">
        <v>251</v>
      </c>
      <c r="B4626" s="13" t="s">
        <v>61</v>
      </c>
      <c r="C4626" s="14" t="s">
        <v>77</v>
      </c>
      <c r="D4626" s="14" t="str">
        <f>VLOOKUP(C4626,'State Key'!$A$2:$B$210,2,False)</f>
        <v>Uttar Pradesh</v>
      </c>
      <c r="E4626" s="15">
        <v>90.0</v>
      </c>
      <c r="F4626" s="16">
        <v>31.995</v>
      </c>
      <c r="G4626" s="16">
        <v>0.0</v>
      </c>
      <c r="H4626" s="16">
        <v>0.0</v>
      </c>
      <c r="I4626" s="16">
        <v>0.0</v>
      </c>
      <c r="J4626" s="16">
        <v>0.0</v>
      </c>
      <c r="K4626" s="16">
        <v>0.0</v>
      </c>
      <c r="L4626" s="16">
        <v>31.995</v>
      </c>
      <c r="M4626" s="16">
        <v>20.387</v>
      </c>
      <c r="N4626" s="16">
        <v>77.175</v>
      </c>
      <c r="O4626" s="24">
        <v>113.6</v>
      </c>
      <c r="P4626" s="18">
        <f t="shared" si="1"/>
        <v>31.995</v>
      </c>
    </row>
    <row r="4627" ht="15.75" customHeight="1">
      <c r="A4627" s="19" t="s">
        <v>251</v>
      </c>
      <c r="B4627" s="19" t="s">
        <v>61</v>
      </c>
      <c r="C4627" s="20" t="s">
        <v>78</v>
      </c>
      <c r="D4627" s="14" t="str">
        <f>VLOOKUP(C4627,'State Key'!$A$2:$B$210,2,False)</f>
        <v>Uttar Pradesh</v>
      </c>
      <c r="E4627" s="21">
        <v>1980.0</v>
      </c>
      <c r="F4627" s="22">
        <v>680.906</v>
      </c>
      <c r="G4627" s="22">
        <v>0.0</v>
      </c>
      <c r="H4627" s="22">
        <v>0.0</v>
      </c>
      <c r="I4627" s="22">
        <v>0.0</v>
      </c>
      <c r="J4627" s="22">
        <v>0.0</v>
      </c>
      <c r="K4627" s="22">
        <v>0.0</v>
      </c>
      <c r="L4627" s="22">
        <v>680.906</v>
      </c>
      <c r="M4627" s="22">
        <v>621.537</v>
      </c>
      <c r="N4627" s="22">
        <v>647.32</v>
      </c>
      <c r="O4627" s="24">
        <v>31.2</v>
      </c>
      <c r="P4627" s="18">
        <f t="shared" si="1"/>
        <v>680.906</v>
      </c>
    </row>
    <row r="4628" ht="15.75" customHeight="1">
      <c r="A4628" s="13" t="s">
        <v>251</v>
      </c>
      <c r="B4628" s="13" t="s">
        <v>61</v>
      </c>
      <c r="C4628" s="14" t="s">
        <v>79</v>
      </c>
      <c r="D4628" s="14" t="str">
        <f>VLOOKUP(C4628,'State Key'!$A$2:$B$210,2,False)</f>
        <v>Haryana</v>
      </c>
      <c r="E4628" s="15">
        <v>1320.0</v>
      </c>
      <c r="F4628" s="16">
        <v>357.754</v>
      </c>
      <c r="G4628" s="16">
        <v>0.0</v>
      </c>
      <c r="H4628" s="16">
        <v>0.0</v>
      </c>
      <c r="I4628" s="16">
        <v>0.0</v>
      </c>
      <c r="J4628" s="16">
        <v>0.0</v>
      </c>
      <c r="K4628" s="16">
        <v>0.0</v>
      </c>
      <c r="L4628" s="16">
        <v>357.754</v>
      </c>
      <c r="M4628" s="16">
        <v>400.34</v>
      </c>
      <c r="N4628" s="16">
        <v>495.88</v>
      </c>
      <c r="O4628" s="24">
        <v>37.2</v>
      </c>
      <c r="P4628" s="18">
        <f t="shared" si="1"/>
        <v>357.754</v>
      </c>
    </row>
    <row r="4629" ht="15.75" customHeight="1">
      <c r="A4629" s="19" t="s">
        <v>251</v>
      </c>
      <c r="B4629" s="19" t="s">
        <v>61</v>
      </c>
      <c r="C4629" s="20" t="s">
        <v>80</v>
      </c>
      <c r="D4629" s="14" t="str">
        <f>VLOOKUP(C4629,'State Key'!$A$2:$B$210,2,False)</f>
        <v>Uttar Pradesh</v>
      </c>
      <c r="E4629" s="21">
        <v>90.0</v>
      </c>
      <c r="F4629" s="22">
        <v>39.029</v>
      </c>
      <c r="G4629" s="22">
        <v>0.0</v>
      </c>
      <c r="H4629" s="22">
        <v>0.0</v>
      </c>
      <c r="I4629" s="22">
        <v>0.0</v>
      </c>
      <c r="J4629" s="22">
        <v>0.0</v>
      </c>
      <c r="K4629" s="22">
        <v>0.0</v>
      </c>
      <c r="L4629" s="22">
        <v>39.029</v>
      </c>
      <c r="M4629" s="22">
        <v>21.928</v>
      </c>
      <c r="N4629" s="22">
        <v>94.65</v>
      </c>
      <c r="O4629" s="24">
        <v>129.5</v>
      </c>
      <c r="P4629" s="18">
        <f t="shared" si="1"/>
        <v>39.029</v>
      </c>
    </row>
    <row r="4630" ht="15.75" customHeight="1">
      <c r="A4630" s="13" t="s">
        <v>251</v>
      </c>
      <c r="B4630" s="13" t="s">
        <v>61</v>
      </c>
      <c r="C4630" s="14" t="s">
        <v>81</v>
      </c>
      <c r="D4630" s="14" t="str">
        <f>VLOOKUP(C4630,'State Key'!$A$2:$B$210,2,False)</f>
        <v>Uttar Pradesh</v>
      </c>
      <c r="E4630" s="15">
        <v>1320.0</v>
      </c>
      <c r="F4630" s="16">
        <v>418.5485</v>
      </c>
      <c r="G4630" s="16">
        <v>0.0</v>
      </c>
      <c r="H4630" s="16">
        <v>35.2089</v>
      </c>
      <c r="I4630" s="16">
        <v>0.0</v>
      </c>
      <c r="J4630" s="16">
        <v>0.0</v>
      </c>
      <c r="K4630" s="16">
        <v>0.0</v>
      </c>
      <c r="L4630" s="16">
        <v>453.7574</v>
      </c>
      <c r="M4630" s="16">
        <v>433.075</v>
      </c>
      <c r="N4630" s="16">
        <v>433.681</v>
      </c>
      <c r="O4630" s="24">
        <v>30.0</v>
      </c>
      <c r="P4630" s="18">
        <f t="shared" si="1"/>
        <v>453.7574</v>
      </c>
    </row>
    <row r="4631" ht="15.75" customHeight="1">
      <c r="A4631" s="19" t="s">
        <v>251</v>
      </c>
      <c r="B4631" s="19" t="s">
        <v>61</v>
      </c>
      <c r="C4631" s="20" t="s">
        <v>82</v>
      </c>
      <c r="D4631" s="14" t="str">
        <f>VLOOKUP(C4631,'State Key'!$A$2:$B$210,2,False)</f>
        <v>Uttar Pradesh</v>
      </c>
      <c r="E4631" s="21">
        <v>1660.0</v>
      </c>
      <c r="F4631" s="22">
        <v>613.85</v>
      </c>
      <c r="G4631" s="22">
        <v>0.0</v>
      </c>
      <c r="H4631" s="22">
        <v>0.0</v>
      </c>
      <c r="I4631" s="22">
        <v>0.0</v>
      </c>
      <c r="J4631" s="22">
        <v>0.0</v>
      </c>
      <c r="K4631" s="22">
        <v>0.0</v>
      </c>
      <c r="L4631" s="22">
        <v>613.85</v>
      </c>
      <c r="M4631" s="22">
        <v>581.25</v>
      </c>
      <c r="N4631" s="22">
        <v>477.1</v>
      </c>
      <c r="O4631" s="24">
        <v>24.6</v>
      </c>
      <c r="P4631" s="18">
        <f t="shared" si="1"/>
        <v>613.85</v>
      </c>
    </row>
    <row r="4632" ht="15.75" customHeight="1">
      <c r="A4632" s="13" t="s">
        <v>251</v>
      </c>
      <c r="B4632" s="13" t="s">
        <v>61</v>
      </c>
      <c r="C4632" s="14" t="s">
        <v>83</v>
      </c>
      <c r="D4632" s="14" t="str">
        <f>VLOOKUP(C4632,'State Key'!$A$2:$B$210,2,False)</f>
        <v>Haryana</v>
      </c>
      <c r="E4632" s="15">
        <v>710.0</v>
      </c>
      <c r="F4632" s="16">
        <v>216.861</v>
      </c>
      <c r="G4632" s="16">
        <v>0.0</v>
      </c>
      <c r="H4632" s="16">
        <v>0.0</v>
      </c>
      <c r="I4632" s="16">
        <v>0.0</v>
      </c>
      <c r="J4632" s="16">
        <v>0.0</v>
      </c>
      <c r="K4632" s="16">
        <v>0.0</v>
      </c>
      <c r="L4632" s="16">
        <v>216.861</v>
      </c>
      <c r="M4632" s="16">
        <v>232.975</v>
      </c>
      <c r="N4632" s="16">
        <v>490.93</v>
      </c>
      <c r="O4632" s="24">
        <v>63.2</v>
      </c>
      <c r="P4632" s="18">
        <f t="shared" si="1"/>
        <v>216.861</v>
      </c>
    </row>
    <row r="4633" ht="15.75" customHeight="1">
      <c r="A4633" s="19" t="s">
        <v>251</v>
      </c>
      <c r="B4633" s="19" t="s">
        <v>61</v>
      </c>
      <c r="C4633" s="20" t="s">
        <v>248</v>
      </c>
      <c r="D4633" s="14" t="str">
        <f>VLOOKUP(C4633,'State Key'!$A$2:$B$210,2,False)</f>
        <v>Uttar Pradesh</v>
      </c>
      <c r="E4633" s="21">
        <v>660.0</v>
      </c>
      <c r="F4633" s="22">
        <v>141.973</v>
      </c>
      <c r="G4633" s="22">
        <v>0.0</v>
      </c>
      <c r="H4633" s="22">
        <v>0.0</v>
      </c>
      <c r="I4633" s="22">
        <v>0.0</v>
      </c>
      <c r="J4633" s="22">
        <v>0.0</v>
      </c>
      <c r="K4633" s="22">
        <v>0.0</v>
      </c>
      <c r="L4633" s="22">
        <v>141.973</v>
      </c>
      <c r="M4633" s="22">
        <v>97.045</v>
      </c>
      <c r="N4633" s="22">
        <v>98.03</v>
      </c>
      <c r="O4633" s="24">
        <v>30.3</v>
      </c>
      <c r="P4633" s="18">
        <f t="shared" si="1"/>
        <v>141.973</v>
      </c>
    </row>
    <row r="4634" ht="15.75" customHeight="1">
      <c r="A4634" s="13" t="s">
        <v>251</v>
      </c>
      <c r="B4634" s="13" t="s">
        <v>61</v>
      </c>
      <c r="C4634" s="14" t="s">
        <v>84</v>
      </c>
      <c r="D4634" s="14" t="str">
        <f>VLOOKUP(C4634,'State Key'!$A$2:$B$210,2,False)</f>
        <v>Uttar Pradesh</v>
      </c>
      <c r="E4634" s="15">
        <v>920.0</v>
      </c>
      <c r="F4634" s="16">
        <v>368.129</v>
      </c>
      <c r="G4634" s="16">
        <v>0.0</v>
      </c>
      <c r="H4634" s="16">
        <v>0.0</v>
      </c>
      <c r="I4634" s="16">
        <v>0.0</v>
      </c>
      <c r="J4634" s="16">
        <v>0.0</v>
      </c>
      <c r="K4634" s="16">
        <v>0.0</v>
      </c>
      <c r="L4634" s="16">
        <v>368.129</v>
      </c>
      <c r="M4634" s="16">
        <v>356.573</v>
      </c>
      <c r="N4634" s="16">
        <v>309.076</v>
      </c>
      <c r="O4634" s="24">
        <v>26.0</v>
      </c>
      <c r="P4634" s="18">
        <f t="shared" si="1"/>
        <v>368.129</v>
      </c>
    </row>
    <row r="4635" ht="15.75" customHeight="1">
      <c r="A4635" s="19" t="s">
        <v>251</v>
      </c>
      <c r="B4635" s="19" t="s">
        <v>61</v>
      </c>
      <c r="C4635" s="20" t="s">
        <v>85</v>
      </c>
      <c r="D4635" s="14" t="str">
        <f>VLOOKUP(C4635,'State Key'!$A$2:$B$210,2,False)</f>
        <v>Uttar Pradesh</v>
      </c>
      <c r="E4635" s="21">
        <v>1980.0</v>
      </c>
      <c r="F4635" s="22">
        <v>749.99</v>
      </c>
      <c r="G4635" s="22">
        <v>0.0</v>
      </c>
      <c r="H4635" s="22">
        <v>0.0</v>
      </c>
      <c r="I4635" s="22">
        <v>0.0</v>
      </c>
      <c r="J4635" s="22">
        <v>0.0</v>
      </c>
      <c r="K4635" s="22">
        <v>0.0</v>
      </c>
      <c r="L4635" s="22">
        <v>749.99</v>
      </c>
      <c r="M4635" s="22">
        <v>679.98</v>
      </c>
      <c r="N4635" s="22">
        <v>613.98</v>
      </c>
      <c r="O4635" s="24">
        <v>27.1</v>
      </c>
      <c r="P4635" s="18">
        <f t="shared" si="1"/>
        <v>749.99</v>
      </c>
    </row>
    <row r="4636" ht="15.75" customHeight="1">
      <c r="A4636" s="13" t="s">
        <v>251</v>
      </c>
      <c r="B4636" s="13" t="s">
        <v>61</v>
      </c>
      <c r="C4636" s="14" t="s">
        <v>86</v>
      </c>
      <c r="D4636" s="14" t="str">
        <f>VLOOKUP(C4636,'State Key'!$A$2:$B$210,2,False)</f>
        <v>Haryana</v>
      </c>
      <c r="E4636" s="15">
        <v>1200.0</v>
      </c>
      <c r="F4636" s="16">
        <v>208.109</v>
      </c>
      <c r="G4636" s="16">
        <v>0.0</v>
      </c>
      <c r="H4636" s="16">
        <v>0.0</v>
      </c>
      <c r="I4636" s="16">
        <v>0.0</v>
      </c>
      <c r="J4636" s="16">
        <v>0.0</v>
      </c>
      <c r="K4636" s="16">
        <v>0.0</v>
      </c>
      <c r="L4636" s="16">
        <v>208.109</v>
      </c>
      <c r="M4636" s="16">
        <v>271.655</v>
      </c>
      <c r="N4636" s="16">
        <v>677.712</v>
      </c>
      <c r="O4636" s="24">
        <v>74.8</v>
      </c>
      <c r="P4636" s="18">
        <f t="shared" si="1"/>
        <v>208.109</v>
      </c>
    </row>
    <row r="4637" ht="15.75" customHeight="1">
      <c r="A4637" s="19" t="s">
        <v>251</v>
      </c>
      <c r="B4637" s="19" t="s">
        <v>61</v>
      </c>
      <c r="C4637" s="20" t="s">
        <v>87</v>
      </c>
      <c r="D4637" s="14" t="str">
        <f>VLOOKUP(C4637,'State Key'!$A$2:$B$210,2,False)</f>
        <v>Punjab</v>
      </c>
      <c r="E4637" s="21">
        <v>1400.0</v>
      </c>
      <c r="F4637" s="22">
        <v>572.4813</v>
      </c>
      <c r="G4637" s="22">
        <v>0.0</v>
      </c>
      <c r="H4637" s="22">
        <v>0.0</v>
      </c>
      <c r="I4637" s="22">
        <v>0.0</v>
      </c>
      <c r="J4637" s="22">
        <v>0.0</v>
      </c>
      <c r="K4637" s="22">
        <v>0.0</v>
      </c>
      <c r="L4637" s="22">
        <v>572.4813</v>
      </c>
      <c r="M4637" s="22">
        <v>446.87</v>
      </c>
      <c r="N4637" s="22">
        <v>500.11</v>
      </c>
      <c r="O4637" s="24">
        <v>33.6</v>
      </c>
      <c r="P4637" s="18">
        <f t="shared" si="1"/>
        <v>572.4813</v>
      </c>
    </row>
    <row r="4638" ht="15.75" customHeight="1">
      <c r="A4638" s="13" t="s">
        <v>251</v>
      </c>
      <c r="B4638" s="13" t="s">
        <v>61</v>
      </c>
      <c r="C4638" s="14" t="s">
        <v>88</v>
      </c>
      <c r="D4638" s="14" t="str">
        <f>VLOOKUP(C4638,'State Key'!$A$2:$B$210,2,False)</f>
        <v>Uttar Pradesh</v>
      </c>
      <c r="E4638" s="15">
        <v>3000.0</v>
      </c>
      <c r="F4638" s="16">
        <v>1236.14</v>
      </c>
      <c r="G4638" s="16">
        <v>0.0</v>
      </c>
      <c r="H4638" s="16">
        <v>0.0</v>
      </c>
      <c r="I4638" s="16">
        <v>0.0</v>
      </c>
      <c r="J4638" s="16">
        <v>0.0</v>
      </c>
      <c r="K4638" s="16">
        <v>0.0</v>
      </c>
      <c r="L4638" s="16">
        <v>1236.14</v>
      </c>
      <c r="M4638" s="16">
        <v>1207.586</v>
      </c>
      <c r="N4638" s="16">
        <v>923.415</v>
      </c>
      <c r="O4638" s="24">
        <v>22.9</v>
      </c>
      <c r="P4638" s="18">
        <f t="shared" si="1"/>
        <v>1236.14</v>
      </c>
    </row>
    <row r="4639" ht="15.75" customHeight="1">
      <c r="A4639" s="19" t="s">
        <v>251</v>
      </c>
      <c r="B4639" s="19" t="s">
        <v>61</v>
      </c>
      <c r="C4639" s="20" t="s">
        <v>89</v>
      </c>
      <c r="D4639" s="14" t="str">
        <f>VLOOKUP(C4639,'State Key'!$A$2:$B$210,2,False)</f>
        <v>Punjab</v>
      </c>
      <c r="E4639" s="21">
        <v>840.0</v>
      </c>
      <c r="F4639" s="22">
        <v>0.0</v>
      </c>
      <c r="G4639" s="22">
        <v>0.0</v>
      </c>
      <c r="H4639" s="22">
        <v>264.243</v>
      </c>
      <c r="I4639" s="22">
        <v>0.0</v>
      </c>
      <c r="J4639" s="22">
        <v>0.0</v>
      </c>
      <c r="K4639" s="22">
        <v>0.0</v>
      </c>
      <c r="L4639" s="22">
        <v>264.243</v>
      </c>
      <c r="M4639" s="22">
        <v>277.151</v>
      </c>
      <c r="N4639" s="22">
        <v>473.59</v>
      </c>
      <c r="O4639" s="24">
        <v>51.3</v>
      </c>
      <c r="P4639" s="18">
        <f t="shared" si="1"/>
        <v>264.243</v>
      </c>
    </row>
    <row r="4640" ht="15.75" customHeight="1">
      <c r="A4640" s="13" t="s">
        <v>251</v>
      </c>
      <c r="B4640" s="13" t="s">
        <v>61</v>
      </c>
      <c r="C4640" s="14" t="s">
        <v>90</v>
      </c>
      <c r="D4640" s="14" t="str">
        <f>VLOOKUP(C4640,'State Key'!$A$2:$B$210,2,False)</f>
        <v>Uttar Pradesh</v>
      </c>
      <c r="E4640" s="15">
        <v>1200.0</v>
      </c>
      <c r="F4640" s="16">
        <v>436.43663</v>
      </c>
      <c r="G4640" s="16">
        <v>0.0</v>
      </c>
      <c r="H4640" s="16">
        <v>0.0</v>
      </c>
      <c r="I4640" s="16">
        <v>0.0</v>
      </c>
      <c r="J4640" s="16">
        <v>0.0</v>
      </c>
      <c r="K4640" s="16">
        <v>0.0</v>
      </c>
      <c r="L4640" s="16">
        <v>436.43663</v>
      </c>
      <c r="M4640" s="16">
        <v>396.247</v>
      </c>
      <c r="N4640" s="16">
        <v>562.62</v>
      </c>
      <c r="O4640" s="24">
        <v>42.6</v>
      </c>
      <c r="P4640" s="18">
        <f t="shared" si="1"/>
        <v>436.43663</v>
      </c>
    </row>
    <row r="4641" ht="15.75" customHeight="1">
      <c r="A4641" s="19" t="s">
        <v>251</v>
      </c>
      <c r="B4641" s="19" t="s">
        <v>61</v>
      </c>
      <c r="C4641" s="20" t="s">
        <v>219</v>
      </c>
      <c r="D4641" s="14" t="str">
        <f>VLOOKUP(C4641,'State Key'!$A$2:$B$210,2,False)</f>
        <v>Rajasthan</v>
      </c>
      <c r="E4641" s="21">
        <v>300.0</v>
      </c>
      <c r="F4641" s="22">
        <v>0.0</v>
      </c>
      <c r="G4641" s="22">
        <v>0.0</v>
      </c>
      <c r="H4641" s="22">
        <v>0.0</v>
      </c>
      <c r="I4641" s="22">
        <v>0.0</v>
      </c>
      <c r="J4641" s="22">
        <v>76.69</v>
      </c>
      <c r="K4641" s="22">
        <v>0.0</v>
      </c>
      <c r="L4641" s="22">
        <v>76.69</v>
      </c>
      <c r="M4641" s="22">
        <v>76.69</v>
      </c>
      <c r="N4641" s="22">
        <v>0.0</v>
      </c>
      <c r="O4641" s="17">
        <v>0.0</v>
      </c>
      <c r="P4641" s="18">
        <f t="shared" si="1"/>
        <v>76.69</v>
      </c>
    </row>
    <row r="4642" ht="15.75" customHeight="1">
      <c r="A4642" s="13" t="s">
        <v>251</v>
      </c>
      <c r="B4642" s="13" t="s">
        <v>61</v>
      </c>
      <c r="C4642" s="14" t="s">
        <v>91</v>
      </c>
      <c r="D4642" s="14" t="str">
        <f>VLOOKUP(C4642,'State Key'!$A$2:$B$210,2,False)</f>
        <v>Uttar Pradesh</v>
      </c>
      <c r="E4642" s="15">
        <v>2000.0</v>
      </c>
      <c r="F4642" s="16">
        <v>910.12</v>
      </c>
      <c r="G4642" s="16">
        <v>0.0</v>
      </c>
      <c r="H4642" s="16">
        <v>0.0</v>
      </c>
      <c r="I4642" s="16">
        <v>0.0</v>
      </c>
      <c r="J4642" s="16">
        <v>0.0</v>
      </c>
      <c r="K4642" s="16">
        <v>0.0</v>
      </c>
      <c r="L4642" s="16">
        <v>910.12</v>
      </c>
      <c r="M4642" s="16">
        <v>893.037</v>
      </c>
      <c r="N4642" s="16">
        <v>569.39</v>
      </c>
      <c r="O4642" s="24">
        <v>19.1</v>
      </c>
      <c r="P4642" s="18">
        <f t="shared" si="1"/>
        <v>910.12</v>
      </c>
    </row>
    <row r="4643" ht="15.75" customHeight="1">
      <c r="A4643" s="19" t="s">
        <v>251</v>
      </c>
      <c r="B4643" s="19" t="s">
        <v>61</v>
      </c>
      <c r="C4643" s="20" t="s">
        <v>92</v>
      </c>
      <c r="D4643" s="14" t="str">
        <f>VLOOKUP(C4643,'State Key'!$A$2:$B$210,2,False)</f>
        <v>Rajasthan</v>
      </c>
      <c r="E4643" s="21">
        <v>1320.0</v>
      </c>
      <c r="F4643" s="22">
        <v>31.85774</v>
      </c>
      <c r="G4643" s="22">
        <v>0.0</v>
      </c>
      <c r="H4643" s="22">
        <v>288.69606</v>
      </c>
      <c r="I4643" s="22">
        <v>0.0</v>
      </c>
      <c r="J4643" s="22">
        <v>0.0</v>
      </c>
      <c r="K4643" s="22">
        <v>0.0</v>
      </c>
      <c r="L4643" s="22">
        <v>320.5538</v>
      </c>
      <c r="M4643" s="22">
        <v>398.71</v>
      </c>
      <c r="N4643" s="22">
        <v>407.5</v>
      </c>
      <c r="O4643" s="24">
        <v>30.7</v>
      </c>
      <c r="P4643" s="18">
        <f t="shared" si="1"/>
        <v>320.5538</v>
      </c>
    </row>
    <row r="4644" ht="15.75" customHeight="1">
      <c r="A4644" s="13" t="s">
        <v>251</v>
      </c>
      <c r="B4644" s="13" t="s">
        <v>61</v>
      </c>
      <c r="C4644" s="14" t="s">
        <v>93</v>
      </c>
      <c r="D4644" s="14" t="str">
        <f>VLOOKUP(C4644,'State Key'!$A$2:$B$210,2,False)</f>
        <v>Rajasthan</v>
      </c>
      <c r="E4644" s="15">
        <v>1500.0</v>
      </c>
      <c r="F4644" s="16">
        <v>355.134</v>
      </c>
      <c r="G4644" s="16">
        <v>0.0</v>
      </c>
      <c r="H4644" s="16">
        <v>0.0</v>
      </c>
      <c r="I4644" s="16">
        <v>0.0</v>
      </c>
      <c r="J4644" s="16">
        <v>0.0</v>
      </c>
      <c r="K4644" s="16">
        <v>0.0</v>
      </c>
      <c r="L4644" s="16">
        <v>355.134</v>
      </c>
      <c r="M4644" s="16">
        <v>322.57</v>
      </c>
      <c r="N4644" s="16">
        <v>539.05</v>
      </c>
      <c r="O4644" s="24">
        <v>50.1</v>
      </c>
      <c r="P4644" s="18">
        <f t="shared" si="1"/>
        <v>355.134</v>
      </c>
    </row>
    <row r="4645" ht="15.75" customHeight="1">
      <c r="A4645" s="19" t="s">
        <v>251</v>
      </c>
      <c r="B4645" s="19" t="s">
        <v>61</v>
      </c>
      <c r="C4645" s="20" t="s">
        <v>94</v>
      </c>
      <c r="D4645" s="14" t="str">
        <f>VLOOKUP(C4645,'State Key'!$A$2:$B$210,2,False)</f>
        <v>Punjab</v>
      </c>
      <c r="E4645" s="21">
        <v>1980.0</v>
      </c>
      <c r="F4645" s="22">
        <v>810.471</v>
      </c>
      <c r="G4645" s="22">
        <v>0.0</v>
      </c>
      <c r="H4645" s="22">
        <v>0.0</v>
      </c>
      <c r="I4645" s="22">
        <v>0.0</v>
      </c>
      <c r="J4645" s="22">
        <v>0.0</v>
      </c>
      <c r="K4645" s="22">
        <v>0.0</v>
      </c>
      <c r="L4645" s="22">
        <v>810.471</v>
      </c>
      <c r="M4645" s="22">
        <v>572.535</v>
      </c>
      <c r="N4645" s="22">
        <v>617.04</v>
      </c>
      <c r="O4645" s="24">
        <v>32.3</v>
      </c>
      <c r="P4645" s="18">
        <f t="shared" si="1"/>
        <v>810.471</v>
      </c>
    </row>
    <row r="4646" ht="15.75" customHeight="1">
      <c r="A4646" s="13" t="s">
        <v>251</v>
      </c>
      <c r="B4646" s="13" t="s">
        <v>61</v>
      </c>
      <c r="C4646" s="14" t="s">
        <v>95</v>
      </c>
      <c r="D4646" s="14" t="str">
        <f>VLOOKUP(C4646,'State Key'!$A$2:$B$210,2,False)</f>
        <v>Uttar Pradesh</v>
      </c>
      <c r="E4646" s="15">
        <v>1760.0</v>
      </c>
      <c r="F4646" s="16">
        <v>359.36</v>
      </c>
      <c r="G4646" s="16">
        <v>0.0</v>
      </c>
      <c r="H4646" s="16">
        <v>296.37</v>
      </c>
      <c r="I4646" s="16">
        <v>0.0</v>
      </c>
      <c r="J4646" s="16">
        <v>0.0</v>
      </c>
      <c r="K4646" s="16">
        <v>63.48</v>
      </c>
      <c r="L4646" s="16">
        <v>719.21</v>
      </c>
      <c r="M4646" s="16">
        <v>682.642</v>
      </c>
      <c r="N4646" s="16">
        <v>806.837</v>
      </c>
      <c r="O4646" s="24">
        <v>35.5</v>
      </c>
      <c r="P4646" s="18">
        <f t="shared" si="1"/>
        <v>719.21</v>
      </c>
    </row>
    <row r="4647" ht="15.75" customHeight="1">
      <c r="A4647" s="19" t="s">
        <v>251</v>
      </c>
      <c r="B4647" s="19" t="s">
        <v>61</v>
      </c>
      <c r="C4647" s="20" t="s">
        <v>96</v>
      </c>
      <c r="D4647" s="14" t="str">
        <f>VLOOKUP(C4647,'State Key'!$A$2:$B$210,2,False)</f>
        <v>Uttar Pradesh</v>
      </c>
      <c r="E4647" s="21">
        <v>1550.0</v>
      </c>
      <c r="F4647" s="22">
        <v>621.23</v>
      </c>
      <c r="G4647" s="22">
        <v>0.0</v>
      </c>
      <c r="H4647" s="22">
        <v>160.46</v>
      </c>
      <c r="I4647" s="22">
        <v>0.0</v>
      </c>
      <c r="J4647" s="22">
        <v>0.0</v>
      </c>
      <c r="K4647" s="22">
        <v>34.15</v>
      </c>
      <c r="L4647" s="22">
        <v>815.84</v>
      </c>
      <c r="M4647" s="22">
        <v>599.92</v>
      </c>
      <c r="N4647" s="22">
        <v>662.01</v>
      </c>
      <c r="O4647" s="24">
        <v>33.1</v>
      </c>
      <c r="P4647" s="18">
        <f t="shared" si="1"/>
        <v>815.84</v>
      </c>
    </row>
    <row r="4648" ht="15.75" customHeight="1">
      <c r="A4648" s="13" t="s">
        <v>251</v>
      </c>
      <c r="B4648" s="13" t="s">
        <v>61</v>
      </c>
      <c r="C4648" s="14" t="s">
        <v>97</v>
      </c>
      <c r="D4648" s="14" t="str">
        <f>VLOOKUP(C4648,'State Key'!$A$2:$B$210,2,False)</f>
        <v>Uttar Pradesh</v>
      </c>
      <c r="E4648" s="15">
        <v>90.0</v>
      </c>
      <c r="F4648" s="16">
        <v>23.33</v>
      </c>
      <c r="G4648" s="16">
        <v>0.0</v>
      </c>
      <c r="H4648" s="16">
        <v>0.0</v>
      </c>
      <c r="I4648" s="16">
        <v>0.0</v>
      </c>
      <c r="J4648" s="16">
        <v>0.0</v>
      </c>
      <c r="K4648" s="16">
        <v>0.0</v>
      </c>
      <c r="L4648" s="16">
        <v>23.33</v>
      </c>
      <c r="M4648" s="16">
        <v>23.337</v>
      </c>
      <c r="N4648" s="16">
        <v>74.1</v>
      </c>
      <c r="O4648" s="24">
        <v>95.3</v>
      </c>
      <c r="P4648" s="18">
        <f t="shared" si="1"/>
        <v>23.33</v>
      </c>
    </row>
    <row r="4649" ht="15.75" customHeight="1">
      <c r="A4649" s="19" t="s">
        <v>251</v>
      </c>
      <c r="B4649" s="19" t="s">
        <v>61</v>
      </c>
      <c r="C4649" s="20" t="s">
        <v>98</v>
      </c>
      <c r="D4649" s="14" t="str">
        <f>VLOOKUP(C4649,'State Key'!$A$2:$B$210,2,False)</f>
        <v>Haryana</v>
      </c>
      <c r="E4649" s="21">
        <v>600.0</v>
      </c>
      <c r="F4649" s="22">
        <v>262.457</v>
      </c>
      <c r="G4649" s="22">
        <v>0.0</v>
      </c>
      <c r="H4649" s="22">
        <v>0.0</v>
      </c>
      <c r="I4649" s="22">
        <v>0.0</v>
      </c>
      <c r="J4649" s="22">
        <v>0.0</v>
      </c>
      <c r="K4649" s="22">
        <v>0.0</v>
      </c>
      <c r="L4649" s="22">
        <v>262.457</v>
      </c>
      <c r="M4649" s="22">
        <v>229.568</v>
      </c>
      <c r="N4649" s="22">
        <v>227.36</v>
      </c>
      <c r="O4649" s="24">
        <v>29.7</v>
      </c>
      <c r="P4649" s="18">
        <f t="shared" si="1"/>
        <v>262.457</v>
      </c>
    </row>
    <row r="4650" ht="15.75" customHeight="1">
      <c r="A4650" s="13" t="s">
        <v>251</v>
      </c>
      <c r="B4650" s="13" t="s">
        <v>99</v>
      </c>
      <c r="C4650" s="14" t="s">
        <v>210</v>
      </c>
      <c r="D4650" s="14" t="str">
        <f>VLOOKUP(C4650,'State Key'!$A$2:$B$210,2,False)</f>
        <v>Karnataka</v>
      </c>
      <c r="E4650" s="15">
        <v>1200.0</v>
      </c>
      <c r="F4650" s="16">
        <v>0.0</v>
      </c>
      <c r="G4650" s="16">
        <v>0.0</v>
      </c>
      <c r="H4650" s="16">
        <v>0.0</v>
      </c>
      <c r="I4650" s="16">
        <v>0.0</v>
      </c>
      <c r="J4650" s="16">
        <v>290.151</v>
      </c>
      <c r="K4650" s="16">
        <v>0.0</v>
      </c>
      <c r="L4650" s="16">
        <v>290.151</v>
      </c>
      <c r="M4650" s="16">
        <v>137.383</v>
      </c>
      <c r="N4650" s="16">
        <v>265.98</v>
      </c>
      <c r="O4650" s="24">
        <v>58.1</v>
      </c>
      <c r="P4650" s="18">
        <f t="shared" si="1"/>
        <v>290.151</v>
      </c>
    </row>
    <row r="4651" ht="15.75" customHeight="1">
      <c r="A4651" s="19" t="s">
        <v>251</v>
      </c>
      <c r="B4651" s="19" t="s">
        <v>99</v>
      </c>
      <c r="C4651" s="20" t="s">
        <v>100</v>
      </c>
      <c r="D4651" s="14" t="str">
        <f>VLOOKUP(C4651,'State Key'!$A$2:$B$210,2,False)</f>
        <v>Karnataka</v>
      </c>
      <c r="E4651" s="21">
        <v>1700.0</v>
      </c>
      <c r="F4651" s="22">
        <v>173.67938</v>
      </c>
      <c r="G4651" s="22">
        <v>117.12572</v>
      </c>
      <c r="H4651" s="22">
        <v>386.66514</v>
      </c>
      <c r="I4651" s="22">
        <v>0.0</v>
      </c>
      <c r="J4651" s="22">
        <v>0.0</v>
      </c>
      <c r="K4651" s="22">
        <v>0.0</v>
      </c>
      <c r="L4651" s="22">
        <v>677.47024</v>
      </c>
      <c r="M4651" s="22">
        <v>496.06</v>
      </c>
      <c r="N4651" s="22">
        <v>480.3194</v>
      </c>
      <c r="O4651" s="24">
        <v>29.0</v>
      </c>
      <c r="P4651" s="18">
        <f t="shared" si="1"/>
        <v>677.47024</v>
      </c>
    </row>
    <row r="4652" ht="15.75" customHeight="1">
      <c r="A4652" s="13" t="s">
        <v>251</v>
      </c>
      <c r="B4652" s="13" t="s">
        <v>99</v>
      </c>
      <c r="C4652" s="14" t="s">
        <v>101</v>
      </c>
      <c r="D4652" s="14" t="str">
        <f>VLOOKUP(C4652,'State Key'!$A$2:$B$210,2,False)</f>
        <v>Telangana</v>
      </c>
      <c r="E4652" s="15">
        <v>1080.0</v>
      </c>
      <c r="F4652" s="16">
        <v>0.0</v>
      </c>
      <c r="G4652" s="16">
        <v>357.103</v>
      </c>
      <c r="H4652" s="16">
        <v>0.0</v>
      </c>
      <c r="I4652" s="16">
        <v>0.0</v>
      </c>
      <c r="J4652" s="16">
        <v>0.0</v>
      </c>
      <c r="K4652" s="16">
        <v>0.0</v>
      </c>
      <c r="L4652" s="16">
        <v>357.103</v>
      </c>
      <c r="M4652" s="16">
        <v>402.879</v>
      </c>
      <c r="N4652" s="16">
        <v>312.601</v>
      </c>
      <c r="O4652" s="24">
        <v>23.3</v>
      </c>
      <c r="P4652" s="18">
        <f t="shared" si="1"/>
        <v>357.103</v>
      </c>
    </row>
    <row r="4653" ht="15.75" customHeight="1">
      <c r="A4653" s="19" t="s">
        <v>251</v>
      </c>
      <c r="B4653" s="19" t="s">
        <v>99</v>
      </c>
      <c r="C4653" s="20" t="s">
        <v>102</v>
      </c>
      <c r="D4653" s="14" t="str">
        <f>VLOOKUP(C4653,'State Key'!$A$2:$B$210,2,False)</f>
        <v>Andhra Pradesh</v>
      </c>
      <c r="E4653" s="21">
        <v>2400.0</v>
      </c>
      <c r="F4653" s="22">
        <v>692.4673</v>
      </c>
      <c r="G4653" s="22">
        <v>0.0</v>
      </c>
      <c r="H4653" s="22">
        <v>0.0</v>
      </c>
      <c r="I4653" s="22">
        <v>0.0</v>
      </c>
      <c r="J4653" s="22">
        <v>0.0</v>
      </c>
      <c r="K4653" s="22">
        <v>0.0</v>
      </c>
      <c r="L4653" s="22">
        <v>692.4673</v>
      </c>
      <c r="M4653" s="22">
        <v>728.081</v>
      </c>
      <c r="N4653" s="22">
        <v>49.55</v>
      </c>
      <c r="O4653" s="17">
        <v>2.0</v>
      </c>
      <c r="P4653" s="18">
        <f t="shared" si="1"/>
        <v>692.4673</v>
      </c>
    </row>
    <row r="4654" ht="15.75" customHeight="1">
      <c r="A4654" s="13" t="s">
        <v>251</v>
      </c>
      <c r="B4654" s="13" t="s">
        <v>99</v>
      </c>
      <c r="C4654" s="14" t="s">
        <v>103</v>
      </c>
      <c r="D4654" s="14" t="str">
        <f>VLOOKUP(C4654,'State Key'!$A$2:$B$210,2,False)</f>
        <v>Andhra Pradesh</v>
      </c>
      <c r="E4654" s="15">
        <v>2560.0</v>
      </c>
      <c r="F4654" s="16">
        <v>746.844</v>
      </c>
      <c r="G4654" s="16">
        <v>223.12</v>
      </c>
      <c r="H4654" s="16">
        <v>0.0</v>
      </c>
      <c r="I4654" s="16">
        <v>0.0</v>
      </c>
      <c r="J4654" s="16">
        <v>0.0</v>
      </c>
      <c r="K4654" s="16">
        <v>0.0</v>
      </c>
      <c r="L4654" s="16">
        <v>969.964</v>
      </c>
      <c r="M4654" s="16">
        <v>835.553</v>
      </c>
      <c r="N4654" s="16">
        <v>507.48</v>
      </c>
      <c r="O4654" s="24">
        <v>18.2</v>
      </c>
      <c r="P4654" s="18">
        <f t="shared" si="1"/>
        <v>969.964</v>
      </c>
    </row>
    <row r="4655" ht="15.75" customHeight="1">
      <c r="A4655" s="19" t="s">
        <v>251</v>
      </c>
      <c r="B4655" s="19" t="s">
        <v>99</v>
      </c>
      <c r="C4655" s="20" t="s">
        <v>104</v>
      </c>
      <c r="D4655" s="14" t="str">
        <f>VLOOKUP(C4655,'State Key'!$A$2:$B$210,2,False)</f>
        <v>Tamil Nadu</v>
      </c>
      <c r="E4655" s="21">
        <v>1200.0</v>
      </c>
      <c r="F4655" s="22">
        <v>0.0</v>
      </c>
      <c r="G4655" s="22">
        <v>0.0</v>
      </c>
      <c r="H4655" s="22">
        <v>0.0</v>
      </c>
      <c r="I4655" s="22">
        <v>0.0</v>
      </c>
      <c r="J4655" s="22">
        <v>419.869</v>
      </c>
      <c r="K4655" s="22">
        <v>0.0</v>
      </c>
      <c r="L4655" s="22">
        <v>419.869</v>
      </c>
      <c r="M4655" s="22">
        <v>366.221</v>
      </c>
      <c r="N4655" s="22">
        <v>308.66</v>
      </c>
      <c r="O4655" s="24">
        <v>25.3</v>
      </c>
      <c r="P4655" s="18">
        <f t="shared" si="1"/>
        <v>419.869</v>
      </c>
    </row>
    <row r="4656" ht="15.75" customHeight="1">
      <c r="A4656" s="13" t="s">
        <v>251</v>
      </c>
      <c r="B4656" s="13" t="s">
        <v>99</v>
      </c>
      <c r="C4656" s="14" t="s">
        <v>105</v>
      </c>
      <c r="D4656" s="14" t="str">
        <f>VLOOKUP(C4656,'State Key'!$A$2:$B$210,2,False)</f>
        <v>Telangana</v>
      </c>
      <c r="E4656" s="15">
        <v>1100.0</v>
      </c>
      <c r="F4656" s="16">
        <v>0.0</v>
      </c>
      <c r="G4656" s="16">
        <v>144.856</v>
      </c>
      <c r="H4656" s="16">
        <v>208.089</v>
      </c>
      <c r="I4656" s="16">
        <v>0.0</v>
      </c>
      <c r="J4656" s="16">
        <v>0.0</v>
      </c>
      <c r="K4656" s="16">
        <v>0.0</v>
      </c>
      <c r="L4656" s="16">
        <v>352.945</v>
      </c>
      <c r="M4656" s="16">
        <v>337.254</v>
      </c>
      <c r="N4656" s="16">
        <v>337.23</v>
      </c>
      <c r="O4656" s="24">
        <v>30.0</v>
      </c>
      <c r="P4656" s="18">
        <f t="shared" si="1"/>
        <v>352.945</v>
      </c>
    </row>
    <row r="4657" ht="15.75" customHeight="1">
      <c r="A4657" s="19" t="s">
        <v>251</v>
      </c>
      <c r="B4657" s="19" t="s">
        <v>99</v>
      </c>
      <c r="C4657" s="20" t="s">
        <v>106</v>
      </c>
      <c r="D4657" s="14" t="str">
        <f>VLOOKUP(C4657,'State Key'!$A$2:$B$210,2,False)</f>
        <v>Telangana</v>
      </c>
      <c r="E4657" s="21">
        <v>1000.0</v>
      </c>
      <c r="F4657" s="22">
        <v>0.0</v>
      </c>
      <c r="G4657" s="22">
        <v>377.15</v>
      </c>
      <c r="H4657" s="22">
        <v>0.0</v>
      </c>
      <c r="I4657" s="22">
        <v>0.0</v>
      </c>
      <c r="J4657" s="22">
        <v>0.0</v>
      </c>
      <c r="K4657" s="22">
        <v>0.0</v>
      </c>
      <c r="L4657" s="22">
        <v>377.15</v>
      </c>
      <c r="M4657" s="22">
        <v>369.15</v>
      </c>
      <c r="N4657" s="22">
        <v>349.403</v>
      </c>
      <c r="O4657" s="24">
        <v>28.4</v>
      </c>
      <c r="P4657" s="18">
        <f t="shared" si="1"/>
        <v>377.15</v>
      </c>
    </row>
    <row r="4658" ht="15.75" customHeight="1">
      <c r="A4658" s="13" t="s">
        <v>251</v>
      </c>
      <c r="B4658" s="13" t="s">
        <v>99</v>
      </c>
      <c r="C4658" s="14" t="s">
        <v>107</v>
      </c>
      <c r="D4658" s="14" t="str">
        <f>VLOOKUP(C4658,'State Key'!$A$2:$B$210,2,False)</f>
        <v>Telangana</v>
      </c>
      <c r="E4658" s="15">
        <v>800.0</v>
      </c>
      <c r="F4658" s="16">
        <v>0.0</v>
      </c>
      <c r="G4658" s="16">
        <v>209.701</v>
      </c>
      <c r="H4658" s="16">
        <v>0.0</v>
      </c>
      <c r="I4658" s="16">
        <v>0.0</v>
      </c>
      <c r="J4658" s="16">
        <v>0.0</v>
      </c>
      <c r="K4658" s="16">
        <v>0.0</v>
      </c>
      <c r="L4658" s="16">
        <v>209.701</v>
      </c>
      <c r="M4658" s="16">
        <v>246.942</v>
      </c>
      <c r="N4658" s="16">
        <v>155.663</v>
      </c>
      <c r="O4658" s="24">
        <v>18.9</v>
      </c>
      <c r="P4658" s="18">
        <f t="shared" si="1"/>
        <v>209.701</v>
      </c>
    </row>
    <row r="4659" ht="15.75" customHeight="1">
      <c r="A4659" s="19" t="s">
        <v>251</v>
      </c>
      <c r="B4659" s="19" t="s">
        <v>99</v>
      </c>
      <c r="C4659" s="20" t="s">
        <v>108</v>
      </c>
      <c r="D4659" s="14" t="str">
        <f>VLOOKUP(C4659,'State Key'!$A$2:$B$210,2,False)</f>
        <v>Karnataka</v>
      </c>
      <c r="E4659" s="21">
        <v>2400.0</v>
      </c>
      <c r="F4659" s="22">
        <v>323.06</v>
      </c>
      <c r="G4659" s="22">
        <v>243.77</v>
      </c>
      <c r="H4659" s="22">
        <v>43.62</v>
      </c>
      <c r="I4659" s="22">
        <v>0.0</v>
      </c>
      <c r="J4659" s="22">
        <v>0.0</v>
      </c>
      <c r="K4659" s="22">
        <v>128.83</v>
      </c>
      <c r="L4659" s="22">
        <v>739.28</v>
      </c>
      <c r="M4659" s="22">
        <v>700.394</v>
      </c>
      <c r="N4659" s="22">
        <v>320.192</v>
      </c>
      <c r="O4659" s="23">
        <v>13.7</v>
      </c>
      <c r="P4659" s="18">
        <f t="shared" si="1"/>
        <v>739.28</v>
      </c>
    </row>
    <row r="4660" ht="15.75" customHeight="1">
      <c r="A4660" s="13" t="s">
        <v>251</v>
      </c>
      <c r="B4660" s="13" t="s">
        <v>99</v>
      </c>
      <c r="C4660" s="14" t="s">
        <v>109</v>
      </c>
      <c r="D4660" s="14" t="str">
        <f>VLOOKUP(C4660,'State Key'!$A$2:$B$210,2,False)</f>
        <v>Tamil Nadu</v>
      </c>
      <c r="E4660" s="15">
        <v>840.0</v>
      </c>
      <c r="F4660" s="16">
        <v>301.6937</v>
      </c>
      <c r="G4660" s="16">
        <v>0.0</v>
      </c>
      <c r="H4660" s="16">
        <v>0.0</v>
      </c>
      <c r="I4660" s="16">
        <v>0.0</v>
      </c>
      <c r="J4660" s="16">
        <v>0.0</v>
      </c>
      <c r="K4660" s="16">
        <v>0.0</v>
      </c>
      <c r="L4660" s="16">
        <v>301.6937</v>
      </c>
      <c r="M4660" s="16">
        <v>248.8358</v>
      </c>
      <c r="N4660" s="16">
        <v>261.439</v>
      </c>
      <c r="O4660" s="24">
        <v>31.5</v>
      </c>
      <c r="P4660" s="18">
        <f t="shared" si="1"/>
        <v>301.6937</v>
      </c>
    </row>
    <row r="4661" ht="15.75" customHeight="1">
      <c r="A4661" s="19" t="s">
        <v>251</v>
      </c>
      <c r="B4661" s="19" t="s">
        <v>99</v>
      </c>
      <c r="C4661" s="20" t="s">
        <v>110</v>
      </c>
      <c r="D4661" s="14" t="str">
        <f>VLOOKUP(C4661,'State Key'!$A$2:$B$210,2,False)</f>
        <v>Tamil Nadu</v>
      </c>
      <c r="E4661" s="21">
        <v>600.0</v>
      </c>
      <c r="F4661" s="22">
        <v>203.46</v>
      </c>
      <c r="G4661" s="22">
        <v>0.0</v>
      </c>
      <c r="H4661" s="22">
        <v>0.0</v>
      </c>
      <c r="I4661" s="22">
        <v>0.0</v>
      </c>
      <c r="J4661" s="22">
        <v>0.0</v>
      </c>
      <c r="K4661" s="22">
        <v>0.0</v>
      </c>
      <c r="L4661" s="22">
        <v>203.46</v>
      </c>
      <c r="M4661" s="22">
        <v>233.0</v>
      </c>
      <c r="N4661" s="22">
        <v>148.97</v>
      </c>
      <c r="O4661" s="24">
        <v>19.2</v>
      </c>
      <c r="P4661" s="18">
        <f t="shared" si="1"/>
        <v>203.46</v>
      </c>
    </row>
    <row r="4662" ht="15.75" customHeight="1">
      <c r="A4662" s="13" t="s">
        <v>251</v>
      </c>
      <c r="B4662" s="13" t="s">
        <v>99</v>
      </c>
      <c r="C4662" s="14" t="s">
        <v>111</v>
      </c>
      <c r="D4662" s="14" t="str">
        <f>VLOOKUP(C4662,'State Key'!$A$2:$B$210,2,False)</f>
        <v>Tamil Nadu</v>
      </c>
      <c r="E4662" s="15">
        <v>1200.0</v>
      </c>
      <c r="F4662" s="16">
        <v>147.575</v>
      </c>
      <c r="G4662" s="16">
        <v>0.0</v>
      </c>
      <c r="H4662" s="16">
        <v>0.0</v>
      </c>
      <c r="I4662" s="16">
        <v>0.0</v>
      </c>
      <c r="J4662" s="16">
        <v>131.849</v>
      </c>
      <c r="K4662" s="16">
        <v>0.0</v>
      </c>
      <c r="L4662" s="16">
        <v>279.424</v>
      </c>
      <c r="M4662" s="16">
        <v>164.462</v>
      </c>
      <c r="N4662" s="16">
        <v>319.76</v>
      </c>
      <c r="O4662" s="24">
        <v>58.3</v>
      </c>
      <c r="P4662" s="18">
        <f t="shared" si="1"/>
        <v>279.424</v>
      </c>
    </row>
    <row r="4663" ht="15.75" customHeight="1">
      <c r="A4663" s="19" t="s">
        <v>251</v>
      </c>
      <c r="B4663" s="19" t="s">
        <v>99</v>
      </c>
      <c r="C4663" s="20" t="s">
        <v>112</v>
      </c>
      <c r="D4663" s="14" t="str">
        <f>VLOOKUP(C4663,'State Key'!$A$2:$B$210,2,False)</f>
        <v>Tamil Nadu</v>
      </c>
      <c r="E4663" s="21">
        <v>1830.0</v>
      </c>
      <c r="F4663" s="22">
        <v>358.945</v>
      </c>
      <c r="G4663" s="22">
        <v>0.0</v>
      </c>
      <c r="H4663" s="22">
        <v>0.0</v>
      </c>
      <c r="I4663" s="22">
        <v>0.0</v>
      </c>
      <c r="J4663" s="22">
        <v>0.0</v>
      </c>
      <c r="K4663" s="22">
        <v>0.0</v>
      </c>
      <c r="L4663" s="22">
        <v>358.945</v>
      </c>
      <c r="M4663" s="22">
        <v>409.006</v>
      </c>
      <c r="N4663" s="22">
        <v>435.883</v>
      </c>
      <c r="O4663" s="24">
        <v>32.0</v>
      </c>
      <c r="P4663" s="18">
        <f t="shared" si="1"/>
        <v>358.945</v>
      </c>
    </row>
    <row r="4664" ht="15.75" customHeight="1">
      <c r="A4664" s="13" t="s">
        <v>251</v>
      </c>
      <c r="B4664" s="13" t="s">
        <v>99</v>
      </c>
      <c r="C4664" s="14" t="s">
        <v>113</v>
      </c>
      <c r="D4664" s="14" t="str">
        <f>VLOOKUP(C4664,'State Key'!$A$2:$B$210,2,False)</f>
        <v>Tamil Nadu</v>
      </c>
      <c r="E4664" s="15">
        <v>1000.0</v>
      </c>
      <c r="F4664" s="16">
        <v>0.0</v>
      </c>
      <c r="G4664" s="16">
        <v>0.0</v>
      </c>
      <c r="H4664" s="16">
        <v>152.282</v>
      </c>
      <c r="I4664" s="16">
        <v>0.0</v>
      </c>
      <c r="J4664" s="16">
        <v>75.25</v>
      </c>
      <c r="K4664" s="16">
        <v>0.0</v>
      </c>
      <c r="L4664" s="16">
        <v>227.532</v>
      </c>
      <c r="M4664" s="16">
        <v>186.4109</v>
      </c>
      <c r="N4664" s="16">
        <v>181.01</v>
      </c>
      <c r="O4664" s="24">
        <v>29.1</v>
      </c>
      <c r="P4664" s="18">
        <f t="shared" si="1"/>
        <v>227.532</v>
      </c>
    </row>
    <row r="4665" ht="15.75" customHeight="1">
      <c r="A4665" s="19" t="s">
        <v>251</v>
      </c>
      <c r="B4665" s="19" t="s">
        <v>99</v>
      </c>
      <c r="C4665" s="20" t="s">
        <v>228</v>
      </c>
      <c r="D4665" s="14" t="str">
        <f>VLOOKUP(C4665,'State Key'!$A$2:$B$210,2,False)</f>
        <v>Tamil Nadu</v>
      </c>
      <c r="E4665" s="21">
        <v>414.0</v>
      </c>
      <c r="F4665" s="22">
        <v>14.441</v>
      </c>
      <c r="G4665" s="22">
        <v>0.0</v>
      </c>
      <c r="H4665" s="22">
        <v>0.0</v>
      </c>
      <c r="I4665" s="22">
        <v>0.0</v>
      </c>
      <c r="J4665" s="22">
        <v>0.0</v>
      </c>
      <c r="K4665" s="22">
        <v>142.424</v>
      </c>
      <c r="L4665" s="22">
        <v>156.865</v>
      </c>
      <c r="M4665" s="22">
        <v>182.642</v>
      </c>
      <c r="N4665" s="22">
        <v>137.17</v>
      </c>
      <c r="O4665" s="24">
        <v>22.5</v>
      </c>
      <c r="P4665" s="18">
        <f t="shared" si="1"/>
        <v>156.865</v>
      </c>
    </row>
    <row r="4666" ht="15.75" customHeight="1">
      <c r="A4666" s="13" t="s">
        <v>251</v>
      </c>
      <c r="B4666" s="13" t="s">
        <v>99</v>
      </c>
      <c r="C4666" s="14" t="s">
        <v>114</v>
      </c>
      <c r="D4666" s="14" t="str">
        <f>VLOOKUP(C4666,'State Key'!$A$2:$B$210,2,False)</f>
        <v>Andhra Pradesh</v>
      </c>
      <c r="E4666" s="15">
        <v>1320.0</v>
      </c>
      <c r="F4666" s="16">
        <v>399.84</v>
      </c>
      <c r="G4666" s="16">
        <v>0.0</v>
      </c>
      <c r="H4666" s="16">
        <v>0.0</v>
      </c>
      <c r="I4666" s="16">
        <v>0.0</v>
      </c>
      <c r="J4666" s="16">
        <v>217.304</v>
      </c>
      <c r="K4666" s="16">
        <v>0.0</v>
      </c>
      <c r="L4666" s="16">
        <v>617.144</v>
      </c>
      <c r="M4666" s="16">
        <v>475.228</v>
      </c>
      <c r="N4666" s="16">
        <v>350.74</v>
      </c>
      <c r="O4666" s="24">
        <v>22.1</v>
      </c>
      <c r="P4666" s="18">
        <f t="shared" si="1"/>
        <v>617.144</v>
      </c>
    </row>
    <row r="4667" ht="15.75" customHeight="1">
      <c r="A4667" s="19" t="s">
        <v>251</v>
      </c>
      <c r="B4667" s="19" t="s">
        <v>99</v>
      </c>
      <c r="C4667" s="20" t="s">
        <v>115</v>
      </c>
      <c r="D4667" s="14" t="str">
        <f>VLOOKUP(C4667,'State Key'!$A$2:$B$210,2,False)</f>
        <v>Karnataka</v>
      </c>
      <c r="E4667" s="21">
        <v>1720.0</v>
      </c>
      <c r="F4667" s="22">
        <v>263.524</v>
      </c>
      <c r="G4667" s="22">
        <v>279.327</v>
      </c>
      <c r="H4667" s="22">
        <v>0.0</v>
      </c>
      <c r="I4667" s="22">
        <v>0.0</v>
      </c>
      <c r="J4667" s="22">
        <v>0.0</v>
      </c>
      <c r="K4667" s="22">
        <v>0.0</v>
      </c>
      <c r="L4667" s="22">
        <v>542.851</v>
      </c>
      <c r="M4667" s="22">
        <v>425.55</v>
      </c>
      <c r="N4667" s="22">
        <v>766.44</v>
      </c>
      <c r="O4667" s="24">
        <v>54.0</v>
      </c>
      <c r="P4667" s="18">
        <f t="shared" si="1"/>
        <v>542.851</v>
      </c>
    </row>
    <row r="4668" ht="15.75" customHeight="1">
      <c r="A4668" s="13" t="s">
        <v>251</v>
      </c>
      <c r="B4668" s="13" t="s">
        <v>99</v>
      </c>
      <c r="C4668" s="14" t="s">
        <v>116</v>
      </c>
      <c r="D4668" s="14" t="str">
        <f>VLOOKUP(C4668,'State Key'!$A$2:$B$210,2,False)</f>
        <v>Telangana</v>
      </c>
      <c r="E4668" s="15">
        <v>2600.0</v>
      </c>
      <c r="F4668" s="16">
        <v>0.0</v>
      </c>
      <c r="G4668" s="16">
        <v>901.89</v>
      </c>
      <c r="H4668" s="16">
        <v>0.0</v>
      </c>
      <c r="I4668" s="16">
        <v>0.0</v>
      </c>
      <c r="J4668" s="16">
        <v>0.0</v>
      </c>
      <c r="K4668" s="16">
        <v>0.0</v>
      </c>
      <c r="L4668" s="16">
        <v>901.89</v>
      </c>
      <c r="M4668" s="16">
        <v>836.394</v>
      </c>
      <c r="N4668" s="16">
        <v>856.801</v>
      </c>
      <c r="O4668" s="24">
        <v>30.7</v>
      </c>
      <c r="P4668" s="18">
        <f t="shared" si="1"/>
        <v>901.89</v>
      </c>
    </row>
    <row r="4669" ht="15.75" customHeight="1">
      <c r="A4669" s="19" t="s">
        <v>251</v>
      </c>
      <c r="B4669" s="19" t="s">
        <v>99</v>
      </c>
      <c r="C4669" s="20" t="s">
        <v>117</v>
      </c>
      <c r="D4669" s="14" t="str">
        <f>VLOOKUP(C4669,'State Key'!$A$2:$B$210,2,False)</f>
        <v>Telangana</v>
      </c>
      <c r="E4669" s="21">
        <v>62.5</v>
      </c>
      <c r="F4669" s="22">
        <v>0.0</v>
      </c>
      <c r="G4669" s="22">
        <v>0.0</v>
      </c>
      <c r="H4669" s="22">
        <v>0.0</v>
      </c>
      <c r="I4669" s="22">
        <v>0.0</v>
      </c>
      <c r="J4669" s="22">
        <v>0.0</v>
      </c>
      <c r="K4669" s="22">
        <v>0.0</v>
      </c>
      <c r="L4669" s="22">
        <v>0.0</v>
      </c>
      <c r="M4669" s="22">
        <v>0.0</v>
      </c>
      <c r="N4669" s="22">
        <v>3.72</v>
      </c>
      <c r="O4669" s="19" t="s">
        <v>58</v>
      </c>
      <c r="P4669" s="18">
        <f t="shared" si="1"/>
        <v>0</v>
      </c>
    </row>
    <row r="4670" ht="15.75" customHeight="1">
      <c r="A4670" s="13" t="s">
        <v>251</v>
      </c>
      <c r="B4670" s="13" t="s">
        <v>99</v>
      </c>
      <c r="C4670" s="14" t="s">
        <v>118</v>
      </c>
      <c r="D4670" s="14" t="str">
        <f>VLOOKUP(C4670,'State Key'!$A$2:$B$210,2,False)</f>
        <v>Andhra Pradesh</v>
      </c>
      <c r="E4670" s="15">
        <v>1650.0</v>
      </c>
      <c r="F4670" s="16">
        <v>381.078</v>
      </c>
      <c r="G4670" s="16">
        <v>228.058</v>
      </c>
      <c r="H4670" s="16">
        <v>0.0</v>
      </c>
      <c r="I4670" s="16">
        <v>0.0</v>
      </c>
      <c r="J4670" s="16">
        <v>0.0</v>
      </c>
      <c r="K4670" s="16">
        <v>0.0</v>
      </c>
      <c r="L4670" s="16">
        <v>609.136</v>
      </c>
      <c r="M4670" s="16">
        <v>614.911</v>
      </c>
      <c r="N4670" s="16">
        <v>85.53</v>
      </c>
      <c r="O4670" s="17">
        <v>4.2</v>
      </c>
      <c r="P4670" s="18">
        <f t="shared" si="1"/>
        <v>609.136</v>
      </c>
    </row>
    <row r="4671" ht="15.75" customHeight="1">
      <c r="A4671" s="19" t="s">
        <v>251</v>
      </c>
      <c r="B4671" s="19" t="s">
        <v>99</v>
      </c>
      <c r="C4671" s="20" t="s">
        <v>119</v>
      </c>
      <c r="D4671" s="14" t="str">
        <f>VLOOKUP(C4671,'State Key'!$A$2:$B$210,2,False)</f>
        <v>Andhra Pradesh</v>
      </c>
      <c r="E4671" s="21">
        <v>1320.0</v>
      </c>
      <c r="F4671" s="22">
        <v>280.875</v>
      </c>
      <c r="G4671" s="22">
        <v>0.0</v>
      </c>
      <c r="H4671" s="22">
        <v>0.0</v>
      </c>
      <c r="I4671" s="22">
        <v>0.0</v>
      </c>
      <c r="J4671" s="22">
        <v>367.217</v>
      </c>
      <c r="K4671" s="22">
        <v>0.0</v>
      </c>
      <c r="L4671" s="22">
        <v>648.092</v>
      </c>
      <c r="M4671" s="22">
        <v>528.0841</v>
      </c>
      <c r="N4671" s="22">
        <v>409.62</v>
      </c>
      <c r="O4671" s="24">
        <v>23.3</v>
      </c>
      <c r="P4671" s="18">
        <f t="shared" si="1"/>
        <v>648.092</v>
      </c>
    </row>
    <row r="4672" ht="15.75" customHeight="1">
      <c r="A4672" s="13" t="s">
        <v>251</v>
      </c>
      <c r="B4672" s="13" t="s">
        <v>99</v>
      </c>
      <c r="C4672" s="14" t="s">
        <v>120</v>
      </c>
      <c r="D4672" s="14" t="str">
        <f>VLOOKUP(C4672,'State Key'!$A$2:$B$210,2,False)</f>
        <v>Andhra Pradesh</v>
      </c>
      <c r="E4672" s="15">
        <v>2000.0</v>
      </c>
      <c r="F4672" s="16">
        <v>660.53</v>
      </c>
      <c r="G4672" s="16">
        <v>73.69</v>
      </c>
      <c r="H4672" s="16">
        <v>40.34</v>
      </c>
      <c r="I4672" s="16">
        <v>0.0</v>
      </c>
      <c r="J4672" s="16">
        <v>0.0</v>
      </c>
      <c r="K4672" s="16">
        <v>95.96</v>
      </c>
      <c r="L4672" s="16">
        <v>870.52</v>
      </c>
      <c r="M4672" s="16">
        <v>772.413</v>
      </c>
      <c r="N4672" s="16">
        <v>341.033</v>
      </c>
      <c r="O4672" s="23">
        <v>13.2</v>
      </c>
      <c r="P4672" s="18">
        <f t="shared" si="1"/>
        <v>870.52</v>
      </c>
    </row>
    <row r="4673" ht="15.75" customHeight="1">
      <c r="A4673" s="19" t="s">
        <v>251</v>
      </c>
      <c r="B4673" s="19" t="s">
        <v>99</v>
      </c>
      <c r="C4673" s="20" t="s">
        <v>121</v>
      </c>
      <c r="D4673" s="14" t="str">
        <f>VLOOKUP(C4673,'State Key'!$A$2:$B$210,2,False)</f>
        <v>Andhra Pradesh</v>
      </c>
      <c r="E4673" s="21">
        <v>600.0</v>
      </c>
      <c r="F4673" s="22">
        <v>0.0</v>
      </c>
      <c r="G4673" s="22">
        <v>0.0</v>
      </c>
      <c r="H4673" s="22">
        <v>0.0</v>
      </c>
      <c r="I4673" s="22">
        <v>0.0</v>
      </c>
      <c r="J4673" s="22">
        <v>217.046</v>
      </c>
      <c r="K4673" s="22">
        <v>0.0</v>
      </c>
      <c r="L4673" s="22">
        <v>217.046</v>
      </c>
      <c r="M4673" s="22">
        <v>184.865</v>
      </c>
      <c r="N4673" s="22">
        <v>124.186</v>
      </c>
      <c r="O4673" s="24">
        <v>20.2</v>
      </c>
      <c r="P4673" s="18">
        <f t="shared" si="1"/>
        <v>217.046</v>
      </c>
    </row>
    <row r="4674" ht="15.75" customHeight="1">
      <c r="A4674" s="13" t="s">
        <v>251</v>
      </c>
      <c r="B4674" s="13" t="s">
        <v>99</v>
      </c>
      <c r="C4674" s="14" t="s">
        <v>122</v>
      </c>
      <c r="D4674" s="14" t="str">
        <f>VLOOKUP(C4674,'State Key'!$A$2:$B$210,2,False)</f>
        <v>Telangana</v>
      </c>
      <c r="E4674" s="15">
        <v>1200.0</v>
      </c>
      <c r="F4674" s="16">
        <v>0.0</v>
      </c>
      <c r="G4674" s="16">
        <v>389.301</v>
      </c>
      <c r="H4674" s="16">
        <v>0.0</v>
      </c>
      <c r="I4674" s="16">
        <v>0.0</v>
      </c>
      <c r="J4674" s="16">
        <v>0.0</v>
      </c>
      <c r="K4674" s="16">
        <v>0.0</v>
      </c>
      <c r="L4674" s="16">
        <v>389.301</v>
      </c>
      <c r="M4674" s="16">
        <v>394.945</v>
      </c>
      <c r="N4674" s="16">
        <v>302.82</v>
      </c>
      <c r="O4674" s="24">
        <v>23.0</v>
      </c>
      <c r="P4674" s="18">
        <f t="shared" si="1"/>
        <v>389.301</v>
      </c>
    </row>
    <row r="4675" ht="15.75" customHeight="1">
      <c r="A4675" s="19" t="s">
        <v>251</v>
      </c>
      <c r="B4675" s="19" t="s">
        <v>99</v>
      </c>
      <c r="C4675" s="20" t="s">
        <v>243</v>
      </c>
      <c r="D4675" s="14" t="str">
        <f>VLOOKUP(C4675,'State Key'!$A$2:$B$210,2,False)</f>
        <v>Tamil Nadu</v>
      </c>
      <c r="E4675" s="21">
        <v>63.5</v>
      </c>
      <c r="F4675" s="22">
        <v>0.0</v>
      </c>
      <c r="G4675" s="22">
        <v>0.0</v>
      </c>
      <c r="H4675" s="22">
        <v>0.0</v>
      </c>
      <c r="I4675" s="22">
        <v>0.0</v>
      </c>
      <c r="J4675" s="22">
        <v>0.0</v>
      </c>
      <c r="K4675" s="22">
        <v>0.0</v>
      </c>
      <c r="L4675" s="22">
        <v>0.0</v>
      </c>
      <c r="M4675" s="22">
        <v>0.0</v>
      </c>
      <c r="N4675" s="22">
        <v>0.0</v>
      </c>
      <c r="O4675" s="19" t="s">
        <v>58</v>
      </c>
      <c r="P4675" s="18">
        <f t="shared" si="1"/>
        <v>0</v>
      </c>
    </row>
    <row r="4676" ht="15.75" customHeight="1">
      <c r="A4676" s="13" t="s">
        <v>251</v>
      </c>
      <c r="B4676" s="13" t="s">
        <v>99</v>
      </c>
      <c r="C4676" s="14" t="s">
        <v>220</v>
      </c>
      <c r="D4676" s="14" t="str">
        <f>VLOOKUP(C4676,'State Key'!$A$2:$B$210,2,False)</f>
        <v>Telangana</v>
      </c>
      <c r="E4676" s="15">
        <v>1600.0</v>
      </c>
      <c r="F4676" s="16">
        <v>15.67</v>
      </c>
      <c r="G4676" s="16">
        <v>333.25</v>
      </c>
      <c r="H4676" s="16">
        <v>0.0</v>
      </c>
      <c r="I4676" s="16">
        <v>0.0</v>
      </c>
      <c r="J4676" s="16">
        <v>0.0</v>
      </c>
      <c r="K4676" s="16">
        <v>71.41</v>
      </c>
      <c r="L4676" s="16">
        <v>420.33</v>
      </c>
      <c r="M4676" s="16">
        <v>519.596</v>
      </c>
      <c r="N4676" s="16">
        <v>524.588</v>
      </c>
      <c r="O4676" s="24">
        <v>30.3</v>
      </c>
      <c r="P4676" s="18">
        <f t="shared" si="1"/>
        <v>420.33</v>
      </c>
    </row>
    <row r="4677" ht="15.75" customHeight="1">
      <c r="A4677" s="19" t="s">
        <v>251</v>
      </c>
      <c r="B4677" s="19" t="s">
        <v>99</v>
      </c>
      <c r="C4677" s="20" t="s">
        <v>123</v>
      </c>
      <c r="D4677" s="14" t="str">
        <f>VLOOKUP(C4677,'State Key'!$A$2:$B$210,2,False)</f>
        <v>Andhra Pradesh</v>
      </c>
      <c r="E4677" s="21">
        <v>300.0</v>
      </c>
      <c r="F4677" s="22">
        <v>0.0</v>
      </c>
      <c r="G4677" s="22">
        <v>0.0</v>
      </c>
      <c r="H4677" s="22">
        <v>0.0</v>
      </c>
      <c r="I4677" s="22">
        <v>0.0</v>
      </c>
      <c r="J4677" s="22">
        <v>0.0</v>
      </c>
      <c r="K4677" s="22">
        <v>0.0</v>
      </c>
      <c r="L4677" s="22">
        <v>0.0</v>
      </c>
      <c r="M4677" s="22">
        <v>0.0</v>
      </c>
      <c r="N4677" s="22">
        <v>0.0</v>
      </c>
      <c r="O4677" s="19" t="s">
        <v>58</v>
      </c>
      <c r="P4677" s="18">
        <f t="shared" si="1"/>
        <v>0</v>
      </c>
    </row>
    <row r="4678" ht="15.75" customHeight="1">
      <c r="A4678" s="13" t="s">
        <v>251</v>
      </c>
      <c r="B4678" s="13" t="s">
        <v>99</v>
      </c>
      <c r="C4678" s="14" t="s">
        <v>124</v>
      </c>
      <c r="D4678" s="14" t="str">
        <f>VLOOKUP(C4678,'State Key'!$A$2:$B$210,2,False)</f>
        <v>Karnataka</v>
      </c>
      <c r="E4678" s="15">
        <v>260.0</v>
      </c>
      <c r="F4678" s="16">
        <v>0.0</v>
      </c>
      <c r="G4678" s="16">
        <v>0.0</v>
      </c>
      <c r="H4678" s="16">
        <v>0.0</v>
      </c>
      <c r="I4678" s="16">
        <v>0.0</v>
      </c>
      <c r="J4678" s="16">
        <v>40.87</v>
      </c>
      <c r="K4678" s="16">
        <v>0.0</v>
      </c>
      <c r="L4678" s="16">
        <v>40.87</v>
      </c>
      <c r="M4678" s="16">
        <v>40.87</v>
      </c>
      <c r="N4678" s="16">
        <v>0.0</v>
      </c>
      <c r="O4678" s="17">
        <v>0.0</v>
      </c>
      <c r="P4678" s="18">
        <f t="shared" si="1"/>
        <v>40.87</v>
      </c>
    </row>
    <row r="4679" ht="15.75" customHeight="1">
      <c r="A4679" s="19" t="s">
        <v>251</v>
      </c>
      <c r="B4679" s="19" t="s">
        <v>99</v>
      </c>
      <c r="C4679" s="20" t="s">
        <v>125</v>
      </c>
      <c r="D4679" s="14" t="str">
        <f>VLOOKUP(C4679,'State Key'!$A$2:$B$210,2,False)</f>
        <v>Karnataka</v>
      </c>
      <c r="E4679" s="21">
        <v>600.0</v>
      </c>
      <c r="F4679" s="22">
        <v>0.0</v>
      </c>
      <c r="G4679" s="22">
        <v>0.0</v>
      </c>
      <c r="H4679" s="22">
        <v>0.0</v>
      </c>
      <c r="I4679" s="22">
        <v>0.0</v>
      </c>
      <c r="J4679" s="22">
        <v>121.66</v>
      </c>
      <c r="K4679" s="22">
        <v>0.0</v>
      </c>
      <c r="L4679" s="22">
        <v>121.66</v>
      </c>
      <c r="M4679" s="22">
        <v>122.47</v>
      </c>
      <c r="N4679" s="22">
        <v>2.41</v>
      </c>
      <c r="O4679" s="17">
        <v>0.6</v>
      </c>
      <c r="P4679" s="18">
        <f t="shared" si="1"/>
        <v>121.66</v>
      </c>
    </row>
    <row r="4680" ht="15.75" customHeight="1">
      <c r="A4680" s="13" t="s">
        <v>251</v>
      </c>
      <c r="B4680" s="13" t="s">
        <v>99</v>
      </c>
      <c r="C4680" s="14" t="s">
        <v>126</v>
      </c>
      <c r="D4680" s="14" t="str">
        <f>VLOOKUP(C4680,'State Key'!$A$2:$B$210,2,False)</f>
        <v>Tamil Nadu</v>
      </c>
      <c r="E4680" s="15">
        <v>300.0</v>
      </c>
      <c r="F4680" s="16">
        <v>0.0</v>
      </c>
      <c r="G4680" s="16">
        <v>0.0</v>
      </c>
      <c r="H4680" s="16">
        <v>0.0</v>
      </c>
      <c r="I4680" s="16">
        <v>0.0</v>
      </c>
      <c r="J4680" s="16">
        <v>0.0</v>
      </c>
      <c r="K4680" s="16">
        <v>0.0</v>
      </c>
      <c r="L4680" s="16">
        <v>0.0</v>
      </c>
      <c r="M4680" s="16">
        <v>0.0</v>
      </c>
      <c r="N4680" s="16">
        <v>0.0</v>
      </c>
      <c r="O4680" s="13" t="s">
        <v>58</v>
      </c>
      <c r="P4680" s="18">
        <f t="shared" si="1"/>
        <v>0</v>
      </c>
    </row>
    <row r="4681" ht="15.75" customHeight="1">
      <c r="A4681" s="19" t="s">
        <v>251</v>
      </c>
      <c r="B4681" s="19" t="s">
        <v>99</v>
      </c>
      <c r="C4681" s="20" t="s">
        <v>127</v>
      </c>
      <c r="D4681" s="14" t="str">
        <f>VLOOKUP(C4681,'State Key'!$A$2:$B$210,2,False)</f>
        <v>Tamil Nadu</v>
      </c>
      <c r="E4681" s="21">
        <v>525.0</v>
      </c>
      <c r="F4681" s="22">
        <v>0.0</v>
      </c>
      <c r="G4681" s="22">
        <v>0.0</v>
      </c>
      <c r="H4681" s="22">
        <v>0.0</v>
      </c>
      <c r="I4681" s="22">
        <v>0.0</v>
      </c>
      <c r="J4681" s="22">
        <v>90.832</v>
      </c>
      <c r="K4681" s="22">
        <v>0.0</v>
      </c>
      <c r="L4681" s="22">
        <v>90.832</v>
      </c>
      <c r="M4681" s="22">
        <v>73.438</v>
      </c>
      <c r="N4681" s="22">
        <v>34.62</v>
      </c>
      <c r="O4681" s="24">
        <v>14.1</v>
      </c>
      <c r="P4681" s="18">
        <f t="shared" si="1"/>
        <v>90.832</v>
      </c>
    </row>
    <row r="4682" ht="15.75" customHeight="1">
      <c r="A4682" s="13" t="s">
        <v>251</v>
      </c>
      <c r="B4682" s="13" t="s">
        <v>99</v>
      </c>
      <c r="C4682" s="14" t="s">
        <v>128</v>
      </c>
      <c r="D4682" s="14" t="str">
        <f>VLOOKUP(C4682,'State Key'!$A$2:$B$210,2,False)</f>
        <v>Tamil Nadu</v>
      </c>
      <c r="E4682" s="15">
        <v>1050.0</v>
      </c>
      <c r="F4682" s="16">
        <v>290.218</v>
      </c>
      <c r="G4682" s="16">
        <v>0.0</v>
      </c>
      <c r="H4682" s="16">
        <v>0.0</v>
      </c>
      <c r="I4682" s="16">
        <v>0.0</v>
      </c>
      <c r="J4682" s="16">
        <v>0.0</v>
      </c>
      <c r="K4682" s="16">
        <v>0.0</v>
      </c>
      <c r="L4682" s="16">
        <v>290.218</v>
      </c>
      <c r="M4682" s="16">
        <v>234.053</v>
      </c>
      <c r="N4682" s="16">
        <v>427.61</v>
      </c>
      <c r="O4682" s="24">
        <v>54.8</v>
      </c>
      <c r="P4682" s="18">
        <f t="shared" si="1"/>
        <v>290.218</v>
      </c>
    </row>
    <row r="4683" ht="15.75" customHeight="1">
      <c r="A4683" s="19" t="s">
        <v>251</v>
      </c>
      <c r="B4683" s="19" t="s">
        <v>99</v>
      </c>
      <c r="C4683" s="20" t="s">
        <v>130</v>
      </c>
      <c r="D4683" s="14" t="str">
        <f>VLOOKUP(C4683,'State Key'!$A$2:$B$210,2,False)</f>
        <v>Tamil Nadu</v>
      </c>
      <c r="E4683" s="21">
        <v>1500.0</v>
      </c>
      <c r="F4683" s="22">
        <v>643.331</v>
      </c>
      <c r="G4683" s="22">
        <v>0.0</v>
      </c>
      <c r="H4683" s="22">
        <v>0.0</v>
      </c>
      <c r="I4683" s="22">
        <v>0.0</v>
      </c>
      <c r="J4683" s="22">
        <v>0.0</v>
      </c>
      <c r="K4683" s="22">
        <v>0.0</v>
      </c>
      <c r="L4683" s="22">
        <v>643.331</v>
      </c>
      <c r="M4683" s="22">
        <v>560.869</v>
      </c>
      <c r="N4683" s="22">
        <v>679.41</v>
      </c>
      <c r="O4683" s="24">
        <v>36.3</v>
      </c>
      <c r="P4683" s="18">
        <f t="shared" si="1"/>
        <v>643.331</v>
      </c>
    </row>
    <row r="4684" ht="15.75" customHeight="1">
      <c r="A4684" s="13" t="s">
        <v>251</v>
      </c>
      <c r="B4684" s="13" t="s">
        <v>99</v>
      </c>
      <c r="C4684" s="14" t="s">
        <v>131</v>
      </c>
      <c r="D4684" s="14" t="str">
        <f>VLOOKUP(C4684,'State Key'!$A$2:$B$210,2,False)</f>
        <v>Andhra Pradesh</v>
      </c>
      <c r="E4684" s="15">
        <v>1040.0</v>
      </c>
      <c r="F4684" s="16">
        <v>301.93432</v>
      </c>
      <c r="G4684" s="16">
        <v>0.0</v>
      </c>
      <c r="H4684" s="16">
        <v>0.0</v>
      </c>
      <c r="I4684" s="16">
        <v>0.0</v>
      </c>
      <c r="J4684" s="16">
        <v>0.0</v>
      </c>
      <c r="K4684" s="16">
        <v>0.0</v>
      </c>
      <c r="L4684" s="16">
        <v>301.93432</v>
      </c>
      <c r="M4684" s="16">
        <v>279.601</v>
      </c>
      <c r="N4684" s="16">
        <v>90.1616</v>
      </c>
      <c r="O4684" s="23">
        <v>9.7</v>
      </c>
      <c r="P4684" s="18">
        <f t="shared" si="1"/>
        <v>301.93432</v>
      </c>
    </row>
    <row r="4685" ht="15.75" customHeight="1">
      <c r="A4685" s="19" t="s">
        <v>251</v>
      </c>
      <c r="B4685" s="19" t="s">
        <v>99</v>
      </c>
      <c r="C4685" s="20" t="s">
        <v>249</v>
      </c>
      <c r="D4685" s="14" t="str">
        <f>VLOOKUP(C4685,'State Key'!$A$2:$B$210,2,False)</f>
        <v>Telangana</v>
      </c>
      <c r="E4685" s="21">
        <v>800.0</v>
      </c>
      <c r="F4685" s="22">
        <v>0.0</v>
      </c>
      <c r="G4685" s="22">
        <v>373.772</v>
      </c>
      <c r="H4685" s="22">
        <v>0.0</v>
      </c>
      <c r="I4685" s="22">
        <v>0.0</v>
      </c>
      <c r="J4685" s="22">
        <v>0.0</v>
      </c>
      <c r="K4685" s="22">
        <v>0.0</v>
      </c>
      <c r="L4685" s="22">
        <v>373.772</v>
      </c>
      <c r="M4685" s="22">
        <v>212.04</v>
      </c>
      <c r="N4685" s="22">
        <v>257.8</v>
      </c>
      <c r="O4685" s="24">
        <v>36.5</v>
      </c>
      <c r="P4685" s="18">
        <f t="shared" si="1"/>
        <v>373.772</v>
      </c>
    </row>
    <row r="4686" ht="15.75" customHeight="1">
      <c r="A4686" s="13" t="s">
        <v>251</v>
      </c>
      <c r="B4686" s="13" t="s">
        <v>99</v>
      </c>
      <c r="C4686" s="14" t="s">
        <v>132</v>
      </c>
      <c r="D4686" s="14" t="str">
        <f>VLOOKUP(C4686,'State Key'!$A$2:$B$210,2,False)</f>
        <v>Karnataka</v>
      </c>
      <c r="E4686" s="15">
        <v>1600.0</v>
      </c>
      <c r="F4686" s="16">
        <v>0.0</v>
      </c>
      <c r="G4686" s="16">
        <v>342.438</v>
      </c>
      <c r="H4686" s="16">
        <v>0.0</v>
      </c>
      <c r="I4686" s="16">
        <v>0.0</v>
      </c>
      <c r="J4686" s="16">
        <v>0.0</v>
      </c>
      <c r="K4686" s="16">
        <v>0.0</v>
      </c>
      <c r="L4686" s="16">
        <v>342.438</v>
      </c>
      <c r="M4686" s="16">
        <v>330.188</v>
      </c>
      <c r="N4686" s="16">
        <v>258.099</v>
      </c>
      <c r="O4686" s="24">
        <v>23.5</v>
      </c>
      <c r="P4686" s="18">
        <f t="shared" si="1"/>
        <v>342.438</v>
      </c>
    </row>
    <row r="4687" ht="15.75" customHeight="1">
      <c r="A4687" s="19" t="s">
        <v>251</v>
      </c>
      <c r="B4687" s="19" t="s">
        <v>133</v>
      </c>
      <c r="C4687" s="20" t="s">
        <v>211</v>
      </c>
      <c r="D4687" s="14" t="str">
        <f>VLOOKUP(C4687,'State Key'!$A$2:$B$210,2,False)</f>
        <v>Gujarat</v>
      </c>
      <c r="E4687" s="21">
        <v>2640.0</v>
      </c>
      <c r="F4687" s="22">
        <v>0.0</v>
      </c>
      <c r="G4687" s="22">
        <v>0.0</v>
      </c>
      <c r="H4687" s="22">
        <v>0.0</v>
      </c>
      <c r="I4687" s="22">
        <v>0.0</v>
      </c>
      <c r="J4687" s="22">
        <v>894.188</v>
      </c>
      <c r="K4687" s="22">
        <v>0.0</v>
      </c>
      <c r="L4687" s="22">
        <v>894.188</v>
      </c>
      <c r="M4687" s="22">
        <v>777.623</v>
      </c>
      <c r="N4687" s="22">
        <v>194.068</v>
      </c>
      <c r="O4687" s="23">
        <v>7.5</v>
      </c>
      <c r="P4687" s="18">
        <f t="shared" si="1"/>
        <v>894.188</v>
      </c>
    </row>
    <row r="4688" ht="15.75" customHeight="1">
      <c r="A4688" s="13" t="s">
        <v>251</v>
      </c>
      <c r="B4688" s="13" t="s">
        <v>133</v>
      </c>
      <c r="C4688" s="14" t="s">
        <v>212</v>
      </c>
      <c r="D4688" s="14" t="str">
        <f>VLOOKUP(C4688,'State Key'!$A$2:$B$210,2,False)</f>
        <v>Gujarat</v>
      </c>
      <c r="E4688" s="15">
        <v>1980.0</v>
      </c>
      <c r="F4688" s="16">
        <v>0.0</v>
      </c>
      <c r="G4688" s="16">
        <v>0.0</v>
      </c>
      <c r="H4688" s="16">
        <v>0.0</v>
      </c>
      <c r="I4688" s="16">
        <v>0.0</v>
      </c>
      <c r="J4688" s="16">
        <v>628.897</v>
      </c>
      <c r="K4688" s="16">
        <v>0.0</v>
      </c>
      <c r="L4688" s="16">
        <v>628.897</v>
      </c>
      <c r="M4688" s="16">
        <v>601.64</v>
      </c>
      <c r="N4688" s="16">
        <v>106.927</v>
      </c>
      <c r="O4688" s="17">
        <v>5.3</v>
      </c>
      <c r="P4688" s="18">
        <f t="shared" si="1"/>
        <v>628.897</v>
      </c>
    </row>
    <row r="4689" ht="15.75" customHeight="1">
      <c r="A4689" s="19" t="s">
        <v>251</v>
      </c>
      <c r="B4689" s="19" t="s">
        <v>133</v>
      </c>
      <c r="C4689" s="20" t="s">
        <v>213</v>
      </c>
      <c r="D4689" s="14" t="str">
        <f>VLOOKUP(C4689,'State Key'!$A$2:$B$210,2,False)</f>
        <v>Chhattisgarh</v>
      </c>
      <c r="E4689" s="21">
        <v>600.0</v>
      </c>
      <c r="F4689" s="22">
        <v>262.063</v>
      </c>
      <c r="G4689" s="22">
        <v>0.0</v>
      </c>
      <c r="H4689" s="22">
        <v>0.0</v>
      </c>
      <c r="I4689" s="22">
        <v>0.0</v>
      </c>
      <c r="J4689" s="22">
        <v>0.0</v>
      </c>
      <c r="K4689" s="22">
        <v>0.0</v>
      </c>
      <c r="L4689" s="22">
        <v>262.063</v>
      </c>
      <c r="M4689" s="22">
        <v>257.788</v>
      </c>
      <c r="N4689" s="22">
        <v>230.66</v>
      </c>
      <c r="O4689" s="24">
        <v>26.8</v>
      </c>
      <c r="P4689" s="18">
        <f t="shared" si="1"/>
        <v>262.063</v>
      </c>
    </row>
    <row r="4690" ht="15.75" customHeight="1">
      <c r="A4690" s="13" t="s">
        <v>251</v>
      </c>
      <c r="B4690" s="13" t="s">
        <v>133</v>
      </c>
      <c r="C4690" s="14" t="s">
        <v>214</v>
      </c>
      <c r="D4690" s="14" t="str">
        <f>VLOOKUP(C4690,'State Key'!$A$2:$B$210,2,False)</f>
        <v>Chhattisgarh</v>
      </c>
      <c r="E4690" s="15">
        <v>1370.0</v>
      </c>
      <c r="F4690" s="16">
        <v>486.869</v>
      </c>
      <c r="G4690" s="16">
        <v>0.0</v>
      </c>
      <c r="H4690" s="16">
        <v>0.0</v>
      </c>
      <c r="I4690" s="16">
        <v>0.0</v>
      </c>
      <c r="J4690" s="16">
        <v>0.0</v>
      </c>
      <c r="K4690" s="16">
        <v>60.125</v>
      </c>
      <c r="L4690" s="16">
        <v>546.994</v>
      </c>
      <c r="M4690" s="16">
        <v>409.331</v>
      </c>
      <c r="N4690" s="16">
        <v>181.86</v>
      </c>
      <c r="O4690" s="23">
        <v>13.3</v>
      </c>
      <c r="P4690" s="18">
        <f t="shared" si="1"/>
        <v>546.994</v>
      </c>
    </row>
    <row r="4691" ht="15.75" customHeight="1">
      <c r="A4691" s="19" t="s">
        <v>251</v>
      </c>
      <c r="B4691" s="19" t="s">
        <v>133</v>
      </c>
      <c r="C4691" s="20" t="s">
        <v>215</v>
      </c>
      <c r="D4691" s="14" t="str">
        <f>VLOOKUP(C4691,'State Key'!$A$2:$B$210,2,False)</f>
        <v>Maharashtra</v>
      </c>
      <c r="E4691" s="21">
        <v>3300.0</v>
      </c>
      <c r="F4691" s="22">
        <v>1200.58</v>
      </c>
      <c r="G4691" s="22">
        <v>0.0</v>
      </c>
      <c r="H4691" s="22">
        <v>0.0</v>
      </c>
      <c r="I4691" s="22">
        <v>0.0</v>
      </c>
      <c r="J4691" s="22">
        <v>0.0</v>
      </c>
      <c r="K4691" s="22">
        <v>0.0</v>
      </c>
      <c r="L4691" s="22">
        <v>1200.58</v>
      </c>
      <c r="M4691" s="22">
        <v>1155.324</v>
      </c>
      <c r="N4691" s="22">
        <v>72.68</v>
      </c>
      <c r="O4691" s="17">
        <v>1.9</v>
      </c>
      <c r="P4691" s="18">
        <f t="shared" si="1"/>
        <v>1200.58</v>
      </c>
    </row>
    <row r="4692" ht="15.75" customHeight="1">
      <c r="A4692" s="13" t="s">
        <v>251</v>
      </c>
      <c r="B4692" s="13" t="s">
        <v>133</v>
      </c>
      <c r="C4692" s="14" t="s">
        <v>134</v>
      </c>
      <c r="D4692" s="14" t="str">
        <f>VLOOKUP(C4692,'State Key'!$A$2:$B$210,2,False)</f>
        <v>Chhattisgarh</v>
      </c>
      <c r="E4692" s="15">
        <v>1800.0</v>
      </c>
      <c r="F4692" s="16">
        <v>577.659</v>
      </c>
      <c r="G4692" s="16">
        <v>0.0</v>
      </c>
      <c r="H4692" s="16">
        <v>0.0</v>
      </c>
      <c r="I4692" s="16">
        <v>52.772</v>
      </c>
      <c r="J4692" s="16">
        <v>0.0</v>
      </c>
      <c r="K4692" s="16">
        <v>0.0</v>
      </c>
      <c r="L4692" s="16">
        <v>630.431</v>
      </c>
      <c r="M4692" s="16">
        <v>646.475</v>
      </c>
      <c r="N4692" s="16">
        <v>847.81</v>
      </c>
      <c r="O4692" s="24">
        <v>39.3</v>
      </c>
      <c r="P4692" s="18">
        <f t="shared" si="1"/>
        <v>630.431</v>
      </c>
    </row>
    <row r="4693" ht="15.75" customHeight="1">
      <c r="A4693" s="19" t="s">
        <v>251</v>
      </c>
      <c r="B4693" s="19" t="s">
        <v>133</v>
      </c>
      <c r="C4693" s="20" t="s">
        <v>135</v>
      </c>
      <c r="D4693" s="14" t="str">
        <f>VLOOKUP(C4693,'State Key'!$A$2:$B$210,2,False)</f>
        <v>Madhya Pradesh</v>
      </c>
      <c r="E4693" s="21">
        <v>210.0</v>
      </c>
      <c r="F4693" s="22">
        <v>78.662</v>
      </c>
      <c r="G4693" s="22">
        <v>0.0</v>
      </c>
      <c r="H4693" s="22">
        <v>0.0</v>
      </c>
      <c r="I4693" s="22">
        <v>0.0</v>
      </c>
      <c r="J4693" s="22">
        <v>0.0</v>
      </c>
      <c r="K4693" s="22">
        <v>0.0</v>
      </c>
      <c r="L4693" s="22">
        <v>78.662</v>
      </c>
      <c r="M4693" s="22">
        <v>94.234</v>
      </c>
      <c r="N4693" s="22">
        <v>85.697</v>
      </c>
      <c r="O4693" s="24">
        <v>27.3</v>
      </c>
      <c r="P4693" s="18">
        <f t="shared" si="1"/>
        <v>78.662</v>
      </c>
    </row>
    <row r="4694" ht="15.75" customHeight="1">
      <c r="A4694" s="13" t="s">
        <v>251</v>
      </c>
      <c r="B4694" s="13" t="s">
        <v>133</v>
      </c>
      <c r="C4694" s="14" t="s">
        <v>136</v>
      </c>
      <c r="D4694" s="14" t="str">
        <f>VLOOKUP(C4694,'State Key'!$A$2:$B$210,2,False)</f>
        <v>Maharashtra</v>
      </c>
      <c r="E4694" s="15">
        <v>1350.0</v>
      </c>
      <c r="F4694" s="16">
        <v>573.349</v>
      </c>
      <c r="G4694" s="16">
        <v>0.0</v>
      </c>
      <c r="H4694" s="16">
        <v>0.0</v>
      </c>
      <c r="I4694" s="16">
        <v>0.0</v>
      </c>
      <c r="J4694" s="16">
        <v>0.0</v>
      </c>
      <c r="K4694" s="16">
        <v>0.0</v>
      </c>
      <c r="L4694" s="16">
        <v>573.349</v>
      </c>
      <c r="M4694" s="16">
        <v>575.507</v>
      </c>
      <c r="N4694" s="16">
        <v>219.54</v>
      </c>
      <c r="O4694" s="23">
        <v>11.4</v>
      </c>
      <c r="P4694" s="18">
        <f t="shared" si="1"/>
        <v>573.349</v>
      </c>
    </row>
    <row r="4695" ht="15.75" customHeight="1">
      <c r="A4695" s="19" t="s">
        <v>251</v>
      </c>
      <c r="B4695" s="19" t="s">
        <v>133</v>
      </c>
      <c r="C4695" s="20" t="s">
        <v>137</v>
      </c>
      <c r="D4695" s="14" t="str">
        <f>VLOOKUP(C4695,'State Key'!$A$2:$B$210,2,False)</f>
        <v>Madhya Pradesh</v>
      </c>
      <c r="E4695" s="21">
        <v>1250.0</v>
      </c>
      <c r="F4695" s="22">
        <v>382.19</v>
      </c>
      <c r="G4695" s="22">
        <v>0.0</v>
      </c>
      <c r="H4695" s="22">
        <v>0.0</v>
      </c>
      <c r="I4695" s="22">
        <v>50.95</v>
      </c>
      <c r="J4695" s="22">
        <v>0.0</v>
      </c>
      <c r="K4695" s="22">
        <v>0.0</v>
      </c>
      <c r="L4695" s="22">
        <v>433.14</v>
      </c>
      <c r="M4695" s="22">
        <v>503.04</v>
      </c>
      <c r="N4695" s="22">
        <v>415.35</v>
      </c>
      <c r="O4695" s="24">
        <v>24.8</v>
      </c>
      <c r="P4695" s="18">
        <f t="shared" si="1"/>
        <v>433.14</v>
      </c>
    </row>
    <row r="4696" ht="15.75" customHeight="1">
      <c r="A4696" s="13" t="s">
        <v>251</v>
      </c>
      <c r="B4696" s="13" t="s">
        <v>133</v>
      </c>
      <c r="C4696" s="14" t="s">
        <v>139</v>
      </c>
      <c r="D4696" s="14" t="str">
        <f>VLOOKUP(C4696,'State Key'!$A$2:$B$210,2,False)</f>
        <v>Chhattisgarh</v>
      </c>
      <c r="E4696" s="15">
        <v>600.0</v>
      </c>
      <c r="F4696" s="16">
        <v>93.66</v>
      </c>
      <c r="G4696" s="16">
        <v>0.0</v>
      </c>
      <c r="H4696" s="16">
        <v>0.0</v>
      </c>
      <c r="I4696" s="16">
        <v>0.0</v>
      </c>
      <c r="J4696" s="16">
        <v>0.0</v>
      </c>
      <c r="K4696" s="16">
        <v>0.0</v>
      </c>
      <c r="L4696" s="16">
        <v>93.66</v>
      </c>
      <c r="M4696" s="16">
        <v>128.52</v>
      </c>
      <c r="N4696" s="16">
        <v>46.28</v>
      </c>
      <c r="O4696" s="23">
        <v>10.8</v>
      </c>
      <c r="P4696" s="18">
        <f t="shared" si="1"/>
        <v>93.66</v>
      </c>
    </row>
    <row r="4697" ht="15.75" customHeight="1">
      <c r="A4697" s="19" t="s">
        <v>251</v>
      </c>
      <c r="B4697" s="19" t="s">
        <v>133</v>
      </c>
      <c r="C4697" s="20" t="s">
        <v>140</v>
      </c>
      <c r="D4697" s="14" t="str">
        <f>VLOOKUP(C4697,'State Key'!$A$2:$B$210,2,False)</f>
        <v>Chhattisgarh</v>
      </c>
      <c r="E4697" s="21">
        <v>300.0</v>
      </c>
      <c r="F4697" s="22">
        <v>126.709</v>
      </c>
      <c r="G4697" s="22">
        <v>0.0</v>
      </c>
      <c r="H4697" s="22">
        <v>0.0</v>
      </c>
      <c r="I4697" s="22">
        <v>0.0</v>
      </c>
      <c r="J4697" s="22">
        <v>0.0</v>
      </c>
      <c r="K4697" s="22">
        <v>0.0</v>
      </c>
      <c r="L4697" s="22">
        <v>126.709</v>
      </c>
      <c r="M4697" s="22">
        <v>128.777</v>
      </c>
      <c r="N4697" s="22">
        <v>162.06</v>
      </c>
      <c r="O4697" s="24">
        <v>37.8</v>
      </c>
      <c r="P4697" s="18">
        <f t="shared" si="1"/>
        <v>126.709</v>
      </c>
    </row>
    <row r="4698" ht="15.75" customHeight="1">
      <c r="A4698" s="13" t="s">
        <v>251</v>
      </c>
      <c r="B4698" s="13" t="s">
        <v>133</v>
      </c>
      <c r="C4698" s="14" t="s">
        <v>141</v>
      </c>
      <c r="D4698" s="14" t="str">
        <f>VLOOKUP(C4698,'State Key'!$A$2:$B$210,2,False)</f>
        <v>Chhattisgarh</v>
      </c>
      <c r="E4698" s="15">
        <v>1200.0</v>
      </c>
      <c r="F4698" s="16">
        <v>489.649</v>
      </c>
      <c r="G4698" s="16">
        <v>0.0</v>
      </c>
      <c r="H4698" s="16">
        <v>0.0</v>
      </c>
      <c r="I4698" s="16">
        <v>0.0</v>
      </c>
      <c r="J4698" s="16">
        <v>0.0</v>
      </c>
      <c r="K4698" s="16">
        <v>0.0</v>
      </c>
      <c r="L4698" s="16">
        <v>489.649</v>
      </c>
      <c r="M4698" s="16">
        <v>491.684</v>
      </c>
      <c r="N4698" s="16">
        <v>503.3</v>
      </c>
      <c r="O4698" s="24">
        <v>30.7</v>
      </c>
      <c r="P4698" s="18">
        <f t="shared" si="1"/>
        <v>489.649</v>
      </c>
    </row>
    <row r="4699" ht="15.75" customHeight="1">
      <c r="A4699" s="19" t="s">
        <v>251</v>
      </c>
      <c r="B4699" s="19" t="s">
        <v>133</v>
      </c>
      <c r="C4699" s="20" t="s">
        <v>142</v>
      </c>
      <c r="D4699" s="14" t="str">
        <f>VLOOKUP(C4699,'State Key'!$A$2:$B$210,2,False)</f>
        <v>Maharashtra</v>
      </c>
      <c r="E4699" s="21">
        <v>270.0</v>
      </c>
      <c r="F4699" s="22">
        <v>86.796</v>
      </c>
      <c r="G4699" s="22">
        <v>0.0</v>
      </c>
      <c r="H4699" s="22">
        <v>0.0</v>
      </c>
      <c r="I4699" s="22">
        <v>15.174</v>
      </c>
      <c r="J4699" s="22">
        <v>0.0</v>
      </c>
      <c r="K4699" s="22">
        <v>0.0</v>
      </c>
      <c r="L4699" s="22">
        <v>101.97</v>
      </c>
      <c r="M4699" s="22">
        <v>120.641</v>
      </c>
      <c r="N4699" s="22">
        <v>39.39</v>
      </c>
      <c r="O4699" s="23">
        <v>9.8</v>
      </c>
      <c r="P4699" s="18">
        <f t="shared" si="1"/>
        <v>101.97</v>
      </c>
    </row>
    <row r="4700" ht="15.75" customHeight="1">
      <c r="A4700" s="13" t="s">
        <v>251</v>
      </c>
      <c r="B4700" s="13" t="s">
        <v>133</v>
      </c>
      <c r="C4700" s="14" t="s">
        <v>143</v>
      </c>
      <c r="D4700" s="14" t="str">
        <f>VLOOKUP(C4700,'State Key'!$A$2:$B$210,2,False)</f>
        <v>Chhattisgarh</v>
      </c>
      <c r="E4700" s="15">
        <v>500.0</v>
      </c>
      <c r="F4700" s="16">
        <v>201.003</v>
      </c>
      <c r="G4700" s="16">
        <v>8.174</v>
      </c>
      <c r="H4700" s="16">
        <v>0.0</v>
      </c>
      <c r="I4700" s="16">
        <v>0.0</v>
      </c>
      <c r="J4700" s="16">
        <v>0.0</v>
      </c>
      <c r="K4700" s="16">
        <v>0.0</v>
      </c>
      <c r="L4700" s="16">
        <v>209.177</v>
      </c>
      <c r="M4700" s="16">
        <v>219.248</v>
      </c>
      <c r="N4700" s="16">
        <v>265.45</v>
      </c>
      <c r="O4700" s="24">
        <v>36.3</v>
      </c>
      <c r="P4700" s="18">
        <f t="shared" si="1"/>
        <v>209.177</v>
      </c>
    </row>
    <row r="4701" ht="15.75" customHeight="1">
      <c r="A4701" s="19" t="s">
        <v>251</v>
      </c>
      <c r="B4701" s="19" t="s">
        <v>133</v>
      </c>
      <c r="C4701" s="20" t="s">
        <v>144</v>
      </c>
      <c r="D4701" s="14" t="str">
        <f>VLOOKUP(C4701,'State Key'!$A$2:$B$210,2,False)</f>
        <v>Maharashtra</v>
      </c>
      <c r="E4701" s="21">
        <v>1870.0</v>
      </c>
      <c r="F4701" s="22">
        <v>652.828</v>
      </c>
      <c r="G4701" s="22">
        <v>107.315</v>
      </c>
      <c r="H4701" s="22">
        <v>0.0</v>
      </c>
      <c r="I4701" s="22">
        <v>0.0</v>
      </c>
      <c r="J4701" s="22">
        <v>0.0</v>
      </c>
      <c r="K4701" s="22">
        <v>0.0</v>
      </c>
      <c r="L4701" s="22">
        <v>760.143</v>
      </c>
      <c r="M4701" s="22">
        <v>669.504</v>
      </c>
      <c r="N4701" s="22">
        <v>544.278</v>
      </c>
      <c r="O4701" s="24">
        <v>24.4</v>
      </c>
      <c r="P4701" s="18">
        <f t="shared" si="1"/>
        <v>760.143</v>
      </c>
    </row>
    <row r="4702" ht="15.75" customHeight="1">
      <c r="A4702" s="13" t="s">
        <v>251</v>
      </c>
      <c r="B4702" s="13" t="s">
        <v>133</v>
      </c>
      <c r="C4702" s="14" t="s">
        <v>145</v>
      </c>
      <c r="D4702" s="14" t="str">
        <f>VLOOKUP(C4702,'State Key'!$A$2:$B$210,2,False)</f>
        <v>Madhya Pradesh</v>
      </c>
      <c r="E4702" s="15">
        <v>500.0</v>
      </c>
      <c r="F4702" s="16">
        <v>147.66</v>
      </c>
      <c r="G4702" s="16">
        <v>0.0</v>
      </c>
      <c r="H4702" s="16">
        <v>0.0</v>
      </c>
      <c r="I4702" s="16">
        <v>67.26</v>
      </c>
      <c r="J4702" s="16">
        <v>0.0</v>
      </c>
      <c r="K4702" s="16">
        <v>0.064</v>
      </c>
      <c r="L4702" s="16">
        <v>214.984</v>
      </c>
      <c r="M4702" s="16">
        <v>213.26</v>
      </c>
      <c r="N4702" s="16">
        <v>170.89</v>
      </c>
      <c r="O4702" s="24">
        <v>24.0</v>
      </c>
      <c r="P4702" s="18">
        <f t="shared" si="1"/>
        <v>214.984</v>
      </c>
    </row>
    <row r="4703" ht="15.75" customHeight="1">
      <c r="A4703" s="19" t="s">
        <v>251</v>
      </c>
      <c r="B4703" s="19" t="s">
        <v>133</v>
      </c>
      <c r="C4703" s="20" t="s">
        <v>146</v>
      </c>
      <c r="D4703" s="14" t="str">
        <f>VLOOKUP(C4703,'State Key'!$A$2:$B$210,2,False)</f>
        <v>Chhattisgarh</v>
      </c>
      <c r="E4703" s="21">
        <v>600.0</v>
      </c>
      <c r="F4703" s="22">
        <v>0.0</v>
      </c>
      <c r="G4703" s="22">
        <v>0.0</v>
      </c>
      <c r="H4703" s="22">
        <v>0.0</v>
      </c>
      <c r="I4703" s="22">
        <v>83.905</v>
      </c>
      <c r="J4703" s="22">
        <v>0.0</v>
      </c>
      <c r="K4703" s="22">
        <v>114.112</v>
      </c>
      <c r="L4703" s="22">
        <v>198.017</v>
      </c>
      <c r="M4703" s="22">
        <v>283.812</v>
      </c>
      <c r="N4703" s="22">
        <v>132.77</v>
      </c>
      <c r="O4703" s="24">
        <v>14.0</v>
      </c>
      <c r="P4703" s="18">
        <f t="shared" si="1"/>
        <v>198.017</v>
      </c>
    </row>
    <row r="4704" ht="15.75" customHeight="1">
      <c r="A4704" s="13" t="s">
        <v>251</v>
      </c>
      <c r="B4704" s="13" t="s">
        <v>133</v>
      </c>
      <c r="C4704" s="14" t="s">
        <v>147</v>
      </c>
      <c r="D4704" s="14" t="str">
        <f>VLOOKUP(C4704,'State Key'!$A$2:$B$210,2,False)</f>
        <v>Maharashtra</v>
      </c>
      <c r="E4704" s="15">
        <v>600.0</v>
      </c>
      <c r="F4704" s="16">
        <v>0.0</v>
      </c>
      <c r="G4704" s="16">
        <v>0.0</v>
      </c>
      <c r="H4704" s="16">
        <v>0.0</v>
      </c>
      <c r="I4704" s="16">
        <v>0.0</v>
      </c>
      <c r="J4704" s="16">
        <v>0.0</v>
      </c>
      <c r="K4704" s="16">
        <v>0.0</v>
      </c>
      <c r="L4704" s="16">
        <v>0.0</v>
      </c>
      <c r="M4704" s="16">
        <v>0.0</v>
      </c>
      <c r="N4704" s="16">
        <v>0.0</v>
      </c>
      <c r="O4704" s="13" t="s">
        <v>58</v>
      </c>
      <c r="P4704" s="18">
        <f t="shared" si="1"/>
        <v>0</v>
      </c>
    </row>
    <row r="4705" ht="15.75" customHeight="1">
      <c r="A4705" s="19" t="s">
        <v>251</v>
      </c>
      <c r="B4705" s="19" t="s">
        <v>133</v>
      </c>
      <c r="C4705" s="20" t="s">
        <v>148</v>
      </c>
      <c r="D4705" s="14" t="str">
        <f>VLOOKUP(C4705,'State Key'!$A$2:$B$210,2,False)</f>
        <v>Chhattisgarh</v>
      </c>
      <c r="E4705" s="21">
        <v>30.0</v>
      </c>
      <c r="F4705" s="22">
        <v>0.0</v>
      </c>
      <c r="G4705" s="22">
        <v>0.0</v>
      </c>
      <c r="H4705" s="22">
        <v>0.0</v>
      </c>
      <c r="I4705" s="22">
        <v>0.0</v>
      </c>
      <c r="J4705" s="22">
        <v>0.0</v>
      </c>
      <c r="K4705" s="22">
        <v>5.973</v>
      </c>
      <c r="L4705" s="22">
        <v>5.973</v>
      </c>
      <c r="M4705" s="22">
        <v>41.132</v>
      </c>
      <c r="N4705" s="22">
        <v>12.14</v>
      </c>
      <c r="O4705" s="23">
        <v>8.9</v>
      </c>
      <c r="P4705" s="18">
        <f t="shared" si="1"/>
        <v>5.973</v>
      </c>
    </row>
    <row r="4706" ht="15.75" customHeight="1">
      <c r="A4706" s="13" t="s">
        <v>251</v>
      </c>
      <c r="B4706" s="13" t="s">
        <v>133</v>
      </c>
      <c r="C4706" s="14" t="s">
        <v>149</v>
      </c>
      <c r="D4706" s="14" t="str">
        <f>VLOOKUP(C4706,'State Key'!$A$2:$B$210,2,False)</f>
        <v>Maharashtra</v>
      </c>
      <c r="E4706" s="15">
        <v>2920.0</v>
      </c>
      <c r="F4706" s="16">
        <v>663.201</v>
      </c>
      <c r="G4706" s="16">
        <v>28.241</v>
      </c>
      <c r="H4706" s="16">
        <v>0.0</v>
      </c>
      <c r="I4706" s="16">
        <v>0.0</v>
      </c>
      <c r="J4706" s="16">
        <v>194.117</v>
      </c>
      <c r="K4706" s="16">
        <v>0.0</v>
      </c>
      <c r="L4706" s="16">
        <v>885.559</v>
      </c>
      <c r="M4706" s="16">
        <v>955.695</v>
      </c>
      <c r="N4706" s="16">
        <v>860.84</v>
      </c>
      <c r="O4706" s="24">
        <v>27.0</v>
      </c>
      <c r="P4706" s="18">
        <f t="shared" si="1"/>
        <v>885.559</v>
      </c>
    </row>
    <row r="4707" ht="15.75" customHeight="1">
      <c r="A4707" s="19" t="s">
        <v>251</v>
      </c>
      <c r="B4707" s="19" t="s">
        <v>133</v>
      </c>
      <c r="C4707" s="20" t="s">
        <v>150</v>
      </c>
      <c r="D4707" s="14" t="str">
        <f>VLOOKUP(C4707,'State Key'!$A$2:$B$210,2,False)</f>
        <v>Maharashtra</v>
      </c>
      <c r="E4707" s="21">
        <v>500.0</v>
      </c>
      <c r="F4707" s="22">
        <v>162.589</v>
      </c>
      <c r="G4707" s="22">
        <v>0.0</v>
      </c>
      <c r="H4707" s="22">
        <v>0.0</v>
      </c>
      <c r="I4707" s="22">
        <v>0.0</v>
      </c>
      <c r="J4707" s="22">
        <v>0.0</v>
      </c>
      <c r="K4707" s="22">
        <v>0.0</v>
      </c>
      <c r="L4707" s="22">
        <v>162.589</v>
      </c>
      <c r="M4707" s="22">
        <v>197.246</v>
      </c>
      <c r="N4707" s="22">
        <v>111.43</v>
      </c>
      <c r="O4707" s="24">
        <v>16.9</v>
      </c>
      <c r="P4707" s="18">
        <f t="shared" si="1"/>
        <v>162.589</v>
      </c>
    </row>
    <row r="4708" ht="15.75" customHeight="1">
      <c r="A4708" s="13" t="s">
        <v>251</v>
      </c>
      <c r="B4708" s="13" t="s">
        <v>133</v>
      </c>
      <c r="C4708" s="14" t="s">
        <v>151</v>
      </c>
      <c r="D4708" s="14" t="str">
        <f>VLOOKUP(C4708,'State Key'!$A$2:$B$210,2,False)</f>
        <v>Maharashtra</v>
      </c>
      <c r="E4708" s="15">
        <v>600.0</v>
      </c>
      <c r="F4708" s="16">
        <v>181.992</v>
      </c>
      <c r="G4708" s="16">
        <v>0.0</v>
      </c>
      <c r="H4708" s="16">
        <v>0.0</v>
      </c>
      <c r="I4708" s="16">
        <v>43.727</v>
      </c>
      <c r="J4708" s="16">
        <v>0.0</v>
      </c>
      <c r="K4708" s="16">
        <v>0.0</v>
      </c>
      <c r="L4708" s="16">
        <v>225.719</v>
      </c>
      <c r="M4708" s="16">
        <v>249.203</v>
      </c>
      <c r="N4708" s="16">
        <v>187.19</v>
      </c>
      <c r="O4708" s="24">
        <v>22.5</v>
      </c>
      <c r="P4708" s="18">
        <f t="shared" si="1"/>
        <v>225.719</v>
      </c>
    </row>
    <row r="4709" ht="15.75" customHeight="1">
      <c r="A4709" s="19" t="s">
        <v>251</v>
      </c>
      <c r="B4709" s="19" t="s">
        <v>133</v>
      </c>
      <c r="C4709" s="20" t="s">
        <v>152</v>
      </c>
      <c r="D4709" s="14" t="str">
        <f>VLOOKUP(C4709,'State Key'!$A$2:$B$210,2,False)</f>
        <v>Chhattisgarh</v>
      </c>
      <c r="E4709" s="21">
        <v>500.0</v>
      </c>
      <c r="F4709" s="22">
        <v>236.911</v>
      </c>
      <c r="G4709" s="22">
        <v>0.0</v>
      </c>
      <c r="H4709" s="22">
        <v>0.0</v>
      </c>
      <c r="I4709" s="22">
        <v>0.0</v>
      </c>
      <c r="J4709" s="22">
        <v>0.0</v>
      </c>
      <c r="K4709" s="22">
        <v>0.0</v>
      </c>
      <c r="L4709" s="22">
        <v>236.911</v>
      </c>
      <c r="M4709" s="22">
        <v>265.271</v>
      </c>
      <c r="N4709" s="22">
        <v>319.75</v>
      </c>
      <c r="O4709" s="24">
        <v>36.2</v>
      </c>
      <c r="P4709" s="18">
        <f t="shared" si="1"/>
        <v>236.911</v>
      </c>
    </row>
    <row r="4710" ht="15.75" customHeight="1">
      <c r="A4710" s="13" t="s">
        <v>251</v>
      </c>
      <c r="B4710" s="13" t="s">
        <v>133</v>
      </c>
      <c r="C4710" s="14" t="s">
        <v>153</v>
      </c>
      <c r="D4710" s="14" t="str">
        <f>VLOOKUP(C4710,'State Key'!$A$2:$B$210,2,False)</f>
        <v>Madhya Pradesh</v>
      </c>
      <c r="E4710" s="15">
        <v>1600.0</v>
      </c>
      <c r="F4710" s="16">
        <v>529.98</v>
      </c>
      <c r="G4710" s="16">
        <v>4.05</v>
      </c>
      <c r="H4710" s="16">
        <v>105.23</v>
      </c>
      <c r="I4710" s="16">
        <v>0.0</v>
      </c>
      <c r="J4710" s="16">
        <v>0.0</v>
      </c>
      <c r="K4710" s="16">
        <v>0.0</v>
      </c>
      <c r="L4710" s="16">
        <v>639.26</v>
      </c>
      <c r="M4710" s="16">
        <v>665.532</v>
      </c>
      <c r="N4710" s="16">
        <v>214.659</v>
      </c>
      <c r="O4710" s="23">
        <v>9.7</v>
      </c>
      <c r="P4710" s="18">
        <f t="shared" si="1"/>
        <v>639.26</v>
      </c>
    </row>
    <row r="4711" ht="15.75" customHeight="1">
      <c r="A4711" s="19" t="s">
        <v>251</v>
      </c>
      <c r="B4711" s="19" t="s">
        <v>133</v>
      </c>
      <c r="C4711" s="20" t="s">
        <v>154</v>
      </c>
      <c r="D4711" s="14" t="str">
        <f>VLOOKUP(C4711,'State Key'!$A$2:$B$210,2,False)</f>
        <v>Gujarat</v>
      </c>
      <c r="E4711" s="21">
        <v>630.0</v>
      </c>
      <c r="F4711" s="22">
        <v>210.53</v>
      </c>
      <c r="G4711" s="22">
        <v>0.0</v>
      </c>
      <c r="H4711" s="22">
        <v>0.0</v>
      </c>
      <c r="I4711" s="22">
        <v>0.0</v>
      </c>
      <c r="J4711" s="22">
        <v>0.0</v>
      </c>
      <c r="K4711" s="22">
        <v>0.0</v>
      </c>
      <c r="L4711" s="22">
        <v>210.53</v>
      </c>
      <c r="M4711" s="22">
        <v>135.716</v>
      </c>
      <c r="N4711" s="22">
        <v>243.71</v>
      </c>
      <c r="O4711" s="24">
        <v>53.9</v>
      </c>
      <c r="P4711" s="18">
        <f t="shared" si="1"/>
        <v>210.53</v>
      </c>
    </row>
    <row r="4712" ht="15.75" customHeight="1">
      <c r="A4712" s="13" t="s">
        <v>251</v>
      </c>
      <c r="B4712" s="13" t="s">
        <v>133</v>
      </c>
      <c r="C4712" s="14" t="s">
        <v>155</v>
      </c>
      <c r="D4712" s="14" t="str">
        <f>VLOOKUP(C4712,'State Key'!$A$2:$B$210,2,False)</f>
        <v>Maharashtra</v>
      </c>
      <c r="E4712" s="15">
        <v>120.0</v>
      </c>
      <c r="F4712" s="16">
        <v>0.0</v>
      </c>
      <c r="G4712" s="16">
        <v>0.0</v>
      </c>
      <c r="H4712" s="16">
        <v>0.0</v>
      </c>
      <c r="I4712" s="16">
        <v>0.0</v>
      </c>
      <c r="J4712" s="16">
        <v>0.0</v>
      </c>
      <c r="K4712" s="16">
        <v>0.0</v>
      </c>
      <c r="L4712" s="16">
        <v>0.0</v>
      </c>
      <c r="M4712" s="16">
        <v>0.0</v>
      </c>
      <c r="N4712" s="16">
        <v>0.0</v>
      </c>
      <c r="O4712" s="13" t="s">
        <v>58</v>
      </c>
      <c r="P4712" s="18">
        <f t="shared" si="1"/>
        <v>0</v>
      </c>
    </row>
    <row r="4713" ht="15.75" customHeight="1">
      <c r="A4713" s="19" t="s">
        <v>251</v>
      </c>
      <c r="B4713" s="19" t="s">
        <v>133</v>
      </c>
      <c r="C4713" s="20" t="s">
        <v>156</v>
      </c>
      <c r="D4713" s="14" t="str">
        <f>VLOOKUP(C4713,'State Key'!$A$2:$B$210,2,False)</f>
        <v>Maharashtra</v>
      </c>
      <c r="E4713" s="21">
        <v>600.0</v>
      </c>
      <c r="F4713" s="22">
        <v>190.834</v>
      </c>
      <c r="G4713" s="22">
        <v>0.0</v>
      </c>
      <c r="H4713" s="22">
        <v>0.0</v>
      </c>
      <c r="I4713" s="22">
        <v>101.439</v>
      </c>
      <c r="J4713" s="22">
        <v>0.0</v>
      </c>
      <c r="K4713" s="22">
        <v>0.0</v>
      </c>
      <c r="L4713" s="22">
        <v>292.273</v>
      </c>
      <c r="M4713" s="22">
        <v>237.5449</v>
      </c>
      <c r="N4713" s="22">
        <v>204.0</v>
      </c>
      <c r="O4713" s="24">
        <v>25.8</v>
      </c>
      <c r="P4713" s="18">
        <f t="shared" si="1"/>
        <v>292.273</v>
      </c>
    </row>
    <row r="4714" ht="15.75" customHeight="1">
      <c r="A4714" s="13" t="s">
        <v>251</v>
      </c>
      <c r="B4714" s="13" t="s">
        <v>133</v>
      </c>
      <c r="C4714" s="14" t="s">
        <v>157</v>
      </c>
      <c r="D4714" s="14" t="str">
        <f>VLOOKUP(C4714,'State Key'!$A$2:$B$210,2,False)</f>
        <v>Maharashtra</v>
      </c>
      <c r="E4714" s="15">
        <v>300.0</v>
      </c>
      <c r="F4714" s="16">
        <v>0.0</v>
      </c>
      <c r="G4714" s="16">
        <v>0.0</v>
      </c>
      <c r="H4714" s="16">
        <v>0.0</v>
      </c>
      <c r="I4714" s="16">
        <v>0.0</v>
      </c>
      <c r="J4714" s="16">
        <v>75.0</v>
      </c>
      <c r="K4714" s="16">
        <v>0.0</v>
      </c>
      <c r="L4714" s="16">
        <v>75.0</v>
      </c>
      <c r="M4714" s="16">
        <v>60.41</v>
      </c>
      <c r="N4714" s="16">
        <v>84.79</v>
      </c>
      <c r="O4714" s="24">
        <v>42.1</v>
      </c>
      <c r="P4714" s="18">
        <f t="shared" si="1"/>
        <v>75</v>
      </c>
    </row>
    <row r="4715" ht="15.75" customHeight="1">
      <c r="A4715" s="19" t="s">
        <v>251</v>
      </c>
      <c r="B4715" s="19" t="s">
        <v>133</v>
      </c>
      <c r="C4715" s="20" t="s">
        <v>158</v>
      </c>
      <c r="D4715" s="14" t="str">
        <f>VLOOKUP(C4715,'State Key'!$A$2:$B$210,2,False)</f>
        <v>Chhattisgarh</v>
      </c>
      <c r="E4715" s="21">
        <v>270.0</v>
      </c>
      <c r="F4715" s="22">
        <v>50.77</v>
      </c>
      <c r="G4715" s="22">
        <v>0.0</v>
      </c>
      <c r="H4715" s="22">
        <v>0.0</v>
      </c>
      <c r="I4715" s="22">
        <v>0.0</v>
      </c>
      <c r="J4715" s="22">
        <v>0.0</v>
      </c>
      <c r="K4715" s="22">
        <v>110.35</v>
      </c>
      <c r="L4715" s="22">
        <v>161.12</v>
      </c>
      <c r="M4715" s="22">
        <v>131.85</v>
      </c>
      <c r="N4715" s="22">
        <v>81.155</v>
      </c>
      <c r="O4715" s="24">
        <v>18.5</v>
      </c>
      <c r="P4715" s="18">
        <f t="shared" si="1"/>
        <v>161.12</v>
      </c>
    </row>
    <row r="4716" ht="15.75" customHeight="1">
      <c r="A4716" s="13" t="s">
        <v>251</v>
      </c>
      <c r="B4716" s="13" t="s">
        <v>133</v>
      </c>
      <c r="C4716" s="14" t="s">
        <v>160</v>
      </c>
      <c r="D4716" s="14" t="str">
        <f>VLOOKUP(C4716,'State Key'!$A$2:$B$210,2,False)</f>
        <v>Maharashtra</v>
      </c>
      <c r="E4716" s="15">
        <v>1340.0</v>
      </c>
      <c r="F4716" s="16">
        <v>606.399</v>
      </c>
      <c r="G4716" s="16">
        <v>0.0</v>
      </c>
      <c r="H4716" s="16">
        <v>0.0</v>
      </c>
      <c r="I4716" s="16">
        <v>0.0</v>
      </c>
      <c r="J4716" s="16">
        <v>62.011</v>
      </c>
      <c r="K4716" s="16">
        <v>0.238</v>
      </c>
      <c r="L4716" s="16">
        <v>668.648</v>
      </c>
      <c r="M4716" s="16">
        <v>606.543</v>
      </c>
      <c r="N4716" s="16">
        <v>303.23</v>
      </c>
      <c r="O4716" s="24">
        <v>15.0</v>
      </c>
      <c r="P4716" s="18">
        <f t="shared" si="1"/>
        <v>668.648</v>
      </c>
    </row>
    <row r="4717" ht="15.75" customHeight="1">
      <c r="A4717" s="19" t="s">
        <v>251</v>
      </c>
      <c r="B4717" s="19" t="s">
        <v>133</v>
      </c>
      <c r="C4717" s="20" t="s">
        <v>161</v>
      </c>
      <c r="D4717" s="14" t="str">
        <f>VLOOKUP(C4717,'State Key'!$A$2:$B$210,2,False)</f>
        <v>Madhya Pradesh</v>
      </c>
      <c r="E4717" s="21">
        <v>1320.0</v>
      </c>
      <c r="F4717" s="22">
        <v>248.89</v>
      </c>
      <c r="G4717" s="22">
        <v>0.0</v>
      </c>
      <c r="H4717" s="22">
        <v>255.88</v>
      </c>
      <c r="I4717" s="22">
        <v>0.0</v>
      </c>
      <c r="J4717" s="22">
        <v>0.0</v>
      </c>
      <c r="K4717" s="22">
        <v>24.47</v>
      </c>
      <c r="L4717" s="22">
        <v>529.24</v>
      </c>
      <c r="M4717" s="22">
        <v>447.752</v>
      </c>
      <c r="N4717" s="22">
        <v>248.373</v>
      </c>
      <c r="O4717" s="24">
        <v>16.6</v>
      </c>
      <c r="P4717" s="18">
        <f t="shared" si="1"/>
        <v>529.24</v>
      </c>
    </row>
    <row r="4718" ht="15.75" customHeight="1">
      <c r="A4718" s="13" t="s">
        <v>251</v>
      </c>
      <c r="B4718" s="13" t="s">
        <v>133</v>
      </c>
      <c r="C4718" s="14" t="s">
        <v>162</v>
      </c>
      <c r="D4718" s="14" t="str">
        <f>VLOOKUP(C4718,'State Key'!$A$2:$B$210,2,False)</f>
        <v>Maharashtra</v>
      </c>
      <c r="E4718" s="15">
        <v>2190.0</v>
      </c>
      <c r="F4718" s="16">
        <v>902.275</v>
      </c>
      <c r="G4718" s="16">
        <v>100.969</v>
      </c>
      <c r="H4718" s="16">
        <v>0.0</v>
      </c>
      <c r="I4718" s="16">
        <v>0.0</v>
      </c>
      <c r="J4718" s="16">
        <v>0.0</v>
      </c>
      <c r="K4718" s="16">
        <v>0.0</v>
      </c>
      <c r="L4718" s="16">
        <v>1003.244</v>
      </c>
      <c r="M4718" s="16">
        <v>895.583</v>
      </c>
      <c r="N4718" s="16">
        <v>274.982</v>
      </c>
      <c r="O4718" s="23">
        <v>9.2</v>
      </c>
      <c r="P4718" s="18">
        <f t="shared" si="1"/>
        <v>1003.244</v>
      </c>
    </row>
    <row r="4719" ht="15.75" customHeight="1">
      <c r="A4719" s="19" t="s">
        <v>251</v>
      </c>
      <c r="B4719" s="19" t="s">
        <v>133</v>
      </c>
      <c r="C4719" s="20" t="s">
        <v>163</v>
      </c>
      <c r="D4719" s="14" t="str">
        <f>VLOOKUP(C4719,'State Key'!$A$2:$B$210,2,False)</f>
        <v>Chhattisgarh</v>
      </c>
      <c r="E4719" s="21">
        <v>2600.0</v>
      </c>
      <c r="F4719" s="22">
        <v>1225.77</v>
      </c>
      <c r="G4719" s="22">
        <v>0.0</v>
      </c>
      <c r="H4719" s="22">
        <v>0.0</v>
      </c>
      <c r="I4719" s="22">
        <v>0.0</v>
      </c>
      <c r="J4719" s="22">
        <v>0.0</v>
      </c>
      <c r="K4719" s="22">
        <v>0.0</v>
      </c>
      <c r="L4719" s="22">
        <v>1225.77</v>
      </c>
      <c r="M4719" s="22">
        <v>1268.426</v>
      </c>
      <c r="N4719" s="22">
        <v>440.25</v>
      </c>
      <c r="O4719" s="23">
        <v>10.4</v>
      </c>
      <c r="P4719" s="18">
        <f t="shared" si="1"/>
        <v>1225.77</v>
      </c>
    </row>
    <row r="4720" ht="15.75" customHeight="1">
      <c r="A4720" s="13" t="s">
        <v>251</v>
      </c>
      <c r="B4720" s="13" t="s">
        <v>133</v>
      </c>
      <c r="C4720" s="14" t="s">
        <v>164</v>
      </c>
      <c r="D4720" s="14" t="str">
        <f>VLOOKUP(C4720,'State Key'!$A$2:$B$210,2,False)</f>
        <v>Chhattisgarh</v>
      </c>
      <c r="E4720" s="15">
        <v>1340.0</v>
      </c>
      <c r="F4720" s="16">
        <v>558.459</v>
      </c>
      <c r="G4720" s="16">
        <v>0.0</v>
      </c>
      <c r="H4720" s="16">
        <v>0.0</v>
      </c>
      <c r="I4720" s="16">
        <v>0.0</v>
      </c>
      <c r="J4720" s="16">
        <v>0.0</v>
      </c>
      <c r="K4720" s="16">
        <v>0.0</v>
      </c>
      <c r="L4720" s="16">
        <v>558.459</v>
      </c>
      <c r="M4720" s="16">
        <v>658.229</v>
      </c>
      <c r="N4720" s="16">
        <v>304.67</v>
      </c>
      <c r="O4720" s="23">
        <v>13.9</v>
      </c>
      <c r="P4720" s="18">
        <f t="shared" si="1"/>
        <v>558.459</v>
      </c>
    </row>
    <row r="4721" ht="15.75" customHeight="1">
      <c r="A4721" s="19" t="s">
        <v>251</v>
      </c>
      <c r="B4721" s="19" t="s">
        <v>133</v>
      </c>
      <c r="C4721" s="20" t="s">
        <v>165</v>
      </c>
      <c r="D4721" s="14" t="str">
        <f>VLOOKUP(C4721,'State Key'!$A$2:$B$210,2,False)</f>
        <v>Chhattisgarh</v>
      </c>
      <c r="E4721" s="21">
        <v>1600.0</v>
      </c>
      <c r="F4721" s="22">
        <v>3.46</v>
      </c>
      <c r="G4721" s="22">
        <v>0.0</v>
      </c>
      <c r="H4721" s="22">
        <v>749.42</v>
      </c>
      <c r="I4721" s="22">
        <v>0.0</v>
      </c>
      <c r="J4721" s="22">
        <v>0.0</v>
      </c>
      <c r="K4721" s="22">
        <v>0.0</v>
      </c>
      <c r="L4721" s="22">
        <v>752.88</v>
      </c>
      <c r="M4721" s="22">
        <v>690.645</v>
      </c>
      <c r="N4721" s="22">
        <v>385.185</v>
      </c>
      <c r="O4721" s="24">
        <v>16.7</v>
      </c>
      <c r="P4721" s="18">
        <f t="shared" si="1"/>
        <v>752.88</v>
      </c>
    </row>
    <row r="4722" ht="15.75" customHeight="1">
      <c r="A4722" s="13" t="s">
        <v>251</v>
      </c>
      <c r="B4722" s="13" t="s">
        <v>133</v>
      </c>
      <c r="C4722" s="14" t="s">
        <v>166</v>
      </c>
      <c r="D4722" s="14" t="str">
        <f>VLOOKUP(C4722,'State Key'!$A$2:$B$210,2,False)</f>
        <v>Madhya Pradesh</v>
      </c>
      <c r="E4722" s="15">
        <v>1200.0</v>
      </c>
      <c r="F4722" s="16">
        <v>174.21</v>
      </c>
      <c r="G4722" s="16">
        <v>0.0</v>
      </c>
      <c r="H4722" s="16">
        <v>0.0</v>
      </c>
      <c r="I4722" s="16">
        <v>0.0</v>
      </c>
      <c r="J4722" s="16">
        <v>0.0</v>
      </c>
      <c r="K4722" s="16">
        <v>220.718</v>
      </c>
      <c r="L4722" s="16">
        <v>394.928</v>
      </c>
      <c r="M4722" s="16">
        <v>242.925</v>
      </c>
      <c r="N4722" s="16">
        <v>297.47</v>
      </c>
      <c r="O4722" s="24">
        <v>36.7</v>
      </c>
      <c r="P4722" s="18">
        <f t="shared" si="1"/>
        <v>394.928</v>
      </c>
    </row>
    <row r="4723" ht="15.75" customHeight="1">
      <c r="A4723" s="19" t="s">
        <v>251</v>
      </c>
      <c r="B4723" s="19" t="s">
        <v>133</v>
      </c>
      <c r="C4723" s="20" t="s">
        <v>167</v>
      </c>
      <c r="D4723" s="14" t="str">
        <f>VLOOKUP(C4723,'State Key'!$A$2:$B$210,2,False)</f>
        <v>Chhattisgarh</v>
      </c>
      <c r="E4723" s="21">
        <v>1000.0</v>
      </c>
      <c r="F4723" s="22">
        <v>155.98</v>
      </c>
      <c r="G4723" s="22">
        <v>0.0</v>
      </c>
      <c r="H4723" s="22">
        <v>185.017</v>
      </c>
      <c r="I4723" s="22">
        <v>0.0</v>
      </c>
      <c r="J4723" s="22">
        <v>0.0</v>
      </c>
      <c r="K4723" s="22">
        <v>0.0</v>
      </c>
      <c r="L4723" s="22">
        <v>340.997</v>
      </c>
      <c r="M4723" s="22">
        <v>439.8692</v>
      </c>
      <c r="N4723" s="22">
        <v>435.1</v>
      </c>
      <c r="O4723" s="24">
        <v>29.7</v>
      </c>
      <c r="P4723" s="18">
        <f t="shared" si="1"/>
        <v>340.997</v>
      </c>
    </row>
    <row r="4724" ht="15.75" customHeight="1">
      <c r="A4724" s="13" t="s">
        <v>251</v>
      </c>
      <c r="B4724" s="13" t="s">
        <v>133</v>
      </c>
      <c r="C4724" s="14" t="s">
        <v>168</v>
      </c>
      <c r="D4724" s="14" t="str">
        <f>VLOOKUP(C4724,'State Key'!$A$2:$B$210,2,False)</f>
        <v>Maharashtra</v>
      </c>
      <c r="E4724" s="15">
        <v>2320.0</v>
      </c>
      <c r="F4724" s="16">
        <v>682.89</v>
      </c>
      <c r="G4724" s="16">
        <v>0.0</v>
      </c>
      <c r="H4724" s="16">
        <v>63.03</v>
      </c>
      <c r="I4724" s="16">
        <v>0.0</v>
      </c>
      <c r="J4724" s="16">
        <v>0.0</v>
      </c>
      <c r="K4724" s="16">
        <v>99.58</v>
      </c>
      <c r="L4724" s="16">
        <v>845.5</v>
      </c>
      <c r="M4724" s="16">
        <v>942.7</v>
      </c>
      <c r="N4724" s="16">
        <v>603.834</v>
      </c>
      <c r="O4724" s="24">
        <v>19.2</v>
      </c>
      <c r="P4724" s="18">
        <f t="shared" si="1"/>
        <v>845.5</v>
      </c>
    </row>
    <row r="4725" ht="15.75" customHeight="1">
      <c r="A4725" s="19" t="s">
        <v>251</v>
      </c>
      <c r="B4725" s="19" t="s">
        <v>133</v>
      </c>
      <c r="C4725" s="20" t="s">
        <v>169</v>
      </c>
      <c r="D4725" s="14" t="str">
        <f>VLOOKUP(C4725,'State Key'!$A$2:$B$210,2,False)</f>
        <v>Madhya Pradesh</v>
      </c>
      <c r="E4725" s="21">
        <v>246.01</v>
      </c>
      <c r="F4725" s="22">
        <v>0.0</v>
      </c>
      <c r="G4725" s="22">
        <v>0.0</v>
      </c>
      <c r="H4725" s="22">
        <v>0.0</v>
      </c>
      <c r="I4725" s="22">
        <v>0.0</v>
      </c>
      <c r="J4725" s="22">
        <v>0.0</v>
      </c>
      <c r="K4725" s="22">
        <v>0.0</v>
      </c>
      <c r="L4725" s="22">
        <v>0.0</v>
      </c>
      <c r="M4725" s="22">
        <v>0.0</v>
      </c>
      <c r="N4725" s="22">
        <v>0.0</v>
      </c>
      <c r="O4725" s="19" t="s">
        <v>58</v>
      </c>
      <c r="P4725" s="18">
        <f t="shared" si="1"/>
        <v>0</v>
      </c>
    </row>
    <row r="4726" ht="15.75" customHeight="1">
      <c r="A4726" s="13" t="s">
        <v>251</v>
      </c>
      <c r="B4726" s="13" t="s">
        <v>133</v>
      </c>
      <c r="C4726" s="14" t="s">
        <v>172</v>
      </c>
      <c r="D4726" s="14" t="str">
        <f>VLOOKUP(C4726,'State Key'!$A$2:$B$210,2,False)</f>
        <v>Gujarat</v>
      </c>
      <c r="E4726" s="15">
        <v>4000.0</v>
      </c>
      <c r="F4726" s="16">
        <v>0.0</v>
      </c>
      <c r="G4726" s="16">
        <v>0.0</v>
      </c>
      <c r="H4726" s="16">
        <v>0.0</v>
      </c>
      <c r="I4726" s="16">
        <v>0.0</v>
      </c>
      <c r="J4726" s="16">
        <v>694.372</v>
      </c>
      <c r="K4726" s="16">
        <v>0.0</v>
      </c>
      <c r="L4726" s="16">
        <v>694.372</v>
      </c>
      <c r="M4726" s="16">
        <v>874.624</v>
      </c>
      <c r="N4726" s="16">
        <v>567.26</v>
      </c>
      <c r="O4726" s="24">
        <v>19.5</v>
      </c>
      <c r="P4726" s="18">
        <f t="shared" si="1"/>
        <v>694.372</v>
      </c>
    </row>
    <row r="4727" ht="15.75" customHeight="1">
      <c r="A4727" s="19" t="s">
        <v>251</v>
      </c>
      <c r="B4727" s="19" t="s">
        <v>133</v>
      </c>
      <c r="C4727" s="20" t="s">
        <v>174</v>
      </c>
      <c r="D4727" s="14" t="str">
        <f>VLOOKUP(C4727,'State Key'!$A$2:$B$210,2,False)</f>
        <v>Maharashtra</v>
      </c>
      <c r="E4727" s="21">
        <v>630.0</v>
      </c>
      <c r="F4727" s="22">
        <v>248.159</v>
      </c>
      <c r="G4727" s="22">
        <v>0.0</v>
      </c>
      <c r="H4727" s="22">
        <v>0.0</v>
      </c>
      <c r="I4727" s="22">
        <v>0.0</v>
      </c>
      <c r="J4727" s="22">
        <v>27.156</v>
      </c>
      <c r="K4727" s="22">
        <v>0.0</v>
      </c>
      <c r="L4727" s="22">
        <v>275.315</v>
      </c>
      <c r="M4727" s="22">
        <v>220.019</v>
      </c>
      <c r="N4727" s="22">
        <v>196.51</v>
      </c>
      <c r="O4727" s="24">
        <v>26.8</v>
      </c>
      <c r="P4727" s="18">
        <f t="shared" si="1"/>
        <v>275.315</v>
      </c>
    </row>
    <row r="4728" ht="15.75" customHeight="1">
      <c r="A4728" s="13" t="s">
        <v>251</v>
      </c>
      <c r="B4728" s="13" t="s">
        <v>133</v>
      </c>
      <c r="C4728" s="14" t="s">
        <v>175</v>
      </c>
      <c r="D4728" s="14" t="str">
        <f>VLOOKUP(C4728,'State Key'!$A$2:$B$210,2,False)</f>
        <v>Chhattisgarh</v>
      </c>
      <c r="E4728" s="15">
        <v>600.0</v>
      </c>
      <c r="F4728" s="16">
        <v>291.527</v>
      </c>
      <c r="G4728" s="16">
        <v>0.0</v>
      </c>
      <c r="H4728" s="16">
        <v>0.0</v>
      </c>
      <c r="I4728" s="16">
        <v>0.0</v>
      </c>
      <c r="J4728" s="16">
        <v>0.0</v>
      </c>
      <c r="K4728" s="16">
        <v>0.0</v>
      </c>
      <c r="L4728" s="16">
        <v>291.527</v>
      </c>
      <c r="M4728" s="16">
        <v>249.407</v>
      </c>
      <c r="N4728" s="16">
        <v>277.56</v>
      </c>
      <c r="O4728" s="24">
        <v>33.4</v>
      </c>
      <c r="P4728" s="18">
        <f t="shared" si="1"/>
        <v>291.527</v>
      </c>
    </row>
    <row r="4729" ht="15.75" customHeight="1">
      <c r="A4729" s="19" t="s">
        <v>251</v>
      </c>
      <c r="B4729" s="19" t="s">
        <v>133</v>
      </c>
      <c r="C4729" s="20" t="s">
        <v>176</v>
      </c>
      <c r="D4729" s="14" t="str">
        <f>VLOOKUP(C4729,'State Key'!$A$2:$B$210,2,False)</f>
        <v>Madhya Pradesh</v>
      </c>
      <c r="E4729" s="21">
        <v>1320.0</v>
      </c>
      <c r="F4729" s="22">
        <v>0.0</v>
      </c>
      <c r="G4729" s="22">
        <v>0.0</v>
      </c>
      <c r="H4729" s="22">
        <v>345.4934</v>
      </c>
      <c r="I4729" s="22">
        <v>145.6769</v>
      </c>
      <c r="J4729" s="22">
        <v>0.0</v>
      </c>
      <c r="K4729" s="22">
        <v>0.0</v>
      </c>
      <c r="L4729" s="22">
        <v>491.1703</v>
      </c>
      <c r="M4729" s="22">
        <v>519.1244</v>
      </c>
      <c r="N4729" s="22">
        <v>337.3291</v>
      </c>
      <c r="O4729" s="24">
        <v>19.5</v>
      </c>
      <c r="P4729" s="18">
        <f t="shared" si="1"/>
        <v>491.1703</v>
      </c>
    </row>
    <row r="4730" ht="15.75" customHeight="1">
      <c r="A4730" s="13" t="s">
        <v>251</v>
      </c>
      <c r="B4730" s="13" t="s">
        <v>133</v>
      </c>
      <c r="C4730" s="14" t="s">
        <v>177</v>
      </c>
      <c r="D4730" s="14" t="str">
        <f>VLOOKUP(C4730,'State Key'!$A$2:$B$210,2,False)</f>
        <v>Madhya Pradesh</v>
      </c>
      <c r="E4730" s="15">
        <v>90.0</v>
      </c>
      <c r="F4730" s="16">
        <v>36.13</v>
      </c>
      <c r="G4730" s="16">
        <v>0.0</v>
      </c>
      <c r="H4730" s="16">
        <v>0.0</v>
      </c>
      <c r="I4730" s="16">
        <v>0.0</v>
      </c>
      <c r="J4730" s="16">
        <v>0.0</v>
      </c>
      <c r="K4730" s="16">
        <v>0.03</v>
      </c>
      <c r="L4730" s="16">
        <v>36.16</v>
      </c>
      <c r="M4730" s="16">
        <v>40.22</v>
      </c>
      <c r="N4730" s="16">
        <v>76.06</v>
      </c>
      <c r="O4730" s="24">
        <v>56.7</v>
      </c>
      <c r="P4730" s="18">
        <f t="shared" si="1"/>
        <v>36.16</v>
      </c>
    </row>
    <row r="4731" ht="15.75" customHeight="1">
      <c r="A4731" s="19" t="s">
        <v>251</v>
      </c>
      <c r="B4731" s="19" t="s">
        <v>133</v>
      </c>
      <c r="C4731" s="20" t="s">
        <v>178</v>
      </c>
      <c r="D4731" s="14" t="str">
        <f>VLOOKUP(C4731,'State Key'!$A$2:$B$210,2,False)</f>
        <v>Chhattisgarh</v>
      </c>
      <c r="E4731" s="21">
        <v>1000.0</v>
      </c>
      <c r="F4731" s="22">
        <v>50.008</v>
      </c>
      <c r="G4731" s="22">
        <v>0.0</v>
      </c>
      <c r="H4731" s="22">
        <v>601.738</v>
      </c>
      <c r="I4731" s="22">
        <v>0.0</v>
      </c>
      <c r="J4731" s="22">
        <v>0.0</v>
      </c>
      <c r="K4731" s="22">
        <v>0.0</v>
      </c>
      <c r="L4731" s="22">
        <v>651.746</v>
      </c>
      <c r="M4731" s="22">
        <v>541.632</v>
      </c>
      <c r="N4731" s="22">
        <v>338.61</v>
      </c>
      <c r="O4731" s="24">
        <v>18.8</v>
      </c>
      <c r="P4731" s="18">
        <f t="shared" si="1"/>
        <v>651.746</v>
      </c>
    </row>
    <row r="4732" ht="15.75" customHeight="1">
      <c r="A4732" s="13" t="s">
        <v>251</v>
      </c>
      <c r="B4732" s="13" t="s">
        <v>133</v>
      </c>
      <c r="C4732" s="14" t="s">
        <v>179</v>
      </c>
      <c r="D4732" s="14" t="str">
        <f>VLOOKUP(C4732,'State Key'!$A$2:$B$210,2,False)</f>
        <v>Maharashtra</v>
      </c>
      <c r="E4732" s="15">
        <v>500.0</v>
      </c>
      <c r="F4732" s="16">
        <v>130.22</v>
      </c>
      <c r="G4732" s="16">
        <v>92.39</v>
      </c>
      <c r="H4732" s="16">
        <v>0.0</v>
      </c>
      <c r="I4732" s="16">
        <v>0.0</v>
      </c>
      <c r="J4732" s="16">
        <v>0.0</v>
      </c>
      <c r="K4732" s="16">
        <v>0.0</v>
      </c>
      <c r="L4732" s="16">
        <v>222.61</v>
      </c>
      <c r="M4732" s="16">
        <v>198.637</v>
      </c>
      <c r="N4732" s="16">
        <v>144.72</v>
      </c>
      <c r="O4732" s="24">
        <v>21.9</v>
      </c>
      <c r="P4732" s="18">
        <f t="shared" si="1"/>
        <v>222.61</v>
      </c>
    </row>
    <row r="4733" ht="15.75" customHeight="1">
      <c r="A4733" s="19" t="s">
        <v>251</v>
      </c>
      <c r="B4733" s="19" t="s">
        <v>133</v>
      </c>
      <c r="C4733" s="20" t="s">
        <v>180</v>
      </c>
      <c r="D4733" s="14" t="str">
        <f>VLOOKUP(C4733,'State Key'!$A$2:$B$210,2,False)</f>
        <v>Maharashtra</v>
      </c>
      <c r="E4733" s="21">
        <v>750.0</v>
      </c>
      <c r="F4733" s="22">
        <v>103.632</v>
      </c>
      <c r="G4733" s="22">
        <v>221.922</v>
      </c>
      <c r="H4733" s="22">
        <v>0.0</v>
      </c>
      <c r="I4733" s="22">
        <v>0.0</v>
      </c>
      <c r="J4733" s="22">
        <v>0.0</v>
      </c>
      <c r="K4733" s="22">
        <v>0.0</v>
      </c>
      <c r="L4733" s="22">
        <v>325.554</v>
      </c>
      <c r="M4733" s="22">
        <v>208.104</v>
      </c>
      <c r="N4733" s="22">
        <v>182.37</v>
      </c>
      <c r="O4733" s="24">
        <v>26.3</v>
      </c>
      <c r="P4733" s="18">
        <f t="shared" si="1"/>
        <v>325.554</v>
      </c>
    </row>
    <row r="4734" ht="15.75" customHeight="1">
      <c r="A4734" s="13" t="s">
        <v>251</v>
      </c>
      <c r="B4734" s="13" t="s">
        <v>133</v>
      </c>
      <c r="C4734" s="14" t="s">
        <v>181</v>
      </c>
      <c r="D4734" s="14" t="str">
        <f>VLOOKUP(C4734,'State Key'!$A$2:$B$210,2,False)</f>
        <v>Chhattisgarh</v>
      </c>
      <c r="E4734" s="15">
        <v>600.0</v>
      </c>
      <c r="F4734" s="16">
        <v>301.728</v>
      </c>
      <c r="G4734" s="16">
        <v>0.0</v>
      </c>
      <c r="H4734" s="16">
        <v>0.0</v>
      </c>
      <c r="I4734" s="16">
        <v>0.0</v>
      </c>
      <c r="J4734" s="16">
        <v>0.0</v>
      </c>
      <c r="K4734" s="16">
        <v>3.358</v>
      </c>
      <c r="L4734" s="16">
        <v>305.086</v>
      </c>
      <c r="M4734" s="16">
        <v>266.587</v>
      </c>
      <c r="N4734" s="16">
        <v>112.383</v>
      </c>
      <c r="O4734" s="23">
        <v>12.6</v>
      </c>
      <c r="P4734" s="18">
        <f t="shared" si="1"/>
        <v>305.086</v>
      </c>
    </row>
    <row r="4735" ht="15.75" customHeight="1">
      <c r="A4735" s="19" t="s">
        <v>251</v>
      </c>
      <c r="B4735" s="19" t="s">
        <v>133</v>
      </c>
      <c r="C4735" s="20" t="s">
        <v>183</v>
      </c>
      <c r="D4735" s="14" t="str">
        <f>VLOOKUP(C4735,'State Key'!$A$2:$B$210,2,False)</f>
        <v>Chhattisgarh</v>
      </c>
      <c r="E4735" s="21">
        <v>100.0</v>
      </c>
      <c r="F4735" s="22">
        <v>0.0</v>
      </c>
      <c r="G4735" s="22">
        <v>0.0</v>
      </c>
      <c r="H4735" s="22">
        <v>0.0</v>
      </c>
      <c r="I4735" s="22">
        <v>0.0</v>
      </c>
      <c r="J4735" s="22">
        <v>0.0</v>
      </c>
      <c r="K4735" s="22">
        <v>56.24</v>
      </c>
      <c r="L4735" s="22">
        <v>56.24</v>
      </c>
      <c r="M4735" s="22">
        <v>69.03</v>
      </c>
      <c r="N4735" s="22">
        <v>7.16</v>
      </c>
      <c r="O4735" s="17">
        <v>3.1</v>
      </c>
      <c r="P4735" s="18">
        <f t="shared" si="1"/>
        <v>56.24</v>
      </c>
    </row>
    <row r="4736" ht="15.75" customHeight="1">
      <c r="A4736" s="13" t="s">
        <v>251</v>
      </c>
      <c r="B4736" s="13" t="s">
        <v>133</v>
      </c>
      <c r="C4736" s="14" t="s">
        <v>184</v>
      </c>
      <c r="D4736" s="14" t="str">
        <f>VLOOKUP(C4736,'State Key'!$A$2:$B$210,2,False)</f>
        <v>Gujarat</v>
      </c>
      <c r="E4736" s="15">
        <v>362.0</v>
      </c>
      <c r="F4736" s="16">
        <v>119.35</v>
      </c>
      <c r="G4736" s="16">
        <v>0.0</v>
      </c>
      <c r="H4736" s="16">
        <v>0.0</v>
      </c>
      <c r="I4736" s="16">
        <v>0.0</v>
      </c>
      <c r="J4736" s="16">
        <v>0.0</v>
      </c>
      <c r="K4736" s="16">
        <v>0.0</v>
      </c>
      <c r="L4736" s="16">
        <v>119.35</v>
      </c>
      <c r="M4736" s="16">
        <v>138.67</v>
      </c>
      <c r="N4736" s="16">
        <v>89.66</v>
      </c>
      <c r="O4736" s="24">
        <v>19.4</v>
      </c>
      <c r="P4736" s="18">
        <f t="shared" si="1"/>
        <v>119.35</v>
      </c>
    </row>
    <row r="4737" ht="15.75" customHeight="1">
      <c r="A4737" s="19" t="s">
        <v>251</v>
      </c>
      <c r="B4737" s="19" t="s">
        <v>133</v>
      </c>
      <c r="C4737" s="20" t="s">
        <v>185</v>
      </c>
      <c r="D4737" s="14" t="str">
        <f>VLOOKUP(C4737,'State Key'!$A$2:$B$210,2,False)</f>
        <v>Gujarat</v>
      </c>
      <c r="E4737" s="21">
        <v>1200.0</v>
      </c>
      <c r="F4737" s="22">
        <v>0.0</v>
      </c>
      <c r="G4737" s="22">
        <v>0.0</v>
      </c>
      <c r="H4737" s="22">
        <v>0.0</v>
      </c>
      <c r="I4737" s="22">
        <v>0.0</v>
      </c>
      <c r="J4737" s="22">
        <v>435.73</v>
      </c>
      <c r="K4737" s="22">
        <v>0.0</v>
      </c>
      <c r="L4737" s="22">
        <v>435.73</v>
      </c>
      <c r="M4737" s="22">
        <v>248.485</v>
      </c>
      <c r="N4737" s="22">
        <v>270.713</v>
      </c>
      <c r="O4737" s="24">
        <v>32.7</v>
      </c>
      <c r="P4737" s="18">
        <f t="shared" si="1"/>
        <v>435.73</v>
      </c>
    </row>
    <row r="4738" ht="15.75" customHeight="1">
      <c r="A4738" s="13" t="s">
        <v>251</v>
      </c>
      <c r="B4738" s="13" t="s">
        <v>133</v>
      </c>
      <c r="C4738" s="14" t="s">
        <v>187</v>
      </c>
      <c r="D4738" s="14" t="str">
        <f>VLOOKUP(C4738,'State Key'!$A$2:$B$210,2,False)</f>
        <v>Madhya Pradesh</v>
      </c>
      <c r="E4738" s="15">
        <v>1340.0</v>
      </c>
      <c r="F4738" s="16">
        <v>0.0</v>
      </c>
      <c r="G4738" s="16">
        <v>448.528</v>
      </c>
      <c r="H4738" s="16">
        <v>0.0</v>
      </c>
      <c r="I4738" s="16">
        <v>0.0</v>
      </c>
      <c r="J4738" s="16">
        <v>0.0</v>
      </c>
      <c r="K4738" s="16">
        <v>0.0</v>
      </c>
      <c r="L4738" s="16">
        <v>448.528</v>
      </c>
      <c r="M4738" s="16">
        <v>425.019</v>
      </c>
      <c r="N4738" s="16">
        <v>367.62</v>
      </c>
      <c r="O4738" s="24">
        <v>25.9</v>
      </c>
      <c r="P4738" s="18">
        <f t="shared" si="1"/>
        <v>448.528</v>
      </c>
    </row>
    <row r="4739" ht="15.75" customHeight="1">
      <c r="A4739" s="19" t="s">
        <v>251</v>
      </c>
      <c r="B4739" s="19" t="s">
        <v>133</v>
      </c>
      <c r="C4739" s="20" t="s">
        <v>188</v>
      </c>
      <c r="D4739" s="14" t="str">
        <f>VLOOKUP(C4739,'State Key'!$A$2:$B$210,2,False)</f>
        <v>Madhya Pradesh</v>
      </c>
      <c r="E4739" s="21">
        <v>3960.0</v>
      </c>
      <c r="F4739" s="22">
        <v>0.0</v>
      </c>
      <c r="G4739" s="22">
        <v>0.0</v>
      </c>
      <c r="H4739" s="22">
        <v>1569.8</v>
      </c>
      <c r="I4739" s="22">
        <v>0.0</v>
      </c>
      <c r="J4739" s="22">
        <v>0.0</v>
      </c>
      <c r="K4739" s="22">
        <v>0.0</v>
      </c>
      <c r="L4739" s="22">
        <v>1569.8</v>
      </c>
      <c r="M4739" s="22">
        <v>1536.34</v>
      </c>
      <c r="N4739" s="22">
        <v>336.92</v>
      </c>
      <c r="O4739" s="17">
        <v>6.6</v>
      </c>
      <c r="P4739" s="18">
        <f t="shared" si="1"/>
        <v>1569.8</v>
      </c>
    </row>
    <row r="4740" ht="15.75" customHeight="1">
      <c r="A4740" s="13" t="s">
        <v>251</v>
      </c>
      <c r="B4740" s="13" t="s">
        <v>133</v>
      </c>
      <c r="C4740" s="14" t="s">
        <v>189</v>
      </c>
      <c r="D4740" s="14" t="str">
        <f>VLOOKUP(C4740,'State Key'!$A$2:$B$210,2,False)</f>
        <v>Madhya Pradesh</v>
      </c>
      <c r="E4740" s="15">
        <v>500.0</v>
      </c>
      <c r="F4740" s="16">
        <v>188.03093</v>
      </c>
      <c r="G4740" s="16">
        <v>0.0</v>
      </c>
      <c r="H4740" s="16">
        <v>0.0</v>
      </c>
      <c r="I4740" s="16">
        <v>0.0</v>
      </c>
      <c r="J4740" s="16">
        <v>0.0</v>
      </c>
      <c r="K4740" s="16">
        <v>0.0</v>
      </c>
      <c r="L4740" s="16">
        <v>188.03093</v>
      </c>
      <c r="M4740" s="16">
        <v>213.461</v>
      </c>
      <c r="N4740" s="16">
        <v>123.04</v>
      </c>
      <c r="O4740" s="24">
        <v>17.3</v>
      </c>
      <c r="P4740" s="18">
        <f t="shared" si="1"/>
        <v>188.03093</v>
      </c>
    </row>
    <row r="4741" ht="15.75" customHeight="1">
      <c r="A4741" s="19" t="s">
        <v>251</v>
      </c>
      <c r="B4741" s="19" t="s">
        <v>133</v>
      </c>
      <c r="C4741" s="20" t="s">
        <v>190</v>
      </c>
      <c r="D4741" s="14" t="str">
        <f>VLOOKUP(C4741,'State Key'!$A$2:$B$210,2,False)</f>
        <v>Madhya Pradesh</v>
      </c>
      <c r="E4741" s="21">
        <v>600.0</v>
      </c>
      <c r="F4741" s="22">
        <v>102.549</v>
      </c>
      <c r="G4741" s="22">
        <v>0.0</v>
      </c>
      <c r="H4741" s="22">
        <v>0.0</v>
      </c>
      <c r="I4741" s="22">
        <v>134.97</v>
      </c>
      <c r="J4741" s="22">
        <v>0.0</v>
      </c>
      <c r="K4741" s="22">
        <v>0.0</v>
      </c>
      <c r="L4741" s="22">
        <v>237.519</v>
      </c>
      <c r="M4741" s="22">
        <v>251.97</v>
      </c>
      <c r="N4741" s="22">
        <v>274.66</v>
      </c>
      <c r="O4741" s="24">
        <v>32.7</v>
      </c>
      <c r="P4741" s="18">
        <f t="shared" si="1"/>
        <v>237.519</v>
      </c>
    </row>
    <row r="4742" ht="15.75" customHeight="1">
      <c r="A4742" s="13" t="s">
        <v>251</v>
      </c>
      <c r="B4742" s="13" t="s">
        <v>133</v>
      </c>
      <c r="C4742" s="14" t="s">
        <v>191</v>
      </c>
      <c r="D4742" s="14" t="str">
        <f>VLOOKUP(C4742,'State Key'!$A$2:$B$210,2,False)</f>
        <v>Maharashtra</v>
      </c>
      <c r="E4742" s="15">
        <v>300.0</v>
      </c>
      <c r="F4742" s="16">
        <v>0.0</v>
      </c>
      <c r="G4742" s="16">
        <v>0.0</v>
      </c>
      <c r="H4742" s="16">
        <v>0.0</v>
      </c>
      <c r="I4742" s="16">
        <v>0.0</v>
      </c>
      <c r="J4742" s="16">
        <v>0.0</v>
      </c>
      <c r="K4742" s="16">
        <v>89.559</v>
      </c>
      <c r="L4742" s="16">
        <v>89.559</v>
      </c>
      <c r="M4742" s="16">
        <v>117.402</v>
      </c>
      <c r="N4742" s="16">
        <v>70.15</v>
      </c>
      <c r="O4742" s="24">
        <v>17.9</v>
      </c>
      <c r="P4742" s="18">
        <f t="shared" si="1"/>
        <v>89.559</v>
      </c>
    </row>
    <row r="4743" ht="15.75" customHeight="1">
      <c r="A4743" s="19" t="s">
        <v>251</v>
      </c>
      <c r="B4743" s="19" t="s">
        <v>133</v>
      </c>
      <c r="C4743" s="20" t="s">
        <v>192</v>
      </c>
      <c r="D4743" s="14" t="str">
        <f>VLOOKUP(C4743,'State Key'!$A$2:$B$210,2,False)</f>
        <v>Madhya Pradesh</v>
      </c>
      <c r="E4743" s="21">
        <v>2520.0</v>
      </c>
      <c r="F4743" s="22">
        <v>937.658</v>
      </c>
      <c r="G4743" s="22">
        <v>0.0</v>
      </c>
      <c r="H4743" s="22">
        <v>0.0</v>
      </c>
      <c r="I4743" s="22">
        <v>0.0</v>
      </c>
      <c r="J4743" s="22">
        <v>0.0</v>
      </c>
      <c r="K4743" s="22">
        <v>0.0</v>
      </c>
      <c r="L4743" s="22">
        <v>937.658</v>
      </c>
      <c r="M4743" s="22">
        <v>870.469</v>
      </c>
      <c r="N4743" s="22">
        <v>490.45</v>
      </c>
      <c r="O4743" s="24">
        <v>16.9</v>
      </c>
      <c r="P4743" s="18">
        <f t="shared" si="1"/>
        <v>937.658</v>
      </c>
    </row>
    <row r="4744" ht="15.75" customHeight="1">
      <c r="A4744" s="13" t="s">
        <v>251</v>
      </c>
      <c r="B4744" s="13" t="s">
        <v>133</v>
      </c>
      <c r="C4744" s="14" t="s">
        <v>193</v>
      </c>
      <c r="D4744" s="14" t="str">
        <f>VLOOKUP(C4744,'State Key'!$A$2:$B$210,2,False)</f>
        <v>Gujarat</v>
      </c>
      <c r="E4744" s="15">
        <v>500.0</v>
      </c>
      <c r="F4744" s="16">
        <v>0.0</v>
      </c>
      <c r="G4744" s="16">
        <v>0.0</v>
      </c>
      <c r="H4744" s="16">
        <v>0.0</v>
      </c>
      <c r="I4744" s="16">
        <v>0.0</v>
      </c>
      <c r="J4744" s="16">
        <v>75.937</v>
      </c>
      <c r="K4744" s="16">
        <v>0.0</v>
      </c>
      <c r="L4744" s="16">
        <v>75.937</v>
      </c>
      <c r="M4744" s="16">
        <v>37.941</v>
      </c>
      <c r="N4744" s="16">
        <v>100.62</v>
      </c>
      <c r="O4744" s="24">
        <v>79.6</v>
      </c>
      <c r="P4744" s="18">
        <f t="shared" si="1"/>
        <v>75.937</v>
      </c>
    </row>
    <row r="4745" ht="15.75" customHeight="1">
      <c r="A4745" s="19" t="s">
        <v>251</v>
      </c>
      <c r="B4745" s="19" t="s">
        <v>133</v>
      </c>
      <c r="C4745" s="20" t="s">
        <v>194</v>
      </c>
      <c r="D4745" s="14" t="str">
        <f>VLOOKUP(C4745,'State Key'!$A$2:$B$210,2,False)</f>
        <v>Chhattisgarh</v>
      </c>
      <c r="E4745" s="21">
        <v>2980.0</v>
      </c>
      <c r="F4745" s="22">
        <v>1072.23</v>
      </c>
      <c r="G4745" s="22">
        <v>0.0</v>
      </c>
      <c r="H4745" s="22">
        <v>0.0</v>
      </c>
      <c r="I4745" s="22">
        <v>0.0</v>
      </c>
      <c r="J4745" s="22">
        <v>0.0</v>
      </c>
      <c r="K4745" s="22">
        <v>15.18</v>
      </c>
      <c r="L4745" s="22">
        <v>1087.41</v>
      </c>
      <c r="M4745" s="22">
        <v>1188.029</v>
      </c>
      <c r="N4745" s="22">
        <v>533.328</v>
      </c>
      <c r="O4745" s="23">
        <v>13.5</v>
      </c>
      <c r="P4745" s="18">
        <f t="shared" si="1"/>
        <v>1087.41</v>
      </c>
    </row>
    <row r="4746" ht="15.75" customHeight="1">
      <c r="A4746" s="13" t="s">
        <v>251</v>
      </c>
      <c r="B4746" s="13" t="s">
        <v>133</v>
      </c>
      <c r="C4746" s="14" t="s">
        <v>195</v>
      </c>
      <c r="D4746" s="14" t="str">
        <f>VLOOKUP(C4746,'State Key'!$A$2:$B$210,2,False)</f>
        <v>Maharashtra</v>
      </c>
      <c r="E4746" s="15">
        <v>1320.0</v>
      </c>
      <c r="F4746" s="16">
        <v>122.3</v>
      </c>
      <c r="G4746" s="16">
        <v>206.71</v>
      </c>
      <c r="H4746" s="16">
        <v>22.63</v>
      </c>
      <c r="I4746" s="16">
        <v>0.0</v>
      </c>
      <c r="J4746" s="16">
        <v>0.0</v>
      </c>
      <c r="K4746" s="16">
        <v>46.95</v>
      </c>
      <c r="L4746" s="16">
        <v>398.59</v>
      </c>
      <c r="M4746" s="16">
        <v>437.532</v>
      </c>
      <c r="N4746" s="16">
        <v>279.626</v>
      </c>
      <c r="O4746" s="24">
        <v>19.2</v>
      </c>
      <c r="P4746" s="18">
        <f t="shared" si="1"/>
        <v>398.59</v>
      </c>
    </row>
    <row r="4747" ht="15.75" customHeight="1">
      <c r="A4747" s="19" t="s">
        <v>251</v>
      </c>
      <c r="B4747" s="19" t="s">
        <v>133</v>
      </c>
      <c r="C4747" s="20" t="s">
        <v>196</v>
      </c>
      <c r="D4747" s="14" t="str">
        <f>VLOOKUP(C4747,'State Key'!$A$2:$B$210,2,False)</f>
        <v>Chhattisgarh</v>
      </c>
      <c r="E4747" s="21">
        <v>63.0</v>
      </c>
      <c r="F4747" s="22">
        <v>41.35</v>
      </c>
      <c r="G4747" s="22">
        <v>0.0</v>
      </c>
      <c r="H4747" s="22">
        <v>0.0</v>
      </c>
      <c r="I4747" s="22">
        <v>0.0</v>
      </c>
      <c r="J4747" s="22">
        <v>0.0</v>
      </c>
      <c r="K4747" s="22">
        <v>0.0</v>
      </c>
      <c r="L4747" s="22">
        <v>41.35</v>
      </c>
      <c r="M4747" s="22">
        <v>41.08</v>
      </c>
      <c r="N4747" s="22">
        <v>36.9</v>
      </c>
      <c r="O4747" s="24">
        <v>26.9</v>
      </c>
      <c r="P4747" s="18">
        <f t="shared" si="1"/>
        <v>41.35</v>
      </c>
    </row>
    <row r="4748" ht="15.75" customHeight="1">
      <c r="A4748" s="13" t="s">
        <v>251</v>
      </c>
      <c r="B4748" s="13" t="s">
        <v>133</v>
      </c>
      <c r="C4748" s="14" t="s">
        <v>198</v>
      </c>
      <c r="D4748" s="14" t="str">
        <f>VLOOKUP(C4748,'State Key'!$A$2:$B$210,2,False)</f>
        <v>Chhattisgarh</v>
      </c>
      <c r="E4748" s="15">
        <v>2400.0</v>
      </c>
      <c r="F4748" s="16">
        <v>383.462</v>
      </c>
      <c r="G4748" s="16">
        <v>0.0</v>
      </c>
      <c r="H4748" s="16">
        <v>796.0</v>
      </c>
      <c r="I4748" s="16">
        <v>0.0</v>
      </c>
      <c r="J4748" s="16">
        <v>0.0</v>
      </c>
      <c r="K4748" s="16">
        <v>0.0</v>
      </c>
      <c r="L4748" s="16">
        <v>1179.462</v>
      </c>
      <c r="M4748" s="16">
        <v>1293.701</v>
      </c>
      <c r="N4748" s="16">
        <v>605.2</v>
      </c>
      <c r="O4748" s="24">
        <v>14.0</v>
      </c>
      <c r="P4748" s="18">
        <f t="shared" si="1"/>
        <v>1179.462</v>
      </c>
    </row>
    <row r="4749" ht="15.75" customHeight="1">
      <c r="A4749" s="19" t="s">
        <v>251</v>
      </c>
      <c r="B4749" s="19" t="s">
        <v>133</v>
      </c>
      <c r="C4749" s="20" t="s">
        <v>200</v>
      </c>
      <c r="D4749" s="14" t="str">
        <f>VLOOKUP(C4749,'State Key'!$A$2:$B$210,2,False)</f>
        <v>Maharashtra</v>
      </c>
      <c r="E4749" s="21">
        <v>750.0</v>
      </c>
      <c r="F4749" s="22">
        <v>0.0</v>
      </c>
      <c r="G4749" s="22">
        <v>0.0</v>
      </c>
      <c r="H4749" s="22">
        <v>0.0</v>
      </c>
      <c r="I4749" s="22">
        <v>0.0</v>
      </c>
      <c r="J4749" s="22">
        <v>291.122</v>
      </c>
      <c r="K4749" s="22">
        <v>0.0</v>
      </c>
      <c r="L4749" s="22">
        <v>291.122</v>
      </c>
      <c r="M4749" s="22">
        <v>206.958</v>
      </c>
      <c r="N4749" s="22">
        <v>239.49</v>
      </c>
      <c r="O4749" s="24">
        <v>34.7</v>
      </c>
      <c r="P4749" s="18">
        <f t="shared" si="1"/>
        <v>291.122</v>
      </c>
    </row>
    <row r="4750" ht="15.75" customHeight="1">
      <c r="A4750" s="13" t="s">
        <v>251</v>
      </c>
      <c r="B4750" s="13" t="s">
        <v>133</v>
      </c>
      <c r="C4750" s="14" t="s">
        <v>201</v>
      </c>
      <c r="D4750" s="14" t="str">
        <f>VLOOKUP(C4750,'State Key'!$A$2:$B$210,2,False)</f>
        <v>Chhattisgarh</v>
      </c>
      <c r="E4750" s="15">
        <v>1440.0</v>
      </c>
      <c r="F4750" s="16">
        <v>505.096</v>
      </c>
      <c r="G4750" s="16">
        <v>0.0</v>
      </c>
      <c r="H4750" s="16">
        <v>0.0</v>
      </c>
      <c r="I4750" s="16">
        <v>81.392</v>
      </c>
      <c r="J4750" s="16">
        <v>0.0</v>
      </c>
      <c r="K4750" s="16">
        <v>52.951</v>
      </c>
      <c r="L4750" s="16">
        <v>639.439</v>
      </c>
      <c r="M4750" s="16">
        <v>472.577</v>
      </c>
      <c r="N4750" s="16">
        <v>1328.26</v>
      </c>
      <c r="O4750" s="24">
        <v>84.3</v>
      </c>
      <c r="P4750" s="18">
        <f t="shared" si="1"/>
        <v>639.439</v>
      </c>
    </row>
    <row r="4751" ht="15.75" customHeight="1">
      <c r="A4751" s="19" t="s">
        <v>251</v>
      </c>
      <c r="B4751" s="19" t="s">
        <v>133</v>
      </c>
      <c r="C4751" s="20" t="s">
        <v>202</v>
      </c>
      <c r="D4751" s="14" t="str">
        <f>VLOOKUP(C4751,'State Key'!$A$2:$B$210,2,False)</f>
        <v>Gujarat</v>
      </c>
      <c r="E4751" s="21">
        <v>1110.0</v>
      </c>
      <c r="F4751" s="22">
        <v>437.945</v>
      </c>
      <c r="G4751" s="22">
        <v>0.0</v>
      </c>
      <c r="H4751" s="22">
        <v>0.0</v>
      </c>
      <c r="I4751" s="22">
        <v>0.0</v>
      </c>
      <c r="J4751" s="22">
        <v>0.0</v>
      </c>
      <c r="K4751" s="22">
        <v>0.0</v>
      </c>
      <c r="L4751" s="22">
        <v>437.945</v>
      </c>
      <c r="M4751" s="22">
        <v>426.182</v>
      </c>
      <c r="N4751" s="22">
        <v>191.37</v>
      </c>
      <c r="O4751" s="23">
        <v>13.5</v>
      </c>
      <c r="P4751" s="18">
        <f t="shared" si="1"/>
        <v>437.945</v>
      </c>
    </row>
    <row r="4752" ht="15.75" customHeight="1">
      <c r="A4752" s="13" t="s">
        <v>251</v>
      </c>
      <c r="B4752" s="13" t="s">
        <v>133</v>
      </c>
      <c r="C4752" s="14" t="s">
        <v>203</v>
      </c>
      <c r="D4752" s="14" t="str">
        <f>VLOOKUP(C4752,'State Key'!$A$2:$B$210,2,False)</f>
        <v>Madhya Pradesh</v>
      </c>
      <c r="E4752" s="15">
        <v>4760.0</v>
      </c>
      <c r="F4752" s="16">
        <v>1825.25</v>
      </c>
      <c r="G4752" s="16">
        <v>0.0</v>
      </c>
      <c r="H4752" s="16">
        <v>0.0</v>
      </c>
      <c r="I4752" s="16">
        <v>0.0</v>
      </c>
      <c r="J4752" s="16">
        <v>0.0</v>
      </c>
      <c r="K4752" s="16">
        <v>0.0</v>
      </c>
      <c r="L4752" s="16">
        <v>1825.25</v>
      </c>
      <c r="M4752" s="16">
        <v>1835.997</v>
      </c>
      <c r="N4752" s="16">
        <v>1113.546</v>
      </c>
      <c r="O4752" s="24">
        <v>18.2</v>
      </c>
      <c r="P4752" s="18">
        <f t="shared" si="1"/>
        <v>1825.25</v>
      </c>
    </row>
    <row r="4753" ht="15.75" customHeight="1">
      <c r="A4753" s="19" t="s">
        <v>251</v>
      </c>
      <c r="B4753" s="19" t="s">
        <v>133</v>
      </c>
      <c r="C4753" s="20" t="s">
        <v>204</v>
      </c>
      <c r="D4753" s="14" t="str">
        <f>VLOOKUP(C4753,'State Key'!$A$2:$B$210,2,False)</f>
        <v>Gujarat</v>
      </c>
      <c r="E4753" s="21">
        <v>2270.0</v>
      </c>
      <c r="F4753" s="22">
        <v>652.271</v>
      </c>
      <c r="G4753" s="22">
        <v>0.0</v>
      </c>
      <c r="H4753" s="22">
        <v>0.0</v>
      </c>
      <c r="I4753" s="22">
        <v>0.0</v>
      </c>
      <c r="J4753" s="22">
        <v>0.0</v>
      </c>
      <c r="K4753" s="22">
        <v>0.0</v>
      </c>
      <c r="L4753" s="22">
        <v>652.271</v>
      </c>
      <c r="M4753" s="22">
        <v>523.198</v>
      </c>
      <c r="N4753" s="22">
        <v>595.19</v>
      </c>
      <c r="O4753" s="24">
        <v>34.1</v>
      </c>
      <c r="P4753" s="18">
        <f t="shared" si="1"/>
        <v>652.271</v>
      </c>
    </row>
    <row r="4754" ht="15.75" customHeight="1">
      <c r="A4754" s="13" t="s">
        <v>251</v>
      </c>
      <c r="B4754" s="13" t="s">
        <v>133</v>
      </c>
      <c r="C4754" s="14" t="s">
        <v>205</v>
      </c>
      <c r="D4754" s="14" t="str">
        <f>VLOOKUP(C4754,'State Key'!$A$2:$B$210,2,False)</f>
        <v>Maharashtra</v>
      </c>
      <c r="E4754" s="15">
        <v>540.0</v>
      </c>
      <c r="F4754" s="16">
        <v>192.75</v>
      </c>
      <c r="G4754" s="16">
        <v>0.0</v>
      </c>
      <c r="H4754" s="16">
        <v>0.0</v>
      </c>
      <c r="I4754" s="16">
        <v>0.0</v>
      </c>
      <c r="J4754" s="16">
        <v>0.0</v>
      </c>
      <c r="K4754" s="16">
        <v>50.76</v>
      </c>
      <c r="L4754" s="16">
        <v>243.51</v>
      </c>
      <c r="M4754" s="16">
        <v>220.46</v>
      </c>
      <c r="N4754" s="16">
        <v>388.56</v>
      </c>
      <c r="O4754" s="24">
        <v>52.9</v>
      </c>
      <c r="P4754" s="18">
        <f t="shared" si="1"/>
        <v>243.51</v>
      </c>
    </row>
    <row r="4755" ht="15.75" customHeight="1">
      <c r="A4755" s="19" t="s">
        <v>252</v>
      </c>
      <c r="B4755" s="19" t="s">
        <v>22</v>
      </c>
      <c r="C4755" s="20" t="s">
        <v>23</v>
      </c>
      <c r="D4755" s="14" t="str">
        <f>VLOOKUP(C4755,'State Key'!$A$2:$B$210,2,False)</f>
        <v>West Bengal</v>
      </c>
      <c r="E4755" s="21">
        <v>1050.0</v>
      </c>
      <c r="F4755" s="22">
        <v>0.0</v>
      </c>
      <c r="G4755" s="22">
        <v>0.0</v>
      </c>
      <c r="H4755" s="22">
        <v>295.716</v>
      </c>
      <c r="I4755" s="22">
        <v>0.0</v>
      </c>
      <c r="J4755" s="22">
        <v>0.0</v>
      </c>
      <c r="K4755" s="22">
        <v>0.0</v>
      </c>
      <c r="L4755" s="22">
        <v>295.716</v>
      </c>
      <c r="M4755" s="22">
        <v>389.598</v>
      </c>
      <c r="N4755" s="22">
        <v>0.0</v>
      </c>
      <c r="O4755" s="19" t="s">
        <v>58</v>
      </c>
      <c r="P4755" s="18">
        <f t="shared" si="1"/>
        <v>295.716</v>
      </c>
    </row>
    <row r="4756" ht="15.75" customHeight="1">
      <c r="A4756" s="13" t="s">
        <v>252</v>
      </c>
      <c r="B4756" s="13" t="s">
        <v>22</v>
      </c>
      <c r="C4756" s="14" t="s">
        <v>24</v>
      </c>
      <c r="D4756" s="14" t="str">
        <f>VLOOKUP(C4756,'State Key'!$A$2:$B$210,2,False)</f>
        <v>West Bengal</v>
      </c>
      <c r="E4756" s="15">
        <v>270.0</v>
      </c>
      <c r="F4756" s="16">
        <v>0.0</v>
      </c>
      <c r="G4756" s="16">
        <v>0.0</v>
      </c>
      <c r="H4756" s="16">
        <v>108.698</v>
      </c>
      <c r="I4756" s="16">
        <v>0.0</v>
      </c>
      <c r="J4756" s="16">
        <v>0.0</v>
      </c>
      <c r="K4756" s="16">
        <v>0.0</v>
      </c>
      <c r="L4756" s="16">
        <v>108.698</v>
      </c>
      <c r="M4756" s="16">
        <v>114.69</v>
      </c>
      <c r="N4756" s="16">
        <v>0.0</v>
      </c>
      <c r="O4756" s="13" t="s">
        <v>58</v>
      </c>
      <c r="P4756" s="18">
        <f t="shared" si="1"/>
        <v>108.698</v>
      </c>
    </row>
    <row r="4757" ht="15.75" customHeight="1">
      <c r="A4757" s="19" t="s">
        <v>252</v>
      </c>
      <c r="B4757" s="19" t="s">
        <v>22</v>
      </c>
      <c r="C4757" s="20" t="s">
        <v>25</v>
      </c>
      <c r="D4757" s="14" t="str">
        <f>VLOOKUP(C4757,'State Key'!$A$2:$B$210,2,False)</f>
        <v>Bihar</v>
      </c>
      <c r="E4757" s="21">
        <v>500.0</v>
      </c>
      <c r="F4757" s="22">
        <v>0.0</v>
      </c>
      <c r="G4757" s="22">
        <v>0.0</v>
      </c>
      <c r="H4757" s="22">
        <v>172.44</v>
      </c>
      <c r="I4757" s="22">
        <v>0.0</v>
      </c>
      <c r="J4757" s="22">
        <v>0.0</v>
      </c>
      <c r="K4757" s="22">
        <v>18.56</v>
      </c>
      <c r="L4757" s="22">
        <v>191.0</v>
      </c>
      <c r="M4757" s="22">
        <v>197.046</v>
      </c>
      <c r="N4757" s="22">
        <v>0.0</v>
      </c>
      <c r="O4757" s="19" t="s">
        <v>58</v>
      </c>
      <c r="P4757" s="18">
        <f t="shared" si="1"/>
        <v>191</v>
      </c>
    </row>
    <row r="4758" ht="15.75" customHeight="1">
      <c r="A4758" s="13" t="s">
        <v>252</v>
      </c>
      <c r="B4758" s="13" t="s">
        <v>22</v>
      </c>
      <c r="C4758" s="14" t="s">
        <v>26</v>
      </c>
      <c r="D4758" s="14" t="str">
        <f>VLOOKUP(C4758,'State Key'!$A$2:$B$210,2,False)</f>
        <v>Bihar</v>
      </c>
      <c r="E4758" s="15">
        <v>3300.0</v>
      </c>
      <c r="F4758" s="16">
        <v>134.18</v>
      </c>
      <c r="G4758" s="16">
        <v>0.0</v>
      </c>
      <c r="H4758" s="16">
        <v>491.82</v>
      </c>
      <c r="I4758" s="16">
        <v>0.0</v>
      </c>
      <c r="J4758" s="16">
        <v>0.0</v>
      </c>
      <c r="K4758" s="16">
        <v>12.53</v>
      </c>
      <c r="L4758" s="16">
        <v>638.53</v>
      </c>
      <c r="M4758" s="16">
        <v>855.388</v>
      </c>
      <c r="N4758" s="16">
        <v>0.0</v>
      </c>
      <c r="O4758" s="13" t="s">
        <v>58</v>
      </c>
      <c r="P4758" s="18">
        <f t="shared" si="1"/>
        <v>638.53</v>
      </c>
    </row>
    <row r="4759" ht="15.75" customHeight="1">
      <c r="A4759" s="19" t="s">
        <v>252</v>
      </c>
      <c r="B4759" s="19" t="s">
        <v>22</v>
      </c>
      <c r="C4759" s="20" t="s">
        <v>27</v>
      </c>
      <c r="D4759" s="14" t="str">
        <f>VLOOKUP(C4759,'State Key'!$A$2:$B$210,2,False)</f>
        <v>Jharkhand</v>
      </c>
      <c r="E4759" s="21">
        <v>500.0</v>
      </c>
      <c r="F4759" s="22">
        <v>76.659</v>
      </c>
      <c r="G4759" s="22">
        <v>0.0</v>
      </c>
      <c r="H4759" s="22">
        <v>50.532</v>
      </c>
      <c r="I4759" s="22">
        <v>0.0</v>
      </c>
      <c r="J4759" s="22">
        <v>0.0</v>
      </c>
      <c r="K4759" s="22">
        <v>0.0</v>
      </c>
      <c r="L4759" s="22">
        <v>127.191</v>
      </c>
      <c r="M4759" s="22">
        <v>165.407</v>
      </c>
      <c r="N4759" s="22">
        <v>0.0</v>
      </c>
      <c r="O4759" s="19" t="s">
        <v>58</v>
      </c>
      <c r="P4759" s="18">
        <f t="shared" si="1"/>
        <v>127.191</v>
      </c>
    </row>
    <row r="4760" ht="15.75" customHeight="1">
      <c r="A4760" s="13" t="s">
        <v>252</v>
      </c>
      <c r="B4760" s="13" t="s">
        <v>22</v>
      </c>
      <c r="C4760" s="14" t="s">
        <v>28</v>
      </c>
      <c r="D4760" s="14" t="str">
        <f>VLOOKUP(C4760,'State Key'!$A$2:$B$210,2,False)</f>
        <v>West Bengal</v>
      </c>
      <c r="E4760" s="15">
        <v>750.0</v>
      </c>
      <c r="F4760" s="16">
        <v>70.362</v>
      </c>
      <c r="G4760" s="16">
        <v>0.0</v>
      </c>
      <c r="H4760" s="16">
        <v>110.62</v>
      </c>
      <c r="I4760" s="16">
        <v>97.625</v>
      </c>
      <c r="J4760" s="16">
        <v>0.0</v>
      </c>
      <c r="K4760" s="16">
        <v>0.0</v>
      </c>
      <c r="L4760" s="16">
        <v>278.607</v>
      </c>
      <c r="M4760" s="16">
        <v>268.565</v>
      </c>
      <c r="N4760" s="16">
        <v>0.0</v>
      </c>
      <c r="O4760" s="13" t="s">
        <v>58</v>
      </c>
      <c r="P4760" s="18">
        <f t="shared" si="1"/>
        <v>278.607</v>
      </c>
    </row>
    <row r="4761" ht="15.75" customHeight="1">
      <c r="A4761" s="19" t="s">
        <v>252</v>
      </c>
      <c r="B4761" s="19" t="s">
        <v>22</v>
      </c>
      <c r="C4761" s="20" t="s">
        <v>29</v>
      </c>
      <c r="D4761" s="14" t="str">
        <f>VLOOKUP(C4761,'State Key'!$A$2:$B$210,2,False)</f>
        <v>Jharkhand</v>
      </c>
      <c r="E4761" s="21">
        <v>500.0</v>
      </c>
      <c r="F4761" s="22">
        <v>74.625</v>
      </c>
      <c r="G4761" s="22">
        <v>0.0</v>
      </c>
      <c r="H4761" s="22">
        <v>82.291</v>
      </c>
      <c r="I4761" s="22">
        <v>0.0</v>
      </c>
      <c r="J4761" s="22">
        <v>0.0</v>
      </c>
      <c r="K4761" s="22">
        <v>0.0</v>
      </c>
      <c r="L4761" s="22">
        <v>156.916</v>
      </c>
      <c r="M4761" s="22">
        <v>135.153</v>
      </c>
      <c r="N4761" s="22">
        <v>0.0</v>
      </c>
      <c r="O4761" s="19" t="s">
        <v>58</v>
      </c>
      <c r="P4761" s="18">
        <f t="shared" si="1"/>
        <v>156.916</v>
      </c>
    </row>
    <row r="4762" ht="15.75" customHeight="1">
      <c r="A4762" s="13" t="s">
        <v>252</v>
      </c>
      <c r="B4762" s="13" t="s">
        <v>22</v>
      </c>
      <c r="C4762" s="14" t="s">
        <v>30</v>
      </c>
      <c r="D4762" s="14" t="str">
        <f>VLOOKUP(C4762,'State Key'!$A$2:$B$210,2,False)</f>
        <v>West Bengal</v>
      </c>
      <c r="E4762" s="15">
        <v>550.0</v>
      </c>
      <c r="F4762" s="16">
        <v>175.995</v>
      </c>
      <c r="G4762" s="16">
        <v>0.0</v>
      </c>
      <c r="H4762" s="16">
        <v>39.461</v>
      </c>
      <c r="I4762" s="16">
        <v>0.0</v>
      </c>
      <c r="J4762" s="16">
        <v>0.0</v>
      </c>
      <c r="K4762" s="16">
        <v>0.0</v>
      </c>
      <c r="L4762" s="16">
        <v>215.456</v>
      </c>
      <c r="M4762" s="16">
        <v>238.921</v>
      </c>
      <c r="N4762" s="16">
        <v>0.0</v>
      </c>
      <c r="O4762" s="13" t="s">
        <v>58</v>
      </c>
      <c r="P4762" s="18">
        <f t="shared" si="1"/>
        <v>215.456</v>
      </c>
    </row>
    <row r="4763" ht="15.75" customHeight="1">
      <c r="A4763" s="19" t="s">
        <v>252</v>
      </c>
      <c r="B4763" s="19" t="s">
        <v>22</v>
      </c>
      <c r="C4763" s="20" t="s">
        <v>31</v>
      </c>
      <c r="D4763" s="14" t="str">
        <f>VLOOKUP(C4763,'State Key'!$A$2:$B$210,2,False)</f>
        <v>Odisha</v>
      </c>
      <c r="E4763" s="21">
        <v>1600.0</v>
      </c>
      <c r="F4763" s="22">
        <v>0.0</v>
      </c>
      <c r="G4763" s="22">
        <v>0.0</v>
      </c>
      <c r="H4763" s="22">
        <v>691.28</v>
      </c>
      <c r="I4763" s="22">
        <v>0.0</v>
      </c>
      <c r="J4763" s="22">
        <v>0.0</v>
      </c>
      <c r="K4763" s="22">
        <v>0.0</v>
      </c>
      <c r="L4763" s="22">
        <v>691.28</v>
      </c>
      <c r="M4763" s="22">
        <v>677.104</v>
      </c>
      <c r="N4763" s="22">
        <v>0.0</v>
      </c>
      <c r="O4763" s="19" t="s">
        <v>58</v>
      </c>
      <c r="P4763" s="18">
        <f t="shared" si="1"/>
        <v>691.28</v>
      </c>
    </row>
    <row r="4764" ht="15.75" customHeight="1">
      <c r="A4764" s="13" t="s">
        <v>252</v>
      </c>
      <c r="B4764" s="13" t="s">
        <v>22</v>
      </c>
      <c r="C4764" s="14" t="s">
        <v>32</v>
      </c>
      <c r="D4764" s="14" t="str">
        <f>VLOOKUP(C4764,'State Key'!$A$2:$B$210,2,False)</f>
        <v>Odisha</v>
      </c>
      <c r="E4764" s="15">
        <v>1200.0</v>
      </c>
      <c r="F4764" s="16">
        <v>588.478</v>
      </c>
      <c r="G4764" s="16">
        <v>0.0</v>
      </c>
      <c r="H4764" s="16">
        <v>0.0</v>
      </c>
      <c r="I4764" s="16">
        <v>0.394</v>
      </c>
      <c r="J4764" s="16">
        <v>0.0</v>
      </c>
      <c r="K4764" s="16">
        <v>0.0</v>
      </c>
      <c r="L4764" s="16">
        <v>588.872</v>
      </c>
      <c r="M4764" s="16">
        <v>553.917</v>
      </c>
      <c r="N4764" s="16">
        <v>0.0</v>
      </c>
      <c r="O4764" s="13" t="s">
        <v>58</v>
      </c>
      <c r="P4764" s="18">
        <f t="shared" si="1"/>
        <v>588.872</v>
      </c>
    </row>
    <row r="4765" ht="15.75" customHeight="1">
      <c r="A4765" s="19" t="s">
        <v>252</v>
      </c>
      <c r="B4765" s="19" t="s">
        <v>22</v>
      </c>
      <c r="C4765" s="20" t="s">
        <v>34</v>
      </c>
      <c r="D4765" s="14" t="str">
        <f>VLOOKUP(C4765,'State Key'!$A$2:$B$210,2,False)</f>
        <v>West Bengal</v>
      </c>
      <c r="E4765" s="21">
        <v>1000.0</v>
      </c>
      <c r="F4765" s="22">
        <v>274.182</v>
      </c>
      <c r="G4765" s="22">
        <v>0.0</v>
      </c>
      <c r="H4765" s="22">
        <v>3.963</v>
      </c>
      <c r="I4765" s="22">
        <v>0.0</v>
      </c>
      <c r="J4765" s="22">
        <v>0.0</v>
      </c>
      <c r="K4765" s="22">
        <v>0.0</v>
      </c>
      <c r="L4765" s="22">
        <v>278.145</v>
      </c>
      <c r="M4765" s="22">
        <v>280.648</v>
      </c>
      <c r="N4765" s="22">
        <v>0.0</v>
      </c>
      <c r="O4765" s="19" t="s">
        <v>58</v>
      </c>
      <c r="P4765" s="18">
        <f t="shared" si="1"/>
        <v>278.145</v>
      </c>
    </row>
    <row r="4766" ht="15.75" customHeight="1">
      <c r="A4766" s="13" t="s">
        <v>252</v>
      </c>
      <c r="B4766" s="13" t="s">
        <v>22</v>
      </c>
      <c r="C4766" s="14" t="s">
        <v>35</v>
      </c>
      <c r="D4766" s="14" t="str">
        <f>VLOOKUP(C4766,'State Key'!$A$2:$B$210,2,False)</f>
        <v>West Bengal</v>
      </c>
      <c r="E4766" s="15">
        <v>2100.0</v>
      </c>
      <c r="F4766" s="16">
        <v>614.32</v>
      </c>
      <c r="G4766" s="16">
        <v>0.0</v>
      </c>
      <c r="H4766" s="16">
        <v>75.15</v>
      </c>
      <c r="I4766" s="16">
        <v>0.0</v>
      </c>
      <c r="J4766" s="16">
        <v>0.0</v>
      </c>
      <c r="K4766" s="16">
        <v>0.0</v>
      </c>
      <c r="L4766" s="16">
        <v>689.47</v>
      </c>
      <c r="M4766" s="16">
        <v>804.154</v>
      </c>
      <c r="N4766" s="16">
        <v>0.0</v>
      </c>
      <c r="O4766" s="13" t="s">
        <v>58</v>
      </c>
      <c r="P4766" s="18">
        <f t="shared" si="1"/>
        <v>689.47</v>
      </c>
    </row>
    <row r="4767" ht="15.75" customHeight="1">
      <c r="A4767" s="19" t="s">
        <v>252</v>
      </c>
      <c r="B4767" s="19" t="s">
        <v>22</v>
      </c>
      <c r="C4767" s="20" t="s">
        <v>36</v>
      </c>
      <c r="D4767" s="14" t="str">
        <f>VLOOKUP(C4767,'State Key'!$A$2:$B$210,2,False)</f>
        <v>West Bengal</v>
      </c>
      <c r="E4767" s="21">
        <v>600.0</v>
      </c>
      <c r="F4767" s="22">
        <v>258.369</v>
      </c>
      <c r="G4767" s="22">
        <v>0.0</v>
      </c>
      <c r="H4767" s="22">
        <v>0.0</v>
      </c>
      <c r="I4767" s="22">
        <v>0.0</v>
      </c>
      <c r="J4767" s="22">
        <v>0.0</v>
      </c>
      <c r="K4767" s="22">
        <v>0.0</v>
      </c>
      <c r="L4767" s="22">
        <v>258.369</v>
      </c>
      <c r="M4767" s="22">
        <v>264.319</v>
      </c>
      <c r="N4767" s="22">
        <v>0.0</v>
      </c>
      <c r="O4767" s="19" t="s">
        <v>58</v>
      </c>
      <c r="P4767" s="18">
        <f t="shared" si="1"/>
        <v>258.369</v>
      </c>
    </row>
    <row r="4768" ht="15.75" customHeight="1">
      <c r="A4768" s="13" t="s">
        <v>252</v>
      </c>
      <c r="B4768" s="13" t="s">
        <v>22</v>
      </c>
      <c r="C4768" s="14" t="s">
        <v>37</v>
      </c>
      <c r="D4768" s="14" t="str">
        <f>VLOOKUP(C4768,'State Key'!$A$2:$B$210,2,False)</f>
        <v>West Bengal</v>
      </c>
      <c r="E4768" s="15">
        <v>300.0</v>
      </c>
      <c r="F4768" s="16">
        <v>140.319</v>
      </c>
      <c r="G4768" s="16">
        <v>0.0</v>
      </c>
      <c r="H4768" s="16">
        <v>0.0</v>
      </c>
      <c r="I4768" s="16">
        <v>0.0</v>
      </c>
      <c r="J4768" s="16">
        <v>0.0</v>
      </c>
      <c r="K4768" s="16">
        <v>0.0</v>
      </c>
      <c r="L4768" s="16">
        <v>140.319</v>
      </c>
      <c r="M4768" s="16">
        <v>77.245</v>
      </c>
      <c r="N4768" s="16">
        <v>0.0</v>
      </c>
      <c r="O4768" s="13" t="s">
        <v>58</v>
      </c>
      <c r="P4768" s="18">
        <f t="shared" si="1"/>
        <v>140.319</v>
      </c>
    </row>
    <row r="4769" ht="15.75" customHeight="1">
      <c r="A4769" s="19" t="s">
        <v>252</v>
      </c>
      <c r="B4769" s="19" t="s">
        <v>22</v>
      </c>
      <c r="C4769" s="20" t="s">
        <v>38</v>
      </c>
      <c r="D4769" s="14" t="str">
        <f>VLOOKUP(C4769,'State Key'!$A$2:$B$210,2,False)</f>
        <v>Odisha</v>
      </c>
      <c r="E4769" s="21">
        <v>1740.0</v>
      </c>
      <c r="F4769" s="22">
        <v>75.543</v>
      </c>
      <c r="G4769" s="22">
        <v>0.0</v>
      </c>
      <c r="H4769" s="22">
        <v>703.78</v>
      </c>
      <c r="I4769" s="22">
        <v>0.0</v>
      </c>
      <c r="J4769" s="22">
        <v>0.0</v>
      </c>
      <c r="K4769" s="22">
        <v>0.0</v>
      </c>
      <c r="L4769" s="22">
        <v>779.323</v>
      </c>
      <c r="M4769" s="22">
        <v>774.038</v>
      </c>
      <c r="N4769" s="22">
        <v>0.0</v>
      </c>
      <c r="O4769" s="19" t="s">
        <v>58</v>
      </c>
      <c r="P4769" s="18">
        <f t="shared" si="1"/>
        <v>779.323</v>
      </c>
    </row>
    <row r="4770" ht="15.75" customHeight="1">
      <c r="A4770" s="13" t="s">
        <v>252</v>
      </c>
      <c r="B4770" s="13" t="s">
        <v>22</v>
      </c>
      <c r="C4770" s="14" t="s">
        <v>39</v>
      </c>
      <c r="D4770" s="14" t="str">
        <f>VLOOKUP(C4770,'State Key'!$A$2:$B$210,2,False)</f>
        <v>Jharkhand</v>
      </c>
      <c r="E4770" s="15">
        <v>240.0</v>
      </c>
      <c r="F4770" s="16">
        <v>68.84414</v>
      </c>
      <c r="G4770" s="16">
        <v>0.0</v>
      </c>
      <c r="H4770" s="16">
        <v>0.0</v>
      </c>
      <c r="I4770" s="16">
        <v>0.0</v>
      </c>
      <c r="J4770" s="16">
        <v>0.0</v>
      </c>
      <c r="K4770" s="16">
        <v>0.1278</v>
      </c>
      <c r="L4770" s="16">
        <v>68.97194</v>
      </c>
      <c r="M4770" s="16">
        <v>94.38</v>
      </c>
      <c r="N4770" s="16">
        <v>0.0</v>
      </c>
      <c r="O4770" s="13" t="s">
        <v>58</v>
      </c>
      <c r="P4770" s="18">
        <f t="shared" si="1"/>
        <v>68.97194</v>
      </c>
    </row>
    <row r="4771" ht="15.75" customHeight="1">
      <c r="A4771" s="19" t="s">
        <v>252</v>
      </c>
      <c r="B4771" s="19" t="s">
        <v>22</v>
      </c>
      <c r="C4771" s="20" t="s">
        <v>245</v>
      </c>
      <c r="D4771" s="14" t="str">
        <f>VLOOKUP(C4771,'State Key'!$A$2:$B$210,2,False)</f>
        <v>Odisha</v>
      </c>
      <c r="E4771" s="21">
        <v>700.0</v>
      </c>
      <c r="F4771" s="22">
        <v>0.0</v>
      </c>
      <c r="G4771" s="22">
        <v>0.0</v>
      </c>
      <c r="H4771" s="22">
        <v>0.0</v>
      </c>
      <c r="I4771" s="22">
        <v>0.0</v>
      </c>
      <c r="J4771" s="22">
        <v>0.0</v>
      </c>
      <c r="K4771" s="22">
        <v>251.182</v>
      </c>
      <c r="L4771" s="22">
        <v>251.182</v>
      </c>
      <c r="M4771" s="22">
        <v>257.785</v>
      </c>
      <c r="N4771" s="22">
        <v>0.0</v>
      </c>
      <c r="O4771" s="19" t="s">
        <v>58</v>
      </c>
      <c r="P4771" s="18">
        <f t="shared" si="1"/>
        <v>251.182</v>
      </c>
    </row>
    <row r="4772" ht="15.75" customHeight="1">
      <c r="A4772" s="13" t="s">
        <v>252</v>
      </c>
      <c r="B4772" s="13" t="s">
        <v>22</v>
      </c>
      <c r="C4772" s="14" t="s">
        <v>40</v>
      </c>
      <c r="D4772" s="14" t="str">
        <f>VLOOKUP(C4772,'State Key'!$A$2:$B$210,2,False)</f>
        <v>Bihar</v>
      </c>
      <c r="E4772" s="15">
        <v>2340.0</v>
      </c>
      <c r="F4772" s="16">
        <v>1070.61</v>
      </c>
      <c r="G4772" s="16">
        <v>0.0</v>
      </c>
      <c r="H4772" s="16">
        <v>34.61</v>
      </c>
      <c r="I4772" s="16">
        <v>0.0</v>
      </c>
      <c r="J4772" s="16">
        <v>0.0</v>
      </c>
      <c r="K4772" s="16">
        <v>0.0</v>
      </c>
      <c r="L4772" s="16">
        <v>1105.22</v>
      </c>
      <c r="M4772" s="16">
        <v>1166.873</v>
      </c>
      <c r="N4772" s="16">
        <v>0.0</v>
      </c>
      <c r="O4772" s="13" t="s">
        <v>58</v>
      </c>
      <c r="P4772" s="18">
        <f t="shared" si="1"/>
        <v>1105.22</v>
      </c>
    </row>
    <row r="4773" ht="15.75" customHeight="1">
      <c r="A4773" s="19" t="s">
        <v>252</v>
      </c>
      <c r="B4773" s="19" t="s">
        <v>22</v>
      </c>
      <c r="C4773" s="20" t="s">
        <v>41</v>
      </c>
      <c r="D4773" s="14" t="str">
        <f>VLOOKUP(C4773,'State Key'!$A$2:$B$210,2,False)</f>
        <v>Odisha</v>
      </c>
      <c r="E4773" s="21">
        <v>1050.0</v>
      </c>
      <c r="F4773" s="22">
        <v>406.252</v>
      </c>
      <c r="G4773" s="22">
        <v>0.0</v>
      </c>
      <c r="H4773" s="22">
        <v>0.0</v>
      </c>
      <c r="I4773" s="22">
        <v>175.145</v>
      </c>
      <c r="J4773" s="22">
        <v>0.0</v>
      </c>
      <c r="K4773" s="22">
        <v>0.0</v>
      </c>
      <c r="L4773" s="22">
        <v>581.397</v>
      </c>
      <c r="M4773" s="22">
        <v>492.836</v>
      </c>
      <c r="N4773" s="22">
        <v>0.0</v>
      </c>
      <c r="O4773" s="19" t="s">
        <v>58</v>
      </c>
      <c r="P4773" s="18">
        <f t="shared" si="1"/>
        <v>581.397</v>
      </c>
    </row>
    <row r="4774" ht="15.75" customHeight="1">
      <c r="A4774" s="13" t="s">
        <v>252</v>
      </c>
      <c r="B4774" s="13" t="s">
        <v>22</v>
      </c>
      <c r="C4774" s="14" t="s">
        <v>42</v>
      </c>
      <c r="D4774" s="14" t="str">
        <f>VLOOKUP(C4774,'State Key'!$A$2:$B$210,2,False)</f>
        <v>Jharkhand</v>
      </c>
      <c r="E4774" s="15">
        <v>1000.0</v>
      </c>
      <c r="F4774" s="16">
        <v>152.024</v>
      </c>
      <c r="G4774" s="16">
        <v>0.0</v>
      </c>
      <c r="H4774" s="16">
        <v>142.963</v>
      </c>
      <c r="I4774" s="16">
        <v>0.0</v>
      </c>
      <c r="J4774" s="16">
        <v>0.0</v>
      </c>
      <c r="K4774" s="16">
        <v>0.0</v>
      </c>
      <c r="L4774" s="16">
        <v>294.987</v>
      </c>
      <c r="M4774" s="16">
        <v>350.8829</v>
      </c>
      <c r="N4774" s="16">
        <v>0.0</v>
      </c>
      <c r="O4774" s="13" t="s">
        <v>58</v>
      </c>
      <c r="P4774" s="18">
        <f t="shared" si="1"/>
        <v>294.987</v>
      </c>
    </row>
    <row r="4775" ht="15.75" customHeight="1">
      <c r="A4775" s="19" t="s">
        <v>252</v>
      </c>
      <c r="B4775" s="19" t="s">
        <v>22</v>
      </c>
      <c r="C4775" s="20" t="s">
        <v>43</v>
      </c>
      <c r="D4775" s="14" t="str">
        <f>VLOOKUP(C4775,'State Key'!$A$2:$B$210,2,False)</f>
        <v>West Bengal</v>
      </c>
      <c r="E4775" s="21">
        <v>840.0</v>
      </c>
      <c r="F4775" s="22">
        <v>0.0</v>
      </c>
      <c r="G4775" s="22">
        <v>0.0</v>
      </c>
      <c r="H4775" s="22">
        <v>269.83</v>
      </c>
      <c r="I4775" s="22">
        <v>0.0</v>
      </c>
      <c r="J4775" s="22">
        <v>0.0</v>
      </c>
      <c r="K4775" s="22">
        <v>0.0</v>
      </c>
      <c r="L4775" s="22">
        <v>269.83</v>
      </c>
      <c r="M4775" s="22">
        <v>353.487</v>
      </c>
      <c r="N4775" s="22">
        <v>0.0</v>
      </c>
      <c r="O4775" s="19" t="s">
        <v>58</v>
      </c>
      <c r="P4775" s="18">
        <f t="shared" si="1"/>
        <v>269.83</v>
      </c>
    </row>
    <row r="4776" ht="15.75" customHeight="1">
      <c r="A4776" s="13" t="s">
        <v>252</v>
      </c>
      <c r="B4776" s="13" t="s">
        <v>22</v>
      </c>
      <c r="C4776" s="14" t="s">
        <v>44</v>
      </c>
      <c r="D4776" s="14" t="str">
        <f>VLOOKUP(C4776,'State Key'!$A$2:$B$210,2,False)</f>
        <v>Jharkhand</v>
      </c>
      <c r="E4776" s="15">
        <v>540.0</v>
      </c>
      <c r="F4776" s="16">
        <v>140.628</v>
      </c>
      <c r="G4776" s="16">
        <v>0.0</v>
      </c>
      <c r="H4776" s="16">
        <v>0.0</v>
      </c>
      <c r="I4776" s="16">
        <v>0.0</v>
      </c>
      <c r="J4776" s="16">
        <v>0.0</v>
      </c>
      <c r="K4776" s="16">
        <v>87.989</v>
      </c>
      <c r="L4776" s="16">
        <v>228.617</v>
      </c>
      <c r="M4776" s="16">
        <v>229.065</v>
      </c>
      <c r="N4776" s="16">
        <v>0.0</v>
      </c>
      <c r="O4776" s="13" t="s">
        <v>58</v>
      </c>
      <c r="P4776" s="18">
        <f t="shared" si="1"/>
        <v>228.617</v>
      </c>
    </row>
    <row r="4777" ht="15.75" customHeight="1">
      <c r="A4777" s="19" t="s">
        <v>252</v>
      </c>
      <c r="B4777" s="19" t="s">
        <v>22</v>
      </c>
      <c r="C4777" s="20" t="s">
        <v>45</v>
      </c>
      <c r="D4777" s="14" t="str">
        <f>VLOOKUP(C4777,'State Key'!$A$2:$B$210,2,False)</f>
        <v>Jharkhand</v>
      </c>
      <c r="E4777" s="21">
        <v>1050.0</v>
      </c>
      <c r="F4777" s="22">
        <v>150.665</v>
      </c>
      <c r="G4777" s="22">
        <v>0.0</v>
      </c>
      <c r="H4777" s="22">
        <v>0.0</v>
      </c>
      <c r="I4777" s="22">
        <v>0.0</v>
      </c>
      <c r="J4777" s="22">
        <v>0.0</v>
      </c>
      <c r="K4777" s="22">
        <v>0.0</v>
      </c>
      <c r="L4777" s="22">
        <v>150.665</v>
      </c>
      <c r="M4777" s="22">
        <v>349.593</v>
      </c>
      <c r="N4777" s="22">
        <v>0.0</v>
      </c>
      <c r="O4777" s="19" t="s">
        <v>58</v>
      </c>
      <c r="P4777" s="18">
        <f t="shared" si="1"/>
        <v>150.665</v>
      </c>
    </row>
    <row r="4778" ht="15.75" customHeight="1">
      <c r="A4778" s="13" t="s">
        <v>252</v>
      </c>
      <c r="B4778" s="13" t="s">
        <v>22</v>
      </c>
      <c r="C4778" s="14" t="s">
        <v>46</v>
      </c>
      <c r="D4778" s="14" t="str">
        <f>VLOOKUP(C4778,'State Key'!$A$2:$B$210,2,False)</f>
        <v>West Bengal</v>
      </c>
      <c r="E4778" s="15">
        <v>2340.0</v>
      </c>
      <c r="F4778" s="16">
        <v>745.417</v>
      </c>
      <c r="G4778" s="16">
        <v>0.0</v>
      </c>
      <c r="H4778" s="16">
        <v>97.648</v>
      </c>
      <c r="I4778" s="16">
        <v>0.0</v>
      </c>
      <c r="J4778" s="16">
        <v>0.0</v>
      </c>
      <c r="K4778" s="16">
        <v>35.573</v>
      </c>
      <c r="L4778" s="16">
        <v>878.638</v>
      </c>
      <c r="M4778" s="16">
        <v>841.037</v>
      </c>
      <c r="N4778" s="16">
        <v>0.0</v>
      </c>
      <c r="O4778" s="13" t="s">
        <v>58</v>
      </c>
      <c r="P4778" s="18">
        <f t="shared" si="1"/>
        <v>878.638</v>
      </c>
    </row>
    <row r="4779" ht="15.75" customHeight="1">
      <c r="A4779" s="19" t="s">
        <v>252</v>
      </c>
      <c r="B4779" s="19" t="s">
        <v>22</v>
      </c>
      <c r="C4779" s="20" t="s">
        <v>47</v>
      </c>
      <c r="D4779" s="14" t="str">
        <f>VLOOKUP(C4779,'State Key'!$A$2:$B$210,2,False)</f>
        <v>Bihar</v>
      </c>
      <c r="E4779" s="21">
        <v>390.0</v>
      </c>
      <c r="F4779" s="22">
        <v>0.0</v>
      </c>
      <c r="G4779" s="22">
        <v>0.0</v>
      </c>
      <c r="H4779" s="22">
        <v>148.233</v>
      </c>
      <c r="I4779" s="22">
        <v>44.411</v>
      </c>
      <c r="J4779" s="22">
        <v>0.0</v>
      </c>
      <c r="K4779" s="22">
        <v>0.0</v>
      </c>
      <c r="L4779" s="22">
        <v>192.644</v>
      </c>
      <c r="M4779" s="22">
        <v>161.111</v>
      </c>
      <c r="N4779" s="22">
        <v>0.0</v>
      </c>
      <c r="O4779" s="19" t="s">
        <v>58</v>
      </c>
      <c r="P4779" s="18">
        <f t="shared" si="1"/>
        <v>192.644</v>
      </c>
    </row>
    <row r="4780" ht="15.75" customHeight="1">
      <c r="A4780" s="13" t="s">
        <v>252</v>
      </c>
      <c r="B4780" s="13" t="s">
        <v>22</v>
      </c>
      <c r="C4780" s="14" t="s">
        <v>241</v>
      </c>
      <c r="D4780" s="14" t="str">
        <f>VLOOKUP(C4780,'State Key'!$A$2:$B$210,2,False)</f>
        <v>Odisha</v>
      </c>
      <c r="E4780" s="15">
        <v>60.0</v>
      </c>
      <c r="F4780" s="16">
        <v>7.151</v>
      </c>
      <c r="G4780" s="16">
        <v>0.0</v>
      </c>
      <c r="H4780" s="16">
        <v>0.0</v>
      </c>
      <c r="I4780" s="16">
        <v>12.446</v>
      </c>
      <c r="J4780" s="16">
        <v>0.0</v>
      </c>
      <c r="K4780" s="16">
        <v>0.0</v>
      </c>
      <c r="L4780" s="16">
        <v>19.597</v>
      </c>
      <c r="M4780" s="16">
        <v>11.581</v>
      </c>
      <c r="N4780" s="16">
        <v>0.0</v>
      </c>
      <c r="O4780" s="13" t="s">
        <v>58</v>
      </c>
      <c r="P4780" s="18">
        <f t="shared" si="1"/>
        <v>19.597</v>
      </c>
    </row>
    <row r="4781" ht="15.75" customHeight="1">
      <c r="A4781" s="19" t="s">
        <v>252</v>
      </c>
      <c r="B4781" s="19" t="s">
        <v>22</v>
      </c>
      <c r="C4781" s="20" t="s">
        <v>48</v>
      </c>
      <c r="D4781" s="14" t="str">
        <f>VLOOKUP(C4781,'State Key'!$A$2:$B$210,2,False)</f>
        <v>Bihar</v>
      </c>
      <c r="E4781" s="21">
        <v>1980.0</v>
      </c>
      <c r="F4781" s="22">
        <v>337.292</v>
      </c>
      <c r="G4781" s="22">
        <v>0.0</v>
      </c>
      <c r="H4781" s="22">
        <v>73.634</v>
      </c>
      <c r="I4781" s="22">
        <v>120.309</v>
      </c>
      <c r="J4781" s="22">
        <v>0.0</v>
      </c>
      <c r="K4781" s="22">
        <v>0.0</v>
      </c>
      <c r="L4781" s="22">
        <v>531.235</v>
      </c>
      <c r="M4781" s="22">
        <v>556.596</v>
      </c>
      <c r="N4781" s="22">
        <v>0.0</v>
      </c>
      <c r="O4781" s="19" t="s">
        <v>58</v>
      </c>
      <c r="P4781" s="18">
        <f t="shared" si="1"/>
        <v>531.235</v>
      </c>
    </row>
    <row r="4782" ht="15.75" customHeight="1">
      <c r="A4782" s="13" t="s">
        <v>252</v>
      </c>
      <c r="B4782" s="13" t="s">
        <v>22</v>
      </c>
      <c r="C4782" s="14" t="s">
        <v>49</v>
      </c>
      <c r="D4782" s="14" t="str">
        <f>VLOOKUP(C4782,'State Key'!$A$2:$B$210,2,False)</f>
        <v>Bihar</v>
      </c>
      <c r="E4782" s="15">
        <v>1000.0</v>
      </c>
      <c r="F4782" s="16">
        <v>384.76</v>
      </c>
      <c r="G4782" s="16">
        <v>0.0</v>
      </c>
      <c r="H4782" s="16">
        <v>0.0</v>
      </c>
      <c r="I4782" s="16">
        <v>0.0</v>
      </c>
      <c r="J4782" s="16">
        <v>0.0</v>
      </c>
      <c r="K4782" s="16">
        <v>0.0</v>
      </c>
      <c r="L4782" s="16">
        <v>384.76</v>
      </c>
      <c r="M4782" s="16">
        <v>411.34</v>
      </c>
      <c r="N4782" s="16">
        <v>0.0</v>
      </c>
      <c r="O4782" s="13" t="s">
        <v>58</v>
      </c>
      <c r="P4782" s="18">
        <f t="shared" si="1"/>
        <v>384.76</v>
      </c>
    </row>
    <row r="4783" ht="15.75" customHeight="1">
      <c r="A4783" s="19" t="s">
        <v>252</v>
      </c>
      <c r="B4783" s="19" t="s">
        <v>22</v>
      </c>
      <c r="C4783" s="20" t="s">
        <v>50</v>
      </c>
      <c r="D4783" s="14" t="str">
        <f>VLOOKUP(C4783,'State Key'!$A$2:$B$210,2,False)</f>
        <v>Jharkhand</v>
      </c>
      <c r="E4783" s="21">
        <v>1980.0</v>
      </c>
      <c r="F4783" s="22">
        <v>270.47</v>
      </c>
      <c r="G4783" s="22">
        <v>0.0</v>
      </c>
      <c r="H4783" s="22">
        <v>190.79</v>
      </c>
      <c r="I4783" s="22">
        <v>0.0</v>
      </c>
      <c r="J4783" s="22">
        <v>0.0</v>
      </c>
      <c r="K4783" s="22">
        <v>0.0</v>
      </c>
      <c r="L4783" s="22">
        <v>461.26</v>
      </c>
      <c r="M4783" s="22">
        <v>622.868</v>
      </c>
      <c r="N4783" s="22">
        <v>0.0</v>
      </c>
      <c r="O4783" s="19" t="s">
        <v>58</v>
      </c>
      <c r="P4783" s="18">
        <f t="shared" si="1"/>
        <v>461.26</v>
      </c>
    </row>
    <row r="4784" ht="15.75" customHeight="1">
      <c r="A4784" s="13" t="s">
        <v>252</v>
      </c>
      <c r="B4784" s="13" t="s">
        <v>22</v>
      </c>
      <c r="C4784" s="14" t="s">
        <v>51</v>
      </c>
      <c r="D4784" s="14" t="str">
        <f>VLOOKUP(C4784,'State Key'!$A$2:$B$210,2,False)</f>
        <v>West Bengal</v>
      </c>
      <c r="E4784" s="15">
        <v>1200.0</v>
      </c>
      <c r="F4784" s="16">
        <v>375.876</v>
      </c>
      <c r="G4784" s="16">
        <v>0.0</v>
      </c>
      <c r="H4784" s="16">
        <v>58.188</v>
      </c>
      <c r="I4784" s="16">
        <v>0.0</v>
      </c>
      <c r="J4784" s="16">
        <v>0.0</v>
      </c>
      <c r="K4784" s="16">
        <v>0.0</v>
      </c>
      <c r="L4784" s="16">
        <v>434.064</v>
      </c>
      <c r="M4784" s="16">
        <v>453.509</v>
      </c>
      <c r="N4784" s="16">
        <v>0.0</v>
      </c>
      <c r="O4784" s="13" t="s">
        <v>58</v>
      </c>
      <c r="P4784" s="18">
        <f t="shared" si="1"/>
        <v>434.064</v>
      </c>
    </row>
    <row r="4785" ht="15.75" customHeight="1">
      <c r="A4785" s="19" t="s">
        <v>252</v>
      </c>
      <c r="B4785" s="19" t="s">
        <v>22</v>
      </c>
      <c r="C4785" s="20" t="s">
        <v>52</v>
      </c>
      <c r="D4785" s="14" t="str">
        <f>VLOOKUP(C4785,'State Key'!$A$2:$B$210,2,False)</f>
        <v>West Bengal</v>
      </c>
      <c r="E4785" s="21">
        <v>1600.0</v>
      </c>
      <c r="F4785" s="22">
        <v>0.0</v>
      </c>
      <c r="G4785" s="22">
        <v>0.0</v>
      </c>
      <c r="H4785" s="22">
        <v>540.297</v>
      </c>
      <c r="I4785" s="22">
        <v>0.0</v>
      </c>
      <c r="J4785" s="22">
        <v>0.0</v>
      </c>
      <c r="K4785" s="22">
        <v>0.0</v>
      </c>
      <c r="L4785" s="22">
        <v>540.297</v>
      </c>
      <c r="M4785" s="22">
        <v>721.489</v>
      </c>
      <c r="N4785" s="22">
        <v>0.0</v>
      </c>
      <c r="O4785" s="19" t="s">
        <v>58</v>
      </c>
      <c r="P4785" s="18">
        <f t="shared" si="1"/>
        <v>540.297</v>
      </c>
    </row>
    <row r="4786" ht="15.75" customHeight="1">
      <c r="A4786" s="13" t="s">
        <v>252</v>
      </c>
      <c r="B4786" s="13" t="s">
        <v>22</v>
      </c>
      <c r="C4786" s="14" t="s">
        <v>53</v>
      </c>
      <c r="D4786" s="14" t="str">
        <f>VLOOKUP(C4786,'State Key'!$A$2:$B$210,2,False)</f>
        <v>West Bengal</v>
      </c>
      <c r="E4786" s="15">
        <v>500.0</v>
      </c>
      <c r="F4786" s="16">
        <v>0.0</v>
      </c>
      <c r="G4786" s="16">
        <v>0.0</v>
      </c>
      <c r="H4786" s="16">
        <v>160.285</v>
      </c>
      <c r="I4786" s="16">
        <v>0.0</v>
      </c>
      <c r="J4786" s="16">
        <v>0.0</v>
      </c>
      <c r="K4786" s="16">
        <v>0.0</v>
      </c>
      <c r="L4786" s="16">
        <v>160.285</v>
      </c>
      <c r="M4786" s="16">
        <v>198.768</v>
      </c>
      <c r="N4786" s="16">
        <v>0.0</v>
      </c>
      <c r="O4786" s="13" t="s">
        <v>58</v>
      </c>
      <c r="P4786" s="18">
        <f t="shared" si="1"/>
        <v>160.285</v>
      </c>
    </row>
    <row r="4787" ht="15.75" customHeight="1">
      <c r="A4787" s="19" t="s">
        <v>252</v>
      </c>
      <c r="B4787" s="19" t="s">
        <v>22</v>
      </c>
      <c r="C4787" s="20" t="s">
        <v>54</v>
      </c>
      <c r="D4787" s="14" t="str">
        <f>VLOOKUP(C4787,'State Key'!$A$2:$B$210,2,False)</f>
        <v>West Bengal</v>
      </c>
      <c r="E4787" s="21">
        <v>135.0</v>
      </c>
      <c r="F4787" s="22">
        <v>10.649</v>
      </c>
      <c r="G4787" s="22">
        <v>0.0</v>
      </c>
      <c r="H4787" s="22">
        <v>0.0</v>
      </c>
      <c r="I4787" s="22">
        <v>3.498</v>
      </c>
      <c r="J4787" s="22">
        <v>0.0</v>
      </c>
      <c r="K4787" s="22">
        <v>0.0</v>
      </c>
      <c r="L4787" s="22">
        <v>14.147</v>
      </c>
      <c r="M4787" s="22">
        <v>12.966</v>
      </c>
      <c r="N4787" s="22">
        <v>0.0</v>
      </c>
      <c r="O4787" s="19" t="s">
        <v>58</v>
      </c>
      <c r="P4787" s="18">
        <f t="shared" si="1"/>
        <v>14.147</v>
      </c>
    </row>
    <row r="4788" ht="15.75" customHeight="1">
      <c r="A4788" s="13" t="s">
        <v>252</v>
      </c>
      <c r="B4788" s="13" t="s">
        <v>22</v>
      </c>
      <c r="C4788" s="14" t="s">
        <v>55</v>
      </c>
      <c r="D4788" s="14" t="str">
        <f>VLOOKUP(C4788,'State Key'!$A$2:$B$210,2,False)</f>
        <v>Odisha</v>
      </c>
      <c r="E4788" s="15">
        <v>3000.0</v>
      </c>
      <c r="F4788" s="16">
        <v>1339.82</v>
      </c>
      <c r="G4788" s="16">
        <v>0.0</v>
      </c>
      <c r="H4788" s="16">
        <v>56.15</v>
      </c>
      <c r="I4788" s="16">
        <v>0.0</v>
      </c>
      <c r="J4788" s="16">
        <v>0.0</v>
      </c>
      <c r="K4788" s="16">
        <v>0.0</v>
      </c>
      <c r="L4788" s="16">
        <v>1395.97</v>
      </c>
      <c r="M4788" s="16">
        <v>1266.972</v>
      </c>
      <c r="N4788" s="16">
        <v>0.0</v>
      </c>
      <c r="O4788" s="13" t="s">
        <v>58</v>
      </c>
      <c r="P4788" s="18">
        <f t="shared" si="1"/>
        <v>1395.97</v>
      </c>
    </row>
    <row r="4789" ht="15.75" customHeight="1">
      <c r="A4789" s="19" t="s">
        <v>252</v>
      </c>
      <c r="B4789" s="19" t="s">
        <v>22</v>
      </c>
      <c r="C4789" s="20" t="s">
        <v>56</v>
      </c>
      <c r="D4789" s="14" t="str">
        <f>VLOOKUP(C4789,'State Key'!$A$2:$B$210,2,False)</f>
        <v>Jharkhand</v>
      </c>
      <c r="E4789" s="21">
        <v>420.0</v>
      </c>
      <c r="F4789" s="22">
        <v>60.1</v>
      </c>
      <c r="G4789" s="22">
        <v>0.0</v>
      </c>
      <c r="H4789" s="22">
        <v>0.0</v>
      </c>
      <c r="I4789" s="22">
        <v>0.0</v>
      </c>
      <c r="J4789" s="22">
        <v>0.0</v>
      </c>
      <c r="K4789" s="22">
        <v>0.0</v>
      </c>
      <c r="L4789" s="22">
        <v>60.1</v>
      </c>
      <c r="M4789" s="22">
        <v>78.02</v>
      </c>
      <c r="N4789" s="22">
        <v>0.0</v>
      </c>
      <c r="O4789" s="19" t="s">
        <v>58</v>
      </c>
      <c r="P4789" s="18">
        <f t="shared" si="1"/>
        <v>60.1</v>
      </c>
    </row>
    <row r="4790" ht="15.75" customHeight="1">
      <c r="A4790" s="13" t="s">
        <v>252</v>
      </c>
      <c r="B4790" s="13" t="s">
        <v>22</v>
      </c>
      <c r="C4790" s="14" t="s">
        <v>60</v>
      </c>
      <c r="D4790" s="14" t="str">
        <f>VLOOKUP(C4790,'State Key'!$A$2:$B$210,2,False)</f>
        <v>Odisha</v>
      </c>
      <c r="E4790" s="15">
        <v>600.0</v>
      </c>
      <c r="F4790" s="16">
        <v>42.944</v>
      </c>
      <c r="G4790" s="16">
        <v>0.0</v>
      </c>
      <c r="H4790" s="16">
        <v>0.0</v>
      </c>
      <c r="I4790" s="16">
        <v>0.0</v>
      </c>
      <c r="J4790" s="16">
        <v>0.0</v>
      </c>
      <c r="K4790" s="16">
        <v>0.0</v>
      </c>
      <c r="L4790" s="16">
        <v>42.944</v>
      </c>
      <c r="M4790" s="16">
        <v>0.0</v>
      </c>
      <c r="N4790" s="16">
        <v>0.0</v>
      </c>
      <c r="O4790" s="13" t="s">
        <v>58</v>
      </c>
      <c r="P4790" s="18">
        <f t="shared" si="1"/>
        <v>42.944</v>
      </c>
    </row>
    <row r="4791" ht="15.75" customHeight="1">
      <c r="A4791" s="19" t="s">
        <v>252</v>
      </c>
      <c r="B4791" s="19" t="s">
        <v>61</v>
      </c>
      <c r="C4791" s="20" t="s">
        <v>209</v>
      </c>
      <c r="D4791" s="14" t="str">
        <f>VLOOKUP(C4791,'State Key'!$A$2:$B$210,2,False)</f>
        <v>Rajasthan</v>
      </c>
      <c r="E4791" s="21">
        <v>1320.0</v>
      </c>
      <c r="F4791" s="22">
        <v>349.748</v>
      </c>
      <c r="G4791" s="22">
        <v>0.0</v>
      </c>
      <c r="H4791" s="22">
        <v>0.0</v>
      </c>
      <c r="I4791" s="22">
        <v>0.0</v>
      </c>
      <c r="J4791" s="22">
        <v>79.718</v>
      </c>
      <c r="K4791" s="22">
        <v>0.0</v>
      </c>
      <c r="L4791" s="22">
        <v>429.466</v>
      </c>
      <c r="M4791" s="22">
        <v>390.957</v>
      </c>
      <c r="N4791" s="22">
        <v>0.0</v>
      </c>
      <c r="O4791" s="19" t="s">
        <v>58</v>
      </c>
      <c r="P4791" s="18">
        <f t="shared" si="1"/>
        <v>429.466</v>
      </c>
    </row>
    <row r="4792" ht="15.75" customHeight="1">
      <c r="A4792" s="13" t="s">
        <v>252</v>
      </c>
      <c r="B4792" s="13" t="s">
        <v>61</v>
      </c>
      <c r="C4792" s="14" t="s">
        <v>62</v>
      </c>
      <c r="D4792" s="14" t="str">
        <f>VLOOKUP(C4792,'State Key'!$A$2:$B$210,2,False)</f>
        <v>Uttar Pradesh</v>
      </c>
      <c r="E4792" s="15">
        <v>1200.0</v>
      </c>
      <c r="F4792" s="16">
        <v>478.084</v>
      </c>
      <c r="G4792" s="16">
        <v>0.0</v>
      </c>
      <c r="H4792" s="16">
        <v>0.0</v>
      </c>
      <c r="I4792" s="16">
        <v>0.0</v>
      </c>
      <c r="J4792" s="16">
        <v>0.0</v>
      </c>
      <c r="K4792" s="16">
        <v>0.0</v>
      </c>
      <c r="L4792" s="16">
        <v>478.084</v>
      </c>
      <c r="M4792" s="16">
        <v>439.539</v>
      </c>
      <c r="N4792" s="16">
        <v>0.0</v>
      </c>
      <c r="O4792" s="13" t="s">
        <v>58</v>
      </c>
      <c r="P4792" s="18">
        <f t="shared" si="1"/>
        <v>478.084</v>
      </c>
    </row>
    <row r="4793" ht="15.75" customHeight="1">
      <c r="A4793" s="19" t="s">
        <v>252</v>
      </c>
      <c r="B4793" s="19" t="s">
        <v>61</v>
      </c>
      <c r="C4793" s="20" t="s">
        <v>63</v>
      </c>
      <c r="D4793" s="14" t="str">
        <f>VLOOKUP(C4793,'State Key'!$A$2:$B$210,2,False)</f>
        <v>Uttar Pradesh</v>
      </c>
      <c r="E4793" s="21">
        <v>2630.0</v>
      </c>
      <c r="F4793" s="22">
        <v>1119.25</v>
      </c>
      <c r="G4793" s="22">
        <v>0.0</v>
      </c>
      <c r="H4793" s="22">
        <v>0.0</v>
      </c>
      <c r="I4793" s="22">
        <v>0.0</v>
      </c>
      <c r="J4793" s="22">
        <v>0.0</v>
      </c>
      <c r="K4793" s="22">
        <v>0.0</v>
      </c>
      <c r="L4793" s="22">
        <v>1119.25</v>
      </c>
      <c r="M4793" s="22">
        <v>1069.36</v>
      </c>
      <c r="N4793" s="22">
        <v>0.0</v>
      </c>
      <c r="O4793" s="19" t="s">
        <v>58</v>
      </c>
      <c r="P4793" s="18">
        <f t="shared" si="1"/>
        <v>1119.25</v>
      </c>
    </row>
    <row r="4794" ht="15.75" customHeight="1">
      <c r="A4794" s="13" t="s">
        <v>252</v>
      </c>
      <c r="B4794" s="13" t="s">
        <v>61</v>
      </c>
      <c r="C4794" s="14" t="s">
        <v>64</v>
      </c>
      <c r="D4794" s="14" t="str">
        <f>VLOOKUP(C4794,'State Key'!$A$2:$B$210,2,False)</f>
        <v>Uttar Pradesh</v>
      </c>
      <c r="E4794" s="15">
        <v>90.0</v>
      </c>
      <c r="F4794" s="16">
        <v>0.0</v>
      </c>
      <c r="G4794" s="16">
        <v>0.0</v>
      </c>
      <c r="H4794" s="16">
        <v>0.0</v>
      </c>
      <c r="I4794" s="16">
        <v>0.0</v>
      </c>
      <c r="J4794" s="16">
        <v>0.0</v>
      </c>
      <c r="K4794" s="16">
        <v>0.0</v>
      </c>
      <c r="L4794" s="16">
        <v>0.0</v>
      </c>
      <c r="M4794" s="16">
        <v>12.69</v>
      </c>
      <c r="N4794" s="16">
        <v>0.0</v>
      </c>
      <c r="O4794" s="13" t="s">
        <v>58</v>
      </c>
      <c r="P4794" s="18">
        <f t="shared" si="1"/>
        <v>0</v>
      </c>
    </row>
    <row r="4795" ht="15.75" customHeight="1">
      <c r="A4795" s="19" t="s">
        <v>252</v>
      </c>
      <c r="B4795" s="19" t="s">
        <v>61</v>
      </c>
      <c r="C4795" s="20" t="s">
        <v>65</v>
      </c>
      <c r="D4795" s="14" t="str">
        <f>VLOOKUP(C4795,'State Key'!$A$2:$B$210,2,False)</f>
        <v>Rajasthan</v>
      </c>
      <c r="E4795" s="21">
        <v>500.0</v>
      </c>
      <c r="F4795" s="22">
        <v>76.4607</v>
      </c>
      <c r="G4795" s="22">
        <v>0.0</v>
      </c>
      <c r="H4795" s="22">
        <v>0.0</v>
      </c>
      <c r="I4795" s="22">
        <v>0.0</v>
      </c>
      <c r="J4795" s="22">
        <v>0.0</v>
      </c>
      <c r="K4795" s="22">
        <v>0.0</v>
      </c>
      <c r="L4795" s="22">
        <v>76.4607</v>
      </c>
      <c r="M4795" s="22">
        <v>159.4538</v>
      </c>
      <c r="N4795" s="22">
        <v>0.0</v>
      </c>
      <c r="O4795" s="19" t="s">
        <v>58</v>
      </c>
      <c r="P4795" s="18">
        <f t="shared" si="1"/>
        <v>76.4607</v>
      </c>
    </row>
    <row r="4796" ht="15.75" customHeight="1">
      <c r="A4796" s="13" t="s">
        <v>252</v>
      </c>
      <c r="B4796" s="13" t="s">
        <v>61</v>
      </c>
      <c r="C4796" s="14" t="s">
        <v>66</v>
      </c>
      <c r="D4796" s="14" t="str">
        <f>VLOOKUP(C4796,'State Key'!$A$2:$B$210,2,False)</f>
        <v>Rajasthan</v>
      </c>
      <c r="E4796" s="15">
        <v>500.0</v>
      </c>
      <c r="F4796" s="16">
        <v>0.0</v>
      </c>
      <c r="G4796" s="16">
        <v>0.0</v>
      </c>
      <c r="H4796" s="16">
        <v>296.1266</v>
      </c>
      <c r="I4796" s="16">
        <v>0.0</v>
      </c>
      <c r="J4796" s="16">
        <v>0.0</v>
      </c>
      <c r="K4796" s="16">
        <v>0.0</v>
      </c>
      <c r="L4796" s="16">
        <v>296.1266</v>
      </c>
      <c r="M4796" s="16">
        <v>201.4054</v>
      </c>
      <c r="N4796" s="16">
        <v>0.0</v>
      </c>
      <c r="O4796" s="13" t="s">
        <v>58</v>
      </c>
      <c r="P4796" s="18">
        <f t="shared" si="1"/>
        <v>296.1266</v>
      </c>
    </row>
    <row r="4797" ht="15.75" customHeight="1">
      <c r="A4797" s="19" t="s">
        <v>252</v>
      </c>
      <c r="B4797" s="19" t="s">
        <v>61</v>
      </c>
      <c r="C4797" s="20" t="s">
        <v>67</v>
      </c>
      <c r="D4797" s="14" t="str">
        <f>VLOOKUP(C4797,'State Key'!$A$2:$B$210,2,False)</f>
        <v>Rajasthan</v>
      </c>
      <c r="E4797" s="21">
        <v>1320.0</v>
      </c>
      <c r="F4797" s="22">
        <v>0.0</v>
      </c>
      <c r="G4797" s="22">
        <v>0.0</v>
      </c>
      <c r="H4797" s="22">
        <v>289.1224</v>
      </c>
      <c r="I4797" s="22">
        <v>0.0</v>
      </c>
      <c r="J4797" s="22">
        <v>0.0</v>
      </c>
      <c r="K4797" s="22">
        <v>0.0</v>
      </c>
      <c r="L4797" s="22">
        <v>289.1224</v>
      </c>
      <c r="M4797" s="22">
        <v>330.8418</v>
      </c>
      <c r="N4797" s="22">
        <v>0.0</v>
      </c>
      <c r="O4797" s="19" t="s">
        <v>58</v>
      </c>
      <c r="P4797" s="18">
        <f t="shared" si="1"/>
        <v>289.1224</v>
      </c>
    </row>
    <row r="4798" ht="15.75" customHeight="1">
      <c r="A4798" s="13" t="s">
        <v>252</v>
      </c>
      <c r="B4798" s="13" t="s">
        <v>61</v>
      </c>
      <c r="C4798" s="14" t="s">
        <v>68</v>
      </c>
      <c r="D4798" s="14" t="str">
        <f>VLOOKUP(C4798,'State Key'!$A$2:$B$210,2,False)</f>
        <v>Uttar Pradesh</v>
      </c>
      <c r="E4798" s="15">
        <v>1820.0</v>
      </c>
      <c r="F4798" s="16">
        <v>368.59</v>
      </c>
      <c r="G4798" s="16">
        <v>0.0</v>
      </c>
      <c r="H4798" s="16">
        <v>84.61</v>
      </c>
      <c r="I4798" s="16">
        <v>0.0</v>
      </c>
      <c r="J4798" s="16">
        <v>0.0</v>
      </c>
      <c r="K4798" s="16">
        <v>67.59</v>
      </c>
      <c r="L4798" s="16">
        <v>520.79</v>
      </c>
      <c r="M4798" s="16">
        <v>429.093</v>
      </c>
      <c r="N4798" s="16">
        <v>0.0</v>
      </c>
      <c r="O4798" s="13" t="s">
        <v>58</v>
      </c>
      <c r="P4798" s="18">
        <f t="shared" si="1"/>
        <v>520.79</v>
      </c>
    </row>
    <row r="4799" ht="15.75" customHeight="1">
      <c r="A4799" s="19" t="s">
        <v>252</v>
      </c>
      <c r="B4799" s="19" t="s">
        <v>61</v>
      </c>
      <c r="C4799" s="20" t="s">
        <v>69</v>
      </c>
      <c r="D4799" s="14" t="str">
        <f>VLOOKUP(C4799,'State Key'!$A$2:$B$210,2,False)</f>
        <v>Punjab</v>
      </c>
      <c r="E4799" s="21">
        <v>920.0</v>
      </c>
      <c r="F4799" s="22">
        <v>49.514</v>
      </c>
      <c r="G4799" s="22">
        <v>0.0</v>
      </c>
      <c r="H4799" s="22">
        <v>211.534</v>
      </c>
      <c r="I4799" s="22">
        <v>0.0</v>
      </c>
      <c r="J4799" s="22">
        <v>0.0</v>
      </c>
      <c r="K4799" s="22">
        <v>0.143</v>
      </c>
      <c r="L4799" s="22">
        <v>261.191</v>
      </c>
      <c r="M4799" s="22">
        <v>346.385</v>
      </c>
      <c r="N4799" s="22">
        <v>0.0</v>
      </c>
      <c r="O4799" s="19" t="s">
        <v>58</v>
      </c>
      <c r="P4799" s="18">
        <f t="shared" si="1"/>
        <v>261.191</v>
      </c>
    </row>
    <row r="4800" ht="15.75" customHeight="1">
      <c r="A4800" s="13" t="s">
        <v>252</v>
      </c>
      <c r="B4800" s="13" t="s">
        <v>61</v>
      </c>
      <c r="C4800" s="14" t="s">
        <v>242</v>
      </c>
      <c r="D4800" s="14" t="str">
        <f>VLOOKUP(C4800,'State Key'!$A$2:$B$210,2,False)</f>
        <v>Uttar Pradesh</v>
      </c>
      <c r="E4800" s="15">
        <v>660.0</v>
      </c>
      <c r="F4800" s="16">
        <v>265.0</v>
      </c>
      <c r="G4800" s="16">
        <v>0.0</v>
      </c>
      <c r="H4800" s="16">
        <v>0.0</v>
      </c>
      <c r="I4800" s="16">
        <v>0.0</v>
      </c>
      <c r="J4800" s="16">
        <v>0.0</v>
      </c>
      <c r="K4800" s="16">
        <v>0.0</v>
      </c>
      <c r="L4800" s="16">
        <v>265.0</v>
      </c>
      <c r="M4800" s="16">
        <v>241.63</v>
      </c>
      <c r="N4800" s="16">
        <v>0.0</v>
      </c>
      <c r="O4800" s="13" t="s">
        <v>58</v>
      </c>
      <c r="P4800" s="18">
        <f t="shared" si="1"/>
        <v>265</v>
      </c>
    </row>
    <row r="4801" ht="15.75" customHeight="1">
      <c r="A4801" s="19" t="s">
        <v>252</v>
      </c>
      <c r="B4801" s="19" t="s">
        <v>61</v>
      </c>
      <c r="C4801" s="20" t="s">
        <v>70</v>
      </c>
      <c r="D4801" s="14" t="str">
        <f>VLOOKUP(C4801,'State Key'!$A$2:$B$210,2,False)</f>
        <v>Punjab</v>
      </c>
      <c r="E4801" s="21">
        <v>540.0</v>
      </c>
      <c r="F4801" s="22">
        <v>0.0</v>
      </c>
      <c r="G4801" s="22">
        <v>0.0</v>
      </c>
      <c r="H4801" s="22">
        <v>116.4104</v>
      </c>
      <c r="I4801" s="22">
        <v>0.0</v>
      </c>
      <c r="J4801" s="22">
        <v>0.0</v>
      </c>
      <c r="K4801" s="22">
        <v>0.0</v>
      </c>
      <c r="L4801" s="22">
        <v>116.4104</v>
      </c>
      <c r="M4801" s="22">
        <v>170.87</v>
      </c>
      <c r="N4801" s="22">
        <v>0.0</v>
      </c>
      <c r="O4801" s="19" t="s">
        <v>58</v>
      </c>
      <c r="P4801" s="18">
        <f t="shared" si="1"/>
        <v>116.4104</v>
      </c>
    </row>
    <row r="4802" ht="15.75" customHeight="1">
      <c r="A4802" s="13" t="s">
        <v>252</v>
      </c>
      <c r="B4802" s="13" t="s">
        <v>61</v>
      </c>
      <c r="C4802" s="14" t="s">
        <v>71</v>
      </c>
      <c r="D4802" s="14" t="str">
        <f>VLOOKUP(C4802,'State Key'!$A$2:$B$210,2,False)</f>
        <v>Uttar Pradesh</v>
      </c>
      <c r="E4802" s="15">
        <v>1265.0</v>
      </c>
      <c r="F4802" s="16">
        <v>428.672</v>
      </c>
      <c r="G4802" s="16">
        <v>0.0</v>
      </c>
      <c r="H4802" s="16">
        <v>0.0</v>
      </c>
      <c r="I4802" s="16">
        <v>0.0</v>
      </c>
      <c r="J4802" s="16">
        <v>0.0</v>
      </c>
      <c r="K4802" s="16">
        <v>0.0</v>
      </c>
      <c r="L4802" s="16">
        <v>428.672</v>
      </c>
      <c r="M4802" s="16">
        <v>341.948</v>
      </c>
      <c r="N4802" s="16">
        <v>0.0</v>
      </c>
      <c r="O4802" s="13" t="s">
        <v>58</v>
      </c>
      <c r="P4802" s="18">
        <f t="shared" si="1"/>
        <v>428.672</v>
      </c>
    </row>
    <row r="4803" ht="15.75" customHeight="1">
      <c r="A4803" s="19" t="s">
        <v>252</v>
      </c>
      <c r="B4803" s="19" t="s">
        <v>61</v>
      </c>
      <c r="C4803" s="20" t="s">
        <v>72</v>
      </c>
      <c r="D4803" s="14" t="str">
        <f>VLOOKUP(C4803,'State Key'!$A$2:$B$210,2,False)</f>
        <v>Haryana</v>
      </c>
      <c r="E4803" s="21">
        <v>1500.0</v>
      </c>
      <c r="F4803" s="22">
        <v>386.28158</v>
      </c>
      <c r="G4803" s="22">
        <v>0.0</v>
      </c>
      <c r="H4803" s="22">
        <v>0.0</v>
      </c>
      <c r="I4803" s="22">
        <v>0.0</v>
      </c>
      <c r="J4803" s="22">
        <v>0.0</v>
      </c>
      <c r="K4803" s="22">
        <v>0.41839</v>
      </c>
      <c r="L4803" s="22">
        <v>386.69997</v>
      </c>
      <c r="M4803" s="22">
        <v>361.339</v>
      </c>
      <c r="N4803" s="22">
        <v>0.0</v>
      </c>
      <c r="O4803" s="19" t="s">
        <v>58</v>
      </c>
      <c r="P4803" s="18">
        <f t="shared" si="1"/>
        <v>386.69997</v>
      </c>
    </row>
    <row r="4804" ht="15.75" customHeight="1">
      <c r="A4804" s="13" t="s">
        <v>252</v>
      </c>
      <c r="B4804" s="13" t="s">
        <v>61</v>
      </c>
      <c r="C4804" s="14" t="s">
        <v>226</v>
      </c>
      <c r="D4804" s="14" t="str">
        <f>VLOOKUP(C4804,'State Key'!$A$2:$B$210,2,False)</f>
        <v>Uttar Pradesh</v>
      </c>
      <c r="E4804" s="15">
        <v>1320.0</v>
      </c>
      <c r="F4804" s="16">
        <v>166.973</v>
      </c>
      <c r="G4804" s="16">
        <v>0.0</v>
      </c>
      <c r="H4804" s="16">
        <v>0.0</v>
      </c>
      <c r="I4804" s="16">
        <v>0.0</v>
      </c>
      <c r="J4804" s="16">
        <v>0.0</v>
      </c>
      <c r="K4804" s="16">
        <v>0.0</v>
      </c>
      <c r="L4804" s="16">
        <v>166.973</v>
      </c>
      <c r="M4804" s="16">
        <v>125.3</v>
      </c>
      <c r="N4804" s="16">
        <v>0.0</v>
      </c>
      <c r="O4804" s="13" t="s">
        <v>58</v>
      </c>
      <c r="P4804" s="18">
        <f t="shared" si="1"/>
        <v>166.973</v>
      </c>
    </row>
    <row r="4805" ht="15.75" customHeight="1">
      <c r="A4805" s="19" t="s">
        <v>252</v>
      </c>
      <c r="B4805" s="19" t="s">
        <v>61</v>
      </c>
      <c r="C4805" s="20" t="s">
        <v>73</v>
      </c>
      <c r="D4805" s="14" t="str">
        <f>VLOOKUP(C4805,'State Key'!$A$2:$B$210,2,False)</f>
        <v>Rajasthan</v>
      </c>
      <c r="E4805" s="21">
        <v>1200.0</v>
      </c>
      <c r="F4805" s="22">
        <v>0.0</v>
      </c>
      <c r="G4805" s="22">
        <v>0.0</v>
      </c>
      <c r="H4805" s="22">
        <v>398.723</v>
      </c>
      <c r="I4805" s="22">
        <v>0.0</v>
      </c>
      <c r="J4805" s="22">
        <v>0.0</v>
      </c>
      <c r="K4805" s="22">
        <v>0.0</v>
      </c>
      <c r="L4805" s="22">
        <v>398.723</v>
      </c>
      <c r="M4805" s="22">
        <v>343.771</v>
      </c>
      <c r="N4805" s="22">
        <v>0.0</v>
      </c>
      <c r="O4805" s="19" t="s">
        <v>58</v>
      </c>
      <c r="P4805" s="18">
        <f t="shared" si="1"/>
        <v>398.723</v>
      </c>
    </row>
    <row r="4806" ht="15.75" customHeight="1">
      <c r="A4806" s="13" t="s">
        <v>252</v>
      </c>
      <c r="B4806" s="13" t="s">
        <v>61</v>
      </c>
      <c r="C4806" s="14" t="s">
        <v>75</v>
      </c>
      <c r="D4806" s="14" t="str">
        <f>VLOOKUP(C4806,'State Key'!$A$2:$B$210,2,False)</f>
        <v>Uttar Pradesh</v>
      </c>
      <c r="E4806" s="15">
        <v>90.0</v>
      </c>
      <c r="F4806" s="16">
        <v>0.0</v>
      </c>
      <c r="G4806" s="16">
        <v>0.0</v>
      </c>
      <c r="H4806" s="16">
        <v>0.0</v>
      </c>
      <c r="I4806" s="16">
        <v>0.0</v>
      </c>
      <c r="J4806" s="16">
        <v>0.0</v>
      </c>
      <c r="K4806" s="16">
        <v>0.0</v>
      </c>
      <c r="L4806" s="16">
        <v>0.0</v>
      </c>
      <c r="M4806" s="16">
        <v>12.575</v>
      </c>
      <c r="N4806" s="16">
        <v>0.0</v>
      </c>
      <c r="O4806" s="13" t="s">
        <v>58</v>
      </c>
      <c r="P4806" s="18">
        <f t="shared" si="1"/>
        <v>0</v>
      </c>
    </row>
    <row r="4807" ht="15.75" customHeight="1">
      <c r="A4807" s="19" t="s">
        <v>252</v>
      </c>
      <c r="B4807" s="19" t="s">
        <v>61</v>
      </c>
      <c r="C4807" s="20" t="s">
        <v>246</v>
      </c>
      <c r="D4807" s="14" t="str">
        <f>VLOOKUP(C4807,'State Key'!$A$2:$B$210,2,False)</f>
        <v>Uttar Pradesh</v>
      </c>
      <c r="E4807" s="21">
        <v>660.0</v>
      </c>
      <c r="F4807" s="22">
        <v>0.0</v>
      </c>
      <c r="G4807" s="22">
        <v>0.0</v>
      </c>
      <c r="H4807" s="22">
        <v>204.964</v>
      </c>
      <c r="I4807" s="22">
        <v>0.0</v>
      </c>
      <c r="J4807" s="22">
        <v>0.0</v>
      </c>
      <c r="K4807" s="22">
        <v>0.0</v>
      </c>
      <c r="L4807" s="22">
        <v>204.964</v>
      </c>
      <c r="M4807" s="22">
        <v>218.253</v>
      </c>
      <c r="N4807" s="22">
        <v>0.0</v>
      </c>
      <c r="O4807" s="19" t="s">
        <v>58</v>
      </c>
      <c r="P4807" s="18">
        <f t="shared" si="1"/>
        <v>204.964</v>
      </c>
    </row>
    <row r="4808" ht="15.75" customHeight="1">
      <c r="A4808" s="13" t="s">
        <v>252</v>
      </c>
      <c r="B4808" s="13" t="s">
        <v>61</v>
      </c>
      <c r="C4808" s="14" t="s">
        <v>76</v>
      </c>
      <c r="D4808" s="14" t="str">
        <f>VLOOKUP(C4808,'State Key'!$A$2:$B$210,2,False)</f>
        <v>Rajasthan</v>
      </c>
      <c r="E4808" s="15">
        <v>1240.0</v>
      </c>
      <c r="F4808" s="16">
        <v>491.527</v>
      </c>
      <c r="G4808" s="16">
        <v>0.0</v>
      </c>
      <c r="H4808" s="16">
        <v>0.0</v>
      </c>
      <c r="I4808" s="16">
        <v>0.0</v>
      </c>
      <c r="J4808" s="16">
        <v>0.0</v>
      </c>
      <c r="K4808" s="16">
        <v>20.343</v>
      </c>
      <c r="L4808" s="16">
        <v>511.87</v>
      </c>
      <c r="M4808" s="16">
        <v>337.945</v>
      </c>
      <c r="N4808" s="16">
        <v>0.0</v>
      </c>
      <c r="O4808" s="13" t="s">
        <v>58</v>
      </c>
      <c r="P4808" s="18">
        <f t="shared" si="1"/>
        <v>511.87</v>
      </c>
    </row>
    <row r="4809" ht="15.75" customHeight="1">
      <c r="A4809" s="19" t="s">
        <v>252</v>
      </c>
      <c r="B4809" s="19" t="s">
        <v>61</v>
      </c>
      <c r="C4809" s="20" t="s">
        <v>77</v>
      </c>
      <c r="D4809" s="14" t="str">
        <f>VLOOKUP(C4809,'State Key'!$A$2:$B$210,2,False)</f>
        <v>Uttar Pradesh</v>
      </c>
      <c r="E4809" s="21">
        <v>90.0</v>
      </c>
      <c r="F4809" s="22">
        <v>0.0</v>
      </c>
      <c r="G4809" s="22">
        <v>0.0</v>
      </c>
      <c r="H4809" s="22">
        <v>0.0</v>
      </c>
      <c r="I4809" s="22">
        <v>0.0</v>
      </c>
      <c r="J4809" s="22">
        <v>0.0</v>
      </c>
      <c r="K4809" s="22">
        <v>0.0</v>
      </c>
      <c r="L4809" s="22">
        <v>0.0</v>
      </c>
      <c r="M4809" s="22">
        <v>11.34</v>
      </c>
      <c r="N4809" s="22">
        <v>0.0</v>
      </c>
      <c r="O4809" s="19" t="s">
        <v>58</v>
      </c>
      <c r="P4809" s="18">
        <f t="shared" si="1"/>
        <v>0</v>
      </c>
    </row>
    <row r="4810" ht="15.75" customHeight="1">
      <c r="A4810" s="13" t="s">
        <v>252</v>
      </c>
      <c r="B4810" s="13" t="s">
        <v>61</v>
      </c>
      <c r="C4810" s="14" t="s">
        <v>78</v>
      </c>
      <c r="D4810" s="14" t="str">
        <f>VLOOKUP(C4810,'State Key'!$A$2:$B$210,2,False)</f>
        <v>Uttar Pradesh</v>
      </c>
      <c r="E4810" s="15">
        <v>1980.0</v>
      </c>
      <c r="F4810" s="16">
        <v>534.13</v>
      </c>
      <c r="G4810" s="16">
        <v>0.0</v>
      </c>
      <c r="H4810" s="16">
        <v>0.0</v>
      </c>
      <c r="I4810" s="16">
        <v>0.0</v>
      </c>
      <c r="J4810" s="16">
        <v>0.0</v>
      </c>
      <c r="K4810" s="16">
        <v>0.0</v>
      </c>
      <c r="L4810" s="16">
        <v>534.13</v>
      </c>
      <c r="M4810" s="16">
        <v>616.348</v>
      </c>
      <c r="N4810" s="16">
        <v>0.0</v>
      </c>
      <c r="O4810" s="13" t="s">
        <v>58</v>
      </c>
      <c r="P4810" s="18">
        <f t="shared" si="1"/>
        <v>534.13</v>
      </c>
    </row>
    <row r="4811" ht="15.75" customHeight="1">
      <c r="A4811" s="19" t="s">
        <v>252</v>
      </c>
      <c r="B4811" s="19" t="s">
        <v>61</v>
      </c>
      <c r="C4811" s="20" t="s">
        <v>79</v>
      </c>
      <c r="D4811" s="14" t="str">
        <f>VLOOKUP(C4811,'State Key'!$A$2:$B$210,2,False)</f>
        <v>Haryana</v>
      </c>
      <c r="E4811" s="21">
        <v>1320.0</v>
      </c>
      <c r="F4811" s="22">
        <v>408.891</v>
      </c>
      <c r="G4811" s="22">
        <v>0.0</v>
      </c>
      <c r="H4811" s="22">
        <v>0.0</v>
      </c>
      <c r="I4811" s="22">
        <v>0.0</v>
      </c>
      <c r="J4811" s="22">
        <v>0.0</v>
      </c>
      <c r="K4811" s="22">
        <v>0.0</v>
      </c>
      <c r="L4811" s="22">
        <v>408.891</v>
      </c>
      <c r="M4811" s="22">
        <v>403.409</v>
      </c>
      <c r="N4811" s="22">
        <v>0.0</v>
      </c>
      <c r="O4811" s="19" t="s">
        <v>58</v>
      </c>
      <c r="P4811" s="18">
        <f t="shared" si="1"/>
        <v>408.891</v>
      </c>
    </row>
    <row r="4812" ht="15.75" customHeight="1">
      <c r="A4812" s="13" t="s">
        <v>252</v>
      </c>
      <c r="B4812" s="13" t="s">
        <v>61</v>
      </c>
      <c r="C4812" s="14" t="s">
        <v>80</v>
      </c>
      <c r="D4812" s="14" t="str">
        <f>VLOOKUP(C4812,'State Key'!$A$2:$B$210,2,False)</f>
        <v>Uttar Pradesh</v>
      </c>
      <c r="E4812" s="15">
        <v>90.0</v>
      </c>
      <c r="F4812" s="16">
        <v>0.0</v>
      </c>
      <c r="G4812" s="16">
        <v>0.0</v>
      </c>
      <c r="H4812" s="16">
        <v>0.0</v>
      </c>
      <c r="I4812" s="16">
        <v>0.0</v>
      </c>
      <c r="J4812" s="16">
        <v>0.0</v>
      </c>
      <c r="K4812" s="16">
        <v>0.0</v>
      </c>
      <c r="L4812" s="16">
        <v>0.0</v>
      </c>
      <c r="M4812" s="16">
        <v>12.86</v>
      </c>
      <c r="N4812" s="16">
        <v>0.0</v>
      </c>
      <c r="O4812" s="13" t="s">
        <v>58</v>
      </c>
      <c r="P4812" s="18">
        <f t="shared" si="1"/>
        <v>0</v>
      </c>
    </row>
    <row r="4813" ht="15.75" customHeight="1">
      <c r="A4813" s="19" t="s">
        <v>252</v>
      </c>
      <c r="B4813" s="19" t="s">
        <v>61</v>
      </c>
      <c r="C4813" s="20" t="s">
        <v>81</v>
      </c>
      <c r="D4813" s="14" t="str">
        <f>VLOOKUP(C4813,'State Key'!$A$2:$B$210,2,False)</f>
        <v>Uttar Pradesh</v>
      </c>
      <c r="E4813" s="21">
        <v>1320.0</v>
      </c>
      <c r="F4813" s="22">
        <v>453.0101</v>
      </c>
      <c r="G4813" s="22">
        <v>0.0</v>
      </c>
      <c r="H4813" s="22">
        <v>7.657</v>
      </c>
      <c r="I4813" s="22">
        <v>0.0</v>
      </c>
      <c r="J4813" s="22">
        <v>0.0</v>
      </c>
      <c r="K4813" s="22">
        <v>0.0</v>
      </c>
      <c r="L4813" s="22">
        <v>460.6671</v>
      </c>
      <c r="M4813" s="22">
        <v>511.348</v>
      </c>
      <c r="N4813" s="22">
        <v>0.0</v>
      </c>
      <c r="O4813" s="19" t="s">
        <v>58</v>
      </c>
      <c r="P4813" s="18">
        <f t="shared" si="1"/>
        <v>460.6671</v>
      </c>
    </row>
    <row r="4814" ht="15.75" customHeight="1">
      <c r="A4814" s="13" t="s">
        <v>252</v>
      </c>
      <c r="B4814" s="13" t="s">
        <v>61</v>
      </c>
      <c r="C4814" s="14" t="s">
        <v>82</v>
      </c>
      <c r="D4814" s="14" t="str">
        <f>VLOOKUP(C4814,'State Key'!$A$2:$B$210,2,False)</f>
        <v>Uttar Pradesh</v>
      </c>
      <c r="E4814" s="15">
        <v>2320.0</v>
      </c>
      <c r="F4814" s="16">
        <v>600.588</v>
      </c>
      <c r="G4814" s="16">
        <v>0.0</v>
      </c>
      <c r="H4814" s="16">
        <v>0.0</v>
      </c>
      <c r="I4814" s="16">
        <v>0.0</v>
      </c>
      <c r="J4814" s="16">
        <v>0.0</v>
      </c>
      <c r="K4814" s="16">
        <v>0.0</v>
      </c>
      <c r="L4814" s="16">
        <v>600.588</v>
      </c>
      <c r="M4814" s="16">
        <v>620.864</v>
      </c>
      <c r="N4814" s="16">
        <v>0.0</v>
      </c>
      <c r="O4814" s="13" t="s">
        <v>58</v>
      </c>
      <c r="P4814" s="18">
        <f t="shared" si="1"/>
        <v>600.588</v>
      </c>
    </row>
    <row r="4815" ht="15.75" customHeight="1">
      <c r="A4815" s="19" t="s">
        <v>252</v>
      </c>
      <c r="B4815" s="19" t="s">
        <v>61</v>
      </c>
      <c r="C4815" s="20" t="s">
        <v>83</v>
      </c>
      <c r="D4815" s="14" t="str">
        <f>VLOOKUP(C4815,'State Key'!$A$2:$B$210,2,False)</f>
        <v>Haryana</v>
      </c>
      <c r="E4815" s="21">
        <v>710.0</v>
      </c>
      <c r="F4815" s="22">
        <v>131.616</v>
      </c>
      <c r="G4815" s="22">
        <v>0.0</v>
      </c>
      <c r="H4815" s="22">
        <v>0.0</v>
      </c>
      <c r="I4815" s="22">
        <v>0.0</v>
      </c>
      <c r="J4815" s="22">
        <v>0.0</v>
      </c>
      <c r="K4815" s="22">
        <v>0.0</v>
      </c>
      <c r="L4815" s="22">
        <v>131.616</v>
      </c>
      <c r="M4815" s="22">
        <v>183.25</v>
      </c>
      <c r="N4815" s="22">
        <v>0.0</v>
      </c>
      <c r="O4815" s="19" t="s">
        <v>58</v>
      </c>
      <c r="P4815" s="18">
        <f t="shared" si="1"/>
        <v>131.616</v>
      </c>
    </row>
    <row r="4816" ht="15.75" customHeight="1">
      <c r="A4816" s="13" t="s">
        <v>252</v>
      </c>
      <c r="B4816" s="13" t="s">
        <v>61</v>
      </c>
      <c r="C4816" s="14" t="s">
        <v>248</v>
      </c>
      <c r="D4816" s="14" t="str">
        <f>VLOOKUP(C4816,'State Key'!$A$2:$B$210,2,False)</f>
        <v>Uttar Pradesh</v>
      </c>
      <c r="E4816" s="15">
        <v>660.0</v>
      </c>
      <c r="F4816" s="16">
        <v>65.204</v>
      </c>
      <c r="G4816" s="16">
        <v>0.0</v>
      </c>
      <c r="H4816" s="16">
        <v>0.0</v>
      </c>
      <c r="I4816" s="16">
        <v>0.0</v>
      </c>
      <c r="J4816" s="16">
        <v>0.0</v>
      </c>
      <c r="K4816" s="16">
        <v>0.0</v>
      </c>
      <c r="L4816" s="16">
        <v>65.204</v>
      </c>
      <c r="M4816" s="16">
        <v>97.045</v>
      </c>
      <c r="N4816" s="16">
        <v>0.0</v>
      </c>
      <c r="O4816" s="13" t="s">
        <v>58</v>
      </c>
      <c r="P4816" s="18">
        <f t="shared" si="1"/>
        <v>65.204</v>
      </c>
    </row>
    <row r="4817" ht="15.75" customHeight="1">
      <c r="A4817" s="19" t="s">
        <v>252</v>
      </c>
      <c r="B4817" s="19" t="s">
        <v>61</v>
      </c>
      <c r="C4817" s="20" t="s">
        <v>84</v>
      </c>
      <c r="D4817" s="14" t="str">
        <f>VLOOKUP(C4817,'State Key'!$A$2:$B$210,2,False)</f>
        <v>Uttar Pradesh</v>
      </c>
      <c r="E4817" s="21">
        <v>920.0</v>
      </c>
      <c r="F4817" s="22">
        <v>287.091</v>
      </c>
      <c r="G4817" s="22">
        <v>0.0</v>
      </c>
      <c r="H4817" s="22">
        <v>0.0</v>
      </c>
      <c r="I4817" s="22">
        <v>0.0</v>
      </c>
      <c r="J4817" s="22">
        <v>0.0</v>
      </c>
      <c r="K4817" s="22">
        <v>0.0</v>
      </c>
      <c r="L4817" s="22">
        <v>287.091</v>
      </c>
      <c r="M4817" s="22">
        <v>348.468</v>
      </c>
      <c r="N4817" s="22">
        <v>0.0</v>
      </c>
      <c r="O4817" s="19" t="s">
        <v>58</v>
      </c>
      <c r="P4817" s="18">
        <f t="shared" si="1"/>
        <v>287.091</v>
      </c>
    </row>
    <row r="4818" ht="15.75" customHeight="1">
      <c r="A4818" s="13" t="s">
        <v>252</v>
      </c>
      <c r="B4818" s="13" t="s">
        <v>61</v>
      </c>
      <c r="C4818" s="14" t="s">
        <v>85</v>
      </c>
      <c r="D4818" s="14" t="str">
        <f>VLOOKUP(C4818,'State Key'!$A$2:$B$210,2,False)</f>
        <v>Uttar Pradesh</v>
      </c>
      <c r="E4818" s="15">
        <v>1980.0</v>
      </c>
      <c r="F4818" s="16">
        <v>746.886</v>
      </c>
      <c r="G4818" s="16">
        <v>0.0</v>
      </c>
      <c r="H4818" s="16">
        <v>0.0</v>
      </c>
      <c r="I4818" s="16">
        <v>0.0</v>
      </c>
      <c r="J4818" s="16">
        <v>0.0</v>
      </c>
      <c r="K4818" s="16">
        <v>0.0</v>
      </c>
      <c r="L4818" s="16">
        <v>746.886</v>
      </c>
      <c r="M4818" s="16">
        <v>665.26</v>
      </c>
      <c r="N4818" s="16">
        <v>0.0</v>
      </c>
      <c r="O4818" s="13" t="s">
        <v>58</v>
      </c>
      <c r="P4818" s="18">
        <f t="shared" si="1"/>
        <v>746.886</v>
      </c>
    </row>
    <row r="4819" ht="15.75" customHeight="1">
      <c r="A4819" s="19" t="s">
        <v>252</v>
      </c>
      <c r="B4819" s="19" t="s">
        <v>61</v>
      </c>
      <c r="C4819" s="20" t="s">
        <v>86</v>
      </c>
      <c r="D4819" s="14" t="str">
        <f>VLOOKUP(C4819,'State Key'!$A$2:$B$210,2,False)</f>
        <v>Haryana</v>
      </c>
      <c r="E4819" s="21">
        <v>1200.0</v>
      </c>
      <c r="F4819" s="22">
        <v>329.592</v>
      </c>
      <c r="G4819" s="22">
        <v>0.0</v>
      </c>
      <c r="H4819" s="22">
        <v>0.0</v>
      </c>
      <c r="I4819" s="22">
        <v>0.0</v>
      </c>
      <c r="J4819" s="22">
        <v>0.0</v>
      </c>
      <c r="K4819" s="22">
        <v>0.0</v>
      </c>
      <c r="L4819" s="22">
        <v>329.592</v>
      </c>
      <c r="M4819" s="22">
        <v>329.827</v>
      </c>
      <c r="N4819" s="22">
        <v>0.0</v>
      </c>
      <c r="O4819" s="19" t="s">
        <v>58</v>
      </c>
      <c r="P4819" s="18">
        <f t="shared" si="1"/>
        <v>329.592</v>
      </c>
    </row>
    <row r="4820" ht="15.75" customHeight="1">
      <c r="A4820" s="13" t="s">
        <v>252</v>
      </c>
      <c r="B4820" s="13" t="s">
        <v>61</v>
      </c>
      <c r="C4820" s="14" t="s">
        <v>87</v>
      </c>
      <c r="D4820" s="14" t="str">
        <f>VLOOKUP(C4820,'State Key'!$A$2:$B$210,2,False)</f>
        <v>Punjab</v>
      </c>
      <c r="E4820" s="15">
        <v>1400.0</v>
      </c>
      <c r="F4820" s="16">
        <v>398.3164</v>
      </c>
      <c r="G4820" s="16">
        <v>0.0</v>
      </c>
      <c r="H4820" s="16">
        <v>0.0</v>
      </c>
      <c r="I4820" s="16">
        <v>0.0</v>
      </c>
      <c r="J4820" s="16">
        <v>0.0</v>
      </c>
      <c r="K4820" s="16">
        <v>0.0</v>
      </c>
      <c r="L4820" s="16">
        <v>398.3164</v>
      </c>
      <c r="M4820" s="16">
        <v>475.7428</v>
      </c>
      <c r="N4820" s="16">
        <v>0.0</v>
      </c>
      <c r="O4820" s="13" t="s">
        <v>58</v>
      </c>
      <c r="P4820" s="18">
        <f t="shared" si="1"/>
        <v>398.3164</v>
      </c>
    </row>
    <row r="4821" ht="15.75" customHeight="1">
      <c r="A4821" s="19" t="s">
        <v>252</v>
      </c>
      <c r="B4821" s="19" t="s">
        <v>61</v>
      </c>
      <c r="C4821" s="20" t="s">
        <v>88</v>
      </c>
      <c r="D4821" s="14" t="str">
        <f>VLOOKUP(C4821,'State Key'!$A$2:$B$210,2,False)</f>
        <v>Uttar Pradesh</v>
      </c>
      <c r="E4821" s="21">
        <v>3000.0</v>
      </c>
      <c r="F4821" s="22">
        <v>1163.96</v>
      </c>
      <c r="G4821" s="22">
        <v>0.0</v>
      </c>
      <c r="H4821" s="22">
        <v>0.0</v>
      </c>
      <c r="I4821" s="22">
        <v>0.0</v>
      </c>
      <c r="J4821" s="22">
        <v>0.0</v>
      </c>
      <c r="K4821" s="22">
        <v>0.0</v>
      </c>
      <c r="L4821" s="22">
        <v>1163.96</v>
      </c>
      <c r="M4821" s="22">
        <v>1172.093</v>
      </c>
      <c r="N4821" s="22">
        <v>0.0</v>
      </c>
      <c r="O4821" s="19" t="s">
        <v>58</v>
      </c>
      <c r="P4821" s="18">
        <f t="shared" si="1"/>
        <v>1163.96</v>
      </c>
    </row>
    <row r="4822" ht="15.75" customHeight="1">
      <c r="A4822" s="13" t="s">
        <v>252</v>
      </c>
      <c r="B4822" s="13" t="s">
        <v>61</v>
      </c>
      <c r="C4822" s="14" t="s">
        <v>89</v>
      </c>
      <c r="D4822" s="14" t="str">
        <f>VLOOKUP(C4822,'State Key'!$A$2:$B$210,2,False)</f>
        <v>Punjab</v>
      </c>
      <c r="E4822" s="15">
        <v>840.0</v>
      </c>
      <c r="F4822" s="16">
        <v>11.861</v>
      </c>
      <c r="G4822" s="16">
        <v>0.0</v>
      </c>
      <c r="H4822" s="16">
        <v>188.482</v>
      </c>
      <c r="I4822" s="16">
        <v>0.0</v>
      </c>
      <c r="J4822" s="16">
        <v>0.0</v>
      </c>
      <c r="K4822" s="16">
        <v>0.0</v>
      </c>
      <c r="L4822" s="16">
        <v>200.343</v>
      </c>
      <c r="M4822" s="16">
        <v>288.127</v>
      </c>
      <c r="N4822" s="16">
        <v>0.0</v>
      </c>
      <c r="O4822" s="13" t="s">
        <v>58</v>
      </c>
      <c r="P4822" s="18">
        <f t="shared" si="1"/>
        <v>200.343</v>
      </c>
    </row>
    <row r="4823" ht="15.75" customHeight="1">
      <c r="A4823" s="19" t="s">
        <v>252</v>
      </c>
      <c r="B4823" s="19" t="s">
        <v>61</v>
      </c>
      <c r="C4823" s="20" t="s">
        <v>90</v>
      </c>
      <c r="D4823" s="14" t="str">
        <f>VLOOKUP(C4823,'State Key'!$A$2:$B$210,2,False)</f>
        <v>Uttar Pradesh</v>
      </c>
      <c r="E4823" s="21">
        <v>1200.0</v>
      </c>
      <c r="F4823" s="22">
        <v>331.2012</v>
      </c>
      <c r="G4823" s="22">
        <v>0.0</v>
      </c>
      <c r="H4823" s="22">
        <v>0.0</v>
      </c>
      <c r="I4823" s="22">
        <v>0.0</v>
      </c>
      <c r="J4823" s="22">
        <v>0.0</v>
      </c>
      <c r="K4823" s="22">
        <v>0.0</v>
      </c>
      <c r="L4823" s="22">
        <v>331.2012</v>
      </c>
      <c r="M4823" s="22">
        <v>391.439</v>
      </c>
      <c r="N4823" s="22">
        <v>0.0</v>
      </c>
      <c r="O4823" s="19" t="s">
        <v>58</v>
      </c>
      <c r="P4823" s="18">
        <f t="shared" si="1"/>
        <v>331.2012</v>
      </c>
    </row>
    <row r="4824" ht="15.75" customHeight="1">
      <c r="A4824" s="13" t="s">
        <v>252</v>
      </c>
      <c r="B4824" s="13" t="s">
        <v>61</v>
      </c>
      <c r="C4824" s="14" t="s">
        <v>219</v>
      </c>
      <c r="D4824" s="14" t="str">
        <f>VLOOKUP(C4824,'State Key'!$A$2:$B$210,2,False)</f>
        <v>Rajasthan</v>
      </c>
      <c r="E4824" s="15">
        <v>300.0</v>
      </c>
      <c r="F4824" s="16">
        <v>0.0</v>
      </c>
      <c r="G4824" s="16">
        <v>0.0</v>
      </c>
      <c r="H4824" s="16">
        <v>0.0</v>
      </c>
      <c r="I4824" s="16">
        <v>0.0</v>
      </c>
      <c r="J4824" s="16">
        <v>59.07</v>
      </c>
      <c r="K4824" s="16">
        <v>0.0</v>
      </c>
      <c r="L4824" s="16">
        <v>59.07</v>
      </c>
      <c r="M4824" s="16">
        <v>59.07</v>
      </c>
      <c r="N4824" s="16">
        <v>0.0</v>
      </c>
      <c r="O4824" s="13" t="s">
        <v>58</v>
      </c>
      <c r="P4824" s="18">
        <f t="shared" si="1"/>
        <v>59.07</v>
      </c>
    </row>
    <row r="4825" ht="15.75" customHeight="1">
      <c r="A4825" s="19" t="s">
        <v>252</v>
      </c>
      <c r="B4825" s="19" t="s">
        <v>61</v>
      </c>
      <c r="C4825" s="20" t="s">
        <v>91</v>
      </c>
      <c r="D4825" s="14" t="str">
        <f>VLOOKUP(C4825,'State Key'!$A$2:$B$210,2,False)</f>
        <v>Uttar Pradesh</v>
      </c>
      <c r="E4825" s="21">
        <v>2000.0</v>
      </c>
      <c r="F4825" s="22">
        <v>762.01</v>
      </c>
      <c r="G4825" s="22">
        <v>0.0</v>
      </c>
      <c r="H4825" s="22">
        <v>0.0</v>
      </c>
      <c r="I4825" s="22">
        <v>0.0</v>
      </c>
      <c r="J4825" s="22">
        <v>0.0</v>
      </c>
      <c r="K4825" s="22">
        <v>0.0</v>
      </c>
      <c r="L4825" s="22">
        <v>762.01</v>
      </c>
      <c r="M4825" s="22">
        <v>886.243</v>
      </c>
      <c r="N4825" s="22">
        <v>0.0</v>
      </c>
      <c r="O4825" s="19" t="s">
        <v>58</v>
      </c>
      <c r="P4825" s="18">
        <f t="shared" si="1"/>
        <v>762.01</v>
      </c>
    </row>
    <row r="4826" ht="15.75" customHeight="1">
      <c r="A4826" s="13" t="s">
        <v>252</v>
      </c>
      <c r="B4826" s="13" t="s">
        <v>61</v>
      </c>
      <c r="C4826" s="14" t="s">
        <v>92</v>
      </c>
      <c r="D4826" s="14" t="str">
        <f>VLOOKUP(C4826,'State Key'!$A$2:$B$210,2,False)</f>
        <v>Rajasthan</v>
      </c>
      <c r="E4826" s="15">
        <v>1320.0</v>
      </c>
      <c r="F4826" s="16">
        <v>28.21217</v>
      </c>
      <c r="G4826" s="16">
        <v>0.0</v>
      </c>
      <c r="H4826" s="16">
        <v>469.7741</v>
      </c>
      <c r="I4826" s="16">
        <v>0.0</v>
      </c>
      <c r="J4826" s="16">
        <v>0.0</v>
      </c>
      <c r="K4826" s="16">
        <v>0.0</v>
      </c>
      <c r="L4826" s="16">
        <v>497.98627</v>
      </c>
      <c r="M4826" s="16">
        <v>372.505</v>
      </c>
      <c r="N4826" s="16">
        <v>0.0</v>
      </c>
      <c r="O4826" s="13" t="s">
        <v>58</v>
      </c>
      <c r="P4826" s="18">
        <f t="shared" si="1"/>
        <v>497.98627</v>
      </c>
    </row>
    <row r="4827" ht="15.75" customHeight="1">
      <c r="A4827" s="19" t="s">
        <v>252</v>
      </c>
      <c r="B4827" s="19" t="s">
        <v>61</v>
      </c>
      <c r="C4827" s="20" t="s">
        <v>93</v>
      </c>
      <c r="D4827" s="14" t="str">
        <f>VLOOKUP(C4827,'State Key'!$A$2:$B$210,2,False)</f>
        <v>Rajasthan</v>
      </c>
      <c r="E4827" s="21">
        <v>1500.0</v>
      </c>
      <c r="F4827" s="22">
        <v>332.287</v>
      </c>
      <c r="G4827" s="22">
        <v>0.0</v>
      </c>
      <c r="H4827" s="22">
        <v>0.0</v>
      </c>
      <c r="I4827" s="22">
        <v>0.0</v>
      </c>
      <c r="J4827" s="22">
        <v>0.0</v>
      </c>
      <c r="K4827" s="22">
        <v>0.0</v>
      </c>
      <c r="L4827" s="22">
        <v>332.287</v>
      </c>
      <c r="M4827" s="22">
        <v>207.71</v>
      </c>
      <c r="N4827" s="22">
        <v>0.0</v>
      </c>
      <c r="O4827" s="19" t="s">
        <v>58</v>
      </c>
      <c r="P4827" s="18">
        <f t="shared" si="1"/>
        <v>332.287</v>
      </c>
    </row>
    <row r="4828" ht="15.75" customHeight="1">
      <c r="A4828" s="13" t="s">
        <v>252</v>
      </c>
      <c r="B4828" s="13" t="s">
        <v>61</v>
      </c>
      <c r="C4828" s="14" t="s">
        <v>94</v>
      </c>
      <c r="D4828" s="14" t="str">
        <f>VLOOKUP(C4828,'State Key'!$A$2:$B$210,2,False)</f>
        <v>Punjab</v>
      </c>
      <c r="E4828" s="15">
        <v>1980.0</v>
      </c>
      <c r="F4828" s="16">
        <v>688.399</v>
      </c>
      <c r="G4828" s="16">
        <v>0.0</v>
      </c>
      <c r="H4828" s="16">
        <v>0.0</v>
      </c>
      <c r="I4828" s="16">
        <v>0.0</v>
      </c>
      <c r="J4828" s="16">
        <v>0.0</v>
      </c>
      <c r="K4828" s="16">
        <v>0.0</v>
      </c>
      <c r="L4828" s="16">
        <v>688.399</v>
      </c>
      <c r="M4828" s="16">
        <v>678.55</v>
      </c>
      <c r="N4828" s="16">
        <v>0.0</v>
      </c>
      <c r="O4828" s="13" t="s">
        <v>58</v>
      </c>
      <c r="P4828" s="18">
        <f t="shared" si="1"/>
        <v>688.399</v>
      </c>
    </row>
    <row r="4829" ht="15.75" customHeight="1">
      <c r="A4829" s="19" t="s">
        <v>252</v>
      </c>
      <c r="B4829" s="19" t="s">
        <v>61</v>
      </c>
      <c r="C4829" s="20" t="s">
        <v>95</v>
      </c>
      <c r="D4829" s="14" t="str">
        <f>VLOOKUP(C4829,'State Key'!$A$2:$B$210,2,False)</f>
        <v>Uttar Pradesh</v>
      </c>
      <c r="E4829" s="21">
        <v>1760.0</v>
      </c>
      <c r="F4829" s="22">
        <v>280.15</v>
      </c>
      <c r="G4829" s="22">
        <v>0.0</v>
      </c>
      <c r="H4829" s="22">
        <v>343.74</v>
      </c>
      <c r="I4829" s="22">
        <v>0.0</v>
      </c>
      <c r="J4829" s="22">
        <v>0.0</v>
      </c>
      <c r="K4829" s="22">
        <v>47.77</v>
      </c>
      <c r="L4829" s="22">
        <v>671.66</v>
      </c>
      <c r="M4829" s="22">
        <v>695.862</v>
      </c>
      <c r="N4829" s="22">
        <v>0.0</v>
      </c>
      <c r="O4829" s="19" t="s">
        <v>58</v>
      </c>
      <c r="P4829" s="18">
        <f t="shared" si="1"/>
        <v>671.66</v>
      </c>
    </row>
    <row r="4830" ht="15.75" customHeight="1">
      <c r="A4830" s="13" t="s">
        <v>252</v>
      </c>
      <c r="B4830" s="13" t="s">
        <v>61</v>
      </c>
      <c r="C4830" s="14" t="s">
        <v>96</v>
      </c>
      <c r="D4830" s="14" t="str">
        <f>VLOOKUP(C4830,'State Key'!$A$2:$B$210,2,False)</f>
        <v>Uttar Pradesh</v>
      </c>
      <c r="E4830" s="15">
        <v>1550.0</v>
      </c>
      <c r="F4830" s="16">
        <v>413.55</v>
      </c>
      <c r="G4830" s="16">
        <v>0.0</v>
      </c>
      <c r="H4830" s="16">
        <v>110.36</v>
      </c>
      <c r="I4830" s="16">
        <v>0.0</v>
      </c>
      <c r="J4830" s="16">
        <v>0.0</v>
      </c>
      <c r="K4830" s="16">
        <v>78.05</v>
      </c>
      <c r="L4830" s="16">
        <v>601.96</v>
      </c>
      <c r="M4830" s="16">
        <v>620.533</v>
      </c>
      <c r="N4830" s="16">
        <v>0.0</v>
      </c>
      <c r="O4830" s="13" t="s">
        <v>58</v>
      </c>
      <c r="P4830" s="18">
        <f t="shared" si="1"/>
        <v>601.96</v>
      </c>
    </row>
    <row r="4831" ht="15.75" customHeight="1">
      <c r="A4831" s="19" t="s">
        <v>252</v>
      </c>
      <c r="B4831" s="19" t="s">
        <v>61</v>
      </c>
      <c r="C4831" s="20" t="s">
        <v>97</v>
      </c>
      <c r="D4831" s="14" t="str">
        <f>VLOOKUP(C4831,'State Key'!$A$2:$B$210,2,False)</f>
        <v>Uttar Pradesh</v>
      </c>
      <c r="E4831" s="21">
        <v>90.0</v>
      </c>
      <c r="F4831" s="22">
        <v>3.86</v>
      </c>
      <c r="G4831" s="22">
        <v>0.0</v>
      </c>
      <c r="H4831" s="22">
        <v>0.0</v>
      </c>
      <c r="I4831" s="22">
        <v>0.0</v>
      </c>
      <c r="J4831" s="22">
        <v>0.0</v>
      </c>
      <c r="K4831" s="22">
        <v>0.0</v>
      </c>
      <c r="L4831" s="22">
        <v>3.86</v>
      </c>
      <c r="M4831" s="22">
        <v>12.46</v>
      </c>
      <c r="N4831" s="22">
        <v>0.0</v>
      </c>
      <c r="O4831" s="19" t="s">
        <v>58</v>
      </c>
      <c r="P4831" s="18">
        <f t="shared" si="1"/>
        <v>3.86</v>
      </c>
    </row>
    <row r="4832" ht="15.75" customHeight="1">
      <c r="A4832" s="13" t="s">
        <v>252</v>
      </c>
      <c r="B4832" s="13" t="s">
        <v>61</v>
      </c>
      <c r="C4832" s="14" t="s">
        <v>98</v>
      </c>
      <c r="D4832" s="14" t="str">
        <f>VLOOKUP(C4832,'State Key'!$A$2:$B$210,2,False)</f>
        <v>Haryana</v>
      </c>
      <c r="E4832" s="15">
        <v>600.0</v>
      </c>
      <c r="F4832" s="16">
        <v>258.933</v>
      </c>
      <c r="G4832" s="16">
        <v>0.0</v>
      </c>
      <c r="H4832" s="16">
        <v>0.0</v>
      </c>
      <c r="I4832" s="16">
        <v>0.0</v>
      </c>
      <c r="J4832" s="16">
        <v>0.0</v>
      </c>
      <c r="K4832" s="16">
        <v>0.0</v>
      </c>
      <c r="L4832" s="16">
        <v>258.933</v>
      </c>
      <c r="M4832" s="16">
        <v>235.889</v>
      </c>
      <c r="N4832" s="16">
        <v>0.0</v>
      </c>
      <c r="O4832" s="13" t="s">
        <v>58</v>
      </c>
      <c r="P4832" s="18">
        <f t="shared" si="1"/>
        <v>258.933</v>
      </c>
    </row>
    <row r="4833" ht="15.75" customHeight="1">
      <c r="A4833" s="19" t="s">
        <v>252</v>
      </c>
      <c r="B4833" s="19" t="s">
        <v>99</v>
      </c>
      <c r="C4833" s="20" t="s">
        <v>210</v>
      </c>
      <c r="D4833" s="14" t="str">
        <f>VLOOKUP(C4833,'State Key'!$A$2:$B$210,2,False)</f>
        <v>Karnataka</v>
      </c>
      <c r="E4833" s="21">
        <v>1200.0</v>
      </c>
      <c r="F4833" s="22">
        <v>0.0</v>
      </c>
      <c r="G4833" s="22">
        <v>0.0</v>
      </c>
      <c r="H4833" s="22">
        <v>0.0</v>
      </c>
      <c r="I4833" s="22">
        <v>0.0</v>
      </c>
      <c r="J4833" s="22">
        <v>122.096</v>
      </c>
      <c r="K4833" s="22">
        <v>0.0</v>
      </c>
      <c r="L4833" s="22">
        <v>122.096</v>
      </c>
      <c r="M4833" s="22">
        <v>4.381</v>
      </c>
      <c r="N4833" s="22">
        <v>0.0</v>
      </c>
      <c r="O4833" s="19" t="s">
        <v>58</v>
      </c>
      <c r="P4833" s="18">
        <f t="shared" si="1"/>
        <v>122.096</v>
      </c>
    </row>
    <row r="4834" ht="15.75" customHeight="1">
      <c r="A4834" s="13" t="s">
        <v>252</v>
      </c>
      <c r="B4834" s="13" t="s">
        <v>99</v>
      </c>
      <c r="C4834" s="14" t="s">
        <v>100</v>
      </c>
      <c r="D4834" s="14" t="str">
        <f>VLOOKUP(C4834,'State Key'!$A$2:$B$210,2,False)</f>
        <v>Karnataka</v>
      </c>
      <c r="E4834" s="15">
        <v>1700.0</v>
      </c>
      <c r="F4834" s="16">
        <v>34.1485</v>
      </c>
      <c r="G4834" s="16">
        <v>48.82068</v>
      </c>
      <c r="H4834" s="16">
        <v>345.21372</v>
      </c>
      <c r="I4834" s="16">
        <v>0.0</v>
      </c>
      <c r="J4834" s="16">
        <v>0.0</v>
      </c>
      <c r="K4834" s="16">
        <v>0.0</v>
      </c>
      <c r="L4834" s="16">
        <v>428.1829</v>
      </c>
      <c r="M4834" s="16">
        <v>404.437</v>
      </c>
      <c r="N4834" s="16">
        <v>0.0</v>
      </c>
      <c r="O4834" s="13" t="s">
        <v>58</v>
      </c>
      <c r="P4834" s="18">
        <f t="shared" si="1"/>
        <v>428.1829</v>
      </c>
    </row>
    <row r="4835" ht="15.75" customHeight="1">
      <c r="A4835" s="19" t="s">
        <v>252</v>
      </c>
      <c r="B4835" s="19" t="s">
        <v>99</v>
      </c>
      <c r="C4835" s="20" t="s">
        <v>101</v>
      </c>
      <c r="D4835" s="14" t="str">
        <f>VLOOKUP(C4835,'State Key'!$A$2:$B$210,2,False)</f>
        <v>Telangana</v>
      </c>
      <c r="E4835" s="21">
        <v>1080.0</v>
      </c>
      <c r="F4835" s="22">
        <v>0.0</v>
      </c>
      <c r="G4835" s="22">
        <v>305.618</v>
      </c>
      <c r="H4835" s="22">
        <v>0.0</v>
      </c>
      <c r="I4835" s="22">
        <v>0.0</v>
      </c>
      <c r="J4835" s="22">
        <v>0.0</v>
      </c>
      <c r="K4835" s="22">
        <v>0.0</v>
      </c>
      <c r="L4835" s="22">
        <v>305.618</v>
      </c>
      <c r="M4835" s="22">
        <v>361.249</v>
      </c>
      <c r="N4835" s="22">
        <v>0.0</v>
      </c>
      <c r="O4835" s="19" t="s">
        <v>58</v>
      </c>
      <c r="P4835" s="18">
        <f t="shared" si="1"/>
        <v>305.618</v>
      </c>
    </row>
    <row r="4836" ht="15.75" customHeight="1">
      <c r="A4836" s="13" t="s">
        <v>252</v>
      </c>
      <c r="B4836" s="13" t="s">
        <v>99</v>
      </c>
      <c r="C4836" s="14" t="s">
        <v>102</v>
      </c>
      <c r="D4836" s="14" t="str">
        <f>VLOOKUP(C4836,'State Key'!$A$2:$B$210,2,False)</f>
        <v>Andhra Pradesh</v>
      </c>
      <c r="E4836" s="15">
        <v>2400.0</v>
      </c>
      <c r="F4836" s="16">
        <v>612.27576</v>
      </c>
      <c r="G4836" s="16">
        <v>0.0</v>
      </c>
      <c r="H4836" s="16">
        <v>0.0</v>
      </c>
      <c r="I4836" s="16">
        <v>0.0</v>
      </c>
      <c r="J4836" s="16">
        <v>0.0</v>
      </c>
      <c r="K4836" s="16">
        <v>0.0</v>
      </c>
      <c r="L4836" s="16">
        <v>612.27576</v>
      </c>
      <c r="M4836" s="16">
        <v>478.074</v>
      </c>
      <c r="N4836" s="16">
        <v>0.0</v>
      </c>
      <c r="O4836" s="13" t="s">
        <v>58</v>
      </c>
      <c r="P4836" s="18">
        <f t="shared" si="1"/>
        <v>612.27576</v>
      </c>
    </row>
    <row r="4837" ht="15.75" customHeight="1">
      <c r="A4837" s="19" t="s">
        <v>252</v>
      </c>
      <c r="B4837" s="19" t="s">
        <v>99</v>
      </c>
      <c r="C4837" s="20" t="s">
        <v>103</v>
      </c>
      <c r="D4837" s="14" t="str">
        <f>VLOOKUP(C4837,'State Key'!$A$2:$B$210,2,False)</f>
        <v>Andhra Pradesh</v>
      </c>
      <c r="E4837" s="21">
        <v>2560.0</v>
      </c>
      <c r="F4837" s="22">
        <v>752.035</v>
      </c>
      <c r="G4837" s="22">
        <v>231.23</v>
      </c>
      <c r="H4837" s="22">
        <v>0.0</v>
      </c>
      <c r="I4837" s="22">
        <v>0.0</v>
      </c>
      <c r="J4837" s="22">
        <v>0.0</v>
      </c>
      <c r="K4837" s="22">
        <v>0.0</v>
      </c>
      <c r="L4837" s="22">
        <v>983.265</v>
      </c>
      <c r="M4837" s="22">
        <v>953.902</v>
      </c>
      <c r="N4837" s="22">
        <v>0.0</v>
      </c>
      <c r="O4837" s="19" t="s">
        <v>58</v>
      </c>
      <c r="P4837" s="18">
        <f t="shared" si="1"/>
        <v>983.265</v>
      </c>
    </row>
    <row r="4838" ht="15.75" customHeight="1">
      <c r="A4838" s="13" t="s">
        <v>252</v>
      </c>
      <c r="B4838" s="13" t="s">
        <v>99</v>
      </c>
      <c r="C4838" s="14" t="s">
        <v>104</v>
      </c>
      <c r="D4838" s="14" t="str">
        <f>VLOOKUP(C4838,'State Key'!$A$2:$B$210,2,False)</f>
        <v>Tamil Nadu</v>
      </c>
      <c r="E4838" s="15">
        <v>1200.0</v>
      </c>
      <c r="F4838" s="16">
        <v>0.0</v>
      </c>
      <c r="G4838" s="16">
        <v>0.0</v>
      </c>
      <c r="H4838" s="16">
        <v>0.0</v>
      </c>
      <c r="I4838" s="16">
        <v>0.0</v>
      </c>
      <c r="J4838" s="16">
        <v>492.947</v>
      </c>
      <c r="K4838" s="16">
        <v>0.0</v>
      </c>
      <c r="L4838" s="16">
        <v>492.947</v>
      </c>
      <c r="M4838" s="16">
        <v>395.327</v>
      </c>
      <c r="N4838" s="16">
        <v>0.0</v>
      </c>
      <c r="O4838" s="13" t="s">
        <v>58</v>
      </c>
      <c r="P4838" s="18">
        <f t="shared" si="1"/>
        <v>492.947</v>
      </c>
    </row>
    <row r="4839" ht="15.75" customHeight="1">
      <c r="A4839" s="19" t="s">
        <v>252</v>
      </c>
      <c r="B4839" s="19" t="s">
        <v>99</v>
      </c>
      <c r="C4839" s="20" t="s">
        <v>105</v>
      </c>
      <c r="D4839" s="14" t="str">
        <f>VLOOKUP(C4839,'State Key'!$A$2:$B$210,2,False)</f>
        <v>Telangana</v>
      </c>
      <c r="E4839" s="21">
        <v>1100.0</v>
      </c>
      <c r="F4839" s="22">
        <v>0.0</v>
      </c>
      <c r="G4839" s="22">
        <v>125.503</v>
      </c>
      <c r="H4839" s="22">
        <v>208.922</v>
      </c>
      <c r="I4839" s="22">
        <v>0.0</v>
      </c>
      <c r="J4839" s="22">
        <v>0.0</v>
      </c>
      <c r="K4839" s="22">
        <v>0.0</v>
      </c>
      <c r="L4839" s="22">
        <v>334.425</v>
      </c>
      <c r="M4839" s="22">
        <v>352.774</v>
      </c>
      <c r="N4839" s="22">
        <v>0.0</v>
      </c>
      <c r="O4839" s="19" t="s">
        <v>58</v>
      </c>
      <c r="P4839" s="18">
        <f t="shared" si="1"/>
        <v>334.425</v>
      </c>
    </row>
    <row r="4840" ht="15.75" customHeight="1">
      <c r="A4840" s="13" t="s">
        <v>252</v>
      </c>
      <c r="B4840" s="13" t="s">
        <v>99</v>
      </c>
      <c r="C4840" s="14" t="s">
        <v>106</v>
      </c>
      <c r="D4840" s="14" t="str">
        <f>VLOOKUP(C4840,'State Key'!$A$2:$B$210,2,False)</f>
        <v>Telangana</v>
      </c>
      <c r="E4840" s="15">
        <v>1000.0</v>
      </c>
      <c r="F4840" s="16">
        <v>0.0</v>
      </c>
      <c r="G4840" s="16">
        <v>344.797</v>
      </c>
      <c r="H4840" s="16">
        <v>0.0</v>
      </c>
      <c r="I4840" s="16">
        <v>0.0</v>
      </c>
      <c r="J4840" s="16">
        <v>0.0</v>
      </c>
      <c r="K4840" s="16">
        <v>0.0</v>
      </c>
      <c r="L4840" s="16">
        <v>344.797</v>
      </c>
      <c r="M4840" s="16">
        <v>230.74</v>
      </c>
      <c r="N4840" s="16">
        <v>0.0</v>
      </c>
      <c r="O4840" s="13" t="s">
        <v>58</v>
      </c>
      <c r="P4840" s="18">
        <f t="shared" si="1"/>
        <v>344.797</v>
      </c>
    </row>
    <row r="4841" ht="15.75" customHeight="1">
      <c r="A4841" s="19" t="s">
        <v>252</v>
      </c>
      <c r="B4841" s="19" t="s">
        <v>99</v>
      </c>
      <c r="C4841" s="20" t="s">
        <v>107</v>
      </c>
      <c r="D4841" s="14" t="str">
        <f>VLOOKUP(C4841,'State Key'!$A$2:$B$210,2,False)</f>
        <v>Telangana</v>
      </c>
      <c r="E4841" s="21">
        <v>800.0</v>
      </c>
      <c r="F4841" s="22">
        <v>0.0</v>
      </c>
      <c r="G4841" s="22">
        <v>228.915</v>
      </c>
      <c r="H4841" s="22">
        <v>0.0</v>
      </c>
      <c r="I4841" s="22">
        <v>0.0</v>
      </c>
      <c r="J4841" s="22">
        <v>0.0</v>
      </c>
      <c r="K4841" s="22">
        <v>0.0</v>
      </c>
      <c r="L4841" s="22">
        <v>228.915</v>
      </c>
      <c r="M4841" s="22">
        <v>174.833</v>
      </c>
      <c r="N4841" s="22">
        <v>0.0</v>
      </c>
      <c r="O4841" s="19" t="s">
        <v>58</v>
      </c>
      <c r="P4841" s="18">
        <f t="shared" si="1"/>
        <v>228.915</v>
      </c>
    </row>
    <row r="4842" ht="15.75" customHeight="1">
      <c r="A4842" s="13" t="s">
        <v>252</v>
      </c>
      <c r="B4842" s="13" t="s">
        <v>99</v>
      </c>
      <c r="C4842" s="14" t="s">
        <v>108</v>
      </c>
      <c r="D4842" s="14" t="str">
        <f>VLOOKUP(C4842,'State Key'!$A$2:$B$210,2,False)</f>
        <v>Karnataka</v>
      </c>
      <c r="E4842" s="15">
        <v>2400.0</v>
      </c>
      <c r="F4842" s="16">
        <v>290.97</v>
      </c>
      <c r="G4842" s="16">
        <v>293.38</v>
      </c>
      <c r="H4842" s="16">
        <v>92.3</v>
      </c>
      <c r="I4842" s="16">
        <v>0.0</v>
      </c>
      <c r="J4842" s="16">
        <v>0.0</v>
      </c>
      <c r="K4842" s="16">
        <v>54.99</v>
      </c>
      <c r="L4842" s="16">
        <v>731.64</v>
      </c>
      <c r="M4842" s="16">
        <v>336.334</v>
      </c>
      <c r="N4842" s="16">
        <v>0.0</v>
      </c>
      <c r="O4842" s="13" t="s">
        <v>58</v>
      </c>
      <c r="P4842" s="18">
        <f t="shared" si="1"/>
        <v>731.64</v>
      </c>
    </row>
    <row r="4843" ht="15.75" customHeight="1">
      <c r="A4843" s="19" t="s">
        <v>252</v>
      </c>
      <c r="B4843" s="19" t="s">
        <v>99</v>
      </c>
      <c r="C4843" s="20" t="s">
        <v>109</v>
      </c>
      <c r="D4843" s="14" t="str">
        <f>VLOOKUP(C4843,'State Key'!$A$2:$B$210,2,False)</f>
        <v>Tamil Nadu</v>
      </c>
      <c r="E4843" s="21">
        <v>840.0</v>
      </c>
      <c r="F4843" s="22">
        <v>234.03</v>
      </c>
      <c r="G4843" s="22">
        <v>0.07</v>
      </c>
      <c r="H4843" s="22">
        <v>0.0</v>
      </c>
      <c r="I4843" s="22">
        <v>0.0</v>
      </c>
      <c r="J4843" s="22">
        <v>0.0</v>
      </c>
      <c r="K4843" s="22">
        <v>0.0</v>
      </c>
      <c r="L4843" s="22">
        <v>234.1</v>
      </c>
      <c r="M4843" s="22">
        <v>351.193</v>
      </c>
      <c r="N4843" s="22">
        <v>0.0</v>
      </c>
      <c r="O4843" s="19" t="s">
        <v>58</v>
      </c>
      <c r="P4843" s="18">
        <f t="shared" si="1"/>
        <v>234.1</v>
      </c>
    </row>
    <row r="4844" ht="15.75" customHeight="1">
      <c r="A4844" s="13" t="s">
        <v>252</v>
      </c>
      <c r="B4844" s="13" t="s">
        <v>99</v>
      </c>
      <c r="C4844" s="14" t="s">
        <v>110</v>
      </c>
      <c r="D4844" s="14" t="str">
        <f>VLOOKUP(C4844,'State Key'!$A$2:$B$210,2,False)</f>
        <v>Tamil Nadu</v>
      </c>
      <c r="E4844" s="15">
        <v>600.0</v>
      </c>
      <c r="F4844" s="16">
        <v>205.7</v>
      </c>
      <c r="G4844" s="16">
        <v>0.0</v>
      </c>
      <c r="H4844" s="16">
        <v>0.0</v>
      </c>
      <c r="I4844" s="16">
        <v>0.0</v>
      </c>
      <c r="J4844" s="16">
        <v>0.0</v>
      </c>
      <c r="K4844" s="16">
        <v>0.0</v>
      </c>
      <c r="L4844" s="16">
        <v>205.7</v>
      </c>
      <c r="M4844" s="16">
        <v>222.83</v>
      </c>
      <c r="N4844" s="16">
        <v>0.0</v>
      </c>
      <c r="O4844" s="13" t="s">
        <v>58</v>
      </c>
      <c r="P4844" s="18">
        <f t="shared" si="1"/>
        <v>205.7</v>
      </c>
    </row>
    <row r="4845" ht="15.75" customHeight="1">
      <c r="A4845" s="19" t="s">
        <v>252</v>
      </c>
      <c r="B4845" s="19" t="s">
        <v>99</v>
      </c>
      <c r="C4845" s="20" t="s">
        <v>111</v>
      </c>
      <c r="D4845" s="14" t="str">
        <f>VLOOKUP(C4845,'State Key'!$A$2:$B$210,2,False)</f>
        <v>Tamil Nadu</v>
      </c>
      <c r="E4845" s="21">
        <v>1200.0</v>
      </c>
      <c r="F4845" s="22">
        <v>20.105</v>
      </c>
      <c r="G4845" s="22">
        <v>0.0</v>
      </c>
      <c r="H4845" s="22">
        <v>0.0</v>
      </c>
      <c r="I4845" s="22">
        <v>0.0</v>
      </c>
      <c r="J4845" s="22">
        <v>263.348</v>
      </c>
      <c r="K4845" s="22">
        <v>0.0</v>
      </c>
      <c r="L4845" s="22">
        <v>283.453</v>
      </c>
      <c r="M4845" s="22">
        <v>280.018</v>
      </c>
      <c r="N4845" s="22">
        <v>0.0</v>
      </c>
      <c r="O4845" s="19" t="s">
        <v>58</v>
      </c>
      <c r="P4845" s="18">
        <f t="shared" si="1"/>
        <v>283.453</v>
      </c>
    </row>
    <row r="4846" ht="15.75" customHeight="1">
      <c r="A4846" s="13" t="s">
        <v>252</v>
      </c>
      <c r="B4846" s="13" t="s">
        <v>99</v>
      </c>
      <c r="C4846" s="14" t="s">
        <v>112</v>
      </c>
      <c r="D4846" s="14" t="str">
        <f>VLOOKUP(C4846,'State Key'!$A$2:$B$210,2,False)</f>
        <v>Tamil Nadu</v>
      </c>
      <c r="E4846" s="15">
        <v>1830.0</v>
      </c>
      <c r="F4846" s="16">
        <v>504.793</v>
      </c>
      <c r="G4846" s="16">
        <v>0.0</v>
      </c>
      <c r="H4846" s="16">
        <v>0.0</v>
      </c>
      <c r="I4846" s="16">
        <v>0.0</v>
      </c>
      <c r="J4846" s="16">
        <v>0.0</v>
      </c>
      <c r="K4846" s="16">
        <v>0.0</v>
      </c>
      <c r="L4846" s="16">
        <v>504.793</v>
      </c>
      <c r="M4846" s="16">
        <v>550.289</v>
      </c>
      <c r="N4846" s="16">
        <v>0.0</v>
      </c>
      <c r="O4846" s="13" t="s">
        <v>58</v>
      </c>
      <c r="P4846" s="18">
        <f t="shared" si="1"/>
        <v>504.793</v>
      </c>
    </row>
    <row r="4847" ht="15.75" customHeight="1">
      <c r="A4847" s="19" t="s">
        <v>252</v>
      </c>
      <c r="B4847" s="19" t="s">
        <v>99</v>
      </c>
      <c r="C4847" s="20" t="s">
        <v>113</v>
      </c>
      <c r="D4847" s="14" t="str">
        <f>VLOOKUP(C4847,'State Key'!$A$2:$B$210,2,False)</f>
        <v>Tamil Nadu</v>
      </c>
      <c r="E4847" s="21">
        <v>1000.0</v>
      </c>
      <c r="F4847" s="22">
        <v>0.0</v>
      </c>
      <c r="G4847" s="22">
        <v>0.0</v>
      </c>
      <c r="H4847" s="22">
        <v>376.301</v>
      </c>
      <c r="I4847" s="22">
        <v>0.0</v>
      </c>
      <c r="J4847" s="22">
        <v>74.955</v>
      </c>
      <c r="K4847" s="22">
        <v>0.0</v>
      </c>
      <c r="L4847" s="22">
        <v>451.256</v>
      </c>
      <c r="M4847" s="22">
        <v>376.358</v>
      </c>
      <c r="N4847" s="22">
        <v>0.0</v>
      </c>
      <c r="O4847" s="19" t="s">
        <v>58</v>
      </c>
      <c r="P4847" s="18">
        <f t="shared" si="1"/>
        <v>451.256</v>
      </c>
    </row>
    <row r="4848" ht="15.75" customHeight="1">
      <c r="A4848" s="13" t="s">
        <v>252</v>
      </c>
      <c r="B4848" s="13" t="s">
        <v>99</v>
      </c>
      <c r="C4848" s="14" t="s">
        <v>228</v>
      </c>
      <c r="D4848" s="14" t="str">
        <f>VLOOKUP(C4848,'State Key'!$A$2:$B$210,2,False)</f>
        <v>Tamil Nadu</v>
      </c>
      <c r="E4848" s="15">
        <v>414.0</v>
      </c>
      <c r="F4848" s="16">
        <v>0.0</v>
      </c>
      <c r="G4848" s="16">
        <v>0.0</v>
      </c>
      <c r="H4848" s="16">
        <v>0.0</v>
      </c>
      <c r="I4848" s="16">
        <v>0.0</v>
      </c>
      <c r="J4848" s="16">
        <v>213.368</v>
      </c>
      <c r="K4848" s="16">
        <v>0.0</v>
      </c>
      <c r="L4848" s="16">
        <v>213.368</v>
      </c>
      <c r="M4848" s="16">
        <v>175.96</v>
      </c>
      <c r="N4848" s="16">
        <v>0.0</v>
      </c>
      <c r="O4848" s="13" t="s">
        <v>58</v>
      </c>
      <c r="P4848" s="18">
        <f t="shared" si="1"/>
        <v>213.368</v>
      </c>
    </row>
    <row r="4849" ht="15.75" customHeight="1">
      <c r="A4849" s="19" t="s">
        <v>252</v>
      </c>
      <c r="B4849" s="19" t="s">
        <v>99</v>
      </c>
      <c r="C4849" s="20" t="s">
        <v>114</v>
      </c>
      <c r="D4849" s="14" t="str">
        <f>VLOOKUP(C4849,'State Key'!$A$2:$B$210,2,False)</f>
        <v>Andhra Pradesh</v>
      </c>
      <c r="E4849" s="21">
        <v>1320.0</v>
      </c>
      <c r="F4849" s="22">
        <v>354.6</v>
      </c>
      <c r="G4849" s="22">
        <v>0.0</v>
      </c>
      <c r="H4849" s="22">
        <v>0.0</v>
      </c>
      <c r="I4849" s="22">
        <v>0.0</v>
      </c>
      <c r="J4849" s="22">
        <v>28.54</v>
      </c>
      <c r="K4849" s="22">
        <v>0.0</v>
      </c>
      <c r="L4849" s="22">
        <v>383.14</v>
      </c>
      <c r="M4849" s="22">
        <v>472.184</v>
      </c>
      <c r="N4849" s="22">
        <v>0.0</v>
      </c>
      <c r="O4849" s="19" t="s">
        <v>58</v>
      </c>
      <c r="P4849" s="18">
        <f t="shared" si="1"/>
        <v>383.14</v>
      </c>
    </row>
    <row r="4850" ht="15.75" customHeight="1">
      <c r="A4850" s="13" t="s">
        <v>252</v>
      </c>
      <c r="B4850" s="13" t="s">
        <v>99</v>
      </c>
      <c r="C4850" s="14" t="s">
        <v>115</v>
      </c>
      <c r="D4850" s="14" t="str">
        <f>VLOOKUP(C4850,'State Key'!$A$2:$B$210,2,False)</f>
        <v>Karnataka</v>
      </c>
      <c r="E4850" s="15">
        <v>1720.0</v>
      </c>
      <c r="F4850" s="16">
        <v>143.191</v>
      </c>
      <c r="G4850" s="16">
        <v>162.689</v>
      </c>
      <c r="H4850" s="16">
        <v>0.0</v>
      </c>
      <c r="I4850" s="16">
        <v>0.0</v>
      </c>
      <c r="J4850" s="16">
        <v>0.0</v>
      </c>
      <c r="K4850" s="16">
        <v>0.0</v>
      </c>
      <c r="L4850" s="16">
        <v>305.88</v>
      </c>
      <c r="M4850" s="16">
        <v>197.54</v>
      </c>
      <c r="N4850" s="16">
        <v>0.0</v>
      </c>
      <c r="O4850" s="13" t="s">
        <v>58</v>
      </c>
      <c r="P4850" s="18">
        <f t="shared" si="1"/>
        <v>305.88</v>
      </c>
    </row>
    <row r="4851" ht="15.75" customHeight="1">
      <c r="A4851" s="19" t="s">
        <v>252</v>
      </c>
      <c r="B4851" s="19" t="s">
        <v>99</v>
      </c>
      <c r="C4851" s="20" t="s">
        <v>116</v>
      </c>
      <c r="D4851" s="14" t="str">
        <f>VLOOKUP(C4851,'State Key'!$A$2:$B$210,2,False)</f>
        <v>Telangana</v>
      </c>
      <c r="E4851" s="21">
        <v>2600.0</v>
      </c>
      <c r="F4851" s="22">
        <v>0.0</v>
      </c>
      <c r="G4851" s="22">
        <v>830.59</v>
      </c>
      <c r="H4851" s="22">
        <v>0.0</v>
      </c>
      <c r="I4851" s="22">
        <v>0.0</v>
      </c>
      <c r="J4851" s="22">
        <v>0.0</v>
      </c>
      <c r="K4851" s="22">
        <v>0.0</v>
      </c>
      <c r="L4851" s="22">
        <v>830.59</v>
      </c>
      <c r="M4851" s="22">
        <v>839.402</v>
      </c>
      <c r="N4851" s="22">
        <v>0.0</v>
      </c>
      <c r="O4851" s="19" t="s">
        <v>58</v>
      </c>
      <c r="P4851" s="18">
        <f t="shared" si="1"/>
        <v>830.59</v>
      </c>
    </row>
    <row r="4852" ht="15.75" customHeight="1">
      <c r="A4852" s="13" t="s">
        <v>252</v>
      </c>
      <c r="B4852" s="13" t="s">
        <v>99</v>
      </c>
      <c r="C4852" s="14" t="s">
        <v>117</v>
      </c>
      <c r="D4852" s="14" t="str">
        <f>VLOOKUP(C4852,'State Key'!$A$2:$B$210,2,False)</f>
        <v>Telangana</v>
      </c>
      <c r="E4852" s="15">
        <v>62.5</v>
      </c>
      <c r="F4852" s="16">
        <v>0.0</v>
      </c>
      <c r="G4852" s="16">
        <v>0.0</v>
      </c>
      <c r="H4852" s="16">
        <v>0.0</v>
      </c>
      <c r="I4852" s="16">
        <v>0.0</v>
      </c>
      <c r="J4852" s="16">
        <v>0.0</v>
      </c>
      <c r="K4852" s="16">
        <v>0.0</v>
      </c>
      <c r="L4852" s="16">
        <v>0.0</v>
      </c>
      <c r="M4852" s="16">
        <v>0.0</v>
      </c>
      <c r="N4852" s="16">
        <v>0.0</v>
      </c>
      <c r="O4852" s="13" t="s">
        <v>58</v>
      </c>
      <c r="P4852" s="18">
        <f t="shared" si="1"/>
        <v>0</v>
      </c>
    </row>
    <row r="4853" ht="15.75" customHeight="1">
      <c r="A4853" s="19" t="s">
        <v>252</v>
      </c>
      <c r="B4853" s="19" t="s">
        <v>99</v>
      </c>
      <c r="C4853" s="20" t="s">
        <v>118</v>
      </c>
      <c r="D4853" s="14" t="str">
        <f>VLOOKUP(C4853,'State Key'!$A$2:$B$210,2,False)</f>
        <v>Andhra Pradesh</v>
      </c>
      <c r="E4853" s="21">
        <v>1650.0</v>
      </c>
      <c r="F4853" s="22">
        <v>448.344</v>
      </c>
      <c r="G4853" s="22">
        <v>184.117</v>
      </c>
      <c r="H4853" s="22">
        <v>0.0</v>
      </c>
      <c r="I4853" s="22">
        <v>0.0</v>
      </c>
      <c r="J4853" s="22">
        <v>0.0</v>
      </c>
      <c r="K4853" s="22">
        <v>0.0</v>
      </c>
      <c r="L4853" s="22">
        <v>632.461</v>
      </c>
      <c r="M4853" s="22">
        <v>643.439</v>
      </c>
      <c r="N4853" s="22">
        <v>0.0</v>
      </c>
      <c r="O4853" s="19" t="s">
        <v>58</v>
      </c>
      <c r="P4853" s="18">
        <f t="shared" si="1"/>
        <v>632.461</v>
      </c>
    </row>
    <row r="4854" ht="15.75" customHeight="1">
      <c r="A4854" s="13" t="s">
        <v>252</v>
      </c>
      <c r="B4854" s="13" t="s">
        <v>99</v>
      </c>
      <c r="C4854" s="14" t="s">
        <v>119</v>
      </c>
      <c r="D4854" s="14" t="str">
        <f>VLOOKUP(C4854,'State Key'!$A$2:$B$210,2,False)</f>
        <v>Andhra Pradesh</v>
      </c>
      <c r="E4854" s="15">
        <v>1320.0</v>
      </c>
      <c r="F4854" s="16">
        <v>242.984</v>
      </c>
      <c r="G4854" s="16">
        <v>0.0</v>
      </c>
      <c r="H4854" s="16">
        <v>0.0</v>
      </c>
      <c r="I4854" s="16">
        <v>0.0</v>
      </c>
      <c r="J4854" s="16">
        <v>361.643</v>
      </c>
      <c r="K4854" s="16">
        <v>0.0</v>
      </c>
      <c r="L4854" s="16">
        <v>604.627</v>
      </c>
      <c r="M4854" s="16">
        <v>516.994</v>
      </c>
      <c r="N4854" s="16">
        <v>0.0</v>
      </c>
      <c r="O4854" s="13" t="s">
        <v>58</v>
      </c>
      <c r="P4854" s="18">
        <f t="shared" si="1"/>
        <v>604.627</v>
      </c>
    </row>
    <row r="4855" ht="15.75" customHeight="1">
      <c r="A4855" s="19" t="s">
        <v>252</v>
      </c>
      <c r="B4855" s="19" t="s">
        <v>99</v>
      </c>
      <c r="C4855" s="20" t="s">
        <v>120</v>
      </c>
      <c r="D4855" s="14" t="str">
        <f>VLOOKUP(C4855,'State Key'!$A$2:$B$210,2,False)</f>
        <v>Andhra Pradesh</v>
      </c>
      <c r="E4855" s="21">
        <v>2000.0</v>
      </c>
      <c r="F4855" s="22">
        <v>699.76</v>
      </c>
      <c r="G4855" s="22">
        <v>77.27</v>
      </c>
      <c r="H4855" s="22">
        <v>49.92</v>
      </c>
      <c r="I4855" s="22">
        <v>0.0</v>
      </c>
      <c r="J4855" s="22">
        <v>0.0</v>
      </c>
      <c r="K4855" s="22">
        <v>109.93</v>
      </c>
      <c r="L4855" s="22">
        <v>936.88</v>
      </c>
      <c r="M4855" s="22">
        <v>666.659</v>
      </c>
      <c r="N4855" s="22">
        <v>0.0</v>
      </c>
      <c r="O4855" s="19" t="s">
        <v>58</v>
      </c>
      <c r="P4855" s="18">
        <f t="shared" si="1"/>
        <v>936.88</v>
      </c>
    </row>
    <row r="4856" ht="15.75" customHeight="1">
      <c r="A4856" s="13" t="s">
        <v>252</v>
      </c>
      <c r="B4856" s="13" t="s">
        <v>99</v>
      </c>
      <c r="C4856" s="14" t="s">
        <v>121</v>
      </c>
      <c r="D4856" s="14" t="str">
        <f>VLOOKUP(C4856,'State Key'!$A$2:$B$210,2,False)</f>
        <v>Andhra Pradesh</v>
      </c>
      <c r="E4856" s="15">
        <v>600.0</v>
      </c>
      <c r="F4856" s="16">
        <v>0.0</v>
      </c>
      <c r="G4856" s="16">
        <v>0.0</v>
      </c>
      <c r="H4856" s="16">
        <v>0.0</v>
      </c>
      <c r="I4856" s="16">
        <v>0.0</v>
      </c>
      <c r="J4856" s="16">
        <v>249.371</v>
      </c>
      <c r="K4856" s="16">
        <v>0.0</v>
      </c>
      <c r="L4856" s="16">
        <v>249.371</v>
      </c>
      <c r="M4856" s="16">
        <v>102.093</v>
      </c>
      <c r="N4856" s="16">
        <v>0.0</v>
      </c>
      <c r="O4856" s="13" t="s">
        <v>58</v>
      </c>
      <c r="P4856" s="18">
        <f t="shared" si="1"/>
        <v>249.371</v>
      </c>
    </row>
    <row r="4857" ht="15.75" customHeight="1">
      <c r="A4857" s="19" t="s">
        <v>252</v>
      </c>
      <c r="B4857" s="19" t="s">
        <v>99</v>
      </c>
      <c r="C4857" s="20" t="s">
        <v>122</v>
      </c>
      <c r="D4857" s="14" t="str">
        <f>VLOOKUP(C4857,'State Key'!$A$2:$B$210,2,False)</f>
        <v>Telangana</v>
      </c>
      <c r="E4857" s="21">
        <v>1200.0</v>
      </c>
      <c r="F4857" s="22">
        <v>0.0</v>
      </c>
      <c r="G4857" s="22">
        <v>287.859</v>
      </c>
      <c r="H4857" s="22">
        <v>0.0</v>
      </c>
      <c r="I4857" s="22">
        <v>0.0</v>
      </c>
      <c r="J4857" s="22">
        <v>0.0</v>
      </c>
      <c r="K4857" s="22">
        <v>0.0</v>
      </c>
      <c r="L4857" s="22">
        <v>287.859</v>
      </c>
      <c r="M4857" s="22">
        <v>246.062</v>
      </c>
      <c r="N4857" s="22">
        <v>0.0</v>
      </c>
      <c r="O4857" s="19" t="s">
        <v>58</v>
      </c>
      <c r="P4857" s="18">
        <f t="shared" si="1"/>
        <v>287.859</v>
      </c>
    </row>
    <row r="4858" ht="15.75" customHeight="1">
      <c r="A4858" s="13" t="s">
        <v>252</v>
      </c>
      <c r="B4858" s="13" t="s">
        <v>99</v>
      </c>
      <c r="C4858" s="14" t="s">
        <v>243</v>
      </c>
      <c r="D4858" s="14" t="str">
        <f>VLOOKUP(C4858,'State Key'!$A$2:$B$210,2,False)</f>
        <v>Tamil Nadu</v>
      </c>
      <c r="E4858" s="15">
        <v>63.5</v>
      </c>
      <c r="F4858" s="16">
        <v>0.0</v>
      </c>
      <c r="G4858" s="16">
        <v>0.0</v>
      </c>
      <c r="H4858" s="16">
        <v>0.0</v>
      </c>
      <c r="I4858" s="16">
        <v>0.0</v>
      </c>
      <c r="J4858" s="16">
        <v>0.0</v>
      </c>
      <c r="K4858" s="16">
        <v>0.0</v>
      </c>
      <c r="L4858" s="16">
        <v>0.0</v>
      </c>
      <c r="M4858" s="16">
        <v>0.0</v>
      </c>
      <c r="N4858" s="16">
        <v>0.0</v>
      </c>
      <c r="O4858" s="13" t="s">
        <v>58</v>
      </c>
      <c r="P4858" s="18">
        <f t="shared" si="1"/>
        <v>0</v>
      </c>
    </row>
    <row r="4859" ht="15.75" customHeight="1">
      <c r="A4859" s="19" t="s">
        <v>252</v>
      </c>
      <c r="B4859" s="19" t="s">
        <v>99</v>
      </c>
      <c r="C4859" s="20" t="s">
        <v>220</v>
      </c>
      <c r="D4859" s="14" t="str">
        <f>VLOOKUP(C4859,'State Key'!$A$2:$B$210,2,False)</f>
        <v>Telangana</v>
      </c>
      <c r="E4859" s="21">
        <v>1600.0</v>
      </c>
      <c r="F4859" s="22">
        <v>15.96</v>
      </c>
      <c r="G4859" s="22">
        <v>409.51</v>
      </c>
      <c r="H4859" s="22">
        <v>18.96</v>
      </c>
      <c r="I4859" s="22">
        <v>0.0</v>
      </c>
      <c r="J4859" s="22">
        <v>0.0</v>
      </c>
      <c r="K4859" s="22">
        <v>74.77</v>
      </c>
      <c r="L4859" s="22">
        <v>519.2</v>
      </c>
      <c r="M4859" s="22">
        <v>538.7</v>
      </c>
      <c r="N4859" s="22">
        <v>0.0</v>
      </c>
      <c r="O4859" s="19" t="s">
        <v>58</v>
      </c>
      <c r="P4859" s="18">
        <f t="shared" si="1"/>
        <v>519.2</v>
      </c>
    </row>
    <row r="4860" ht="15.75" customHeight="1">
      <c r="A4860" s="13" t="s">
        <v>252</v>
      </c>
      <c r="B4860" s="13" t="s">
        <v>99</v>
      </c>
      <c r="C4860" s="14" t="s">
        <v>123</v>
      </c>
      <c r="D4860" s="14" t="str">
        <f>VLOOKUP(C4860,'State Key'!$A$2:$B$210,2,False)</f>
        <v>Andhra Pradesh</v>
      </c>
      <c r="E4860" s="15">
        <v>300.0</v>
      </c>
      <c r="F4860" s="16">
        <v>0.0</v>
      </c>
      <c r="G4860" s="16">
        <v>0.0</v>
      </c>
      <c r="H4860" s="16">
        <v>0.0</v>
      </c>
      <c r="I4860" s="16">
        <v>0.0</v>
      </c>
      <c r="J4860" s="16">
        <v>0.0</v>
      </c>
      <c r="K4860" s="16">
        <v>0.0</v>
      </c>
      <c r="L4860" s="16">
        <v>0.0</v>
      </c>
      <c r="M4860" s="16">
        <v>0.0</v>
      </c>
      <c r="N4860" s="16">
        <v>0.0</v>
      </c>
      <c r="O4860" s="13" t="s">
        <v>58</v>
      </c>
      <c r="P4860" s="18">
        <f t="shared" si="1"/>
        <v>0</v>
      </c>
    </row>
    <row r="4861" ht="15.75" customHeight="1">
      <c r="A4861" s="19" t="s">
        <v>252</v>
      </c>
      <c r="B4861" s="19" t="s">
        <v>99</v>
      </c>
      <c r="C4861" s="20" t="s">
        <v>124</v>
      </c>
      <c r="D4861" s="14" t="str">
        <f>VLOOKUP(C4861,'State Key'!$A$2:$B$210,2,False)</f>
        <v>Karnataka</v>
      </c>
      <c r="E4861" s="21">
        <v>260.0</v>
      </c>
      <c r="F4861" s="22">
        <v>0.0</v>
      </c>
      <c r="G4861" s="22">
        <v>0.0</v>
      </c>
      <c r="H4861" s="22">
        <v>0.0</v>
      </c>
      <c r="I4861" s="22">
        <v>0.0</v>
      </c>
      <c r="J4861" s="22">
        <v>33.76</v>
      </c>
      <c r="K4861" s="22">
        <v>0.0</v>
      </c>
      <c r="L4861" s="22">
        <v>33.76</v>
      </c>
      <c r="M4861" s="22">
        <v>33.76</v>
      </c>
      <c r="N4861" s="22">
        <v>0.0</v>
      </c>
      <c r="O4861" s="19" t="s">
        <v>58</v>
      </c>
      <c r="P4861" s="18">
        <f t="shared" si="1"/>
        <v>33.76</v>
      </c>
    </row>
    <row r="4862" ht="15.75" customHeight="1">
      <c r="A4862" s="13" t="s">
        <v>252</v>
      </c>
      <c r="B4862" s="13" t="s">
        <v>99</v>
      </c>
      <c r="C4862" s="14" t="s">
        <v>125</v>
      </c>
      <c r="D4862" s="14" t="str">
        <f>VLOOKUP(C4862,'State Key'!$A$2:$B$210,2,False)</f>
        <v>Karnataka</v>
      </c>
      <c r="E4862" s="15">
        <v>600.0</v>
      </c>
      <c r="F4862" s="16">
        <v>0.0</v>
      </c>
      <c r="G4862" s="16">
        <v>0.0</v>
      </c>
      <c r="H4862" s="16">
        <v>0.0</v>
      </c>
      <c r="I4862" s="16">
        <v>0.0</v>
      </c>
      <c r="J4862" s="16">
        <v>124.07</v>
      </c>
      <c r="K4862" s="16">
        <v>0.0</v>
      </c>
      <c r="L4862" s="16">
        <v>124.07</v>
      </c>
      <c r="M4862" s="16">
        <v>108.44</v>
      </c>
      <c r="N4862" s="16">
        <v>0.0</v>
      </c>
      <c r="O4862" s="13" t="s">
        <v>58</v>
      </c>
      <c r="P4862" s="18">
        <f t="shared" si="1"/>
        <v>124.07</v>
      </c>
    </row>
    <row r="4863" ht="15.75" customHeight="1">
      <c r="A4863" s="19" t="s">
        <v>252</v>
      </c>
      <c r="B4863" s="19" t="s">
        <v>99</v>
      </c>
      <c r="C4863" s="20" t="s">
        <v>126</v>
      </c>
      <c r="D4863" s="14" t="str">
        <f>VLOOKUP(C4863,'State Key'!$A$2:$B$210,2,False)</f>
        <v>Tamil Nadu</v>
      </c>
      <c r="E4863" s="21">
        <v>300.0</v>
      </c>
      <c r="F4863" s="22">
        <v>0.0</v>
      </c>
      <c r="G4863" s="22">
        <v>0.0</v>
      </c>
      <c r="H4863" s="22">
        <v>0.0</v>
      </c>
      <c r="I4863" s="22">
        <v>0.0</v>
      </c>
      <c r="J4863" s="22">
        <v>0.0</v>
      </c>
      <c r="K4863" s="22">
        <v>0.0</v>
      </c>
      <c r="L4863" s="22">
        <v>0.0</v>
      </c>
      <c r="M4863" s="22">
        <v>0.0</v>
      </c>
      <c r="N4863" s="22">
        <v>0.0</v>
      </c>
      <c r="O4863" s="19" t="s">
        <v>58</v>
      </c>
      <c r="P4863" s="18">
        <f t="shared" si="1"/>
        <v>0</v>
      </c>
    </row>
    <row r="4864" ht="15.75" customHeight="1">
      <c r="A4864" s="13" t="s">
        <v>252</v>
      </c>
      <c r="B4864" s="13" t="s">
        <v>99</v>
      </c>
      <c r="C4864" s="14" t="s">
        <v>127</v>
      </c>
      <c r="D4864" s="14" t="str">
        <f>VLOOKUP(C4864,'State Key'!$A$2:$B$210,2,False)</f>
        <v>Tamil Nadu</v>
      </c>
      <c r="E4864" s="15">
        <v>525.0</v>
      </c>
      <c r="F4864" s="16">
        <v>0.0</v>
      </c>
      <c r="G4864" s="16">
        <v>0.0</v>
      </c>
      <c r="H4864" s="16">
        <v>0.0</v>
      </c>
      <c r="I4864" s="16">
        <v>0.0</v>
      </c>
      <c r="J4864" s="16">
        <v>137.416</v>
      </c>
      <c r="K4864" s="16">
        <v>0.0</v>
      </c>
      <c r="L4864" s="16">
        <v>137.416</v>
      </c>
      <c r="M4864" s="16">
        <v>54.4</v>
      </c>
      <c r="N4864" s="16">
        <v>0.0</v>
      </c>
      <c r="O4864" s="13" t="s">
        <v>58</v>
      </c>
      <c r="P4864" s="18">
        <f t="shared" si="1"/>
        <v>137.416</v>
      </c>
    </row>
    <row r="4865" ht="15.75" customHeight="1">
      <c r="A4865" s="19" t="s">
        <v>252</v>
      </c>
      <c r="B4865" s="19" t="s">
        <v>99</v>
      </c>
      <c r="C4865" s="20" t="s">
        <v>128</v>
      </c>
      <c r="D4865" s="14" t="str">
        <f>VLOOKUP(C4865,'State Key'!$A$2:$B$210,2,False)</f>
        <v>Tamil Nadu</v>
      </c>
      <c r="E4865" s="21">
        <v>1050.0</v>
      </c>
      <c r="F4865" s="22">
        <v>315.796</v>
      </c>
      <c r="G4865" s="22">
        <v>0.0</v>
      </c>
      <c r="H4865" s="22">
        <v>0.0</v>
      </c>
      <c r="I4865" s="22">
        <v>0.0</v>
      </c>
      <c r="J4865" s="22">
        <v>0.0</v>
      </c>
      <c r="K4865" s="22">
        <v>0.0</v>
      </c>
      <c r="L4865" s="22">
        <v>315.796</v>
      </c>
      <c r="M4865" s="22">
        <v>315.729</v>
      </c>
      <c r="N4865" s="22">
        <v>0.0</v>
      </c>
      <c r="O4865" s="19" t="s">
        <v>58</v>
      </c>
      <c r="P4865" s="18">
        <f t="shared" si="1"/>
        <v>315.796</v>
      </c>
    </row>
    <row r="4866" ht="15.75" customHeight="1">
      <c r="A4866" s="13" t="s">
        <v>252</v>
      </c>
      <c r="B4866" s="13" t="s">
        <v>99</v>
      </c>
      <c r="C4866" s="14" t="s">
        <v>130</v>
      </c>
      <c r="D4866" s="14" t="str">
        <f>VLOOKUP(C4866,'State Key'!$A$2:$B$210,2,False)</f>
        <v>Tamil Nadu</v>
      </c>
      <c r="E4866" s="15">
        <v>1500.0</v>
      </c>
      <c r="F4866" s="16">
        <v>479.12</v>
      </c>
      <c r="G4866" s="16">
        <v>0.0</v>
      </c>
      <c r="H4866" s="16">
        <v>0.0</v>
      </c>
      <c r="I4866" s="16">
        <v>0.0</v>
      </c>
      <c r="J4866" s="16">
        <v>0.0</v>
      </c>
      <c r="K4866" s="16">
        <v>0.0</v>
      </c>
      <c r="L4866" s="16">
        <v>479.12</v>
      </c>
      <c r="M4866" s="16">
        <v>523.779</v>
      </c>
      <c r="N4866" s="16">
        <v>0.0</v>
      </c>
      <c r="O4866" s="13" t="s">
        <v>58</v>
      </c>
      <c r="P4866" s="18">
        <f t="shared" si="1"/>
        <v>479.12</v>
      </c>
    </row>
    <row r="4867" ht="15.75" customHeight="1">
      <c r="A4867" s="19" t="s">
        <v>252</v>
      </c>
      <c r="B4867" s="19" t="s">
        <v>99</v>
      </c>
      <c r="C4867" s="20" t="s">
        <v>131</v>
      </c>
      <c r="D4867" s="14" t="str">
        <f>VLOOKUP(C4867,'State Key'!$A$2:$B$210,2,False)</f>
        <v>Andhra Pradesh</v>
      </c>
      <c r="E4867" s="21">
        <v>1040.0</v>
      </c>
      <c r="F4867" s="22">
        <v>439.65611</v>
      </c>
      <c r="G4867" s="22">
        <v>0.0</v>
      </c>
      <c r="H4867" s="22">
        <v>0.0</v>
      </c>
      <c r="I4867" s="22">
        <v>0.0</v>
      </c>
      <c r="J4867" s="22">
        <v>0.0</v>
      </c>
      <c r="K4867" s="22">
        <v>0.0</v>
      </c>
      <c r="L4867" s="22">
        <v>439.65611</v>
      </c>
      <c r="M4867" s="22">
        <v>397.479</v>
      </c>
      <c r="N4867" s="22">
        <v>0.0</v>
      </c>
      <c r="O4867" s="19" t="s">
        <v>58</v>
      </c>
      <c r="P4867" s="18">
        <f t="shared" si="1"/>
        <v>439.65611</v>
      </c>
    </row>
    <row r="4868" ht="15.75" customHeight="1">
      <c r="A4868" s="13" t="s">
        <v>252</v>
      </c>
      <c r="B4868" s="13" t="s">
        <v>99</v>
      </c>
      <c r="C4868" s="14" t="s">
        <v>249</v>
      </c>
      <c r="D4868" s="14" t="str">
        <f>VLOOKUP(C4868,'State Key'!$A$2:$B$210,2,False)</f>
        <v>Telangana</v>
      </c>
      <c r="E4868" s="15">
        <v>800.0</v>
      </c>
      <c r="F4868" s="16">
        <v>0.0</v>
      </c>
      <c r="G4868" s="16">
        <v>360.167</v>
      </c>
      <c r="H4868" s="16">
        <v>0.0</v>
      </c>
      <c r="I4868" s="16">
        <v>0.0</v>
      </c>
      <c r="J4868" s="16">
        <v>0.0</v>
      </c>
      <c r="K4868" s="16">
        <v>0.0</v>
      </c>
      <c r="L4868" s="16">
        <v>360.167</v>
      </c>
      <c r="M4868" s="16">
        <v>154.502</v>
      </c>
      <c r="N4868" s="16">
        <v>0.0</v>
      </c>
      <c r="O4868" s="13" t="s">
        <v>58</v>
      </c>
      <c r="P4868" s="18">
        <f t="shared" si="1"/>
        <v>360.167</v>
      </c>
    </row>
    <row r="4869" ht="15.75" customHeight="1">
      <c r="A4869" s="19" t="s">
        <v>252</v>
      </c>
      <c r="B4869" s="19" t="s">
        <v>99</v>
      </c>
      <c r="C4869" s="20" t="s">
        <v>132</v>
      </c>
      <c r="D4869" s="14" t="str">
        <f>VLOOKUP(C4869,'State Key'!$A$2:$B$210,2,False)</f>
        <v>Karnataka</v>
      </c>
      <c r="E4869" s="21">
        <v>1600.0</v>
      </c>
      <c r="F4869" s="22">
        <v>0.0</v>
      </c>
      <c r="G4869" s="22">
        <v>236.233</v>
      </c>
      <c r="H4869" s="22">
        <v>0.0</v>
      </c>
      <c r="I4869" s="22">
        <v>0.0</v>
      </c>
      <c r="J4869" s="22">
        <v>8.07743</v>
      </c>
      <c r="K4869" s="22">
        <v>0.0</v>
      </c>
      <c r="L4869" s="22">
        <v>244.31043</v>
      </c>
      <c r="M4869" s="22">
        <v>290.337</v>
      </c>
      <c r="N4869" s="22">
        <v>0.0</v>
      </c>
      <c r="O4869" s="19" t="s">
        <v>58</v>
      </c>
      <c r="P4869" s="18">
        <f t="shared" si="1"/>
        <v>244.31043</v>
      </c>
    </row>
    <row r="4870" ht="15.75" customHeight="1">
      <c r="A4870" s="13" t="s">
        <v>252</v>
      </c>
      <c r="B4870" s="13" t="s">
        <v>133</v>
      </c>
      <c r="C4870" s="14" t="s">
        <v>211</v>
      </c>
      <c r="D4870" s="14" t="str">
        <f>VLOOKUP(C4870,'State Key'!$A$2:$B$210,2,False)</f>
        <v>Gujarat</v>
      </c>
      <c r="E4870" s="15">
        <v>2640.0</v>
      </c>
      <c r="F4870" s="16">
        <v>0.0</v>
      </c>
      <c r="G4870" s="16">
        <v>0.0</v>
      </c>
      <c r="H4870" s="16">
        <v>0.0</v>
      </c>
      <c r="I4870" s="16">
        <v>0.0</v>
      </c>
      <c r="J4870" s="16">
        <v>576.163</v>
      </c>
      <c r="K4870" s="16">
        <v>0.0</v>
      </c>
      <c r="L4870" s="16">
        <v>576.163</v>
      </c>
      <c r="M4870" s="16">
        <v>581.851</v>
      </c>
      <c r="N4870" s="16">
        <v>0.0</v>
      </c>
      <c r="O4870" s="13" t="s">
        <v>58</v>
      </c>
      <c r="P4870" s="18">
        <f t="shared" si="1"/>
        <v>576.163</v>
      </c>
    </row>
    <row r="4871" ht="15.75" customHeight="1">
      <c r="A4871" s="19" t="s">
        <v>252</v>
      </c>
      <c r="B4871" s="19" t="s">
        <v>133</v>
      </c>
      <c r="C4871" s="20" t="s">
        <v>212</v>
      </c>
      <c r="D4871" s="14" t="str">
        <f>VLOOKUP(C4871,'State Key'!$A$2:$B$210,2,False)</f>
        <v>Gujarat</v>
      </c>
      <c r="E4871" s="21">
        <v>1980.0</v>
      </c>
      <c r="F4871" s="22">
        <v>0.0</v>
      </c>
      <c r="G4871" s="22">
        <v>0.0</v>
      </c>
      <c r="H4871" s="22">
        <v>0.0</v>
      </c>
      <c r="I4871" s="22">
        <v>0.0</v>
      </c>
      <c r="J4871" s="22">
        <v>541.33</v>
      </c>
      <c r="K4871" s="22">
        <v>0.0</v>
      </c>
      <c r="L4871" s="22">
        <v>541.33</v>
      </c>
      <c r="M4871" s="22">
        <v>537.756</v>
      </c>
      <c r="N4871" s="22">
        <v>0.0</v>
      </c>
      <c r="O4871" s="19" t="s">
        <v>58</v>
      </c>
      <c r="P4871" s="18">
        <f t="shared" si="1"/>
        <v>541.33</v>
      </c>
    </row>
    <row r="4872" ht="15.75" customHeight="1">
      <c r="A4872" s="13" t="s">
        <v>252</v>
      </c>
      <c r="B4872" s="13" t="s">
        <v>133</v>
      </c>
      <c r="C4872" s="14" t="s">
        <v>213</v>
      </c>
      <c r="D4872" s="14" t="str">
        <f>VLOOKUP(C4872,'State Key'!$A$2:$B$210,2,False)</f>
        <v>Chhattisgarh</v>
      </c>
      <c r="E4872" s="15">
        <v>600.0</v>
      </c>
      <c r="F4872" s="16">
        <v>162.237</v>
      </c>
      <c r="G4872" s="16">
        <v>0.0</v>
      </c>
      <c r="H4872" s="16">
        <v>0.0</v>
      </c>
      <c r="I4872" s="16">
        <v>0.0</v>
      </c>
      <c r="J4872" s="16">
        <v>0.0</v>
      </c>
      <c r="K4872" s="16">
        <v>0.0</v>
      </c>
      <c r="L4872" s="16">
        <v>162.237</v>
      </c>
      <c r="M4872" s="16">
        <v>283.11</v>
      </c>
      <c r="N4872" s="16">
        <v>0.0</v>
      </c>
      <c r="O4872" s="13" t="s">
        <v>58</v>
      </c>
      <c r="P4872" s="18">
        <f t="shared" si="1"/>
        <v>162.237</v>
      </c>
    </row>
    <row r="4873" ht="15.75" customHeight="1">
      <c r="A4873" s="19" t="s">
        <v>252</v>
      </c>
      <c r="B4873" s="19" t="s">
        <v>133</v>
      </c>
      <c r="C4873" s="20" t="s">
        <v>214</v>
      </c>
      <c r="D4873" s="14" t="str">
        <f>VLOOKUP(C4873,'State Key'!$A$2:$B$210,2,False)</f>
        <v>Chhattisgarh</v>
      </c>
      <c r="E4873" s="21">
        <v>1370.0</v>
      </c>
      <c r="F4873" s="22">
        <v>417.075</v>
      </c>
      <c r="G4873" s="22">
        <v>0.0</v>
      </c>
      <c r="H4873" s="22">
        <v>0.0</v>
      </c>
      <c r="I4873" s="22">
        <v>0.0</v>
      </c>
      <c r="J4873" s="22">
        <v>0.0</v>
      </c>
      <c r="K4873" s="22">
        <v>56.409</v>
      </c>
      <c r="L4873" s="22">
        <v>473.484</v>
      </c>
      <c r="M4873" s="22">
        <v>588.228</v>
      </c>
      <c r="N4873" s="22">
        <v>0.0</v>
      </c>
      <c r="O4873" s="19" t="s">
        <v>58</v>
      </c>
      <c r="P4873" s="18">
        <f t="shared" si="1"/>
        <v>473.484</v>
      </c>
    </row>
    <row r="4874" ht="15.75" customHeight="1">
      <c r="A4874" s="13" t="s">
        <v>252</v>
      </c>
      <c r="B4874" s="13" t="s">
        <v>133</v>
      </c>
      <c r="C4874" s="14" t="s">
        <v>215</v>
      </c>
      <c r="D4874" s="14" t="str">
        <f>VLOOKUP(C4874,'State Key'!$A$2:$B$210,2,False)</f>
        <v>Maharashtra</v>
      </c>
      <c r="E4874" s="15">
        <v>3300.0</v>
      </c>
      <c r="F4874" s="16">
        <v>1119.282</v>
      </c>
      <c r="G4874" s="16">
        <v>0.0</v>
      </c>
      <c r="H4874" s="16">
        <v>0.0</v>
      </c>
      <c r="I4874" s="16">
        <v>0.0</v>
      </c>
      <c r="J4874" s="16">
        <v>0.0</v>
      </c>
      <c r="K4874" s="16">
        <v>0.0</v>
      </c>
      <c r="L4874" s="16">
        <v>1119.282</v>
      </c>
      <c r="M4874" s="16">
        <v>1186.81</v>
      </c>
      <c r="N4874" s="16">
        <v>0.0</v>
      </c>
      <c r="O4874" s="13" t="s">
        <v>58</v>
      </c>
      <c r="P4874" s="18">
        <f t="shared" si="1"/>
        <v>1119.282</v>
      </c>
    </row>
    <row r="4875" ht="15.75" customHeight="1">
      <c r="A4875" s="19" t="s">
        <v>252</v>
      </c>
      <c r="B4875" s="19" t="s">
        <v>133</v>
      </c>
      <c r="C4875" s="20" t="s">
        <v>134</v>
      </c>
      <c r="D4875" s="14" t="str">
        <f>VLOOKUP(C4875,'State Key'!$A$2:$B$210,2,False)</f>
        <v>Chhattisgarh</v>
      </c>
      <c r="E4875" s="21">
        <v>1800.0</v>
      </c>
      <c r="F4875" s="22">
        <v>645.38</v>
      </c>
      <c r="G4875" s="22">
        <v>0.0</v>
      </c>
      <c r="H4875" s="22">
        <v>0.0</v>
      </c>
      <c r="I4875" s="22">
        <v>0.0</v>
      </c>
      <c r="J4875" s="22">
        <v>0.0</v>
      </c>
      <c r="K4875" s="22">
        <v>0.0</v>
      </c>
      <c r="L4875" s="22">
        <v>645.38</v>
      </c>
      <c r="M4875" s="22">
        <v>593.08</v>
      </c>
      <c r="N4875" s="22">
        <v>0.0</v>
      </c>
      <c r="O4875" s="19" t="s">
        <v>58</v>
      </c>
      <c r="P4875" s="18">
        <f t="shared" si="1"/>
        <v>645.38</v>
      </c>
    </row>
    <row r="4876" ht="15.75" customHeight="1">
      <c r="A4876" s="13" t="s">
        <v>252</v>
      </c>
      <c r="B4876" s="13" t="s">
        <v>133</v>
      </c>
      <c r="C4876" s="14" t="s">
        <v>135</v>
      </c>
      <c r="D4876" s="14" t="str">
        <f>VLOOKUP(C4876,'State Key'!$A$2:$B$210,2,False)</f>
        <v>Madhya Pradesh</v>
      </c>
      <c r="E4876" s="15">
        <v>210.0</v>
      </c>
      <c r="F4876" s="16">
        <v>95.709</v>
      </c>
      <c r="G4876" s="16">
        <v>0.0</v>
      </c>
      <c r="H4876" s="16">
        <v>0.0</v>
      </c>
      <c r="I4876" s="16">
        <v>0.0</v>
      </c>
      <c r="J4876" s="16">
        <v>0.0</v>
      </c>
      <c r="K4876" s="16">
        <v>0.0</v>
      </c>
      <c r="L4876" s="16">
        <v>95.709</v>
      </c>
      <c r="M4876" s="16">
        <v>92.949</v>
      </c>
      <c r="N4876" s="16">
        <v>0.0</v>
      </c>
      <c r="O4876" s="13" t="s">
        <v>58</v>
      </c>
      <c r="P4876" s="18">
        <f t="shared" si="1"/>
        <v>95.709</v>
      </c>
    </row>
    <row r="4877" ht="15.75" customHeight="1">
      <c r="A4877" s="19" t="s">
        <v>252</v>
      </c>
      <c r="B4877" s="19" t="s">
        <v>133</v>
      </c>
      <c r="C4877" s="20" t="s">
        <v>136</v>
      </c>
      <c r="D4877" s="14" t="str">
        <f>VLOOKUP(C4877,'State Key'!$A$2:$B$210,2,False)</f>
        <v>Maharashtra</v>
      </c>
      <c r="E4877" s="21">
        <v>1350.0</v>
      </c>
      <c r="F4877" s="22">
        <v>569.147</v>
      </c>
      <c r="G4877" s="22">
        <v>0.0</v>
      </c>
      <c r="H4877" s="22">
        <v>0.0</v>
      </c>
      <c r="I4877" s="22">
        <v>0.0</v>
      </c>
      <c r="J4877" s="22">
        <v>0.0</v>
      </c>
      <c r="K4877" s="22">
        <v>0.0</v>
      </c>
      <c r="L4877" s="22">
        <v>569.147</v>
      </c>
      <c r="M4877" s="22">
        <v>534.917</v>
      </c>
      <c r="N4877" s="22">
        <v>0.0</v>
      </c>
      <c r="O4877" s="19" t="s">
        <v>58</v>
      </c>
      <c r="P4877" s="18">
        <f t="shared" si="1"/>
        <v>569.147</v>
      </c>
    </row>
    <row r="4878" ht="15.75" customHeight="1">
      <c r="A4878" s="13" t="s">
        <v>252</v>
      </c>
      <c r="B4878" s="13" t="s">
        <v>133</v>
      </c>
      <c r="C4878" s="14" t="s">
        <v>137</v>
      </c>
      <c r="D4878" s="14" t="str">
        <f>VLOOKUP(C4878,'State Key'!$A$2:$B$210,2,False)</f>
        <v>Madhya Pradesh</v>
      </c>
      <c r="E4878" s="15">
        <v>1250.0</v>
      </c>
      <c r="F4878" s="16">
        <v>365.18</v>
      </c>
      <c r="G4878" s="16">
        <v>0.0</v>
      </c>
      <c r="H4878" s="16">
        <v>0.0</v>
      </c>
      <c r="I4878" s="16">
        <v>83.21</v>
      </c>
      <c r="J4878" s="16">
        <v>0.0</v>
      </c>
      <c r="K4878" s="16">
        <v>0.0</v>
      </c>
      <c r="L4878" s="16">
        <v>448.39</v>
      </c>
      <c r="M4878" s="16">
        <v>515.86</v>
      </c>
      <c r="N4878" s="16">
        <v>0.0</v>
      </c>
      <c r="O4878" s="13" t="s">
        <v>58</v>
      </c>
      <c r="P4878" s="18">
        <f t="shared" si="1"/>
        <v>448.39</v>
      </c>
    </row>
    <row r="4879" ht="15.75" customHeight="1">
      <c r="A4879" s="19" t="s">
        <v>252</v>
      </c>
      <c r="B4879" s="19" t="s">
        <v>133</v>
      </c>
      <c r="C4879" s="20" t="s">
        <v>139</v>
      </c>
      <c r="D4879" s="14" t="str">
        <f>VLOOKUP(C4879,'State Key'!$A$2:$B$210,2,False)</f>
        <v>Chhattisgarh</v>
      </c>
      <c r="E4879" s="21">
        <v>600.0</v>
      </c>
      <c r="F4879" s="22">
        <v>109.636</v>
      </c>
      <c r="G4879" s="22">
        <v>0.0</v>
      </c>
      <c r="H4879" s="22">
        <v>0.0</v>
      </c>
      <c r="I4879" s="22">
        <v>0.0</v>
      </c>
      <c r="J4879" s="22">
        <v>0.0</v>
      </c>
      <c r="K4879" s="22">
        <v>0.0</v>
      </c>
      <c r="L4879" s="22">
        <v>109.636</v>
      </c>
      <c r="M4879" s="22">
        <v>118.752</v>
      </c>
      <c r="N4879" s="22">
        <v>0.0</v>
      </c>
      <c r="O4879" s="19" t="s">
        <v>58</v>
      </c>
      <c r="P4879" s="18">
        <f t="shared" si="1"/>
        <v>109.636</v>
      </c>
    </row>
    <row r="4880" ht="15.75" customHeight="1">
      <c r="A4880" s="13" t="s">
        <v>252</v>
      </c>
      <c r="B4880" s="13" t="s">
        <v>133</v>
      </c>
      <c r="C4880" s="14" t="s">
        <v>140</v>
      </c>
      <c r="D4880" s="14" t="str">
        <f>VLOOKUP(C4880,'State Key'!$A$2:$B$210,2,False)</f>
        <v>Chhattisgarh</v>
      </c>
      <c r="E4880" s="15">
        <v>300.0</v>
      </c>
      <c r="F4880" s="16">
        <v>135.026</v>
      </c>
      <c r="G4880" s="16">
        <v>0.0</v>
      </c>
      <c r="H4880" s="16">
        <v>0.0</v>
      </c>
      <c r="I4880" s="16">
        <v>13.761</v>
      </c>
      <c r="J4880" s="16">
        <v>0.0</v>
      </c>
      <c r="K4880" s="16">
        <v>0.0</v>
      </c>
      <c r="L4880" s="16">
        <v>148.787</v>
      </c>
      <c r="M4880" s="16">
        <v>136.121</v>
      </c>
      <c r="N4880" s="16">
        <v>0.0</v>
      </c>
      <c r="O4880" s="13" t="s">
        <v>58</v>
      </c>
      <c r="P4880" s="18">
        <f t="shared" si="1"/>
        <v>148.787</v>
      </c>
    </row>
    <row r="4881" ht="15.75" customHeight="1">
      <c r="A4881" s="19" t="s">
        <v>252</v>
      </c>
      <c r="B4881" s="19" t="s">
        <v>133</v>
      </c>
      <c r="C4881" s="20" t="s">
        <v>141</v>
      </c>
      <c r="D4881" s="14" t="str">
        <f>VLOOKUP(C4881,'State Key'!$A$2:$B$210,2,False)</f>
        <v>Chhattisgarh</v>
      </c>
      <c r="E4881" s="21">
        <v>1200.0</v>
      </c>
      <c r="F4881" s="22">
        <v>480.436</v>
      </c>
      <c r="G4881" s="22">
        <v>0.0</v>
      </c>
      <c r="H4881" s="22">
        <v>0.0</v>
      </c>
      <c r="I4881" s="22">
        <v>0.0</v>
      </c>
      <c r="J4881" s="22">
        <v>0.0</v>
      </c>
      <c r="K4881" s="22">
        <v>0.0</v>
      </c>
      <c r="L4881" s="22">
        <v>480.436</v>
      </c>
      <c r="M4881" s="22">
        <v>500.5</v>
      </c>
      <c r="N4881" s="22">
        <v>0.0</v>
      </c>
      <c r="O4881" s="19" t="s">
        <v>58</v>
      </c>
      <c r="P4881" s="18">
        <f t="shared" si="1"/>
        <v>480.436</v>
      </c>
    </row>
    <row r="4882" ht="15.75" customHeight="1">
      <c r="A4882" s="13" t="s">
        <v>252</v>
      </c>
      <c r="B4882" s="13" t="s">
        <v>133</v>
      </c>
      <c r="C4882" s="14" t="s">
        <v>142</v>
      </c>
      <c r="D4882" s="14" t="str">
        <f>VLOOKUP(C4882,'State Key'!$A$2:$B$210,2,False)</f>
        <v>Maharashtra</v>
      </c>
      <c r="E4882" s="15">
        <v>270.0</v>
      </c>
      <c r="F4882" s="16">
        <v>90.125</v>
      </c>
      <c r="G4882" s="16">
        <v>0.0</v>
      </c>
      <c r="H4882" s="16">
        <v>0.0</v>
      </c>
      <c r="I4882" s="16">
        <v>18.928</v>
      </c>
      <c r="J4882" s="16">
        <v>0.0</v>
      </c>
      <c r="K4882" s="16">
        <v>0.0</v>
      </c>
      <c r="L4882" s="16">
        <v>109.053</v>
      </c>
      <c r="M4882" s="16">
        <v>111.732</v>
      </c>
      <c r="N4882" s="16">
        <v>0.0</v>
      </c>
      <c r="O4882" s="13" t="s">
        <v>58</v>
      </c>
      <c r="P4882" s="18">
        <f t="shared" si="1"/>
        <v>109.053</v>
      </c>
    </row>
    <row r="4883" ht="15.75" customHeight="1">
      <c r="A4883" s="19" t="s">
        <v>252</v>
      </c>
      <c r="B4883" s="19" t="s">
        <v>133</v>
      </c>
      <c r="C4883" s="20" t="s">
        <v>143</v>
      </c>
      <c r="D4883" s="14" t="str">
        <f>VLOOKUP(C4883,'State Key'!$A$2:$B$210,2,False)</f>
        <v>Chhattisgarh</v>
      </c>
      <c r="E4883" s="21">
        <v>500.0</v>
      </c>
      <c r="F4883" s="22">
        <v>242.801</v>
      </c>
      <c r="G4883" s="22">
        <v>16.414</v>
      </c>
      <c r="H4883" s="22">
        <v>0.0</v>
      </c>
      <c r="I4883" s="22">
        <v>0.0</v>
      </c>
      <c r="J4883" s="22">
        <v>0.0</v>
      </c>
      <c r="K4883" s="22">
        <v>0.0</v>
      </c>
      <c r="L4883" s="22">
        <v>259.215</v>
      </c>
      <c r="M4883" s="22">
        <v>227.818</v>
      </c>
      <c r="N4883" s="22">
        <v>0.0</v>
      </c>
      <c r="O4883" s="19" t="s">
        <v>58</v>
      </c>
      <c r="P4883" s="18">
        <f t="shared" si="1"/>
        <v>259.215</v>
      </c>
    </row>
    <row r="4884" ht="15.75" customHeight="1">
      <c r="A4884" s="13" t="s">
        <v>252</v>
      </c>
      <c r="B4884" s="13" t="s">
        <v>133</v>
      </c>
      <c r="C4884" s="14" t="s">
        <v>144</v>
      </c>
      <c r="D4884" s="14" t="str">
        <f>VLOOKUP(C4884,'State Key'!$A$2:$B$210,2,False)</f>
        <v>Maharashtra</v>
      </c>
      <c r="E4884" s="15">
        <v>1870.0</v>
      </c>
      <c r="F4884" s="16">
        <v>567.608</v>
      </c>
      <c r="G4884" s="16">
        <v>7.855</v>
      </c>
      <c r="H4884" s="16">
        <v>0.0</v>
      </c>
      <c r="I4884" s="16">
        <v>0.0</v>
      </c>
      <c r="J4884" s="16">
        <v>0.0</v>
      </c>
      <c r="K4884" s="16">
        <v>0.0</v>
      </c>
      <c r="L4884" s="16">
        <v>575.463</v>
      </c>
      <c r="M4884" s="16">
        <v>574.843</v>
      </c>
      <c r="N4884" s="16">
        <v>0.0</v>
      </c>
      <c r="O4884" s="13" t="s">
        <v>58</v>
      </c>
      <c r="P4884" s="18">
        <f t="shared" si="1"/>
        <v>575.463</v>
      </c>
    </row>
    <row r="4885" ht="15.75" customHeight="1">
      <c r="A4885" s="19" t="s">
        <v>252</v>
      </c>
      <c r="B4885" s="19" t="s">
        <v>133</v>
      </c>
      <c r="C4885" s="20" t="s">
        <v>145</v>
      </c>
      <c r="D4885" s="14" t="str">
        <f>VLOOKUP(C4885,'State Key'!$A$2:$B$210,2,False)</f>
        <v>Madhya Pradesh</v>
      </c>
      <c r="E4885" s="21">
        <v>500.0</v>
      </c>
      <c r="F4885" s="22">
        <v>129.00952238</v>
      </c>
      <c r="G4885" s="22">
        <v>0.0</v>
      </c>
      <c r="H4885" s="22">
        <v>0.0</v>
      </c>
      <c r="I4885" s="22">
        <v>97.4165544</v>
      </c>
      <c r="J4885" s="22">
        <v>0.0</v>
      </c>
      <c r="K4885" s="22">
        <v>0.0</v>
      </c>
      <c r="L4885" s="22">
        <v>226.42607678</v>
      </c>
      <c r="M4885" s="22">
        <v>185.083</v>
      </c>
      <c r="N4885" s="22">
        <v>0.0</v>
      </c>
      <c r="O4885" s="19" t="s">
        <v>58</v>
      </c>
      <c r="P4885" s="18">
        <f t="shared" si="1"/>
        <v>226.4260768</v>
      </c>
    </row>
    <row r="4886" ht="15.75" customHeight="1">
      <c r="A4886" s="13" t="s">
        <v>252</v>
      </c>
      <c r="B4886" s="13" t="s">
        <v>133</v>
      </c>
      <c r="C4886" s="14" t="s">
        <v>146</v>
      </c>
      <c r="D4886" s="14" t="str">
        <f>VLOOKUP(C4886,'State Key'!$A$2:$B$210,2,False)</f>
        <v>Chhattisgarh</v>
      </c>
      <c r="E4886" s="15">
        <v>600.0</v>
      </c>
      <c r="F4886" s="16">
        <v>0.0</v>
      </c>
      <c r="G4886" s="16">
        <v>0.0</v>
      </c>
      <c r="H4886" s="16">
        <v>0.0</v>
      </c>
      <c r="I4886" s="16">
        <v>135.344</v>
      </c>
      <c r="J4886" s="16">
        <v>0.0</v>
      </c>
      <c r="K4886" s="16">
        <v>113.514</v>
      </c>
      <c r="L4886" s="16">
        <v>248.858</v>
      </c>
      <c r="M4886" s="16">
        <v>305.333</v>
      </c>
      <c r="N4886" s="16">
        <v>0.0</v>
      </c>
      <c r="O4886" s="13" t="s">
        <v>58</v>
      </c>
      <c r="P4886" s="18">
        <f t="shared" si="1"/>
        <v>248.858</v>
      </c>
    </row>
    <row r="4887" ht="15.75" customHeight="1">
      <c r="A4887" s="19" t="s">
        <v>252</v>
      </c>
      <c r="B4887" s="19" t="s">
        <v>133</v>
      </c>
      <c r="C4887" s="20" t="s">
        <v>147</v>
      </c>
      <c r="D4887" s="14" t="str">
        <f>VLOOKUP(C4887,'State Key'!$A$2:$B$210,2,False)</f>
        <v>Maharashtra</v>
      </c>
      <c r="E4887" s="21">
        <v>600.0</v>
      </c>
      <c r="F4887" s="22">
        <v>0.0</v>
      </c>
      <c r="G4887" s="22">
        <v>0.0</v>
      </c>
      <c r="H4887" s="22">
        <v>0.0</v>
      </c>
      <c r="I4887" s="22">
        <v>0.0</v>
      </c>
      <c r="J4887" s="22">
        <v>0.0</v>
      </c>
      <c r="K4887" s="22">
        <v>0.0</v>
      </c>
      <c r="L4887" s="22">
        <v>0.0</v>
      </c>
      <c r="M4887" s="22">
        <v>0.0</v>
      </c>
      <c r="N4887" s="22">
        <v>0.0</v>
      </c>
      <c r="O4887" s="19" t="s">
        <v>58</v>
      </c>
      <c r="P4887" s="18">
        <f t="shared" si="1"/>
        <v>0</v>
      </c>
    </row>
    <row r="4888" ht="15.75" customHeight="1">
      <c r="A4888" s="13" t="s">
        <v>252</v>
      </c>
      <c r="B4888" s="13" t="s">
        <v>133</v>
      </c>
      <c r="C4888" s="14" t="s">
        <v>148</v>
      </c>
      <c r="D4888" s="14" t="str">
        <f>VLOOKUP(C4888,'State Key'!$A$2:$B$210,2,False)</f>
        <v>Chhattisgarh</v>
      </c>
      <c r="E4888" s="15">
        <v>30.0</v>
      </c>
      <c r="F4888" s="16">
        <v>6.954</v>
      </c>
      <c r="G4888" s="16">
        <v>0.0</v>
      </c>
      <c r="H4888" s="16">
        <v>0.0</v>
      </c>
      <c r="I4888" s="16">
        <v>0.0</v>
      </c>
      <c r="J4888" s="16">
        <v>0.0</v>
      </c>
      <c r="K4888" s="16">
        <v>51.8128</v>
      </c>
      <c r="L4888" s="16">
        <v>58.7668</v>
      </c>
      <c r="M4888" s="16">
        <v>50.518</v>
      </c>
      <c r="N4888" s="16">
        <v>0.0</v>
      </c>
      <c r="O4888" s="13" t="s">
        <v>58</v>
      </c>
      <c r="P4888" s="18">
        <f t="shared" si="1"/>
        <v>58.7668</v>
      </c>
    </row>
    <row r="4889" ht="15.75" customHeight="1">
      <c r="A4889" s="19" t="s">
        <v>252</v>
      </c>
      <c r="B4889" s="19" t="s">
        <v>133</v>
      </c>
      <c r="C4889" s="20" t="s">
        <v>149</v>
      </c>
      <c r="D4889" s="14" t="str">
        <f>VLOOKUP(C4889,'State Key'!$A$2:$B$210,2,False)</f>
        <v>Maharashtra</v>
      </c>
      <c r="E4889" s="21">
        <v>2920.0</v>
      </c>
      <c r="F4889" s="22">
        <v>595.14</v>
      </c>
      <c r="G4889" s="22">
        <v>67.657</v>
      </c>
      <c r="H4889" s="22">
        <v>0.0</v>
      </c>
      <c r="I4889" s="22">
        <v>0.0</v>
      </c>
      <c r="J4889" s="22">
        <v>128.41</v>
      </c>
      <c r="K4889" s="22">
        <v>0.0</v>
      </c>
      <c r="L4889" s="22">
        <v>791.207</v>
      </c>
      <c r="M4889" s="22">
        <v>904.62</v>
      </c>
      <c r="N4889" s="22">
        <v>0.0</v>
      </c>
      <c r="O4889" s="19" t="s">
        <v>58</v>
      </c>
      <c r="P4889" s="18">
        <f t="shared" si="1"/>
        <v>791.207</v>
      </c>
    </row>
    <row r="4890" ht="15.75" customHeight="1">
      <c r="A4890" s="13" t="s">
        <v>252</v>
      </c>
      <c r="B4890" s="13" t="s">
        <v>133</v>
      </c>
      <c r="C4890" s="14" t="s">
        <v>150</v>
      </c>
      <c r="D4890" s="14" t="str">
        <f>VLOOKUP(C4890,'State Key'!$A$2:$B$210,2,False)</f>
        <v>Maharashtra</v>
      </c>
      <c r="E4890" s="15">
        <v>500.0</v>
      </c>
      <c r="F4890" s="16">
        <v>142.868</v>
      </c>
      <c r="G4890" s="16">
        <v>0.0</v>
      </c>
      <c r="H4890" s="16">
        <v>0.0</v>
      </c>
      <c r="I4890" s="16">
        <v>0.0</v>
      </c>
      <c r="J4890" s="16">
        <v>0.0</v>
      </c>
      <c r="K4890" s="16">
        <v>0.0</v>
      </c>
      <c r="L4890" s="16">
        <v>142.868</v>
      </c>
      <c r="M4890" s="16">
        <v>190.425</v>
      </c>
      <c r="N4890" s="16">
        <v>0.0</v>
      </c>
      <c r="O4890" s="13" t="s">
        <v>58</v>
      </c>
      <c r="P4890" s="18">
        <f t="shared" si="1"/>
        <v>142.868</v>
      </c>
    </row>
    <row r="4891" ht="15.75" customHeight="1">
      <c r="A4891" s="19" t="s">
        <v>252</v>
      </c>
      <c r="B4891" s="19" t="s">
        <v>133</v>
      </c>
      <c r="C4891" s="20" t="s">
        <v>151</v>
      </c>
      <c r="D4891" s="14" t="str">
        <f>VLOOKUP(C4891,'State Key'!$A$2:$B$210,2,False)</f>
        <v>Maharashtra</v>
      </c>
      <c r="E4891" s="21">
        <v>600.0</v>
      </c>
      <c r="F4891" s="22">
        <v>159.76</v>
      </c>
      <c r="G4891" s="22">
        <v>0.0</v>
      </c>
      <c r="H4891" s="22">
        <v>0.0</v>
      </c>
      <c r="I4891" s="22">
        <v>60.655</v>
      </c>
      <c r="J4891" s="22">
        <v>0.0</v>
      </c>
      <c r="K4891" s="22">
        <v>0.0</v>
      </c>
      <c r="L4891" s="22">
        <v>220.415</v>
      </c>
      <c r="M4891" s="22">
        <v>232.229</v>
      </c>
      <c r="N4891" s="22">
        <v>0.0</v>
      </c>
      <c r="O4891" s="19" t="s">
        <v>58</v>
      </c>
      <c r="P4891" s="18">
        <f t="shared" si="1"/>
        <v>220.415</v>
      </c>
    </row>
    <row r="4892" ht="15.75" customHeight="1">
      <c r="A4892" s="13" t="s">
        <v>252</v>
      </c>
      <c r="B4892" s="13" t="s">
        <v>133</v>
      </c>
      <c r="C4892" s="14" t="s">
        <v>152</v>
      </c>
      <c r="D4892" s="14" t="str">
        <f>VLOOKUP(C4892,'State Key'!$A$2:$B$210,2,False)</f>
        <v>Chhattisgarh</v>
      </c>
      <c r="E4892" s="15">
        <v>500.0</v>
      </c>
      <c r="F4892" s="16">
        <v>271.19</v>
      </c>
      <c r="G4892" s="16">
        <v>0.0</v>
      </c>
      <c r="H4892" s="16">
        <v>0.0</v>
      </c>
      <c r="I4892" s="16">
        <v>0.0</v>
      </c>
      <c r="J4892" s="16">
        <v>0.0</v>
      </c>
      <c r="K4892" s="16">
        <v>0.0</v>
      </c>
      <c r="L4892" s="16">
        <v>271.19</v>
      </c>
      <c r="M4892" s="16">
        <v>248.346</v>
      </c>
      <c r="N4892" s="16">
        <v>0.0</v>
      </c>
      <c r="O4892" s="13" t="s">
        <v>58</v>
      </c>
      <c r="P4892" s="18">
        <f t="shared" si="1"/>
        <v>271.19</v>
      </c>
    </row>
    <row r="4893" ht="15.75" customHeight="1">
      <c r="A4893" s="19" t="s">
        <v>252</v>
      </c>
      <c r="B4893" s="19" t="s">
        <v>133</v>
      </c>
      <c r="C4893" s="20" t="s">
        <v>153</v>
      </c>
      <c r="D4893" s="14" t="str">
        <f>VLOOKUP(C4893,'State Key'!$A$2:$B$210,2,False)</f>
        <v>Madhya Pradesh</v>
      </c>
      <c r="E4893" s="21">
        <v>1600.0</v>
      </c>
      <c r="F4893" s="22">
        <v>252.45</v>
      </c>
      <c r="G4893" s="22">
        <v>0.0</v>
      </c>
      <c r="H4893" s="22">
        <v>85.08</v>
      </c>
      <c r="I4893" s="22">
        <v>0.0</v>
      </c>
      <c r="J4893" s="22">
        <v>0.0</v>
      </c>
      <c r="K4893" s="22">
        <v>0.0</v>
      </c>
      <c r="L4893" s="22">
        <v>337.53</v>
      </c>
      <c r="M4893" s="22">
        <v>346.14</v>
      </c>
      <c r="N4893" s="22">
        <v>0.0</v>
      </c>
      <c r="O4893" s="19" t="s">
        <v>58</v>
      </c>
      <c r="P4893" s="18">
        <f t="shared" si="1"/>
        <v>337.53</v>
      </c>
    </row>
    <row r="4894" ht="15.75" customHeight="1">
      <c r="A4894" s="13" t="s">
        <v>252</v>
      </c>
      <c r="B4894" s="13" t="s">
        <v>133</v>
      </c>
      <c r="C4894" s="14" t="s">
        <v>154</v>
      </c>
      <c r="D4894" s="14" t="str">
        <f>VLOOKUP(C4894,'State Key'!$A$2:$B$210,2,False)</f>
        <v>Gujarat</v>
      </c>
      <c r="E4894" s="15">
        <v>630.0</v>
      </c>
      <c r="F4894" s="16">
        <v>120.252</v>
      </c>
      <c r="G4894" s="16">
        <v>0.0</v>
      </c>
      <c r="H4894" s="16">
        <v>0.0</v>
      </c>
      <c r="I4894" s="16">
        <v>0.0</v>
      </c>
      <c r="J4894" s="16">
        <v>0.0</v>
      </c>
      <c r="K4894" s="16">
        <v>0.0</v>
      </c>
      <c r="L4894" s="16">
        <v>120.252</v>
      </c>
      <c r="M4894" s="16">
        <v>68.316</v>
      </c>
      <c r="N4894" s="16">
        <v>0.0</v>
      </c>
      <c r="O4894" s="13" t="s">
        <v>58</v>
      </c>
      <c r="P4894" s="18">
        <f t="shared" si="1"/>
        <v>120.252</v>
      </c>
    </row>
    <row r="4895" ht="15.75" customHeight="1">
      <c r="A4895" s="19" t="s">
        <v>252</v>
      </c>
      <c r="B4895" s="19" t="s">
        <v>133</v>
      </c>
      <c r="C4895" s="20" t="s">
        <v>155</v>
      </c>
      <c r="D4895" s="14" t="str">
        <f>VLOOKUP(C4895,'State Key'!$A$2:$B$210,2,False)</f>
        <v>Maharashtra</v>
      </c>
      <c r="E4895" s="21">
        <v>120.0</v>
      </c>
      <c r="F4895" s="22">
        <v>0.0</v>
      </c>
      <c r="G4895" s="22">
        <v>0.0</v>
      </c>
      <c r="H4895" s="22">
        <v>0.0</v>
      </c>
      <c r="I4895" s="22">
        <v>0.0</v>
      </c>
      <c r="J4895" s="22">
        <v>0.0</v>
      </c>
      <c r="K4895" s="22">
        <v>0.0</v>
      </c>
      <c r="L4895" s="22">
        <v>0.0</v>
      </c>
      <c r="M4895" s="22">
        <v>0.0</v>
      </c>
      <c r="N4895" s="22">
        <v>0.0</v>
      </c>
      <c r="O4895" s="19" t="s">
        <v>58</v>
      </c>
      <c r="P4895" s="18">
        <f t="shared" si="1"/>
        <v>0</v>
      </c>
    </row>
    <row r="4896" ht="15.75" customHeight="1">
      <c r="A4896" s="13" t="s">
        <v>252</v>
      </c>
      <c r="B4896" s="13" t="s">
        <v>133</v>
      </c>
      <c r="C4896" s="14" t="s">
        <v>156</v>
      </c>
      <c r="D4896" s="14" t="str">
        <f>VLOOKUP(C4896,'State Key'!$A$2:$B$210,2,False)</f>
        <v>Maharashtra</v>
      </c>
      <c r="E4896" s="15">
        <v>600.0</v>
      </c>
      <c r="F4896" s="16">
        <v>208.272</v>
      </c>
      <c r="G4896" s="16">
        <v>0.0</v>
      </c>
      <c r="H4896" s="16">
        <v>0.0</v>
      </c>
      <c r="I4896" s="16">
        <v>80.382</v>
      </c>
      <c r="J4896" s="16">
        <v>0.0</v>
      </c>
      <c r="K4896" s="16">
        <v>0.0</v>
      </c>
      <c r="L4896" s="16">
        <v>288.654</v>
      </c>
      <c r="M4896" s="16">
        <v>247.757</v>
      </c>
      <c r="N4896" s="16">
        <v>0.0</v>
      </c>
      <c r="O4896" s="13" t="s">
        <v>58</v>
      </c>
      <c r="P4896" s="18">
        <f t="shared" si="1"/>
        <v>288.654</v>
      </c>
    </row>
    <row r="4897" ht="15.75" customHeight="1">
      <c r="A4897" s="19" t="s">
        <v>252</v>
      </c>
      <c r="B4897" s="19" t="s">
        <v>133</v>
      </c>
      <c r="C4897" s="20" t="s">
        <v>157</v>
      </c>
      <c r="D4897" s="14" t="str">
        <f>VLOOKUP(C4897,'State Key'!$A$2:$B$210,2,False)</f>
        <v>Maharashtra</v>
      </c>
      <c r="E4897" s="21">
        <v>300.0</v>
      </c>
      <c r="F4897" s="22">
        <v>0.0</v>
      </c>
      <c r="G4897" s="22">
        <v>0.0</v>
      </c>
      <c r="H4897" s="22">
        <v>0.0</v>
      </c>
      <c r="I4897" s="22">
        <v>0.0</v>
      </c>
      <c r="J4897" s="22">
        <v>45.0</v>
      </c>
      <c r="K4897" s="22">
        <v>0.0</v>
      </c>
      <c r="L4897" s="22">
        <v>45.0</v>
      </c>
      <c r="M4897" s="22">
        <v>73.53</v>
      </c>
      <c r="N4897" s="22">
        <v>0.0</v>
      </c>
      <c r="O4897" s="19" t="s">
        <v>58</v>
      </c>
      <c r="P4897" s="18">
        <f t="shared" si="1"/>
        <v>45</v>
      </c>
    </row>
    <row r="4898" ht="15.75" customHeight="1">
      <c r="A4898" s="13" t="s">
        <v>252</v>
      </c>
      <c r="B4898" s="13" t="s">
        <v>133</v>
      </c>
      <c r="C4898" s="14" t="s">
        <v>158</v>
      </c>
      <c r="D4898" s="14" t="str">
        <f>VLOOKUP(C4898,'State Key'!$A$2:$B$210,2,False)</f>
        <v>Chhattisgarh</v>
      </c>
      <c r="E4898" s="15">
        <v>270.0</v>
      </c>
      <c r="F4898" s="16">
        <v>56.255</v>
      </c>
      <c r="G4898" s="16">
        <v>0.0</v>
      </c>
      <c r="H4898" s="16">
        <v>0.0</v>
      </c>
      <c r="I4898" s="16">
        <v>0.0</v>
      </c>
      <c r="J4898" s="16">
        <v>0.0</v>
      </c>
      <c r="K4898" s="16">
        <v>52.994</v>
      </c>
      <c r="L4898" s="16">
        <v>109.249</v>
      </c>
      <c r="M4898" s="16">
        <v>137.22</v>
      </c>
      <c r="N4898" s="16">
        <v>0.0</v>
      </c>
      <c r="O4898" s="13" t="s">
        <v>58</v>
      </c>
      <c r="P4898" s="18">
        <f t="shared" si="1"/>
        <v>109.249</v>
      </c>
    </row>
    <row r="4899" ht="15.75" customHeight="1">
      <c r="A4899" s="19" t="s">
        <v>252</v>
      </c>
      <c r="B4899" s="19" t="s">
        <v>133</v>
      </c>
      <c r="C4899" s="20" t="s">
        <v>160</v>
      </c>
      <c r="D4899" s="14" t="str">
        <f>VLOOKUP(C4899,'State Key'!$A$2:$B$210,2,False)</f>
        <v>Maharashtra</v>
      </c>
      <c r="E4899" s="21">
        <v>1340.0</v>
      </c>
      <c r="F4899" s="22">
        <v>481.791</v>
      </c>
      <c r="G4899" s="22">
        <v>0.0</v>
      </c>
      <c r="H4899" s="22">
        <v>0.0</v>
      </c>
      <c r="I4899" s="22">
        <v>0.0</v>
      </c>
      <c r="J4899" s="22">
        <v>103.922</v>
      </c>
      <c r="K4899" s="22">
        <v>0.148</v>
      </c>
      <c r="L4899" s="22">
        <v>585.861</v>
      </c>
      <c r="M4899" s="22">
        <v>476.09</v>
      </c>
      <c r="N4899" s="22">
        <v>0.0</v>
      </c>
      <c r="O4899" s="19" t="s">
        <v>58</v>
      </c>
      <c r="P4899" s="18">
        <f t="shared" si="1"/>
        <v>585.861</v>
      </c>
    </row>
    <row r="4900" ht="15.75" customHeight="1">
      <c r="A4900" s="13" t="s">
        <v>252</v>
      </c>
      <c r="B4900" s="13" t="s">
        <v>133</v>
      </c>
      <c r="C4900" s="14" t="s">
        <v>161</v>
      </c>
      <c r="D4900" s="14" t="str">
        <f>VLOOKUP(C4900,'State Key'!$A$2:$B$210,2,False)</f>
        <v>Madhya Pradesh</v>
      </c>
      <c r="E4900" s="15">
        <v>1320.0</v>
      </c>
      <c r="F4900" s="16">
        <v>395.44</v>
      </c>
      <c r="G4900" s="16">
        <v>24.2</v>
      </c>
      <c r="H4900" s="16">
        <v>194.84</v>
      </c>
      <c r="I4900" s="16">
        <v>0.0</v>
      </c>
      <c r="J4900" s="16">
        <v>0.0</v>
      </c>
      <c r="K4900" s="16">
        <v>0.0</v>
      </c>
      <c r="L4900" s="16">
        <v>614.48</v>
      </c>
      <c r="M4900" s="16">
        <v>466.434</v>
      </c>
      <c r="N4900" s="16">
        <v>0.0</v>
      </c>
      <c r="O4900" s="13" t="s">
        <v>58</v>
      </c>
      <c r="P4900" s="18">
        <f t="shared" si="1"/>
        <v>614.48</v>
      </c>
    </row>
    <row r="4901" ht="15.75" customHeight="1">
      <c r="A4901" s="19" t="s">
        <v>252</v>
      </c>
      <c r="B4901" s="19" t="s">
        <v>133</v>
      </c>
      <c r="C4901" s="20" t="s">
        <v>162</v>
      </c>
      <c r="D4901" s="14" t="str">
        <f>VLOOKUP(C4901,'State Key'!$A$2:$B$210,2,False)</f>
        <v>Maharashtra</v>
      </c>
      <c r="E4901" s="21">
        <v>2190.0</v>
      </c>
      <c r="F4901" s="22">
        <v>737.138</v>
      </c>
      <c r="G4901" s="22">
        <v>76.447</v>
      </c>
      <c r="H4901" s="22">
        <v>0.0</v>
      </c>
      <c r="I4901" s="22">
        <v>0.0</v>
      </c>
      <c r="J4901" s="22">
        <v>0.0</v>
      </c>
      <c r="K4901" s="22">
        <v>0.0</v>
      </c>
      <c r="L4901" s="22">
        <v>813.585</v>
      </c>
      <c r="M4901" s="22">
        <v>805.831</v>
      </c>
      <c r="N4901" s="22">
        <v>0.0</v>
      </c>
      <c r="O4901" s="19" t="s">
        <v>58</v>
      </c>
      <c r="P4901" s="18">
        <f t="shared" si="1"/>
        <v>813.585</v>
      </c>
    </row>
    <row r="4902" ht="15.75" customHeight="1">
      <c r="A4902" s="13" t="s">
        <v>252</v>
      </c>
      <c r="B4902" s="13" t="s">
        <v>133</v>
      </c>
      <c r="C4902" s="14" t="s">
        <v>163</v>
      </c>
      <c r="D4902" s="14" t="str">
        <f>VLOOKUP(C4902,'State Key'!$A$2:$B$210,2,False)</f>
        <v>Chhattisgarh</v>
      </c>
      <c r="E4902" s="15">
        <v>2600.0</v>
      </c>
      <c r="F4902" s="16">
        <v>1180.19</v>
      </c>
      <c r="G4902" s="16">
        <v>0.0</v>
      </c>
      <c r="H4902" s="16">
        <v>0.0</v>
      </c>
      <c r="I4902" s="16">
        <v>0.0</v>
      </c>
      <c r="J4902" s="16">
        <v>0.0</v>
      </c>
      <c r="K4902" s="16">
        <v>0.0</v>
      </c>
      <c r="L4902" s="16">
        <v>1180.19</v>
      </c>
      <c r="M4902" s="16">
        <v>1215.812</v>
      </c>
      <c r="N4902" s="16">
        <v>0.0</v>
      </c>
      <c r="O4902" s="13" t="s">
        <v>58</v>
      </c>
      <c r="P4902" s="18">
        <f t="shared" si="1"/>
        <v>1180.19</v>
      </c>
    </row>
    <row r="4903" ht="15.75" customHeight="1">
      <c r="A4903" s="19" t="s">
        <v>252</v>
      </c>
      <c r="B4903" s="19" t="s">
        <v>133</v>
      </c>
      <c r="C4903" s="20" t="s">
        <v>164</v>
      </c>
      <c r="D4903" s="14" t="str">
        <f>VLOOKUP(C4903,'State Key'!$A$2:$B$210,2,False)</f>
        <v>Chhattisgarh</v>
      </c>
      <c r="E4903" s="21">
        <v>1340.0</v>
      </c>
      <c r="F4903" s="22">
        <v>602.365</v>
      </c>
      <c r="G4903" s="22">
        <v>0.0</v>
      </c>
      <c r="H4903" s="22">
        <v>0.0</v>
      </c>
      <c r="I4903" s="22">
        <v>0.0</v>
      </c>
      <c r="J4903" s="22">
        <v>0.0</v>
      </c>
      <c r="K4903" s="22">
        <v>0.0</v>
      </c>
      <c r="L4903" s="22">
        <v>602.365</v>
      </c>
      <c r="M4903" s="22">
        <v>618.129</v>
      </c>
      <c r="N4903" s="22">
        <v>0.0</v>
      </c>
      <c r="O4903" s="19" t="s">
        <v>58</v>
      </c>
      <c r="P4903" s="18">
        <f t="shared" si="1"/>
        <v>602.365</v>
      </c>
    </row>
    <row r="4904" ht="15.75" customHeight="1">
      <c r="A4904" s="13" t="s">
        <v>252</v>
      </c>
      <c r="B4904" s="13" t="s">
        <v>133</v>
      </c>
      <c r="C4904" s="14" t="s">
        <v>165</v>
      </c>
      <c r="D4904" s="14" t="str">
        <f>VLOOKUP(C4904,'State Key'!$A$2:$B$210,2,False)</f>
        <v>Chhattisgarh</v>
      </c>
      <c r="E4904" s="15">
        <v>1600.0</v>
      </c>
      <c r="F4904" s="16">
        <v>0.0</v>
      </c>
      <c r="G4904" s="16">
        <v>0.0</v>
      </c>
      <c r="H4904" s="16">
        <v>752.1</v>
      </c>
      <c r="I4904" s="16">
        <v>0.0</v>
      </c>
      <c r="J4904" s="16">
        <v>0.0</v>
      </c>
      <c r="K4904" s="16">
        <v>0.0</v>
      </c>
      <c r="L4904" s="16">
        <v>752.1</v>
      </c>
      <c r="M4904" s="16">
        <v>669.276</v>
      </c>
      <c r="N4904" s="16">
        <v>0.0</v>
      </c>
      <c r="O4904" s="13" t="s">
        <v>58</v>
      </c>
      <c r="P4904" s="18">
        <f t="shared" si="1"/>
        <v>752.1</v>
      </c>
    </row>
    <row r="4905" ht="15.75" customHeight="1">
      <c r="A4905" s="19" t="s">
        <v>252</v>
      </c>
      <c r="B4905" s="19" t="s">
        <v>133</v>
      </c>
      <c r="C4905" s="20" t="s">
        <v>166</v>
      </c>
      <c r="D4905" s="14" t="str">
        <f>VLOOKUP(C4905,'State Key'!$A$2:$B$210,2,False)</f>
        <v>Madhya Pradesh</v>
      </c>
      <c r="E4905" s="21">
        <v>1200.0</v>
      </c>
      <c r="F4905" s="22">
        <v>164.079</v>
      </c>
      <c r="G4905" s="22">
        <v>0.0</v>
      </c>
      <c r="H4905" s="22">
        <v>0.0</v>
      </c>
      <c r="I4905" s="22">
        <v>0.0</v>
      </c>
      <c r="J4905" s="22">
        <v>0.0</v>
      </c>
      <c r="K4905" s="22">
        <v>273.942</v>
      </c>
      <c r="L4905" s="22">
        <v>438.021</v>
      </c>
      <c r="M4905" s="22">
        <v>354.452</v>
      </c>
      <c r="N4905" s="22">
        <v>0.0</v>
      </c>
      <c r="O4905" s="19" t="s">
        <v>58</v>
      </c>
      <c r="P4905" s="18">
        <f t="shared" si="1"/>
        <v>438.021</v>
      </c>
    </row>
    <row r="4906" ht="15.75" customHeight="1">
      <c r="A4906" s="13" t="s">
        <v>252</v>
      </c>
      <c r="B4906" s="13" t="s">
        <v>133</v>
      </c>
      <c r="C4906" s="14" t="s">
        <v>167</v>
      </c>
      <c r="D4906" s="14" t="str">
        <f>VLOOKUP(C4906,'State Key'!$A$2:$B$210,2,False)</f>
        <v>Chhattisgarh</v>
      </c>
      <c r="E4906" s="15">
        <v>1000.0</v>
      </c>
      <c r="F4906" s="16">
        <v>155.944</v>
      </c>
      <c r="G4906" s="16">
        <v>0.0</v>
      </c>
      <c r="H4906" s="16">
        <v>436.035</v>
      </c>
      <c r="I4906" s="16">
        <v>0.0</v>
      </c>
      <c r="J4906" s="16">
        <v>0.0</v>
      </c>
      <c r="K4906" s="16">
        <v>0.0</v>
      </c>
      <c r="L4906" s="16">
        <v>591.979</v>
      </c>
      <c r="M4906" s="16">
        <v>468.542</v>
      </c>
      <c r="N4906" s="16">
        <v>0.0</v>
      </c>
      <c r="O4906" s="13" t="s">
        <v>58</v>
      </c>
      <c r="P4906" s="18">
        <f t="shared" si="1"/>
        <v>591.979</v>
      </c>
    </row>
    <row r="4907" ht="15.75" customHeight="1">
      <c r="A4907" s="19" t="s">
        <v>252</v>
      </c>
      <c r="B4907" s="19" t="s">
        <v>133</v>
      </c>
      <c r="C4907" s="20" t="s">
        <v>168</v>
      </c>
      <c r="D4907" s="14" t="str">
        <f>VLOOKUP(C4907,'State Key'!$A$2:$B$210,2,False)</f>
        <v>Maharashtra</v>
      </c>
      <c r="E4907" s="21">
        <v>2320.0</v>
      </c>
      <c r="F4907" s="22">
        <v>631.17</v>
      </c>
      <c r="G4907" s="22">
        <v>65.14</v>
      </c>
      <c r="H4907" s="22">
        <v>101.07</v>
      </c>
      <c r="I4907" s="22">
        <v>0.0</v>
      </c>
      <c r="J4907" s="22">
        <v>0.0</v>
      </c>
      <c r="K4907" s="22">
        <v>142.49</v>
      </c>
      <c r="L4907" s="22">
        <v>939.87</v>
      </c>
      <c r="M4907" s="22">
        <v>824.652</v>
      </c>
      <c r="N4907" s="22">
        <v>0.0</v>
      </c>
      <c r="O4907" s="19" t="s">
        <v>58</v>
      </c>
      <c r="P4907" s="18">
        <f t="shared" si="1"/>
        <v>939.87</v>
      </c>
    </row>
    <row r="4908" ht="15.75" customHeight="1">
      <c r="A4908" s="13" t="s">
        <v>252</v>
      </c>
      <c r="B4908" s="13" t="s">
        <v>133</v>
      </c>
      <c r="C4908" s="14" t="s">
        <v>169</v>
      </c>
      <c r="D4908" s="14" t="str">
        <f>VLOOKUP(C4908,'State Key'!$A$2:$B$210,2,False)</f>
        <v>Madhya Pradesh</v>
      </c>
      <c r="E4908" s="15">
        <v>246.01</v>
      </c>
      <c r="F4908" s="16">
        <v>0.0</v>
      </c>
      <c r="G4908" s="16">
        <v>0.0</v>
      </c>
      <c r="H4908" s="16">
        <v>0.0</v>
      </c>
      <c r="I4908" s="16">
        <v>0.0</v>
      </c>
      <c r="J4908" s="16">
        <v>0.0</v>
      </c>
      <c r="K4908" s="16">
        <v>0.0</v>
      </c>
      <c r="L4908" s="16">
        <v>0.0</v>
      </c>
      <c r="M4908" s="16">
        <v>0.0</v>
      </c>
      <c r="N4908" s="16">
        <v>0.0</v>
      </c>
      <c r="O4908" s="13" t="s">
        <v>58</v>
      </c>
      <c r="P4908" s="18">
        <f t="shared" si="1"/>
        <v>0</v>
      </c>
    </row>
    <row r="4909" ht="15.75" customHeight="1">
      <c r="A4909" s="19" t="s">
        <v>252</v>
      </c>
      <c r="B4909" s="19" t="s">
        <v>133</v>
      </c>
      <c r="C4909" s="20" t="s">
        <v>172</v>
      </c>
      <c r="D4909" s="14" t="str">
        <f>VLOOKUP(C4909,'State Key'!$A$2:$B$210,2,False)</f>
        <v>Gujarat</v>
      </c>
      <c r="E4909" s="21">
        <v>4000.0</v>
      </c>
      <c r="F4909" s="22">
        <v>0.0</v>
      </c>
      <c r="G4909" s="22">
        <v>0.0</v>
      </c>
      <c r="H4909" s="22">
        <v>0.0</v>
      </c>
      <c r="I4909" s="22">
        <v>0.0</v>
      </c>
      <c r="J4909" s="22">
        <v>944.364</v>
      </c>
      <c r="K4909" s="22">
        <v>0.0</v>
      </c>
      <c r="L4909" s="22">
        <v>944.364</v>
      </c>
      <c r="M4909" s="22">
        <v>886.6557</v>
      </c>
      <c r="N4909" s="22">
        <v>0.0</v>
      </c>
      <c r="O4909" s="19" t="s">
        <v>58</v>
      </c>
      <c r="P4909" s="18">
        <f t="shared" si="1"/>
        <v>944.364</v>
      </c>
    </row>
    <row r="4910" ht="15.75" customHeight="1">
      <c r="A4910" s="13" t="s">
        <v>252</v>
      </c>
      <c r="B4910" s="13" t="s">
        <v>133</v>
      </c>
      <c r="C4910" s="14" t="s">
        <v>174</v>
      </c>
      <c r="D4910" s="14" t="str">
        <f>VLOOKUP(C4910,'State Key'!$A$2:$B$210,2,False)</f>
        <v>Maharashtra</v>
      </c>
      <c r="E4910" s="15">
        <v>630.0</v>
      </c>
      <c r="F4910" s="16">
        <v>172.597</v>
      </c>
      <c r="G4910" s="16">
        <v>0.0</v>
      </c>
      <c r="H4910" s="16">
        <v>0.0</v>
      </c>
      <c r="I4910" s="16">
        <v>0.0</v>
      </c>
      <c r="J4910" s="16">
        <v>55.707</v>
      </c>
      <c r="K4910" s="16">
        <v>0.0</v>
      </c>
      <c r="L4910" s="16">
        <v>228.304</v>
      </c>
      <c r="M4910" s="16">
        <v>176.854</v>
      </c>
      <c r="N4910" s="16">
        <v>0.0</v>
      </c>
      <c r="O4910" s="13" t="s">
        <v>58</v>
      </c>
      <c r="P4910" s="18">
        <f t="shared" si="1"/>
        <v>228.304</v>
      </c>
    </row>
    <row r="4911" ht="15.75" customHeight="1">
      <c r="A4911" s="19" t="s">
        <v>252</v>
      </c>
      <c r="B4911" s="19" t="s">
        <v>133</v>
      </c>
      <c r="C4911" s="20" t="s">
        <v>175</v>
      </c>
      <c r="D4911" s="14" t="str">
        <f>VLOOKUP(C4911,'State Key'!$A$2:$B$210,2,False)</f>
        <v>Chhattisgarh</v>
      </c>
      <c r="E4911" s="21">
        <v>600.0</v>
      </c>
      <c r="F4911" s="22">
        <v>185.148</v>
      </c>
      <c r="G4911" s="22">
        <v>0.0</v>
      </c>
      <c r="H4911" s="22">
        <v>0.0</v>
      </c>
      <c r="I4911" s="22">
        <v>9.51</v>
      </c>
      <c r="J4911" s="22">
        <v>0.0</v>
      </c>
      <c r="K4911" s="22">
        <v>0.0</v>
      </c>
      <c r="L4911" s="22">
        <v>194.658</v>
      </c>
      <c r="M4911" s="22">
        <v>217.503</v>
      </c>
      <c r="N4911" s="22">
        <v>0.0</v>
      </c>
      <c r="O4911" s="19" t="s">
        <v>58</v>
      </c>
      <c r="P4911" s="18">
        <f t="shared" si="1"/>
        <v>194.658</v>
      </c>
    </row>
    <row r="4912" ht="15.75" customHeight="1">
      <c r="A4912" s="13" t="s">
        <v>252</v>
      </c>
      <c r="B4912" s="13" t="s">
        <v>133</v>
      </c>
      <c r="C4912" s="14" t="s">
        <v>176</v>
      </c>
      <c r="D4912" s="14" t="str">
        <f>VLOOKUP(C4912,'State Key'!$A$2:$B$210,2,False)</f>
        <v>Madhya Pradesh</v>
      </c>
      <c r="E4912" s="15">
        <v>1320.0</v>
      </c>
      <c r="F4912" s="16">
        <v>0.0</v>
      </c>
      <c r="G4912" s="16">
        <v>0.0</v>
      </c>
      <c r="H4912" s="16">
        <v>363.9102</v>
      </c>
      <c r="I4912" s="16">
        <v>71.1996</v>
      </c>
      <c r="J4912" s="16">
        <v>0.0</v>
      </c>
      <c r="K4912" s="16">
        <v>0.0</v>
      </c>
      <c r="L4912" s="16">
        <v>435.1098</v>
      </c>
      <c r="M4912" s="16">
        <v>423.5422</v>
      </c>
      <c r="N4912" s="16">
        <v>0.0</v>
      </c>
      <c r="O4912" s="13" t="s">
        <v>58</v>
      </c>
      <c r="P4912" s="18">
        <f t="shared" si="1"/>
        <v>435.1098</v>
      </c>
    </row>
    <row r="4913" ht="15.75" customHeight="1">
      <c r="A4913" s="19" t="s">
        <v>252</v>
      </c>
      <c r="B4913" s="19" t="s">
        <v>133</v>
      </c>
      <c r="C4913" s="20" t="s">
        <v>177</v>
      </c>
      <c r="D4913" s="14" t="str">
        <f>VLOOKUP(C4913,'State Key'!$A$2:$B$210,2,False)</f>
        <v>Madhya Pradesh</v>
      </c>
      <c r="E4913" s="21">
        <v>90.0</v>
      </c>
      <c r="F4913" s="22">
        <v>37.71</v>
      </c>
      <c r="G4913" s="22">
        <v>0.0</v>
      </c>
      <c r="H4913" s="22">
        <v>0.0</v>
      </c>
      <c r="I4913" s="22">
        <v>0.0</v>
      </c>
      <c r="J4913" s="22">
        <v>0.0</v>
      </c>
      <c r="K4913" s="22">
        <v>0.0</v>
      </c>
      <c r="L4913" s="22">
        <v>37.71</v>
      </c>
      <c r="M4913" s="22">
        <v>37.25</v>
      </c>
      <c r="N4913" s="22">
        <v>0.0</v>
      </c>
      <c r="O4913" s="19" t="s">
        <v>58</v>
      </c>
      <c r="P4913" s="18">
        <f t="shared" si="1"/>
        <v>37.71</v>
      </c>
    </row>
    <row r="4914" ht="15.75" customHeight="1">
      <c r="A4914" s="13" t="s">
        <v>252</v>
      </c>
      <c r="B4914" s="13" t="s">
        <v>133</v>
      </c>
      <c r="C4914" s="14" t="s">
        <v>178</v>
      </c>
      <c r="D4914" s="14" t="str">
        <f>VLOOKUP(C4914,'State Key'!$A$2:$B$210,2,False)</f>
        <v>Chhattisgarh</v>
      </c>
      <c r="E4914" s="15">
        <v>1000.0</v>
      </c>
      <c r="F4914" s="16">
        <v>81.92</v>
      </c>
      <c r="G4914" s="16">
        <v>0.0</v>
      </c>
      <c r="H4914" s="16">
        <v>308.144</v>
      </c>
      <c r="I4914" s="16">
        <v>0.0</v>
      </c>
      <c r="J4914" s="16">
        <v>0.0</v>
      </c>
      <c r="K4914" s="16">
        <v>0.0</v>
      </c>
      <c r="L4914" s="16">
        <v>390.064</v>
      </c>
      <c r="M4914" s="16">
        <v>524.535</v>
      </c>
      <c r="N4914" s="16">
        <v>0.0</v>
      </c>
      <c r="O4914" s="13" t="s">
        <v>58</v>
      </c>
      <c r="P4914" s="18">
        <f t="shared" si="1"/>
        <v>390.064</v>
      </c>
    </row>
    <row r="4915" ht="15.75" customHeight="1">
      <c r="A4915" s="19" t="s">
        <v>252</v>
      </c>
      <c r="B4915" s="19" t="s">
        <v>133</v>
      </c>
      <c r="C4915" s="20" t="s">
        <v>179</v>
      </c>
      <c r="D4915" s="14" t="str">
        <f>VLOOKUP(C4915,'State Key'!$A$2:$B$210,2,False)</f>
        <v>Maharashtra</v>
      </c>
      <c r="E4915" s="21">
        <v>500.0</v>
      </c>
      <c r="F4915" s="22">
        <v>168.101</v>
      </c>
      <c r="G4915" s="22">
        <v>28.431</v>
      </c>
      <c r="H4915" s="22">
        <v>0.0</v>
      </c>
      <c r="I4915" s="22">
        <v>0.0</v>
      </c>
      <c r="J4915" s="22">
        <v>0.0</v>
      </c>
      <c r="K4915" s="22">
        <v>0.0</v>
      </c>
      <c r="L4915" s="22">
        <v>196.532</v>
      </c>
      <c r="M4915" s="22">
        <v>194.285</v>
      </c>
      <c r="N4915" s="22">
        <v>0.0</v>
      </c>
      <c r="O4915" s="19" t="s">
        <v>58</v>
      </c>
      <c r="P4915" s="18">
        <f t="shared" si="1"/>
        <v>196.532</v>
      </c>
    </row>
    <row r="4916" ht="15.75" customHeight="1">
      <c r="A4916" s="13" t="s">
        <v>252</v>
      </c>
      <c r="B4916" s="13" t="s">
        <v>133</v>
      </c>
      <c r="C4916" s="14" t="s">
        <v>180</v>
      </c>
      <c r="D4916" s="14" t="str">
        <f>VLOOKUP(C4916,'State Key'!$A$2:$B$210,2,False)</f>
        <v>Maharashtra</v>
      </c>
      <c r="E4916" s="15">
        <v>750.0</v>
      </c>
      <c r="F4916" s="16">
        <v>58.514</v>
      </c>
      <c r="G4916" s="16">
        <v>69.08</v>
      </c>
      <c r="H4916" s="16">
        <v>0.0</v>
      </c>
      <c r="I4916" s="16">
        <v>0.0</v>
      </c>
      <c r="J4916" s="16">
        <v>0.0</v>
      </c>
      <c r="K4916" s="16">
        <v>0.0</v>
      </c>
      <c r="L4916" s="16">
        <v>127.594</v>
      </c>
      <c r="M4916" s="16">
        <v>67.956</v>
      </c>
      <c r="N4916" s="16">
        <v>0.0</v>
      </c>
      <c r="O4916" s="13" t="s">
        <v>58</v>
      </c>
      <c r="P4916" s="18">
        <f t="shared" si="1"/>
        <v>127.594</v>
      </c>
    </row>
    <row r="4917" ht="15.75" customHeight="1">
      <c r="A4917" s="19" t="s">
        <v>252</v>
      </c>
      <c r="B4917" s="19" t="s">
        <v>133</v>
      </c>
      <c r="C4917" s="20" t="s">
        <v>181</v>
      </c>
      <c r="D4917" s="14" t="str">
        <f>VLOOKUP(C4917,'State Key'!$A$2:$B$210,2,False)</f>
        <v>Chhattisgarh</v>
      </c>
      <c r="E4917" s="21">
        <v>600.0</v>
      </c>
      <c r="F4917" s="22">
        <v>255.152</v>
      </c>
      <c r="G4917" s="22">
        <v>0.0</v>
      </c>
      <c r="H4917" s="22">
        <v>0.0</v>
      </c>
      <c r="I4917" s="22">
        <v>0.0</v>
      </c>
      <c r="J4917" s="22">
        <v>0.0</v>
      </c>
      <c r="K4917" s="22">
        <v>30.37</v>
      </c>
      <c r="L4917" s="22">
        <v>285.522</v>
      </c>
      <c r="M4917" s="22">
        <v>269.886</v>
      </c>
      <c r="N4917" s="22">
        <v>0.0</v>
      </c>
      <c r="O4917" s="19" t="s">
        <v>58</v>
      </c>
      <c r="P4917" s="18">
        <f t="shared" si="1"/>
        <v>285.522</v>
      </c>
    </row>
    <row r="4918" ht="15.75" customHeight="1">
      <c r="A4918" s="13" t="s">
        <v>252</v>
      </c>
      <c r="B4918" s="13" t="s">
        <v>133</v>
      </c>
      <c r="C4918" s="14" t="s">
        <v>183</v>
      </c>
      <c r="D4918" s="14" t="str">
        <f>VLOOKUP(C4918,'State Key'!$A$2:$B$210,2,False)</f>
        <v>Chhattisgarh</v>
      </c>
      <c r="E4918" s="15">
        <v>100.0</v>
      </c>
      <c r="F4918" s="16">
        <v>8.335</v>
      </c>
      <c r="G4918" s="16">
        <v>0.0</v>
      </c>
      <c r="H4918" s="16">
        <v>0.0</v>
      </c>
      <c r="I4918" s="16">
        <v>0.0</v>
      </c>
      <c r="J4918" s="16">
        <v>0.0</v>
      </c>
      <c r="K4918" s="16">
        <v>67.965</v>
      </c>
      <c r="L4918" s="16">
        <v>76.3</v>
      </c>
      <c r="M4918" s="16">
        <v>79.216</v>
      </c>
      <c r="N4918" s="16">
        <v>0.0</v>
      </c>
      <c r="O4918" s="13" t="s">
        <v>58</v>
      </c>
      <c r="P4918" s="18">
        <f t="shared" si="1"/>
        <v>76.3</v>
      </c>
    </row>
    <row r="4919" ht="15.75" customHeight="1">
      <c r="A4919" s="19" t="s">
        <v>252</v>
      </c>
      <c r="B4919" s="19" t="s">
        <v>133</v>
      </c>
      <c r="C4919" s="20" t="s">
        <v>184</v>
      </c>
      <c r="D4919" s="14" t="str">
        <f>VLOOKUP(C4919,'State Key'!$A$2:$B$210,2,False)</f>
        <v>Gujarat</v>
      </c>
      <c r="E4919" s="21">
        <v>362.0</v>
      </c>
      <c r="F4919" s="22">
        <v>131.77</v>
      </c>
      <c r="G4919" s="22">
        <v>0.0</v>
      </c>
      <c r="H4919" s="22">
        <v>0.0</v>
      </c>
      <c r="I4919" s="22">
        <v>0.0</v>
      </c>
      <c r="J4919" s="22">
        <v>0.0</v>
      </c>
      <c r="K4919" s="22">
        <v>0.0</v>
      </c>
      <c r="L4919" s="22">
        <v>131.77</v>
      </c>
      <c r="M4919" s="22">
        <v>136.41</v>
      </c>
      <c r="N4919" s="22">
        <v>0.0</v>
      </c>
      <c r="O4919" s="19" t="s">
        <v>58</v>
      </c>
      <c r="P4919" s="18">
        <f t="shared" si="1"/>
        <v>131.77</v>
      </c>
    </row>
    <row r="4920" ht="15.75" customHeight="1">
      <c r="A4920" s="13" t="s">
        <v>252</v>
      </c>
      <c r="B4920" s="13" t="s">
        <v>133</v>
      </c>
      <c r="C4920" s="14" t="s">
        <v>185</v>
      </c>
      <c r="D4920" s="14" t="str">
        <f>VLOOKUP(C4920,'State Key'!$A$2:$B$210,2,False)</f>
        <v>Gujarat</v>
      </c>
      <c r="E4920" s="15">
        <v>1200.0</v>
      </c>
      <c r="F4920" s="16">
        <v>0.0</v>
      </c>
      <c r="G4920" s="16">
        <v>0.0</v>
      </c>
      <c r="H4920" s="16">
        <v>0.0</v>
      </c>
      <c r="I4920" s="16">
        <v>0.0</v>
      </c>
      <c r="J4920" s="16">
        <v>233.54776</v>
      </c>
      <c r="K4920" s="16">
        <v>0.0</v>
      </c>
      <c r="L4920" s="16">
        <v>233.54776</v>
      </c>
      <c r="M4920" s="16">
        <v>191.159</v>
      </c>
      <c r="N4920" s="16">
        <v>0.0</v>
      </c>
      <c r="O4920" s="13" t="s">
        <v>58</v>
      </c>
      <c r="P4920" s="18">
        <f t="shared" si="1"/>
        <v>233.54776</v>
      </c>
    </row>
    <row r="4921" ht="15.75" customHeight="1">
      <c r="A4921" s="19" t="s">
        <v>252</v>
      </c>
      <c r="B4921" s="19" t="s">
        <v>133</v>
      </c>
      <c r="C4921" s="20" t="s">
        <v>187</v>
      </c>
      <c r="D4921" s="14" t="str">
        <f>VLOOKUP(C4921,'State Key'!$A$2:$B$210,2,False)</f>
        <v>Madhya Pradesh</v>
      </c>
      <c r="E4921" s="21">
        <v>1340.0</v>
      </c>
      <c r="F4921" s="22">
        <v>338.331</v>
      </c>
      <c r="G4921" s="22">
        <v>0.0</v>
      </c>
      <c r="H4921" s="22">
        <v>0.0</v>
      </c>
      <c r="I4921" s="22">
        <v>0.0</v>
      </c>
      <c r="J4921" s="22">
        <v>0.0</v>
      </c>
      <c r="K4921" s="22">
        <v>0.0</v>
      </c>
      <c r="L4921" s="22">
        <v>338.331</v>
      </c>
      <c r="M4921" s="22">
        <v>408.579</v>
      </c>
      <c r="N4921" s="22">
        <v>0.0</v>
      </c>
      <c r="O4921" s="19" t="s">
        <v>58</v>
      </c>
      <c r="P4921" s="18">
        <f t="shared" si="1"/>
        <v>338.331</v>
      </c>
    </row>
    <row r="4922" ht="15.75" customHeight="1">
      <c r="A4922" s="13" t="s">
        <v>252</v>
      </c>
      <c r="B4922" s="13" t="s">
        <v>133</v>
      </c>
      <c r="C4922" s="14" t="s">
        <v>188</v>
      </c>
      <c r="D4922" s="14" t="str">
        <f>VLOOKUP(C4922,'State Key'!$A$2:$B$210,2,False)</f>
        <v>Madhya Pradesh</v>
      </c>
      <c r="E4922" s="15">
        <v>3960.0</v>
      </c>
      <c r="F4922" s="16">
        <v>0.0</v>
      </c>
      <c r="G4922" s="16">
        <v>0.0</v>
      </c>
      <c r="H4922" s="16">
        <v>1362.896</v>
      </c>
      <c r="I4922" s="16">
        <v>0.0</v>
      </c>
      <c r="J4922" s="16">
        <v>0.0</v>
      </c>
      <c r="K4922" s="16">
        <v>0.0</v>
      </c>
      <c r="L4922" s="16">
        <v>1362.896</v>
      </c>
      <c r="M4922" s="16">
        <v>1459.462</v>
      </c>
      <c r="N4922" s="16">
        <v>0.0</v>
      </c>
      <c r="O4922" s="13" t="s">
        <v>58</v>
      </c>
      <c r="P4922" s="18">
        <f t="shared" si="1"/>
        <v>1362.896</v>
      </c>
    </row>
    <row r="4923" ht="15.75" customHeight="1">
      <c r="A4923" s="19" t="s">
        <v>252</v>
      </c>
      <c r="B4923" s="19" t="s">
        <v>133</v>
      </c>
      <c r="C4923" s="20" t="s">
        <v>189</v>
      </c>
      <c r="D4923" s="14" t="str">
        <f>VLOOKUP(C4923,'State Key'!$A$2:$B$210,2,False)</f>
        <v>Madhya Pradesh</v>
      </c>
      <c r="E4923" s="21">
        <v>500.0</v>
      </c>
      <c r="F4923" s="22">
        <v>246.98243</v>
      </c>
      <c r="G4923" s="22">
        <v>0.0</v>
      </c>
      <c r="H4923" s="22">
        <v>0.0</v>
      </c>
      <c r="I4923" s="22">
        <v>0.0</v>
      </c>
      <c r="J4923" s="22">
        <v>0.0</v>
      </c>
      <c r="K4923" s="22">
        <v>0.0</v>
      </c>
      <c r="L4923" s="22">
        <v>246.98243</v>
      </c>
      <c r="M4923" s="22">
        <v>204.159</v>
      </c>
      <c r="N4923" s="22">
        <v>0.0</v>
      </c>
      <c r="O4923" s="19" t="s">
        <v>58</v>
      </c>
      <c r="P4923" s="18">
        <f t="shared" si="1"/>
        <v>246.98243</v>
      </c>
    </row>
    <row r="4924" ht="15.75" customHeight="1">
      <c r="A4924" s="13" t="s">
        <v>252</v>
      </c>
      <c r="B4924" s="13" t="s">
        <v>133</v>
      </c>
      <c r="C4924" s="14" t="s">
        <v>190</v>
      </c>
      <c r="D4924" s="14" t="str">
        <f>VLOOKUP(C4924,'State Key'!$A$2:$B$210,2,False)</f>
        <v>Madhya Pradesh</v>
      </c>
      <c r="E4924" s="15">
        <v>600.0</v>
      </c>
      <c r="F4924" s="16">
        <v>100.896</v>
      </c>
      <c r="G4924" s="16">
        <v>0.0</v>
      </c>
      <c r="H4924" s="16">
        <v>0.0</v>
      </c>
      <c r="I4924" s="16">
        <v>118.222</v>
      </c>
      <c r="J4924" s="16">
        <v>0.0</v>
      </c>
      <c r="K4924" s="16">
        <v>0.0</v>
      </c>
      <c r="L4924" s="16">
        <v>219.118</v>
      </c>
      <c r="M4924" s="16">
        <v>268.127</v>
      </c>
      <c r="N4924" s="16">
        <v>0.0</v>
      </c>
      <c r="O4924" s="13" t="s">
        <v>58</v>
      </c>
      <c r="P4924" s="18">
        <f t="shared" si="1"/>
        <v>219.118</v>
      </c>
    </row>
    <row r="4925" ht="15.75" customHeight="1">
      <c r="A4925" s="19" t="s">
        <v>252</v>
      </c>
      <c r="B4925" s="19" t="s">
        <v>133</v>
      </c>
      <c r="C4925" s="20" t="s">
        <v>191</v>
      </c>
      <c r="D4925" s="14" t="str">
        <f>VLOOKUP(C4925,'State Key'!$A$2:$B$210,2,False)</f>
        <v>Maharashtra</v>
      </c>
      <c r="E4925" s="21">
        <v>300.0</v>
      </c>
      <c r="F4925" s="22">
        <v>0.0</v>
      </c>
      <c r="G4925" s="22">
        <v>0.0</v>
      </c>
      <c r="H4925" s="22">
        <v>0.0</v>
      </c>
      <c r="I4925" s="22">
        <v>0.0</v>
      </c>
      <c r="J4925" s="22">
        <v>0.0</v>
      </c>
      <c r="K4925" s="22">
        <v>101.239</v>
      </c>
      <c r="L4925" s="22">
        <v>101.239</v>
      </c>
      <c r="M4925" s="22">
        <v>74.032</v>
      </c>
      <c r="N4925" s="22">
        <v>0.0</v>
      </c>
      <c r="O4925" s="19" t="s">
        <v>58</v>
      </c>
      <c r="P4925" s="18">
        <f t="shared" si="1"/>
        <v>101.239</v>
      </c>
    </row>
    <row r="4926" ht="15.75" customHeight="1">
      <c r="A4926" s="13" t="s">
        <v>252</v>
      </c>
      <c r="B4926" s="13" t="s">
        <v>133</v>
      </c>
      <c r="C4926" s="14" t="s">
        <v>192</v>
      </c>
      <c r="D4926" s="14" t="str">
        <f>VLOOKUP(C4926,'State Key'!$A$2:$B$210,2,False)</f>
        <v>Madhya Pradesh</v>
      </c>
      <c r="E4926" s="15">
        <v>2520.0</v>
      </c>
      <c r="F4926" s="16">
        <v>814.457</v>
      </c>
      <c r="G4926" s="16">
        <v>0.0</v>
      </c>
      <c r="H4926" s="16">
        <v>0.0</v>
      </c>
      <c r="I4926" s="16">
        <v>0.0</v>
      </c>
      <c r="J4926" s="16">
        <v>0.0</v>
      </c>
      <c r="K4926" s="16">
        <v>0.0</v>
      </c>
      <c r="L4926" s="16">
        <v>814.457</v>
      </c>
      <c r="M4926" s="16">
        <v>782.774</v>
      </c>
      <c r="N4926" s="16">
        <v>0.0</v>
      </c>
      <c r="O4926" s="13" t="s">
        <v>58</v>
      </c>
      <c r="P4926" s="18">
        <f t="shared" si="1"/>
        <v>814.457</v>
      </c>
    </row>
    <row r="4927" ht="15.75" customHeight="1">
      <c r="A4927" s="19" t="s">
        <v>252</v>
      </c>
      <c r="B4927" s="19" t="s">
        <v>133</v>
      </c>
      <c r="C4927" s="20" t="s">
        <v>193</v>
      </c>
      <c r="D4927" s="14" t="str">
        <f>VLOOKUP(C4927,'State Key'!$A$2:$B$210,2,False)</f>
        <v>Gujarat</v>
      </c>
      <c r="E4927" s="21">
        <v>500.0</v>
      </c>
      <c r="F4927" s="22">
        <v>0.0</v>
      </c>
      <c r="G4927" s="22">
        <v>0.0</v>
      </c>
      <c r="H4927" s="22">
        <v>0.0</v>
      </c>
      <c r="I4927" s="22">
        <v>0.0</v>
      </c>
      <c r="J4927" s="22">
        <v>19.997</v>
      </c>
      <c r="K4927" s="22">
        <v>0.0</v>
      </c>
      <c r="L4927" s="22">
        <v>19.997</v>
      </c>
      <c r="M4927" s="22">
        <v>6.141</v>
      </c>
      <c r="N4927" s="22">
        <v>0.0</v>
      </c>
      <c r="O4927" s="19" t="s">
        <v>58</v>
      </c>
      <c r="P4927" s="18">
        <f t="shared" si="1"/>
        <v>19.997</v>
      </c>
    </row>
    <row r="4928" ht="15.75" customHeight="1">
      <c r="A4928" s="13" t="s">
        <v>252</v>
      </c>
      <c r="B4928" s="13" t="s">
        <v>133</v>
      </c>
      <c r="C4928" s="14" t="s">
        <v>194</v>
      </c>
      <c r="D4928" s="14" t="str">
        <f>VLOOKUP(C4928,'State Key'!$A$2:$B$210,2,False)</f>
        <v>Chhattisgarh</v>
      </c>
      <c r="E4928" s="15">
        <v>2980.0</v>
      </c>
      <c r="F4928" s="16">
        <v>1288.6</v>
      </c>
      <c r="G4928" s="16">
        <v>0.0</v>
      </c>
      <c r="H4928" s="16">
        <v>24.27</v>
      </c>
      <c r="I4928" s="16">
        <v>0.0</v>
      </c>
      <c r="J4928" s="16">
        <v>0.0</v>
      </c>
      <c r="K4928" s="16">
        <v>11.89</v>
      </c>
      <c r="L4928" s="16">
        <v>1324.76</v>
      </c>
      <c r="M4928" s="16">
        <v>1081.252</v>
      </c>
      <c r="N4928" s="16">
        <v>0.0</v>
      </c>
      <c r="O4928" s="13" t="s">
        <v>58</v>
      </c>
      <c r="P4928" s="18">
        <f t="shared" si="1"/>
        <v>1324.76</v>
      </c>
    </row>
    <row r="4929" ht="15.75" customHeight="1">
      <c r="A4929" s="19" t="s">
        <v>252</v>
      </c>
      <c r="B4929" s="19" t="s">
        <v>133</v>
      </c>
      <c r="C4929" s="20" t="s">
        <v>195</v>
      </c>
      <c r="D4929" s="14" t="str">
        <f>VLOOKUP(C4929,'State Key'!$A$2:$B$210,2,False)</f>
        <v>Maharashtra</v>
      </c>
      <c r="E4929" s="21">
        <v>1320.0</v>
      </c>
      <c r="F4929" s="22">
        <v>118.91</v>
      </c>
      <c r="G4929" s="22">
        <v>245.11</v>
      </c>
      <c r="H4929" s="22">
        <v>26.14</v>
      </c>
      <c r="I4929" s="22">
        <v>0.0</v>
      </c>
      <c r="J4929" s="22">
        <v>0.0</v>
      </c>
      <c r="K4929" s="22">
        <v>64.42</v>
      </c>
      <c r="L4929" s="22">
        <v>454.58</v>
      </c>
      <c r="M4929" s="22">
        <v>291.865</v>
      </c>
      <c r="N4929" s="22">
        <v>0.0</v>
      </c>
      <c r="O4929" s="19" t="s">
        <v>58</v>
      </c>
      <c r="P4929" s="18">
        <f t="shared" si="1"/>
        <v>454.58</v>
      </c>
    </row>
    <row r="4930" ht="15.75" customHeight="1">
      <c r="A4930" s="13" t="s">
        <v>252</v>
      </c>
      <c r="B4930" s="13" t="s">
        <v>133</v>
      </c>
      <c r="C4930" s="14" t="s">
        <v>196</v>
      </c>
      <c r="D4930" s="14" t="str">
        <f>VLOOKUP(C4930,'State Key'!$A$2:$B$210,2,False)</f>
        <v>Chhattisgarh</v>
      </c>
      <c r="E4930" s="15">
        <v>63.0</v>
      </c>
      <c r="F4930" s="16">
        <v>44.8</v>
      </c>
      <c r="G4930" s="16">
        <v>0.0</v>
      </c>
      <c r="H4930" s="16">
        <v>0.0</v>
      </c>
      <c r="I4930" s="16">
        <v>0.0</v>
      </c>
      <c r="J4930" s="16">
        <v>0.0</v>
      </c>
      <c r="K4930" s="16">
        <v>0.0</v>
      </c>
      <c r="L4930" s="16">
        <v>44.8</v>
      </c>
      <c r="M4930" s="16">
        <v>38.9</v>
      </c>
      <c r="N4930" s="16">
        <v>0.0</v>
      </c>
      <c r="O4930" s="13" t="s">
        <v>58</v>
      </c>
      <c r="P4930" s="18">
        <f t="shared" si="1"/>
        <v>44.8</v>
      </c>
    </row>
    <row r="4931" ht="15.75" customHeight="1">
      <c r="A4931" s="19" t="s">
        <v>252</v>
      </c>
      <c r="B4931" s="19" t="s">
        <v>133</v>
      </c>
      <c r="C4931" s="20" t="s">
        <v>198</v>
      </c>
      <c r="D4931" s="14" t="str">
        <f>VLOOKUP(C4931,'State Key'!$A$2:$B$210,2,False)</f>
        <v>Chhattisgarh</v>
      </c>
      <c r="E4931" s="21">
        <v>2400.0</v>
      </c>
      <c r="F4931" s="22">
        <v>384.02</v>
      </c>
      <c r="G4931" s="22">
        <v>0.0</v>
      </c>
      <c r="H4931" s="22">
        <v>897.382</v>
      </c>
      <c r="I4931" s="22">
        <v>0.0</v>
      </c>
      <c r="J4931" s="22">
        <v>0.0</v>
      </c>
      <c r="K4931" s="22">
        <v>0.0</v>
      </c>
      <c r="L4931" s="22">
        <v>1281.402</v>
      </c>
      <c r="M4931" s="22">
        <v>1296.158</v>
      </c>
      <c r="N4931" s="22">
        <v>0.0</v>
      </c>
      <c r="O4931" s="19" t="s">
        <v>58</v>
      </c>
      <c r="P4931" s="18">
        <f t="shared" si="1"/>
        <v>1281.402</v>
      </c>
    </row>
    <row r="4932" ht="15.75" customHeight="1">
      <c r="A4932" s="13" t="s">
        <v>252</v>
      </c>
      <c r="B4932" s="13" t="s">
        <v>133</v>
      </c>
      <c r="C4932" s="14" t="s">
        <v>200</v>
      </c>
      <c r="D4932" s="14" t="str">
        <f>VLOOKUP(C4932,'State Key'!$A$2:$B$210,2,False)</f>
        <v>Maharashtra</v>
      </c>
      <c r="E4932" s="15">
        <v>750.0</v>
      </c>
      <c r="F4932" s="16">
        <v>0.0</v>
      </c>
      <c r="G4932" s="16">
        <v>0.0</v>
      </c>
      <c r="H4932" s="16">
        <v>0.0</v>
      </c>
      <c r="I4932" s="16">
        <v>0.0</v>
      </c>
      <c r="J4932" s="16">
        <v>195.41897</v>
      </c>
      <c r="K4932" s="16">
        <v>0.0</v>
      </c>
      <c r="L4932" s="16">
        <v>195.41897</v>
      </c>
      <c r="M4932" s="16">
        <v>211.0607</v>
      </c>
      <c r="N4932" s="16">
        <v>0.0</v>
      </c>
      <c r="O4932" s="13" t="s">
        <v>58</v>
      </c>
      <c r="P4932" s="18">
        <f t="shared" si="1"/>
        <v>195.41897</v>
      </c>
    </row>
    <row r="4933" ht="15.75" customHeight="1">
      <c r="A4933" s="19" t="s">
        <v>252</v>
      </c>
      <c r="B4933" s="19" t="s">
        <v>133</v>
      </c>
      <c r="C4933" s="20" t="s">
        <v>201</v>
      </c>
      <c r="D4933" s="14" t="str">
        <f>VLOOKUP(C4933,'State Key'!$A$2:$B$210,2,False)</f>
        <v>Chhattisgarh</v>
      </c>
      <c r="E4933" s="21">
        <v>1440.0</v>
      </c>
      <c r="F4933" s="22">
        <v>513.492</v>
      </c>
      <c r="G4933" s="22">
        <v>0.0</v>
      </c>
      <c r="H4933" s="22">
        <v>0.0</v>
      </c>
      <c r="I4933" s="22">
        <v>4.869</v>
      </c>
      <c r="J4933" s="22">
        <v>0.0</v>
      </c>
      <c r="K4933" s="22">
        <v>50.466</v>
      </c>
      <c r="L4933" s="22">
        <v>568.827</v>
      </c>
      <c r="M4933" s="22">
        <v>475.914</v>
      </c>
      <c r="N4933" s="22">
        <v>0.0</v>
      </c>
      <c r="O4933" s="19" t="s">
        <v>58</v>
      </c>
      <c r="P4933" s="18">
        <f t="shared" si="1"/>
        <v>568.827</v>
      </c>
    </row>
    <row r="4934" ht="15.75" customHeight="1">
      <c r="A4934" s="13" t="s">
        <v>252</v>
      </c>
      <c r="B4934" s="13" t="s">
        <v>133</v>
      </c>
      <c r="C4934" s="14" t="s">
        <v>202</v>
      </c>
      <c r="D4934" s="14" t="str">
        <f>VLOOKUP(C4934,'State Key'!$A$2:$B$210,2,False)</f>
        <v>Gujarat</v>
      </c>
      <c r="E4934" s="15">
        <v>1110.0</v>
      </c>
      <c r="F4934" s="16">
        <v>450.288</v>
      </c>
      <c r="G4934" s="16">
        <v>0.0</v>
      </c>
      <c r="H4934" s="16">
        <v>0.0</v>
      </c>
      <c r="I4934" s="16">
        <v>0.0</v>
      </c>
      <c r="J4934" s="16">
        <v>0.0</v>
      </c>
      <c r="K4934" s="16">
        <v>0.0</v>
      </c>
      <c r="L4934" s="16">
        <v>450.288</v>
      </c>
      <c r="M4934" s="16">
        <v>332.205</v>
      </c>
      <c r="N4934" s="16">
        <v>0.0</v>
      </c>
      <c r="O4934" s="13" t="s">
        <v>58</v>
      </c>
      <c r="P4934" s="18">
        <f t="shared" si="1"/>
        <v>450.288</v>
      </c>
    </row>
    <row r="4935" ht="15.75" customHeight="1">
      <c r="A4935" s="19" t="s">
        <v>252</v>
      </c>
      <c r="B4935" s="19" t="s">
        <v>133</v>
      </c>
      <c r="C4935" s="20" t="s">
        <v>203</v>
      </c>
      <c r="D4935" s="14" t="str">
        <f>VLOOKUP(C4935,'State Key'!$A$2:$B$210,2,False)</f>
        <v>Madhya Pradesh</v>
      </c>
      <c r="E4935" s="21">
        <v>4760.0</v>
      </c>
      <c r="F4935" s="22">
        <v>1623.54</v>
      </c>
      <c r="G4935" s="22">
        <v>0.0</v>
      </c>
      <c r="H4935" s="22">
        <v>0.0</v>
      </c>
      <c r="I4935" s="22">
        <v>0.0</v>
      </c>
      <c r="J4935" s="22">
        <v>0.0</v>
      </c>
      <c r="K4935" s="22">
        <v>0.0</v>
      </c>
      <c r="L4935" s="22">
        <v>1623.54</v>
      </c>
      <c r="M4935" s="22">
        <v>1924.115</v>
      </c>
      <c r="N4935" s="22">
        <v>0.0</v>
      </c>
      <c r="O4935" s="19" t="s">
        <v>58</v>
      </c>
      <c r="P4935" s="18">
        <f t="shared" si="1"/>
        <v>1623.54</v>
      </c>
    </row>
    <row r="4936" ht="15.75" customHeight="1">
      <c r="A4936" s="13" t="s">
        <v>252</v>
      </c>
      <c r="B4936" s="13" t="s">
        <v>133</v>
      </c>
      <c r="C4936" s="14" t="s">
        <v>204</v>
      </c>
      <c r="D4936" s="14" t="str">
        <f>VLOOKUP(C4936,'State Key'!$A$2:$B$210,2,False)</f>
        <v>Gujarat</v>
      </c>
      <c r="E4936" s="15">
        <v>2270.0</v>
      </c>
      <c r="F4936" s="16">
        <v>510.591</v>
      </c>
      <c r="G4936" s="16">
        <v>0.0</v>
      </c>
      <c r="H4936" s="16">
        <v>0.0</v>
      </c>
      <c r="I4936" s="16">
        <v>0.0</v>
      </c>
      <c r="J4936" s="16">
        <v>0.0</v>
      </c>
      <c r="K4936" s="16">
        <v>0.0</v>
      </c>
      <c r="L4936" s="16">
        <v>510.591</v>
      </c>
      <c r="M4936" s="16">
        <v>426.97</v>
      </c>
      <c r="N4936" s="16">
        <v>0.0</v>
      </c>
      <c r="O4936" s="13" t="s">
        <v>58</v>
      </c>
      <c r="P4936" s="18">
        <f t="shared" si="1"/>
        <v>510.591</v>
      </c>
    </row>
    <row r="4937" ht="15.75" customHeight="1">
      <c r="A4937" s="19" t="s">
        <v>252</v>
      </c>
      <c r="B4937" s="19" t="s">
        <v>133</v>
      </c>
      <c r="C4937" s="20" t="s">
        <v>205</v>
      </c>
      <c r="D4937" s="14" t="str">
        <f>VLOOKUP(C4937,'State Key'!$A$2:$B$210,2,False)</f>
        <v>Maharashtra</v>
      </c>
      <c r="E4937" s="21">
        <v>540.0</v>
      </c>
      <c r="F4937" s="22">
        <v>154.73</v>
      </c>
      <c r="G4937" s="22">
        <v>0.0</v>
      </c>
      <c r="H4937" s="22">
        <v>0.0</v>
      </c>
      <c r="I4937" s="22">
        <v>0.0</v>
      </c>
      <c r="J4937" s="22">
        <v>0.0</v>
      </c>
      <c r="K4937" s="22">
        <v>40.61</v>
      </c>
      <c r="L4937" s="22">
        <v>195.34</v>
      </c>
      <c r="M4937" s="22">
        <v>166.43</v>
      </c>
      <c r="N4937" s="22">
        <v>0.0</v>
      </c>
      <c r="O4937" s="19" t="s">
        <v>58</v>
      </c>
      <c r="P4937" s="18">
        <f t="shared" si="1"/>
        <v>195.34</v>
      </c>
    </row>
    <row r="4938" ht="15.75" customHeight="1">
      <c r="A4938" s="13" t="s">
        <v>253</v>
      </c>
      <c r="B4938" s="13" t="s">
        <v>22</v>
      </c>
      <c r="C4938" s="14" t="s">
        <v>23</v>
      </c>
      <c r="D4938" s="14" t="str">
        <f>VLOOKUP(C4938,'State Key'!$A$2:$B$210,2,False)</f>
        <v>West Bengal</v>
      </c>
      <c r="E4938" s="15">
        <v>1050.0</v>
      </c>
      <c r="F4938" s="16">
        <v>0.0</v>
      </c>
      <c r="G4938" s="16">
        <v>0.0</v>
      </c>
      <c r="H4938" s="16">
        <v>344.77</v>
      </c>
      <c r="I4938" s="16">
        <v>0.0</v>
      </c>
      <c r="J4938" s="16">
        <v>0.0</v>
      </c>
      <c r="K4938" s="16">
        <v>0.0</v>
      </c>
      <c r="L4938" s="16">
        <v>344.77</v>
      </c>
      <c r="M4938" s="16">
        <v>393.15</v>
      </c>
      <c r="N4938" s="16">
        <v>155.14</v>
      </c>
      <c r="O4938" s="23">
        <v>11.8</v>
      </c>
      <c r="P4938" s="18">
        <f t="shared" si="1"/>
        <v>344.77</v>
      </c>
    </row>
    <row r="4939" ht="15.75" customHeight="1">
      <c r="A4939" s="19" t="s">
        <v>253</v>
      </c>
      <c r="B4939" s="19" t="s">
        <v>22</v>
      </c>
      <c r="C4939" s="20" t="s">
        <v>24</v>
      </c>
      <c r="D4939" s="14" t="str">
        <f>VLOOKUP(C4939,'State Key'!$A$2:$B$210,2,False)</f>
        <v>West Bengal</v>
      </c>
      <c r="E4939" s="21">
        <v>270.0</v>
      </c>
      <c r="F4939" s="22">
        <v>0.0</v>
      </c>
      <c r="G4939" s="22">
        <v>0.0</v>
      </c>
      <c r="H4939" s="22">
        <v>95.971</v>
      </c>
      <c r="I4939" s="22">
        <v>0.0</v>
      </c>
      <c r="J4939" s="22">
        <v>0.0</v>
      </c>
      <c r="K4939" s="22">
        <v>0.0</v>
      </c>
      <c r="L4939" s="22">
        <v>95.971</v>
      </c>
      <c r="M4939" s="22">
        <v>116.468</v>
      </c>
      <c r="N4939" s="22">
        <v>52.5</v>
      </c>
      <c r="O4939" s="23">
        <v>13.5</v>
      </c>
      <c r="P4939" s="18">
        <f t="shared" si="1"/>
        <v>95.971</v>
      </c>
    </row>
    <row r="4940" ht="15.75" customHeight="1">
      <c r="A4940" s="13" t="s">
        <v>253</v>
      </c>
      <c r="B4940" s="13" t="s">
        <v>22</v>
      </c>
      <c r="C4940" s="14" t="s">
        <v>25</v>
      </c>
      <c r="D4940" s="14" t="str">
        <f>VLOOKUP(C4940,'State Key'!$A$2:$B$210,2,False)</f>
        <v>Bihar</v>
      </c>
      <c r="E4940" s="15">
        <v>500.0</v>
      </c>
      <c r="F4940" s="16">
        <v>0.0</v>
      </c>
      <c r="G4940" s="16">
        <v>0.0</v>
      </c>
      <c r="H4940" s="16">
        <v>149.6</v>
      </c>
      <c r="I4940" s="16">
        <v>0.0</v>
      </c>
      <c r="J4940" s="16">
        <v>0.0</v>
      </c>
      <c r="K4940" s="16">
        <v>0.0</v>
      </c>
      <c r="L4940" s="16">
        <v>149.6</v>
      </c>
      <c r="M4940" s="16">
        <v>198.027</v>
      </c>
      <c r="N4940" s="16">
        <v>198.301</v>
      </c>
      <c r="O4940" s="24">
        <v>30.0</v>
      </c>
      <c r="P4940" s="18">
        <f t="shared" si="1"/>
        <v>149.6</v>
      </c>
    </row>
    <row r="4941" ht="15.75" customHeight="1">
      <c r="A4941" s="19" t="s">
        <v>253</v>
      </c>
      <c r="B4941" s="19" t="s">
        <v>22</v>
      </c>
      <c r="C4941" s="20" t="s">
        <v>26</v>
      </c>
      <c r="D4941" s="14" t="str">
        <f>VLOOKUP(C4941,'State Key'!$A$2:$B$210,2,False)</f>
        <v>Bihar</v>
      </c>
      <c r="E4941" s="21">
        <v>3300.0</v>
      </c>
      <c r="F4941" s="22">
        <v>334.89</v>
      </c>
      <c r="G4941" s="22">
        <v>0.0</v>
      </c>
      <c r="H4941" s="22">
        <v>492.3</v>
      </c>
      <c r="I4941" s="22">
        <v>0.0</v>
      </c>
      <c r="J4941" s="22">
        <v>0.0</v>
      </c>
      <c r="K4941" s="22">
        <v>4.2</v>
      </c>
      <c r="L4941" s="22">
        <v>831.39</v>
      </c>
      <c r="M4941" s="22">
        <v>811.076</v>
      </c>
      <c r="N4941" s="22">
        <v>969.285</v>
      </c>
      <c r="O4941" s="24">
        <v>35.9</v>
      </c>
      <c r="P4941" s="18">
        <f t="shared" si="1"/>
        <v>831.39</v>
      </c>
    </row>
    <row r="4942" ht="15.75" customHeight="1">
      <c r="A4942" s="13" t="s">
        <v>253</v>
      </c>
      <c r="B4942" s="13" t="s">
        <v>22</v>
      </c>
      <c r="C4942" s="14" t="s">
        <v>27</v>
      </c>
      <c r="D4942" s="14" t="str">
        <f>VLOOKUP(C4942,'State Key'!$A$2:$B$210,2,False)</f>
        <v>Jharkhand</v>
      </c>
      <c r="E4942" s="15">
        <v>500.0</v>
      </c>
      <c r="F4942" s="16">
        <v>134.449</v>
      </c>
      <c r="G4942" s="16">
        <v>0.0</v>
      </c>
      <c r="H4942" s="16">
        <v>35.896</v>
      </c>
      <c r="I4942" s="16">
        <v>0.0</v>
      </c>
      <c r="J4942" s="16">
        <v>0.0</v>
      </c>
      <c r="K4942" s="16">
        <v>0.0</v>
      </c>
      <c r="L4942" s="16">
        <v>170.345</v>
      </c>
      <c r="M4942" s="16">
        <v>198.318</v>
      </c>
      <c r="N4942" s="16">
        <v>110.8</v>
      </c>
      <c r="O4942" s="24">
        <v>16.8</v>
      </c>
      <c r="P4942" s="18">
        <f t="shared" si="1"/>
        <v>170.345</v>
      </c>
    </row>
    <row r="4943" ht="15.75" customHeight="1">
      <c r="A4943" s="19" t="s">
        <v>253</v>
      </c>
      <c r="B4943" s="19" t="s">
        <v>22</v>
      </c>
      <c r="C4943" s="20" t="s">
        <v>28</v>
      </c>
      <c r="D4943" s="14" t="str">
        <f>VLOOKUP(C4943,'State Key'!$A$2:$B$210,2,False)</f>
        <v>West Bengal</v>
      </c>
      <c r="E4943" s="21">
        <v>750.0</v>
      </c>
      <c r="F4943" s="22">
        <v>77.774</v>
      </c>
      <c r="G4943" s="22">
        <v>0.0</v>
      </c>
      <c r="H4943" s="22">
        <v>107.843</v>
      </c>
      <c r="I4943" s="22">
        <v>23.52</v>
      </c>
      <c r="J4943" s="22">
        <v>0.0</v>
      </c>
      <c r="K4943" s="22">
        <v>0.0</v>
      </c>
      <c r="L4943" s="22">
        <v>209.137</v>
      </c>
      <c r="M4943" s="22">
        <v>314.68</v>
      </c>
      <c r="N4943" s="22">
        <v>82.02</v>
      </c>
      <c r="O4943" s="23">
        <v>7.8</v>
      </c>
      <c r="P4943" s="18">
        <f t="shared" si="1"/>
        <v>209.137</v>
      </c>
    </row>
    <row r="4944" ht="15.75" customHeight="1">
      <c r="A4944" s="13" t="s">
        <v>253</v>
      </c>
      <c r="B4944" s="13" t="s">
        <v>22</v>
      </c>
      <c r="C4944" s="14" t="s">
        <v>29</v>
      </c>
      <c r="D4944" s="14" t="str">
        <f>VLOOKUP(C4944,'State Key'!$A$2:$B$210,2,False)</f>
        <v>Jharkhand</v>
      </c>
      <c r="E4944" s="15">
        <v>500.0</v>
      </c>
      <c r="F4944" s="16">
        <v>43.242</v>
      </c>
      <c r="G4944" s="16">
        <v>0.0</v>
      </c>
      <c r="H4944" s="16">
        <v>36.943</v>
      </c>
      <c r="I4944" s="16">
        <v>0.0</v>
      </c>
      <c r="J4944" s="16">
        <v>0.0</v>
      </c>
      <c r="K4944" s="16">
        <v>0.0</v>
      </c>
      <c r="L4944" s="16">
        <v>80.185</v>
      </c>
      <c r="M4944" s="16">
        <v>103.149</v>
      </c>
      <c r="N4944" s="16">
        <v>249.82</v>
      </c>
      <c r="O4944" s="24">
        <v>72.7</v>
      </c>
      <c r="P4944" s="18">
        <f t="shared" si="1"/>
        <v>80.185</v>
      </c>
    </row>
    <row r="4945" ht="15.75" customHeight="1">
      <c r="A4945" s="19" t="s">
        <v>253</v>
      </c>
      <c r="B4945" s="19" t="s">
        <v>22</v>
      </c>
      <c r="C4945" s="20" t="s">
        <v>30</v>
      </c>
      <c r="D4945" s="14" t="str">
        <f>VLOOKUP(C4945,'State Key'!$A$2:$B$210,2,False)</f>
        <v>West Bengal</v>
      </c>
      <c r="E4945" s="21">
        <v>550.0</v>
      </c>
      <c r="F4945" s="22">
        <v>160.2576</v>
      </c>
      <c r="G4945" s="22">
        <v>0.0</v>
      </c>
      <c r="H4945" s="22">
        <v>21.2453</v>
      </c>
      <c r="I4945" s="22">
        <v>0.0</v>
      </c>
      <c r="J4945" s="22">
        <v>0.0</v>
      </c>
      <c r="K4945" s="22">
        <v>0.0</v>
      </c>
      <c r="L4945" s="22">
        <v>181.5029</v>
      </c>
      <c r="M4945" s="22">
        <v>225.2665</v>
      </c>
      <c r="N4945" s="22">
        <v>47.05</v>
      </c>
      <c r="O4945" s="17">
        <v>6.3</v>
      </c>
      <c r="P4945" s="18">
        <f t="shared" si="1"/>
        <v>181.5029</v>
      </c>
    </row>
    <row r="4946" ht="15.75" customHeight="1">
      <c r="A4946" s="13" t="s">
        <v>253</v>
      </c>
      <c r="B4946" s="13" t="s">
        <v>22</v>
      </c>
      <c r="C4946" s="14" t="s">
        <v>31</v>
      </c>
      <c r="D4946" s="14" t="str">
        <f>VLOOKUP(C4946,'State Key'!$A$2:$B$210,2,False)</f>
        <v>Odisha</v>
      </c>
      <c r="E4946" s="15">
        <v>1600.0</v>
      </c>
      <c r="F4946" s="16">
        <v>0.0</v>
      </c>
      <c r="G4946" s="16">
        <v>0.0</v>
      </c>
      <c r="H4946" s="16">
        <v>519.05</v>
      </c>
      <c r="I4946" s="16">
        <v>0.0</v>
      </c>
      <c r="J4946" s="16">
        <v>0.0</v>
      </c>
      <c r="K4946" s="16">
        <v>0.0</v>
      </c>
      <c r="L4946" s="16">
        <v>519.05</v>
      </c>
      <c r="M4946" s="16">
        <v>365.638</v>
      </c>
      <c r="N4946" s="16">
        <v>529.23</v>
      </c>
      <c r="O4946" s="24">
        <v>43.4</v>
      </c>
      <c r="P4946" s="18">
        <f t="shared" si="1"/>
        <v>519.05</v>
      </c>
    </row>
    <row r="4947" ht="15.75" customHeight="1">
      <c r="A4947" s="19" t="s">
        <v>253</v>
      </c>
      <c r="B4947" s="19" t="s">
        <v>22</v>
      </c>
      <c r="C4947" s="20" t="s">
        <v>32</v>
      </c>
      <c r="D4947" s="14" t="str">
        <f>VLOOKUP(C4947,'State Key'!$A$2:$B$210,2,False)</f>
        <v>Odisha</v>
      </c>
      <c r="E4947" s="21">
        <v>1200.0</v>
      </c>
      <c r="F4947" s="22">
        <v>547.983</v>
      </c>
      <c r="G4947" s="22">
        <v>0.0</v>
      </c>
      <c r="H4947" s="22">
        <v>0.0</v>
      </c>
      <c r="I4947" s="22">
        <v>4.622</v>
      </c>
      <c r="J4947" s="22">
        <v>0.0</v>
      </c>
      <c r="K4947" s="22">
        <v>0.0</v>
      </c>
      <c r="L4947" s="22">
        <v>552.605</v>
      </c>
      <c r="M4947" s="22">
        <v>607.859</v>
      </c>
      <c r="N4947" s="22">
        <v>998.54</v>
      </c>
      <c r="O4947" s="24">
        <v>49.3</v>
      </c>
      <c r="P4947" s="18">
        <f t="shared" si="1"/>
        <v>552.605</v>
      </c>
    </row>
    <row r="4948" ht="15.75" customHeight="1">
      <c r="A4948" s="13" t="s">
        <v>253</v>
      </c>
      <c r="B4948" s="13" t="s">
        <v>22</v>
      </c>
      <c r="C4948" s="14" t="s">
        <v>34</v>
      </c>
      <c r="D4948" s="14" t="str">
        <f>VLOOKUP(C4948,'State Key'!$A$2:$B$210,2,False)</f>
        <v>West Bengal</v>
      </c>
      <c r="E4948" s="15">
        <v>1000.0</v>
      </c>
      <c r="F4948" s="16">
        <v>245.02</v>
      </c>
      <c r="G4948" s="16">
        <v>0.0</v>
      </c>
      <c r="H4948" s="16">
        <v>0.0</v>
      </c>
      <c r="I4948" s="16">
        <v>0.0</v>
      </c>
      <c r="J4948" s="16">
        <v>0.0</v>
      </c>
      <c r="K4948" s="16">
        <v>0.0</v>
      </c>
      <c r="L4948" s="16">
        <v>245.02</v>
      </c>
      <c r="M4948" s="16">
        <v>381.207</v>
      </c>
      <c r="N4948" s="16">
        <v>314.16</v>
      </c>
      <c r="O4948" s="24">
        <v>24.7</v>
      </c>
      <c r="P4948" s="18">
        <f t="shared" si="1"/>
        <v>245.02</v>
      </c>
    </row>
    <row r="4949" ht="15.75" customHeight="1">
      <c r="A4949" s="19" t="s">
        <v>253</v>
      </c>
      <c r="B4949" s="19" t="s">
        <v>22</v>
      </c>
      <c r="C4949" s="20" t="s">
        <v>35</v>
      </c>
      <c r="D4949" s="14" t="str">
        <f>VLOOKUP(C4949,'State Key'!$A$2:$B$210,2,False)</f>
        <v>West Bengal</v>
      </c>
      <c r="E4949" s="21">
        <v>2100.0</v>
      </c>
      <c r="F4949" s="22">
        <v>539.17</v>
      </c>
      <c r="G4949" s="22">
        <v>0.0</v>
      </c>
      <c r="H4949" s="22">
        <v>73.15</v>
      </c>
      <c r="I4949" s="22">
        <v>0.0</v>
      </c>
      <c r="J4949" s="22">
        <v>0.0</v>
      </c>
      <c r="K4949" s="22">
        <v>0.0</v>
      </c>
      <c r="L4949" s="22">
        <v>612.32</v>
      </c>
      <c r="M4949" s="22">
        <v>846.871</v>
      </c>
      <c r="N4949" s="22">
        <v>420.859</v>
      </c>
      <c r="O4949" s="24">
        <v>14.9</v>
      </c>
      <c r="P4949" s="18">
        <f t="shared" si="1"/>
        <v>612.32</v>
      </c>
    </row>
    <row r="4950" ht="15.75" customHeight="1">
      <c r="A4950" s="13" t="s">
        <v>253</v>
      </c>
      <c r="B4950" s="13" t="s">
        <v>22</v>
      </c>
      <c r="C4950" s="14" t="s">
        <v>36</v>
      </c>
      <c r="D4950" s="14" t="str">
        <f>VLOOKUP(C4950,'State Key'!$A$2:$B$210,2,False)</f>
        <v>West Bengal</v>
      </c>
      <c r="E4950" s="15">
        <v>600.0</v>
      </c>
      <c r="F4950" s="16">
        <v>279.072</v>
      </c>
      <c r="G4950" s="16">
        <v>0.0</v>
      </c>
      <c r="H4950" s="16">
        <v>0.0</v>
      </c>
      <c r="I4950" s="16">
        <v>0.0</v>
      </c>
      <c r="J4950" s="16">
        <v>0.0</v>
      </c>
      <c r="K4950" s="16">
        <v>0.0</v>
      </c>
      <c r="L4950" s="16">
        <v>279.072</v>
      </c>
      <c r="M4950" s="16">
        <v>292.614</v>
      </c>
      <c r="N4950" s="16">
        <v>115.25</v>
      </c>
      <c r="O4950" s="23">
        <v>11.8</v>
      </c>
      <c r="P4950" s="18">
        <f t="shared" si="1"/>
        <v>279.072</v>
      </c>
    </row>
    <row r="4951" ht="15.75" customHeight="1">
      <c r="A4951" s="19" t="s">
        <v>253</v>
      </c>
      <c r="B4951" s="19" t="s">
        <v>22</v>
      </c>
      <c r="C4951" s="20" t="s">
        <v>37</v>
      </c>
      <c r="D4951" s="14" t="str">
        <f>VLOOKUP(C4951,'State Key'!$A$2:$B$210,2,False)</f>
        <v>West Bengal</v>
      </c>
      <c r="E4951" s="21">
        <v>300.0</v>
      </c>
      <c r="F4951" s="22">
        <v>161.837</v>
      </c>
      <c r="G4951" s="22">
        <v>0.0</v>
      </c>
      <c r="H4951" s="22">
        <v>0.0</v>
      </c>
      <c r="I4951" s="22">
        <v>0.0</v>
      </c>
      <c r="J4951" s="22">
        <v>0.0</v>
      </c>
      <c r="K4951" s="22">
        <v>0.0</v>
      </c>
      <c r="L4951" s="22">
        <v>161.837</v>
      </c>
      <c r="M4951" s="22">
        <v>139.083</v>
      </c>
      <c r="N4951" s="22">
        <v>226.77</v>
      </c>
      <c r="O4951" s="24">
        <v>48.9</v>
      </c>
      <c r="P4951" s="18">
        <f t="shared" si="1"/>
        <v>161.837</v>
      </c>
    </row>
    <row r="4952" ht="15.75" customHeight="1">
      <c r="A4952" s="13" t="s">
        <v>253</v>
      </c>
      <c r="B4952" s="13" t="s">
        <v>22</v>
      </c>
      <c r="C4952" s="14" t="s">
        <v>38</v>
      </c>
      <c r="D4952" s="14" t="str">
        <f>VLOOKUP(C4952,'State Key'!$A$2:$B$210,2,False)</f>
        <v>Odisha</v>
      </c>
      <c r="E4952" s="15">
        <v>1740.0</v>
      </c>
      <c r="F4952" s="16">
        <v>107.94</v>
      </c>
      <c r="G4952" s="16">
        <v>0.0</v>
      </c>
      <c r="H4952" s="16">
        <v>707.34</v>
      </c>
      <c r="I4952" s="16">
        <v>0.0</v>
      </c>
      <c r="J4952" s="16">
        <v>0.0</v>
      </c>
      <c r="K4952" s="16">
        <v>0.0</v>
      </c>
      <c r="L4952" s="16">
        <v>815.28</v>
      </c>
      <c r="M4952" s="16">
        <v>846.233</v>
      </c>
      <c r="N4952" s="16">
        <v>291.72</v>
      </c>
      <c r="O4952" s="23">
        <v>10.3</v>
      </c>
      <c r="P4952" s="18">
        <f t="shared" si="1"/>
        <v>815.28</v>
      </c>
    </row>
    <row r="4953" ht="15.75" customHeight="1">
      <c r="A4953" s="19" t="s">
        <v>253</v>
      </c>
      <c r="B4953" s="19" t="s">
        <v>22</v>
      </c>
      <c r="C4953" s="20" t="s">
        <v>39</v>
      </c>
      <c r="D4953" s="14" t="str">
        <f>VLOOKUP(C4953,'State Key'!$A$2:$B$210,2,False)</f>
        <v>Jharkhand</v>
      </c>
      <c r="E4953" s="21">
        <v>240.0</v>
      </c>
      <c r="F4953" s="22">
        <v>92.6803</v>
      </c>
      <c r="G4953" s="22">
        <v>0.0</v>
      </c>
      <c r="H4953" s="22">
        <v>0.0</v>
      </c>
      <c r="I4953" s="22">
        <v>0.0</v>
      </c>
      <c r="J4953" s="22">
        <v>0.0</v>
      </c>
      <c r="K4953" s="22">
        <v>3.791</v>
      </c>
      <c r="L4953" s="22">
        <v>96.4713</v>
      </c>
      <c r="M4953" s="22">
        <v>97.674</v>
      </c>
      <c r="N4953" s="22">
        <v>158.13</v>
      </c>
      <c r="O4953" s="24">
        <v>48.6</v>
      </c>
      <c r="P4953" s="18">
        <f t="shared" si="1"/>
        <v>96.4713</v>
      </c>
    </row>
    <row r="4954" ht="15.75" customHeight="1">
      <c r="A4954" s="13" t="s">
        <v>253</v>
      </c>
      <c r="B4954" s="13" t="s">
        <v>22</v>
      </c>
      <c r="C4954" s="14" t="s">
        <v>245</v>
      </c>
      <c r="D4954" s="14" t="str">
        <f>VLOOKUP(C4954,'State Key'!$A$2:$B$210,2,False)</f>
        <v>Odisha</v>
      </c>
      <c r="E4954" s="15">
        <v>700.0</v>
      </c>
      <c r="F4954" s="16">
        <v>0.0</v>
      </c>
      <c r="G4954" s="16">
        <v>0.0</v>
      </c>
      <c r="H4954" s="16">
        <v>0.0</v>
      </c>
      <c r="I4954" s="16">
        <v>0.0</v>
      </c>
      <c r="J4954" s="16">
        <v>0.0</v>
      </c>
      <c r="K4954" s="16">
        <v>270.36</v>
      </c>
      <c r="L4954" s="16">
        <v>270.36</v>
      </c>
      <c r="M4954" s="16">
        <v>293.148</v>
      </c>
      <c r="N4954" s="16">
        <v>52.64</v>
      </c>
      <c r="O4954" s="17">
        <v>5.4</v>
      </c>
      <c r="P4954" s="18">
        <f t="shared" si="1"/>
        <v>270.36</v>
      </c>
    </row>
    <row r="4955" ht="15.75" customHeight="1">
      <c r="A4955" s="19" t="s">
        <v>253</v>
      </c>
      <c r="B4955" s="19" t="s">
        <v>22</v>
      </c>
      <c r="C4955" s="20" t="s">
        <v>40</v>
      </c>
      <c r="D4955" s="14" t="str">
        <f>VLOOKUP(C4955,'State Key'!$A$2:$B$210,2,False)</f>
        <v>Bihar</v>
      </c>
      <c r="E4955" s="21">
        <v>2340.0</v>
      </c>
      <c r="F4955" s="22">
        <v>922.4</v>
      </c>
      <c r="G4955" s="22">
        <v>0.0</v>
      </c>
      <c r="H4955" s="22">
        <v>49.66</v>
      </c>
      <c r="I4955" s="22">
        <v>0.0</v>
      </c>
      <c r="J4955" s="22">
        <v>0.0</v>
      </c>
      <c r="K4955" s="22">
        <v>0.0</v>
      </c>
      <c r="L4955" s="22">
        <v>972.06</v>
      </c>
      <c r="M4955" s="22">
        <v>1062.609</v>
      </c>
      <c r="N4955" s="22">
        <v>615.021</v>
      </c>
      <c r="O4955" s="24">
        <v>17.4</v>
      </c>
      <c r="P4955" s="18">
        <f t="shared" si="1"/>
        <v>972.06</v>
      </c>
    </row>
    <row r="4956" ht="15.75" customHeight="1">
      <c r="A4956" s="13" t="s">
        <v>253</v>
      </c>
      <c r="B4956" s="13" t="s">
        <v>22</v>
      </c>
      <c r="C4956" s="14" t="s">
        <v>41</v>
      </c>
      <c r="D4956" s="14" t="str">
        <f>VLOOKUP(C4956,'State Key'!$A$2:$B$210,2,False)</f>
        <v>Odisha</v>
      </c>
      <c r="E4956" s="15">
        <v>1050.0</v>
      </c>
      <c r="F4956" s="16">
        <v>335.54</v>
      </c>
      <c r="G4956" s="16">
        <v>0.0</v>
      </c>
      <c r="H4956" s="16">
        <v>0.0</v>
      </c>
      <c r="I4956" s="16">
        <v>50.247</v>
      </c>
      <c r="J4956" s="16">
        <v>0.0</v>
      </c>
      <c r="K4956" s="16">
        <v>0.0</v>
      </c>
      <c r="L4956" s="16">
        <v>385.787</v>
      </c>
      <c r="M4956" s="16">
        <v>419.597</v>
      </c>
      <c r="N4956" s="16">
        <v>384.409</v>
      </c>
      <c r="O4956" s="24">
        <v>27.5</v>
      </c>
      <c r="P4956" s="18">
        <f t="shared" si="1"/>
        <v>385.787</v>
      </c>
    </row>
    <row r="4957" ht="15.75" customHeight="1">
      <c r="A4957" s="19" t="s">
        <v>253</v>
      </c>
      <c r="B4957" s="19" t="s">
        <v>22</v>
      </c>
      <c r="C4957" s="20" t="s">
        <v>42</v>
      </c>
      <c r="D4957" s="14" t="str">
        <f>VLOOKUP(C4957,'State Key'!$A$2:$B$210,2,False)</f>
        <v>Jharkhand</v>
      </c>
      <c r="E4957" s="21">
        <v>1000.0</v>
      </c>
      <c r="F4957" s="22">
        <v>136.092</v>
      </c>
      <c r="G4957" s="22">
        <v>0.0</v>
      </c>
      <c r="H4957" s="22">
        <v>45.944</v>
      </c>
      <c r="I4957" s="22">
        <v>0.0</v>
      </c>
      <c r="J4957" s="22">
        <v>0.0</v>
      </c>
      <c r="K4957" s="22">
        <v>0.0</v>
      </c>
      <c r="L4957" s="22">
        <v>182.036</v>
      </c>
      <c r="M4957" s="22">
        <v>412.682</v>
      </c>
      <c r="N4957" s="22">
        <v>202.77</v>
      </c>
      <c r="O4957" s="24">
        <v>14.7</v>
      </c>
      <c r="P4957" s="18">
        <f t="shared" si="1"/>
        <v>182.036</v>
      </c>
    </row>
    <row r="4958" ht="15.75" customHeight="1">
      <c r="A4958" s="13" t="s">
        <v>253</v>
      </c>
      <c r="B4958" s="13" t="s">
        <v>22</v>
      </c>
      <c r="C4958" s="14" t="s">
        <v>43</v>
      </c>
      <c r="D4958" s="14" t="str">
        <f>VLOOKUP(C4958,'State Key'!$A$2:$B$210,2,False)</f>
        <v>West Bengal</v>
      </c>
      <c r="E4958" s="15">
        <v>840.0</v>
      </c>
      <c r="F4958" s="16">
        <v>0.0</v>
      </c>
      <c r="G4958" s="16">
        <v>0.0</v>
      </c>
      <c r="H4958" s="16">
        <v>285.49</v>
      </c>
      <c r="I4958" s="16">
        <v>0.0</v>
      </c>
      <c r="J4958" s="16">
        <v>0.0</v>
      </c>
      <c r="K4958" s="16">
        <v>0.0</v>
      </c>
      <c r="L4958" s="16">
        <v>285.49</v>
      </c>
      <c r="M4958" s="16">
        <v>272.735</v>
      </c>
      <c r="N4958" s="16">
        <v>107.3</v>
      </c>
      <c r="O4958" s="23">
        <v>11.8</v>
      </c>
      <c r="P4958" s="18">
        <f t="shared" si="1"/>
        <v>285.49</v>
      </c>
    </row>
    <row r="4959" ht="15.75" customHeight="1">
      <c r="A4959" s="19" t="s">
        <v>253</v>
      </c>
      <c r="B4959" s="19" t="s">
        <v>22</v>
      </c>
      <c r="C4959" s="20" t="s">
        <v>44</v>
      </c>
      <c r="D4959" s="14" t="str">
        <f>VLOOKUP(C4959,'State Key'!$A$2:$B$210,2,False)</f>
        <v>Jharkhand</v>
      </c>
      <c r="E4959" s="21">
        <v>540.0</v>
      </c>
      <c r="F4959" s="22">
        <v>124.93</v>
      </c>
      <c r="G4959" s="22">
        <v>0.0</v>
      </c>
      <c r="H4959" s="22">
        <v>0.0</v>
      </c>
      <c r="I4959" s="22">
        <v>0.0</v>
      </c>
      <c r="J4959" s="22">
        <v>0.0</v>
      </c>
      <c r="K4959" s="22">
        <v>88.571</v>
      </c>
      <c r="L4959" s="22">
        <v>213.501</v>
      </c>
      <c r="M4959" s="22">
        <v>241.231</v>
      </c>
      <c r="N4959" s="22">
        <v>45.57</v>
      </c>
      <c r="O4959" s="17">
        <v>5.7</v>
      </c>
      <c r="P4959" s="18">
        <f t="shared" si="1"/>
        <v>213.501</v>
      </c>
    </row>
    <row r="4960" ht="15.75" customHeight="1">
      <c r="A4960" s="13" t="s">
        <v>253</v>
      </c>
      <c r="B4960" s="13" t="s">
        <v>22</v>
      </c>
      <c r="C4960" s="14" t="s">
        <v>45</v>
      </c>
      <c r="D4960" s="14" t="str">
        <f>VLOOKUP(C4960,'State Key'!$A$2:$B$210,2,False)</f>
        <v>Jharkhand</v>
      </c>
      <c r="E4960" s="15">
        <v>1050.0</v>
      </c>
      <c r="F4960" s="16">
        <v>329.621</v>
      </c>
      <c r="G4960" s="16">
        <v>0.0</v>
      </c>
      <c r="H4960" s="16">
        <v>0.0</v>
      </c>
      <c r="I4960" s="16">
        <v>0.0</v>
      </c>
      <c r="J4960" s="16">
        <v>0.0</v>
      </c>
      <c r="K4960" s="16">
        <v>0.0</v>
      </c>
      <c r="L4960" s="16">
        <v>329.621</v>
      </c>
      <c r="M4960" s="16">
        <v>362.509</v>
      </c>
      <c r="N4960" s="16">
        <v>388.18</v>
      </c>
      <c r="O4960" s="24">
        <v>32.1</v>
      </c>
      <c r="P4960" s="18">
        <f t="shared" si="1"/>
        <v>329.621</v>
      </c>
    </row>
    <row r="4961" ht="15.75" customHeight="1">
      <c r="A4961" s="19" t="s">
        <v>253</v>
      </c>
      <c r="B4961" s="19" t="s">
        <v>22</v>
      </c>
      <c r="C4961" s="20" t="s">
        <v>46</v>
      </c>
      <c r="D4961" s="14" t="str">
        <f>VLOOKUP(C4961,'State Key'!$A$2:$B$210,2,False)</f>
        <v>West Bengal</v>
      </c>
      <c r="E4961" s="21">
        <v>2340.0</v>
      </c>
      <c r="F4961" s="22">
        <v>742.005</v>
      </c>
      <c r="G4961" s="22">
        <v>0.0</v>
      </c>
      <c r="H4961" s="22">
        <v>97.88</v>
      </c>
      <c r="I4961" s="22">
        <v>0.0</v>
      </c>
      <c r="J4961" s="22">
        <v>0.0</v>
      </c>
      <c r="K4961" s="22">
        <v>60.289</v>
      </c>
      <c r="L4961" s="22">
        <v>900.174</v>
      </c>
      <c r="M4961" s="22">
        <v>869.189</v>
      </c>
      <c r="N4961" s="22">
        <v>488.46</v>
      </c>
      <c r="O4961" s="24">
        <v>16.9</v>
      </c>
      <c r="P4961" s="18">
        <f t="shared" si="1"/>
        <v>900.174</v>
      </c>
    </row>
    <row r="4962" ht="15.75" customHeight="1">
      <c r="A4962" s="13" t="s">
        <v>253</v>
      </c>
      <c r="B4962" s="13" t="s">
        <v>22</v>
      </c>
      <c r="C4962" s="14" t="s">
        <v>47</v>
      </c>
      <c r="D4962" s="14" t="str">
        <f>VLOOKUP(C4962,'State Key'!$A$2:$B$210,2,False)</f>
        <v>Bihar</v>
      </c>
      <c r="E4962" s="15">
        <v>390.0</v>
      </c>
      <c r="F4962" s="16">
        <v>0.0</v>
      </c>
      <c r="G4962" s="16">
        <v>0.0</v>
      </c>
      <c r="H4962" s="16">
        <v>153.572</v>
      </c>
      <c r="I4962" s="16">
        <v>3.43</v>
      </c>
      <c r="J4962" s="16">
        <v>0.0</v>
      </c>
      <c r="K4962" s="16">
        <v>0.0</v>
      </c>
      <c r="L4962" s="16">
        <v>157.002</v>
      </c>
      <c r="M4962" s="16">
        <v>169.716</v>
      </c>
      <c r="N4962" s="16">
        <v>182.26</v>
      </c>
      <c r="O4962" s="24">
        <v>32.2</v>
      </c>
      <c r="P4962" s="18">
        <f t="shared" si="1"/>
        <v>157.002</v>
      </c>
    </row>
    <row r="4963" ht="15.75" customHeight="1">
      <c r="A4963" s="19" t="s">
        <v>253</v>
      </c>
      <c r="B4963" s="19" t="s">
        <v>22</v>
      </c>
      <c r="C4963" s="20" t="s">
        <v>241</v>
      </c>
      <c r="D4963" s="14" t="str">
        <f>VLOOKUP(C4963,'State Key'!$A$2:$B$210,2,False)</f>
        <v>Odisha</v>
      </c>
      <c r="E4963" s="21">
        <v>60.0</v>
      </c>
      <c r="F4963" s="22">
        <v>11.44</v>
      </c>
      <c r="G4963" s="22">
        <v>0.0</v>
      </c>
      <c r="H4963" s="22">
        <v>0.0</v>
      </c>
      <c r="I4963" s="22">
        <v>0.0</v>
      </c>
      <c r="J4963" s="22">
        <v>0.0</v>
      </c>
      <c r="K4963" s="22">
        <v>0.0</v>
      </c>
      <c r="L4963" s="22">
        <v>11.44</v>
      </c>
      <c r="M4963" s="22">
        <v>12.59</v>
      </c>
      <c r="N4963" s="22">
        <v>13.04</v>
      </c>
      <c r="O4963" s="24">
        <v>31.1</v>
      </c>
      <c r="P4963" s="18">
        <f t="shared" si="1"/>
        <v>11.44</v>
      </c>
    </row>
    <row r="4964" ht="15.75" customHeight="1">
      <c r="A4964" s="13" t="s">
        <v>253</v>
      </c>
      <c r="B4964" s="13" t="s">
        <v>22</v>
      </c>
      <c r="C4964" s="14" t="s">
        <v>48</v>
      </c>
      <c r="D4964" s="14" t="str">
        <f>VLOOKUP(C4964,'State Key'!$A$2:$B$210,2,False)</f>
        <v>Bihar</v>
      </c>
      <c r="E4964" s="15">
        <v>1980.0</v>
      </c>
      <c r="F4964" s="16">
        <v>306.071</v>
      </c>
      <c r="G4964" s="16">
        <v>0.0</v>
      </c>
      <c r="H4964" s="16">
        <v>38.132</v>
      </c>
      <c r="I4964" s="16">
        <v>55.799</v>
      </c>
      <c r="J4964" s="16">
        <v>0.0</v>
      </c>
      <c r="K4964" s="16">
        <v>0.0</v>
      </c>
      <c r="L4964" s="16">
        <v>400.002</v>
      </c>
      <c r="M4964" s="16">
        <v>801.199</v>
      </c>
      <c r="N4964" s="16">
        <v>484.409</v>
      </c>
      <c r="O4964" s="24">
        <v>18.1</v>
      </c>
      <c r="P4964" s="18">
        <f t="shared" si="1"/>
        <v>400.002</v>
      </c>
    </row>
    <row r="4965" ht="15.75" customHeight="1">
      <c r="A4965" s="19" t="s">
        <v>253</v>
      </c>
      <c r="B4965" s="19" t="s">
        <v>22</v>
      </c>
      <c r="C4965" s="20" t="s">
        <v>49</v>
      </c>
      <c r="D4965" s="14" t="str">
        <f>VLOOKUP(C4965,'State Key'!$A$2:$B$210,2,False)</f>
        <v>Bihar</v>
      </c>
      <c r="E4965" s="21">
        <v>1000.0</v>
      </c>
      <c r="F4965" s="22">
        <v>316.8161</v>
      </c>
      <c r="G4965" s="22">
        <v>0.0</v>
      </c>
      <c r="H4965" s="22">
        <v>0.0</v>
      </c>
      <c r="I4965" s="22">
        <v>0.0</v>
      </c>
      <c r="J4965" s="22">
        <v>0.0</v>
      </c>
      <c r="K4965" s="22">
        <v>0.0</v>
      </c>
      <c r="L4965" s="22">
        <v>316.8161</v>
      </c>
      <c r="M4965" s="22">
        <v>406.086</v>
      </c>
      <c r="N4965" s="22">
        <v>207.36</v>
      </c>
      <c r="O4965" s="24">
        <v>15.3</v>
      </c>
      <c r="P4965" s="18">
        <f t="shared" si="1"/>
        <v>316.8161</v>
      </c>
    </row>
    <row r="4966" ht="15.75" customHeight="1">
      <c r="A4966" s="13" t="s">
        <v>253</v>
      </c>
      <c r="B4966" s="13" t="s">
        <v>22</v>
      </c>
      <c r="C4966" s="14" t="s">
        <v>50</v>
      </c>
      <c r="D4966" s="14" t="str">
        <f>VLOOKUP(C4966,'State Key'!$A$2:$B$210,2,False)</f>
        <v>Jharkhand</v>
      </c>
      <c r="E4966" s="15">
        <v>1980.0</v>
      </c>
      <c r="F4966" s="16">
        <v>215.14</v>
      </c>
      <c r="G4966" s="16">
        <v>0.0</v>
      </c>
      <c r="H4966" s="16">
        <v>191.02</v>
      </c>
      <c r="I4966" s="16">
        <v>0.0</v>
      </c>
      <c r="J4966" s="16">
        <v>0.0</v>
      </c>
      <c r="K4966" s="16">
        <v>0.0</v>
      </c>
      <c r="L4966" s="16">
        <v>406.16</v>
      </c>
      <c r="M4966" s="16">
        <v>720.757</v>
      </c>
      <c r="N4966" s="16">
        <v>164.82</v>
      </c>
      <c r="O4966" s="17">
        <v>6.9</v>
      </c>
      <c r="P4966" s="18">
        <f t="shared" si="1"/>
        <v>406.16</v>
      </c>
    </row>
    <row r="4967" ht="15.75" customHeight="1">
      <c r="A4967" s="19" t="s">
        <v>253</v>
      </c>
      <c r="B4967" s="19" t="s">
        <v>22</v>
      </c>
      <c r="C4967" s="20" t="s">
        <v>51</v>
      </c>
      <c r="D4967" s="14" t="str">
        <f>VLOOKUP(C4967,'State Key'!$A$2:$B$210,2,False)</f>
        <v>West Bengal</v>
      </c>
      <c r="E4967" s="21">
        <v>1200.0</v>
      </c>
      <c r="F4967" s="22">
        <v>337.714</v>
      </c>
      <c r="G4967" s="22">
        <v>0.0</v>
      </c>
      <c r="H4967" s="22">
        <v>0.0</v>
      </c>
      <c r="I4967" s="22">
        <v>0.0</v>
      </c>
      <c r="J4967" s="22">
        <v>0.0</v>
      </c>
      <c r="K4967" s="22">
        <v>0.0</v>
      </c>
      <c r="L4967" s="22">
        <v>337.714</v>
      </c>
      <c r="M4967" s="22">
        <v>445.155</v>
      </c>
      <c r="N4967" s="22">
        <v>257.29</v>
      </c>
      <c r="O4967" s="24">
        <v>17.3</v>
      </c>
      <c r="P4967" s="18">
        <f t="shared" si="1"/>
        <v>337.714</v>
      </c>
    </row>
    <row r="4968" ht="15.75" customHeight="1">
      <c r="A4968" s="13" t="s">
        <v>253</v>
      </c>
      <c r="B4968" s="13" t="s">
        <v>22</v>
      </c>
      <c r="C4968" s="14" t="s">
        <v>52</v>
      </c>
      <c r="D4968" s="14" t="str">
        <f>VLOOKUP(C4968,'State Key'!$A$2:$B$210,2,False)</f>
        <v>West Bengal</v>
      </c>
      <c r="E4968" s="15">
        <v>1600.0</v>
      </c>
      <c r="F4968" s="16">
        <v>0.0</v>
      </c>
      <c r="G4968" s="16">
        <v>0.0</v>
      </c>
      <c r="H4968" s="16">
        <v>596.201</v>
      </c>
      <c r="I4968" s="16">
        <v>0.0</v>
      </c>
      <c r="J4968" s="16">
        <v>0.0</v>
      </c>
      <c r="K4968" s="16">
        <v>0.0</v>
      </c>
      <c r="L4968" s="16">
        <v>596.201</v>
      </c>
      <c r="M4968" s="16">
        <v>725.384</v>
      </c>
      <c r="N4968" s="16">
        <v>206.07</v>
      </c>
      <c r="O4968" s="23">
        <v>8.5</v>
      </c>
      <c r="P4968" s="18">
        <f t="shared" si="1"/>
        <v>596.201</v>
      </c>
    </row>
    <row r="4969" ht="15.75" customHeight="1">
      <c r="A4969" s="19" t="s">
        <v>253</v>
      </c>
      <c r="B4969" s="19" t="s">
        <v>22</v>
      </c>
      <c r="C4969" s="20" t="s">
        <v>53</v>
      </c>
      <c r="D4969" s="14" t="str">
        <f>VLOOKUP(C4969,'State Key'!$A$2:$B$210,2,False)</f>
        <v>West Bengal</v>
      </c>
      <c r="E4969" s="21">
        <v>500.0</v>
      </c>
      <c r="F4969" s="22">
        <v>0.0</v>
      </c>
      <c r="G4969" s="22">
        <v>0.0</v>
      </c>
      <c r="H4969" s="22">
        <v>223.551</v>
      </c>
      <c r="I4969" s="22">
        <v>0.0</v>
      </c>
      <c r="J4969" s="22">
        <v>0.0</v>
      </c>
      <c r="K4969" s="22">
        <v>0.0</v>
      </c>
      <c r="L4969" s="22">
        <v>223.551</v>
      </c>
      <c r="M4969" s="22">
        <v>232.519</v>
      </c>
      <c r="N4969" s="22">
        <v>62.67</v>
      </c>
      <c r="O4969" s="23">
        <v>8.1</v>
      </c>
      <c r="P4969" s="18">
        <f t="shared" si="1"/>
        <v>223.551</v>
      </c>
    </row>
    <row r="4970" ht="15.75" customHeight="1">
      <c r="A4970" s="13" t="s">
        <v>253</v>
      </c>
      <c r="B4970" s="13" t="s">
        <v>22</v>
      </c>
      <c r="C4970" s="14" t="s">
        <v>54</v>
      </c>
      <c r="D4970" s="14" t="str">
        <f>VLOOKUP(C4970,'State Key'!$A$2:$B$210,2,False)</f>
        <v>West Bengal</v>
      </c>
      <c r="E4970" s="15">
        <v>135.0</v>
      </c>
      <c r="F4970" s="16">
        <v>0.0</v>
      </c>
      <c r="G4970" s="16">
        <v>0.0</v>
      </c>
      <c r="H4970" s="16">
        <v>0.0</v>
      </c>
      <c r="I4970" s="16">
        <v>0.0</v>
      </c>
      <c r="J4970" s="16">
        <v>0.0</v>
      </c>
      <c r="K4970" s="16">
        <v>0.0</v>
      </c>
      <c r="L4970" s="16">
        <v>0.0</v>
      </c>
      <c r="M4970" s="16">
        <v>9.12</v>
      </c>
      <c r="N4970" s="16">
        <v>13.34</v>
      </c>
      <c r="O4970" s="24">
        <v>43.9</v>
      </c>
      <c r="P4970" s="18">
        <f t="shared" si="1"/>
        <v>0</v>
      </c>
    </row>
    <row r="4971" ht="15.75" customHeight="1">
      <c r="A4971" s="19" t="s">
        <v>253</v>
      </c>
      <c r="B4971" s="19" t="s">
        <v>22</v>
      </c>
      <c r="C4971" s="20" t="s">
        <v>55</v>
      </c>
      <c r="D4971" s="14" t="str">
        <f>VLOOKUP(C4971,'State Key'!$A$2:$B$210,2,False)</f>
        <v>Odisha</v>
      </c>
      <c r="E4971" s="21">
        <v>3000.0</v>
      </c>
      <c r="F4971" s="22">
        <v>1037.04</v>
      </c>
      <c r="G4971" s="22">
        <v>0.0</v>
      </c>
      <c r="H4971" s="22">
        <v>72.79</v>
      </c>
      <c r="I4971" s="22">
        <v>0.0</v>
      </c>
      <c r="J4971" s="22">
        <v>0.0</v>
      </c>
      <c r="K4971" s="22">
        <v>0.0</v>
      </c>
      <c r="L4971" s="22">
        <v>1109.83</v>
      </c>
      <c r="M4971" s="22">
        <v>1251.457</v>
      </c>
      <c r="N4971" s="22">
        <v>600.344</v>
      </c>
      <c r="O4971" s="24">
        <v>14.4</v>
      </c>
      <c r="P4971" s="18">
        <f t="shared" si="1"/>
        <v>1109.83</v>
      </c>
    </row>
    <row r="4972" ht="15.75" customHeight="1">
      <c r="A4972" s="13" t="s">
        <v>253</v>
      </c>
      <c r="B4972" s="13" t="s">
        <v>22</v>
      </c>
      <c r="C4972" s="14" t="s">
        <v>56</v>
      </c>
      <c r="D4972" s="14" t="str">
        <f>VLOOKUP(C4972,'State Key'!$A$2:$B$210,2,False)</f>
        <v>Jharkhand</v>
      </c>
      <c r="E4972" s="15">
        <v>420.0</v>
      </c>
      <c r="F4972" s="16">
        <v>58.28</v>
      </c>
      <c r="G4972" s="16">
        <v>0.0</v>
      </c>
      <c r="H4972" s="16">
        <v>0.0</v>
      </c>
      <c r="I4972" s="16">
        <v>0.0</v>
      </c>
      <c r="J4972" s="16">
        <v>0.0</v>
      </c>
      <c r="K4972" s="16">
        <v>0.0</v>
      </c>
      <c r="L4972" s="16">
        <v>58.28</v>
      </c>
      <c r="M4972" s="16">
        <v>75.47</v>
      </c>
      <c r="N4972" s="16">
        <v>284.84</v>
      </c>
      <c r="O4972" s="24">
        <v>113.2</v>
      </c>
      <c r="P4972" s="18">
        <f t="shared" si="1"/>
        <v>58.28</v>
      </c>
    </row>
    <row r="4973" ht="15.75" customHeight="1">
      <c r="A4973" s="19" t="s">
        <v>253</v>
      </c>
      <c r="B4973" s="19" t="s">
        <v>22</v>
      </c>
      <c r="C4973" s="20" t="s">
        <v>60</v>
      </c>
      <c r="D4973" s="14" t="str">
        <f>VLOOKUP(C4973,'State Key'!$A$2:$B$210,2,False)</f>
        <v>Odisha</v>
      </c>
      <c r="E4973" s="21">
        <v>600.0</v>
      </c>
      <c r="F4973" s="22">
        <v>0.1296</v>
      </c>
      <c r="G4973" s="22">
        <v>0.0</v>
      </c>
      <c r="H4973" s="22">
        <v>0.0</v>
      </c>
      <c r="I4973" s="22">
        <v>0.0</v>
      </c>
      <c r="J4973" s="22">
        <v>0.0</v>
      </c>
      <c r="K4973" s="22">
        <v>0.0</v>
      </c>
      <c r="L4973" s="22">
        <v>0.1296</v>
      </c>
      <c r="M4973" s="22">
        <v>0.0</v>
      </c>
      <c r="N4973" s="22">
        <v>151.6</v>
      </c>
      <c r="O4973" s="19" t="s">
        <v>58</v>
      </c>
      <c r="P4973" s="18">
        <f t="shared" si="1"/>
        <v>0.1296</v>
      </c>
    </row>
    <row r="4974" ht="15.75" customHeight="1">
      <c r="A4974" s="13" t="s">
        <v>253</v>
      </c>
      <c r="B4974" s="13" t="s">
        <v>61</v>
      </c>
      <c r="C4974" s="14" t="s">
        <v>209</v>
      </c>
      <c r="D4974" s="14" t="str">
        <f>VLOOKUP(C4974,'State Key'!$A$2:$B$210,2,False)</f>
        <v>Rajasthan</v>
      </c>
      <c r="E4974" s="15">
        <v>1320.0</v>
      </c>
      <c r="F4974" s="16">
        <v>327.841</v>
      </c>
      <c r="G4974" s="16">
        <v>0.0</v>
      </c>
      <c r="H4974" s="16">
        <v>0.0</v>
      </c>
      <c r="I4974" s="16">
        <v>0.0</v>
      </c>
      <c r="J4974" s="16">
        <v>75.001</v>
      </c>
      <c r="K4974" s="16">
        <v>0.0</v>
      </c>
      <c r="L4974" s="16">
        <v>402.842</v>
      </c>
      <c r="M4974" s="16">
        <v>417.337</v>
      </c>
      <c r="N4974" s="16">
        <v>379.62</v>
      </c>
      <c r="O4974" s="24">
        <v>27.3</v>
      </c>
      <c r="P4974" s="18">
        <f t="shared" si="1"/>
        <v>402.842</v>
      </c>
    </row>
    <row r="4975" ht="15.75" customHeight="1">
      <c r="A4975" s="19" t="s">
        <v>253</v>
      </c>
      <c r="B4975" s="19" t="s">
        <v>61</v>
      </c>
      <c r="C4975" s="20" t="s">
        <v>62</v>
      </c>
      <c r="D4975" s="14" t="str">
        <f>VLOOKUP(C4975,'State Key'!$A$2:$B$210,2,False)</f>
        <v>Uttar Pradesh</v>
      </c>
      <c r="E4975" s="21">
        <v>1200.0</v>
      </c>
      <c r="F4975" s="22">
        <v>368.28</v>
      </c>
      <c r="G4975" s="22">
        <v>0.0</v>
      </c>
      <c r="H4975" s="22">
        <v>0.0</v>
      </c>
      <c r="I4975" s="22">
        <v>0.0</v>
      </c>
      <c r="J4975" s="22">
        <v>0.0</v>
      </c>
      <c r="K4975" s="22">
        <v>0.0</v>
      </c>
      <c r="L4975" s="22">
        <v>368.28</v>
      </c>
      <c r="M4975" s="22">
        <v>489.92</v>
      </c>
      <c r="N4975" s="22">
        <v>54.61</v>
      </c>
      <c r="O4975" s="17">
        <v>3.3</v>
      </c>
      <c r="P4975" s="18">
        <f t="shared" si="1"/>
        <v>368.28</v>
      </c>
    </row>
    <row r="4976" ht="15.75" customHeight="1">
      <c r="A4976" s="13" t="s">
        <v>253</v>
      </c>
      <c r="B4976" s="13" t="s">
        <v>61</v>
      </c>
      <c r="C4976" s="14" t="s">
        <v>63</v>
      </c>
      <c r="D4976" s="14" t="str">
        <f>VLOOKUP(C4976,'State Key'!$A$2:$B$210,2,False)</f>
        <v>Uttar Pradesh</v>
      </c>
      <c r="E4976" s="15">
        <v>2630.0</v>
      </c>
      <c r="F4976" s="16">
        <v>970.557</v>
      </c>
      <c r="G4976" s="16">
        <v>0.0</v>
      </c>
      <c r="H4976" s="16">
        <v>0.0</v>
      </c>
      <c r="I4976" s="16">
        <v>0.0</v>
      </c>
      <c r="J4976" s="16">
        <v>0.0</v>
      </c>
      <c r="K4976" s="16">
        <v>0.0</v>
      </c>
      <c r="L4976" s="16">
        <v>970.557</v>
      </c>
      <c r="M4976" s="16">
        <v>1152.758</v>
      </c>
      <c r="N4976" s="16">
        <v>666.75</v>
      </c>
      <c r="O4976" s="24">
        <v>17.4</v>
      </c>
      <c r="P4976" s="18">
        <f t="shared" si="1"/>
        <v>970.557</v>
      </c>
    </row>
    <row r="4977" ht="15.75" customHeight="1">
      <c r="A4977" s="19" t="s">
        <v>253</v>
      </c>
      <c r="B4977" s="19" t="s">
        <v>61</v>
      </c>
      <c r="C4977" s="20" t="s">
        <v>64</v>
      </c>
      <c r="D4977" s="14" t="str">
        <f>VLOOKUP(C4977,'State Key'!$A$2:$B$210,2,False)</f>
        <v>Uttar Pradesh</v>
      </c>
      <c r="E4977" s="21">
        <v>90.0</v>
      </c>
      <c r="F4977" s="22">
        <v>0.0</v>
      </c>
      <c r="G4977" s="22">
        <v>0.0</v>
      </c>
      <c r="H4977" s="22">
        <v>0.0</v>
      </c>
      <c r="I4977" s="22">
        <v>0.0</v>
      </c>
      <c r="J4977" s="22">
        <v>0.0</v>
      </c>
      <c r="K4977" s="22">
        <v>0.0</v>
      </c>
      <c r="L4977" s="22">
        <v>0.0</v>
      </c>
      <c r="M4977" s="22">
        <v>24.859</v>
      </c>
      <c r="N4977" s="22">
        <v>52.28</v>
      </c>
      <c r="O4977" s="24">
        <v>63.1</v>
      </c>
      <c r="P4977" s="18">
        <f t="shared" si="1"/>
        <v>0</v>
      </c>
    </row>
    <row r="4978" ht="15.75" customHeight="1">
      <c r="A4978" s="13" t="s">
        <v>253</v>
      </c>
      <c r="B4978" s="13" t="s">
        <v>61</v>
      </c>
      <c r="C4978" s="14" t="s">
        <v>65</v>
      </c>
      <c r="D4978" s="14" t="str">
        <f>VLOOKUP(C4978,'State Key'!$A$2:$B$210,2,False)</f>
        <v>Rajasthan</v>
      </c>
      <c r="E4978" s="15">
        <v>500.0</v>
      </c>
      <c r="F4978" s="16">
        <v>103.4135</v>
      </c>
      <c r="G4978" s="16">
        <v>0.0</v>
      </c>
      <c r="H4978" s="16">
        <v>0.0</v>
      </c>
      <c r="I4978" s="16">
        <v>0.0</v>
      </c>
      <c r="J4978" s="16">
        <v>0.0</v>
      </c>
      <c r="K4978" s="16">
        <v>0.0</v>
      </c>
      <c r="L4978" s="16">
        <v>103.4135</v>
      </c>
      <c r="M4978" s="16">
        <v>109.4253</v>
      </c>
      <c r="N4978" s="16">
        <v>212.0906</v>
      </c>
      <c r="O4978" s="24">
        <v>58.1</v>
      </c>
      <c r="P4978" s="18">
        <f t="shared" si="1"/>
        <v>103.4135</v>
      </c>
    </row>
    <row r="4979" ht="15.75" customHeight="1">
      <c r="A4979" s="19" t="s">
        <v>253</v>
      </c>
      <c r="B4979" s="19" t="s">
        <v>61</v>
      </c>
      <c r="C4979" s="20" t="s">
        <v>66</v>
      </c>
      <c r="D4979" s="14" t="str">
        <f>VLOOKUP(C4979,'State Key'!$A$2:$B$210,2,False)</f>
        <v>Rajasthan</v>
      </c>
      <c r="E4979" s="21">
        <v>500.0</v>
      </c>
      <c r="F4979" s="22">
        <v>0.0685</v>
      </c>
      <c r="G4979" s="22">
        <v>0.0</v>
      </c>
      <c r="H4979" s="22">
        <v>286.0499</v>
      </c>
      <c r="I4979" s="22">
        <v>0.0</v>
      </c>
      <c r="J4979" s="22">
        <v>0.0</v>
      </c>
      <c r="K4979" s="22">
        <v>0.0</v>
      </c>
      <c r="L4979" s="22">
        <v>286.1184</v>
      </c>
      <c r="M4979" s="22">
        <v>218.8817</v>
      </c>
      <c r="N4979" s="22">
        <v>212.4924</v>
      </c>
      <c r="O4979" s="24">
        <v>29.1</v>
      </c>
      <c r="P4979" s="18">
        <f t="shared" si="1"/>
        <v>286.1184</v>
      </c>
    </row>
    <row r="4980" ht="15.75" customHeight="1">
      <c r="A4980" s="13" t="s">
        <v>253</v>
      </c>
      <c r="B4980" s="13" t="s">
        <v>61</v>
      </c>
      <c r="C4980" s="14" t="s">
        <v>67</v>
      </c>
      <c r="D4980" s="14" t="str">
        <f>VLOOKUP(C4980,'State Key'!$A$2:$B$210,2,False)</f>
        <v>Rajasthan</v>
      </c>
      <c r="E4980" s="15">
        <v>1320.0</v>
      </c>
      <c r="F4980" s="16">
        <v>3.8556</v>
      </c>
      <c r="G4980" s="16">
        <v>0.0</v>
      </c>
      <c r="H4980" s="16">
        <v>423.09774</v>
      </c>
      <c r="I4980" s="16">
        <v>0.0</v>
      </c>
      <c r="J4980" s="16">
        <v>0.0</v>
      </c>
      <c r="K4980" s="16">
        <v>0.0</v>
      </c>
      <c r="L4980" s="16">
        <v>426.95334</v>
      </c>
      <c r="M4980" s="16">
        <v>432.6852</v>
      </c>
      <c r="N4980" s="16">
        <v>475.5002</v>
      </c>
      <c r="O4980" s="24">
        <v>33.0</v>
      </c>
      <c r="P4980" s="18">
        <f t="shared" si="1"/>
        <v>426.95334</v>
      </c>
    </row>
    <row r="4981" ht="15.75" customHeight="1">
      <c r="A4981" s="19" t="s">
        <v>253</v>
      </c>
      <c r="B4981" s="19" t="s">
        <v>61</v>
      </c>
      <c r="C4981" s="20" t="s">
        <v>68</v>
      </c>
      <c r="D4981" s="14" t="str">
        <f>VLOOKUP(C4981,'State Key'!$A$2:$B$210,2,False)</f>
        <v>Uttar Pradesh</v>
      </c>
      <c r="E4981" s="21">
        <v>1820.0</v>
      </c>
      <c r="F4981" s="22">
        <v>360.92</v>
      </c>
      <c r="G4981" s="22">
        <v>0.0</v>
      </c>
      <c r="H4981" s="22">
        <v>42.31</v>
      </c>
      <c r="I4981" s="22">
        <v>0.0</v>
      </c>
      <c r="J4981" s="22">
        <v>0.0</v>
      </c>
      <c r="K4981" s="22">
        <v>49.95</v>
      </c>
      <c r="L4981" s="22">
        <v>453.18</v>
      </c>
      <c r="M4981" s="22">
        <v>575.334</v>
      </c>
      <c r="N4981" s="22">
        <v>498.252</v>
      </c>
      <c r="O4981" s="24">
        <v>26.0</v>
      </c>
      <c r="P4981" s="18">
        <f t="shared" si="1"/>
        <v>453.18</v>
      </c>
    </row>
    <row r="4982" ht="15.75" customHeight="1">
      <c r="A4982" s="13" t="s">
        <v>253</v>
      </c>
      <c r="B4982" s="13" t="s">
        <v>61</v>
      </c>
      <c r="C4982" s="14" t="s">
        <v>69</v>
      </c>
      <c r="D4982" s="14" t="str">
        <f>VLOOKUP(C4982,'State Key'!$A$2:$B$210,2,False)</f>
        <v>Punjab</v>
      </c>
      <c r="E4982" s="15">
        <v>920.0</v>
      </c>
      <c r="F4982" s="16">
        <v>109.514</v>
      </c>
      <c r="G4982" s="16">
        <v>0.0</v>
      </c>
      <c r="H4982" s="16">
        <v>226.072</v>
      </c>
      <c r="I4982" s="16">
        <v>0.0</v>
      </c>
      <c r="J4982" s="16">
        <v>0.0</v>
      </c>
      <c r="K4982" s="16">
        <v>3.496</v>
      </c>
      <c r="L4982" s="16">
        <v>339.082</v>
      </c>
      <c r="M4982" s="16">
        <v>377.336</v>
      </c>
      <c r="N4982" s="16">
        <v>227.444</v>
      </c>
      <c r="O4982" s="24">
        <v>18.1</v>
      </c>
      <c r="P4982" s="18">
        <f t="shared" si="1"/>
        <v>339.082</v>
      </c>
    </row>
    <row r="4983" ht="15.75" customHeight="1">
      <c r="A4983" s="19" t="s">
        <v>253</v>
      </c>
      <c r="B4983" s="19" t="s">
        <v>61</v>
      </c>
      <c r="C4983" s="20" t="s">
        <v>242</v>
      </c>
      <c r="D4983" s="14" t="str">
        <f>VLOOKUP(C4983,'State Key'!$A$2:$B$210,2,False)</f>
        <v>Uttar Pradesh</v>
      </c>
      <c r="E4983" s="21">
        <v>660.0</v>
      </c>
      <c r="F4983" s="22">
        <v>284.0</v>
      </c>
      <c r="G4983" s="22">
        <v>0.0</v>
      </c>
      <c r="H4983" s="22">
        <v>0.0</v>
      </c>
      <c r="I4983" s="22">
        <v>0.0</v>
      </c>
      <c r="J4983" s="22">
        <v>0.0</v>
      </c>
      <c r="K4983" s="22">
        <v>0.0</v>
      </c>
      <c r="L4983" s="22">
        <v>284.0</v>
      </c>
      <c r="M4983" s="22">
        <v>170.0</v>
      </c>
      <c r="N4983" s="22">
        <v>175.75</v>
      </c>
      <c r="O4983" s="24">
        <v>31.0</v>
      </c>
      <c r="P4983" s="18">
        <f t="shared" si="1"/>
        <v>284</v>
      </c>
    </row>
    <row r="4984" ht="15.75" customHeight="1">
      <c r="A4984" s="13" t="s">
        <v>253</v>
      </c>
      <c r="B4984" s="13" t="s">
        <v>61</v>
      </c>
      <c r="C4984" s="14" t="s">
        <v>70</v>
      </c>
      <c r="D4984" s="14" t="str">
        <f>VLOOKUP(C4984,'State Key'!$A$2:$B$210,2,False)</f>
        <v>Punjab</v>
      </c>
      <c r="E4984" s="15">
        <v>540.0</v>
      </c>
      <c r="F4984" s="16">
        <v>0.0</v>
      </c>
      <c r="G4984" s="16">
        <v>0.0</v>
      </c>
      <c r="H4984" s="16">
        <v>150.44</v>
      </c>
      <c r="I4984" s="16">
        <v>0.0</v>
      </c>
      <c r="J4984" s="16">
        <v>0.0</v>
      </c>
      <c r="K4984" s="16">
        <v>0.0</v>
      </c>
      <c r="L4984" s="16">
        <v>150.44</v>
      </c>
      <c r="M4984" s="16">
        <v>196.741</v>
      </c>
      <c r="N4984" s="16">
        <v>88.41</v>
      </c>
      <c r="O4984" s="23">
        <v>13.5</v>
      </c>
      <c r="P4984" s="18">
        <f t="shared" si="1"/>
        <v>150.44</v>
      </c>
    </row>
    <row r="4985" ht="15.75" customHeight="1">
      <c r="A4985" s="19" t="s">
        <v>253</v>
      </c>
      <c r="B4985" s="19" t="s">
        <v>61</v>
      </c>
      <c r="C4985" s="20" t="s">
        <v>71</v>
      </c>
      <c r="D4985" s="14" t="str">
        <f>VLOOKUP(C4985,'State Key'!$A$2:$B$210,2,False)</f>
        <v>Uttar Pradesh</v>
      </c>
      <c r="E4985" s="21">
        <v>1265.0</v>
      </c>
      <c r="F4985" s="22">
        <v>185.096</v>
      </c>
      <c r="G4985" s="22">
        <v>0.0</v>
      </c>
      <c r="H4985" s="22">
        <v>0.0</v>
      </c>
      <c r="I4985" s="22">
        <v>0.0</v>
      </c>
      <c r="J4985" s="22">
        <v>0.0</v>
      </c>
      <c r="K4985" s="22">
        <v>0.0</v>
      </c>
      <c r="L4985" s="22">
        <v>185.096</v>
      </c>
      <c r="M4985" s="22">
        <v>364.788</v>
      </c>
      <c r="N4985" s="22">
        <v>426.42</v>
      </c>
      <c r="O4985" s="24">
        <v>35.1</v>
      </c>
      <c r="P4985" s="18">
        <f t="shared" si="1"/>
        <v>185.096</v>
      </c>
    </row>
    <row r="4986" ht="15.75" customHeight="1">
      <c r="A4986" s="13" t="s">
        <v>253</v>
      </c>
      <c r="B4986" s="13" t="s">
        <v>61</v>
      </c>
      <c r="C4986" s="14" t="s">
        <v>72</v>
      </c>
      <c r="D4986" s="14" t="str">
        <f>VLOOKUP(C4986,'State Key'!$A$2:$B$210,2,False)</f>
        <v>Haryana</v>
      </c>
      <c r="E4986" s="15">
        <v>1500.0</v>
      </c>
      <c r="F4986" s="16">
        <v>291.17</v>
      </c>
      <c r="G4986" s="16">
        <v>0.0</v>
      </c>
      <c r="H4986" s="16">
        <v>0.0</v>
      </c>
      <c r="I4986" s="16">
        <v>0.0</v>
      </c>
      <c r="J4986" s="16">
        <v>0.0</v>
      </c>
      <c r="K4986" s="16">
        <v>0.0</v>
      </c>
      <c r="L4986" s="16">
        <v>291.17</v>
      </c>
      <c r="M4986" s="16">
        <v>519.53</v>
      </c>
      <c r="N4986" s="16">
        <v>759.438</v>
      </c>
      <c r="O4986" s="24">
        <v>43.9</v>
      </c>
      <c r="P4986" s="18">
        <f t="shared" si="1"/>
        <v>291.17</v>
      </c>
    </row>
    <row r="4987" ht="15.75" customHeight="1">
      <c r="A4987" s="19" t="s">
        <v>253</v>
      </c>
      <c r="B4987" s="19" t="s">
        <v>61</v>
      </c>
      <c r="C4987" s="20" t="s">
        <v>226</v>
      </c>
      <c r="D4987" s="14" t="str">
        <f>VLOOKUP(C4987,'State Key'!$A$2:$B$210,2,False)</f>
        <v>Uttar Pradesh</v>
      </c>
      <c r="E4987" s="21">
        <v>1320.0</v>
      </c>
      <c r="F4987" s="22">
        <v>139.734</v>
      </c>
      <c r="G4987" s="22">
        <v>0.0</v>
      </c>
      <c r="H4987" s="22">
        <v>0.0</v>
      </c>
      <c r="I4987" s="22">
        <v>0.0</v>
      </c>
      <c r="J4987" s="22">
        <v>0.0</v>
      </c>
      <c r="K4987" s="22">
        <v>0.0</v>
      </c>
      <c r="L4987" s="22">
        <v>139.734</v>
      </c>
      <c r="M4987" s="22">
        <v>220.52</v>
      </c>
      <c r="N4987" s="22">
        <v>426.13</v>
      </c>
      <c r="O4987" s="24">
        <v>58.0</v>
      </c>
      <c r="P4987" s="18">
        <f t="shared" si="1"/>
        <v>139.734</v>
      </c>
    </row>
    <row r="4988" ht="15.75" customHeight="1">
      <c r="A4988" s="13" t="s">
        <v>253</v>
      </c>
      <c r="B4988" s="13" t="s">
        <v>61</v>
      </c>
      <c r="C4988" s="14" t="s">
        <v>73</v>
      </c>
      <c r="D4988" s="14" t="str">
        <f>VLOOKUP(C4988,'State Key'!$A$2:$B$210,2,False)</f>
        <v>Rajasthan</v>
      </c>
      <c r="E4988" s="15">
        <v>1200.0</v>
      </c>
      <c r="F4988" s="16">
        <v>3.76403</v>
      </c>
      <c r="G4988" s="16">
        <v>0.0</v>
      </c>
      <c r="H4988" s="16">
        <v>185.9695</v>
      </c>
      <c r="I4988" s="16">
        <v>0.0</v>
      </c>
      <c r="J4988" s="16">
        <v>0.0</v>
      </c>
      <c r="K4988" s="16">
        <v>0.0</v>
      </c>
      <c r="L4988" s="16">
        <v>189.73353</v>
      </c>
      <c r="M4988" s="16">
        <v>216.776</v>
      </c>
      <c r="N4988" s="16">
        <v>326.34</v>
      </c>
      <c r="O4988" s="24">
        <v>45.2</v>
      </c>
      <c r="P4988" s="18">
        <f t="shared" si="1"/>
        <v>189.73353</v>
      </c>
    </row>
    <row r="4989" ht="15.75" customHeight="1">
      <c r="A4989" s="19" t="s">
        <v>253</v>
      </c>
      <c r="B4989" s="19" t="s">
        <v>61</v>
      </c>
      <c r="C4989" s="20" t="s">
        <v>75</v>
      </c>
      <c r="D4989" s="14" t="str">
        <f>VLOOKUP(C4989,'State Key'!$A$2:$B$210,2,False)</f>
        <v>Uttar Pradesh</v>
      </c>
      <c r="E4989" s="21">
        <v>90.0</v>
      </c>
      <c r="F4989" s="22">
        <v>0.0</v>
      </c>
      <c r="G4989" s="22">
        <v>0.0</v>
      </c>
      <c r="H4989" s="22">
        <v>0.0</v>
      </c>
      <c r="I4989" s="22">
        <v>0.0</v>
      </c>
      <c r="J4989" s="22">
        <v>0.0</v>
      </c>
      <c r="K4989" s="22">
        <v>0.0</v>
      </c>
      <c r="L4989" s="22">
        <v>0.0</v>
      </c>
      <c r="M4989" s="22">
        <v>24.215</v>
      </c>
      <c r="N4989" s="22">
        <v>50.89</v>
      </c>
      <c r="O4989" s="24">
        <v>63.0</v>
      </c>
      <c r="P4989" s="18">
        <f t="shared" si="1"/>
        <v>0</v>
      </c>
    </row>
    <row r="4990" ht="15.75" customHeight="1">
      <c r="A4990" s="13" t="s">
        <v>253</v>
      </c>
      <c r="B4990" s="13" t="s">
        <v>61</v>
      </c>
      <c r="C4990" s="14" t="s">
        <v>246</v>
      </c>
      <c r="D4990" s="14" t="str">
        <f>VLOOKUP(C4990,'State Key'!$A$2:$B$210,2,False)</f>
        <v>Uttar Pradesh</v>
      </c>
      <c r="E4990" s="15">
        <v>660.0</v>
      </c>
      <c r="F4990" s="16">
        <v>0.0</v>
      </c>
      <c r="G4990" s="16">
        <v>0.0</v>
      </c>
      <c r="H4990" s="16">
        <v>227.598</v>
      </c>
      <c r="I4990" s="16">
        <v>0.0</v>
      </c>
      <c r="J4990" s="16">
        <v>0.0</v>
      </c>
      <c r="K4990" s="16">
        <v>0.0</v>
      </c>
      <c r="L4990" s="16">
        <v>227.598</v>
      </c>
      <c r="M4990" s="16">
        <v>241.037</v>
      </c>
      <c r="N4990" s="16">
        <v>189.43</v>
      </c>
      <c r="O4990" s="24">
        <v>23.6</v>
      </c>
      <c r="P4990" s="18">
        <f t="shared" si="1"/>
        <v>227.598</v>
      </c>
    </row>
    <row r="4991" ht="15.75" customHeight="1">
      <c r="A4991" s="19" t="s">
        <v>253</v>
      </c>
      <c r="B4991" s="19" t="s">
        <v>61</v>
      </c>
      <c r="C4991" s="20" t="s">
        <v>76</v>
      </c>
      <c r="D4991" s="14" t="str">
        <f>VLOOKUP(C4991,'State Key'!$A$2:$B$210,2,False)</f>
        <v>Rajasthan</v>
      </c>
      <c r="E4991" s="21">
        <v>1240.0</v>
      </c>
      <c r="F4991" s="22">
        <v>243.488</v>
      </c>
      <c r="G4991" s="22">
        <v>0.0</v>
      </c>
      <c r="H4991" s="22">
        <v>0.0</v>
      </c>
      <c r="I4991" s="22">
        <v>0.0</v>
      </c>
      <c r="J4991" s="22">
        <v>0.0</v>
      </c>
      <c r="K4991" s="22">
        <v>24.448</v>
      </c>
      <c r="L4991" s="22">
        <v>267.936</v>
      </c>
      <c r="M4991" s="22">
        <v>432.718</v>
      </c>
      <c r="N4991" s="22">
        <v>379.39</v>
      </c>
      <c r="O4991" s="24">
        <v>26.3</v>
      </c>
      <c r="P4991" s="18">
        <f t="shared" si="1"/>
        <v>267.936</v>
      </c>
    </row>
    <row r="4992" ht="15.75" customHeight="1">
      <c r="A4992" s="13" t="s">
        <v>253</v>
      </c>
      <c r="B4992" s="13" t="s">
        <v>61</v>
      </c>
      <c r="C4992" s="14" t="s">
        <v>77</v>
      </c>
      <c r="D4992" s="14" t="str">
        <f>VLOOKUP(C4992,'State Key'!$A$2:$B$210,2,False)</f>
        <v>Uttar Pradesh</v>
      </c>
      <c r="E4992" s="15">
        <v>90.0</v>
      </c>
      <c r="F4992" s="16">
        <v>0.0</v>
      </c>
      <c r="G4992" s="16">
        <v>0.0</v>
      </c>
      <c r="H4992" s="16">
        <v>0.0</v>
      </c>
      <c r="I4992" s="16">
        <v>0.0</v>
      </c>
      <c r="J4992" s="16">
        <v>0.0</v>
      </c>
      <c r="K4992" s="16">
        <v>0.0</v>
      </c>
      <c r="L4992" s="16">
        <v>0.0</v>
      </c>
      <c r="M4992" s="16">
        <v>16.687</v>
      </c>
      <c r="N4992" s="16">
        <v>49.15</v>
      </c>
      <c r="O4992" s="24">
        <v>88.4</v>
      </c>
      <c r="P4992" s="18">
        <f t="shared" si="1"/>
        <v>0</v>
      </c>
    </row>
    <row r="4993" ht="15.75" customHeight="1">
      <c r="A4993" s="19" t="s">
        <v>253</v>
      </c>
      <c r="B4993" s="19" t="s">
        <v>61</v>
      </c>
      <c r="C4993" s="20" t="s">
        <v>78</v>
      </c>
      <c r="D4993" s="14" t="str">
        <f>VLOOKUP(C4993,'State Key'!$A$2:$B$210,2,False)</f>
        <v>Uttar Pradesh</v>
      </c>
      <c r="E4993" s="21">
        <v>1980.0</v>
      </c>
      <c r="F4993" s="22">
        <v>574.179</v>
      </c>
      <c r="G4993" s="22">
        <v>0.0</v>
      </c>
      <c r="H4993" s="22">
        <v>0.0</v>
      </c>
      <c r="I4993" s="22">
        <v>0.0</v>
      </c>
      <c r="J4993" s="22">
        <v>0.0</v>
      </c>
      <c r="K4993" s="22">
        <v>0.0</v>
      </c>
      <c r="L4993" s="22">
        <v>574.179</v>
      </c>
      <c r="M4993" s="22">
        <v>731.239</v>
      </c>
      <c r="N4993" s="22">
        <v>398.06</v>
      </c>
      <c r="O4993" s="24">
        <v>16.3</v>
      </c>
      <c r="P4993" s="18">
        <f t="shared" si="1"/>
        <v>574.179</v>
      </c>
    </row>
    <row r="4994" ht="15.75" customHeight="1">
      <c r="A4994" s="13" t="s">
        <v>253</v>
      </c>
      <c r="B4994" s="13" t="s">
        <v>61</v>
      </c>
      <c r="C4994" s="14" t="s">
        <v>79</v>
      </c>
      <c r="D4994" s="14" t="str">
        <f>VLOOKUP(C4994,'State Key'!$A$2:$B$210,2,False)</f>
        <v>Haryana</v>
      </c>
      <c r="E4994" s="15">
        <v>1320.0</v>
      </c>
      <c r="F4994" s="16">
        <v>342.889</v>
      </c>
      <c r="G4994" s="16">
        <v>0.0</v>
      </c>
      <c r="H4994" s="16">
        <v>0.0</v>
      </c>
      <c r="I4994" s="16">
        <v>0.0</v>
      </c>
      <c r="J4994" s="16">
        <v>0.0</v>
      </c>
      <c r="K4994" s="16">
        <v>0.0</v>
      </c>
      <c r="L4994" s="16">
        <v>342.889</v>
      </c>
      <c r="M4994" s="16">
        <v>458.236</v>
      </c>
      <c r="N4994" s="16">
        <v>386.01</v>
      </c>
      <c r="O4994" s="24">
        <v>25.3</v>
      </c>
      <c r="P4994" s="18">
        <f t="shared" si="1"/>
        <v>342.889</v>
      </c>
    </row>
    <row r="4995" ht="15.75" customHeight="1">
      <c r="A4995" s="19" t="s">
        <v>253</v>
      </c>
      <c r="B4995" s="19" t="s">
        <v>61</v>
      </c>
      <c r="C4995" s="20" t="s">
        <v>80</v>
      </c>
      <c r="D4995" s="14" t="str">
        <f>VLOOKUP(C4995,'State Key'!$A$2:$B$210,2,False)</f>
        <v>Uttar Pradesh</v>
      </c>
      <c r="E4995" s="21">
        <v>90.0</v>
      </c>
      <c r="F4995" s="22">
        <v>0.0</v>
      </c>
      <c r="G4995" s="22">
        <v>0.0</v>
      </c>
      <c r="H4995" s="22">
        <v>0.0</v>
      </c>
      <c r="I4995" s="22">
        <v>0.0</v>
      </c>
      <c r="J4995" s="22">
        <v>0.0</v>
      </c>
      <c r="K4995" s="22">
        <v>0.0</v>
      </c>
      <c r="L4995" s="22">
        <v>0.0</v>
      </c>
      <c r="M4995" s="22">
        <v>22.574</v>
      </c>
      <c r="N4995" s="22">
        <v>59.18</v>
      </c>
      <c r="O4995" s="24">
        <v>78.6</v>
      </c>
      <c r="P4995" s="18">
        <f t="shared" si="1"/>
        <v>0</v>
      </c>
    </row>
    <row r="4996" ht="15.75" customHeight="1">
      <c r="A4996" s="13" t="s">
        <v>253</v>
      </c>
      <c r="B4996" s="13" t="s">
        <v>61</v>
      </c>
      <c r="C4996" s="14" t="s">
        <v>81</v>
      </c>
      <c r="D4996" s="14" t="str">
        <f>VLOOKUP(C4996,'State Key'!$A$2:$B$210,2,False)</f>
        <v>Uttar Pradesh</v>
      </c>
      <c r="E4996" s="15">
        <v>1320.0</v>
      </c>
      <c r="F4996" s="16">
        <v>441.3399</v>
      </c>
      <c r="G4996" s="16">
        <v>0.0</v>
      </c>
      <c r="H4996" s="16">
        <v>3.7435</v>
      </c>
      <c r="I4996" s="16">
        <v>0.0</v>
      </c>
      <c r="J4996" s="16">
        <v>0.0</v>
      </c>
      <c r="K4996" s="16">
        <v>0.0</v>
      </c>
      <c r="L4996" s="16">
        <v>445.0834</v>
      </c>
      <c r="M4996" s="16">
        <v>462.426</v>
      </c>
      <c r="N4996" s="16">
        <v>364.143</v>
      </c>
      <c r="O4996" s="24">
        <v>23.6</v>
      </c>
      <c r="P4996" s="18">
        <f t="shared" si="1"/>
        <v>445.0834</v>
      </c>
    </row>
    <row r="4997" ht="15.75" customHeight="1">
      <c r="A4997" s="19" t="s">
        <v>253</v>
      </c>
      <c r="B4997" s="19" t="s">
        <v>61</v>
      </c>
      <c r="C4997" s="20" t="s">
        <v>82</v>
      </c>
      <c r="D4997" s="14" t="str">
        <f>VLOOKUP(C4997,'State Key'!$A$2:$B$210,2,False)</f>
        <v>Uttar Pradesh</v>
      </c>
      <c r="E4997" s="21">
        <v>2320.0</v>
      </c>
      <c r="F4997" s="22">
        <v>570.158</v>
      </c>
      <c r="G4997" s="22">
        <v>0.0</v>
      </c>
      <c r="H4997" s="22">
        <v>0.0</v>
      </c>
      <c r="I4997" s="22">
        <v>0.0</v>
      </c>
      <c r="J4997" s="22">
        <v>0.0</v>
      </c>
      <c r="K4997" s="22">
        <v>0.0</v>
      </c>
      <c r="L4997" s="22">
        <v>570.158</v>
      </c>
      <c r="M4997" s="22">
        <v>608.408</v>
      </c>
      <c r="N4997" s="22">
        <v>472.5</v>
      </c>
      <c r="O4997" s="24">
        <v>23.3</v>
      </c>
      <c r="P4997" s="18">
        <f t="shared" si="1"/>
        <v>570.158</v>
      </c>
    </row>
    <row r="4998" ht="15.75" customHeight="1">
      <c r="A4998" s="13" t="s">
        <v>253</v>
      </c>
      <c r="B4998" s="13" t="s">
        <v>61</v>
      </c>
      <c r="C4998" s="14" t="s">
        <v>83</v>
      </c>
      <c r="D4998" s="14" t="str">
        <f>VLOOKUP(C4998,'State Key'!$A$2:$B$210,2,False)</f>
        <v>Haryana</v>
      </c>
      <c r="E4998" s="15">
        <v>710.0</v>
      </c>
      <c r="F4998" s="16">
        <v>225.015</v>
      </c>
      <c r="G4998" s="16">
        <v>0.0</v>
      </c>
      <c r="H4998" s="16">
        <v>0.0</v>
      </c>
      <c r="I4998" s="16">
        <v>0.0</v>
      </c>
      <c r="J4998" s="16">
        <v>0.0</v>
      </c>
      <c r="K4998" s="16">
        <v>12.108</v>
      </c>
      <c r="L4998" s="16">
        <v>237.123</v>
      </c>
      <c r="M4998" s="16">
        <v>277.441</v>
      </c>
      <c r="N4998" s="16">
        <v>398.973</v>
      </c>
      <c r="O4998" s="24">
        <v>43.1</v>
      </c>
      <c r="P4998" s="18">
        <f t="shared" si="1"/>
        <v>237.123</v>
      </c>
    </row>
    <row r="4999" ht="15.75" customHeight="1">
      <c r="A4999" s="19" t="s">
        <v>253</v>
      </c>
      <c r="B4999" s="19" t="s">
        <v>61</v>
      </c>
      <c r="C4999" s="20" t="s">
        <v>248</v>
      </c>
      <c r="D4999" s="14" t="str">
        <f>VLOOKUP(C4999,'State Key'!$A$2:$B$210,2,False)</f>
        <v>Uttar Pradesh</v>
      </c>
      <c r="E4999" s="21">
        <v>660.0</v>
      </c>
      <c r="F4999" s="22">
        <v>11.57541</v>
      </c>
      <c r="G4999" s="22">
        <v>0.0</v>
      </c>
      <c r="H4999" s="22">
        <v>0.0</v>
      </c>
      <c r="I4999" s="22">
        <v>0.0</v>
      </c>
      <c r="J4999" s="22">
        <v>0.0</v>
      </c>
      <c r="K4999" s="22">
        <v>0.0</v>
      </c>
      <c r="L4999" s="22">
        <v>11.57541</v>
      </c>
      <c r="M4999" s="22">
        <v>9.661</v>
      </c>
      <c r="N4999" s="22">
        <v>109.07</v>
      </c>
      <c r="O4999" s="24">
        <v>338.7</v>
      </c>
      <c r="P4999" s="18">
        <f t="shared" si="1"/>
        <v>11.57541</v>
      </c>
    </row>
    <row r="5000" ht="15.75" customHeight="1">
      <c r="A5000" s="13" t="s">
        <v>253</v>
      </c>
      <c r="B5000" s="13" t="s">
        <v>61</v>
      </c>
      <c r="C5000" s="14" t="s">
        <v>84</v>
      </c>
      <c r="D5000" s="14" t="str">
        <f>VLOOKUP(C5000,'State Key'!$A$2:$B$210,2,False)</f>
        <v>Uttar Pradesh</v>
      </c>
      <c r="E5000" s="15">
        <v>920.0</v>
      </c>
      <c r="F5000" s="16">
        <v>311.891</v>
      </c>
      <c r="G5000" s="16">
        <v>0.0</v>
      </c>
      <c r="H5000" s="16">
        <v>0.0</v>
      </c>
      <c r="I5000" s="16">
        <v>0.0</v>
      </c>
      <c r="J5000" s="16">
        <v>0.0</v>
      </c>
      <c r="K5000" s="16">
        <v>0.0</v>
      </c>
      <c r="L5000" s="16">
        <v>311.891</v>
      </c>
      <c r="M5000" s="16">
        <v>339.831</v>
      </c>
      <c r="N5000" s="16">
        <v>219.759</v>
      </c>
      <c r="O5000" s="24">
        <v>19.4</v>
      </c>
      <c r="P5000" s="18">
        <f t="shared" si="1"/>
        <v>311.891</v>
      </c>
    </row>
    <row r="5001" ht="15.75" customHeight="1">
      <c r="A5001" s="19" t="s">
        <v>253</v>
      </c>
      <c r="B5001" s="19" t="s">
        <v>61</v>
      </c>
      <c r="C5001" s="20" t="s">
        <v>85</v>
      </c>
      <c r="D5001" s="14" t="str">
        <f>VLOOKUP(C5001,'State Key'!$A$2:$B$210,2,False)</f>
        <v>Uttar Pradesh</v>
      </c>
      <c r="E5001" s="21">
        <v>1980.0</v>
      </c>
      <c r="F5001" s="22">
        <v>566.628</v>
      </c>
      <c r="G5001" s="22">
        <v>0.0</v>
      </c>
      <c r="H5001" s="22">
        <v>0.0</v>
      </c>
      <c r="I5001" s="22">
        <v>0.0</v>
      </c>
      <c r="J5001" s="22">
        <v>0.0</v>
      </c>
      <c r="K5001" s="22">
        <v>0.0</v>
      </c>
      <c r="L5001" s="22">
        <v>566.628</v>
      </c>
      <c r="M5001" s="22">
        <v>714.358</v>
      </c>
      <c r="N5001" s="22">
        <v>547.88</v>
      </c>
      <c r="O5001" s="24">
        <v>23.0</v>
      </c>
      <c r="P5001" s="18">
        <f t="shared" si="1"/>
        <v>566.628</v>
      </c>
    </row>
    <row r="5002" ht="15.75" customHeight="1">
      <c r="A5002" s="13" t="s">
        <v>253</v>
      </c>
      <c r="B5002" s="13" t="s">
        <v>61</v>
      </c>
      <c r="C5002" s="14" t="s">
        <v>86</v>
      </c>
      <c r="D5002" s="14" t="str">
        <f>VLOOKUP(C5002,'State Key'!$A$2:$B$210,2,False)</f>
        <v>Haryana</v>
      </c>
      <c r="E5002" s="15">
        <v>1200.0</v>
      </c>
      <c r="F5002" s="16">
        <v>388.882</v>
      </c>
      <c r="G5002" s="16">
        <v>0.0</v>
      </c>
      <c r="H5002" s="16">
        <v>0.0</v>
      </c>
      <c r="I5002" s="16">
        <v>0.0</v>
      </c>
      <c r="J5002" s="16">
        <v>0.0</v>
      </c>
      <c r="K5002" s="16">
        <v>0.0</v>
      </c>
      <c r="L5002" s="16">
        <v>388.882</v>
      </c>
      <c r="M5002" s="16">
        <v>453.597</v>
      </c>
      <c r="N5002" s="16">
        <v>612.762</v>
      </c>
      <c r="O5002" s="24">
        <v>40.5</v>
      </c>
      <c r="P5002" s="18">
        <f t="shared" si="1"/>
        <v>388.882</v>
      </c>
    </row>
    <row r="5003" ht="15.75" customHeight="1">
      <c r="A5003" s="19" t="s">
        <v>253</v>
      </c>
      <c r="B5003" s="19" t="s">
        <v>61</v>
      </c>
      <c r="C5003" s="20" t="s">
        <v>87</v>
      </c>
      <c r="D5003" s="14" t="str">
        <f>VLOOKUP(C5003,'State Key'!$A$2:$B$210,2,False)</f>
        <v>Punjab</v>
      </c>
      <c r="E5003" s="21">
        <v>1400.0</v>
      </c>
      <c r="F5003" s="22">
        <v>339.944</v>
      </c>
      <c r="G5003" s="22">
        <v>0.0</v>
      </c>
      <c r="H5003" s="22">
        <v>0.0</v>
      </c>
      <c r="I5003" s="22">
        <v>0.0</v>
      </c>
      <c r="J5003" s="22">
        <v>0.0</v>
      </c>
      <c r="K5003" s="22">
        <v>0.0</v>
      </c>
      <c r="L5003" s="22">
        <v>339.944</v>
      </c>
      <c r="M5003" s="22">
        <v>547.45</v>
      </c>
      <c r="N5003" s="22">
        <v>215.17</v>
      </c>
      <c r="O5003" s="23">
        <v>11.8</v>
      </c>
      <c r="P5003" s="18">
        <f t="shared" si="1"/>
        <v>339.944</v>
      </c>
    </row>
    <row r="5004" ht="15.75" customHeight="1">
      <c r="A5004" s="13" t="s">
        <v>253</v>
      </c>
      <c r="B5004" s="13" t="s">
        <v>61</v>
      </c>
      <c r="C5004" s="14" t="s">
        <v>88</v>
      </c>
      <c r="D5004" s="14" t="str">
        <f>VLOOKUP(C5004,'State Key'!$A$2:$B$210,2,False)</f>
        <v>Uttar Pradesh</v>
      </c>
      <c r="E5004" s="15">
        <v>3000.0</v>
      </c>
      <c r="F5004" s="16">
        <v>1097.67</v>
      </c>
      <c r="G5004" s="16">
        <v>0.0</v>
      </c>
      <c r="H5004" s="16">
        <v>0.0</v>
      </c>
      <c r="I5004" s="16">
        <v>0.0</v>
      </c>
      <c r="J5004" s="16">
        <v>0.0</v>
      </c>
      <c r="K5004" s="16">
        <v>0.0</v>
      </c>
      <c r="L5004" s="16">
        <v>1097.67</v>
      </c>
      <c r="M5004" s="16">
        <v>1249.651</v>
      </c>
      <c r="N5004" s="16">
        <v>752.629</v>
      </c>
      <c r="O5004" s="24">
        <v>18.1</v>
      </c>
      <c r="P5004" s="18">
        <f t="shared" si="1"/>
        <v>1097.67</v>
      </c>
    </row>
    <row r="5005" ht="15.75" customHeight="1">
      <c r="A5005" s="19" t="s">
        <v>253</v>
      </c>
      <c r="B5005" s="19" t="s">
        <v>61</v>
      </c>
      <c r="C5005" s="20" t="s">
        <v>89</v>
      </c>
      <c r="D5005" s="14" t="str">
        <f>VLOOKUP(C5005,'State Key'!$A$2:$B$210,2,False)</f>
        <v>Punjab</v>
      </c>
      <c r="E5005" s="21">
        <v>840.0</v>
      </c>
      <c r="F5005" s="22">
        <v>120.719</v>
      </c>
      <c r="G5005" s="22">
        <v>0.0</v>
      </c>
      <c r="H5005" s="22">
        <v>93.449</v>
      </c>
      <c r="I5005" s="22">
        <v>0.0</v>
      </c>
      <c r="J5005" s="22">
        <v>0.0</v>
      </c>
      <c r="K5005" s="22">
        <v>0.0</v>
      </c>
      <c r="L5005" s="22">
        <v>214.168</v>
      </c>
      <c r="M5005" s="22">
        <v>270.182</v>
      </c>
      <c r="N5005" s="22">
        <v>329.8</v>
      </c>
      <c r="O5005" s="24">
        <v>36.6</v>
      </c>
      <c r="P5005" s="18">
        <f t="shared" si="1"/>
        <v>214.168</v>
      </c>
    </row>
    <row r="5006" ht="15.75" customHeight="1">
      <c r="A5006" s="13" t="s">
        <v>253</v>
      </c>
      <c r="B5006" s="13" t="s">
        <v>61</v>
      </c>
      <c r="C5006" s="14" t="s">
        <v>90</v>
      </c>
      <c r="D5006" s="14" t="str">
        <f>VLOOKUP(C5006,'State Key'!$A$2:$B$210,2,False)</f>
        <v>Uttar Pradesh</v>
      </c>
      <c r="E5006" s="15">
        <v>1200.0</v>
      </c>
      <c r="F5006" s="16">
        <v>280.917</v>
      </c>
      <c r="G5006" s="16">
        <v>0.0</v>
      </c>
      <c r="H5006" s="16">
        <v>0.0</v>
      </c>
      <c r="I5006" s="16">
        <v>0.0</v>
      </c>
      <c r="J5006" s="16">
        <v>0.0</v>
      </c>
      <c r="K5006" s="16">
        <v>0.0</v>
      </c>
      <c r="L5006" s="16">
        <v>280.917</v>
      </c>
      <c r="M5006" s="16">
        <v>413.822</v>
      </c>
      <c r="N5006" s="16">
        <v>369.48</v>
      </c>
      <c r="O5006" s="24">
        <v>26.8</v>
      </c>
      <c r="P5006" s="18">
        <f t="shared" si="1"/>
        <v>280.917</v>
      </c>
    </row>
    <row r="5007" ht="15.75" customHeight="1">
      <c r="A5007" s="19" t="s">
        <v>253</v>
      </c>
      <c r="B5007" s="19" t="s">
        <v>61</v>
      </c>
      <c r="C5007" s="20" t="s">
        <v>219</v>
      </c>
      <c r="D5007" s="14" t="str">
        <f>VLOOKUP(C5007,'State Key'!$A$2:$B$210,2,False)</f>
        <v>Rajasthan</v>
      </c>
      <c r="E5007" s="21">
        <v>300.0</v>
      </c>
      <c r="F5007" s="22">
        <v>0.0</v>
      </c>
      <c r="G5007" s="22">
        <v>0.0</v>
      </c>
      <c r="H5007" s="22">
        <v>0.0</v>
      </c>
      <c r="I5007" s="22">
        <v>0.0</v>
      </c>
      <c r="J5007" s="22">
        <v>40.46</v>
      </c>
      <c r="K5007" s="22">
        <v>0.0</v>
      </c>
      <c r="L5007" s="22">
        <v>40.46</v>
      </c>
      <c r="M5007" s="22">
        <v>40.46</v>
      </c>
      <c r="N5007" s="22">
        <v>0.0</v>
      </c>
      <c r="O5007" s="17">
        <v>0.0</v>
      </c>
      <c r="P5007" s="18">
        <f t="shared" si="1"/>
        <v>40.46</v>
      </c>
    </row>
    <row r="5008" ht="15.75" customHeight="1">
      <c r="A5008" s="13" t="s">
        <v>253</v>
      </c>
      <c r="B5008" s="13" t="s">
        <v>61</v>
      </c>
      <c r="C5008" s="14" t="s">
        <v>91</v>
      </c>
      <c r="D5008" s="14" t="str">
        <f>VLOOKUP(C5008,'State Key'!$A$2:$B$210,2,False)</f>
        <v>Uttar Pradesh</v>
      </c>
      <c r="E5008" s="15">
        <v>2000.0</v>
      </c>
      <c r="F5008" s="16">
        <v>745.09</v>
      </c>
      <c r="G5008" s="16">
        <v>0.0</v>
      </c>
      <c r="H5008" s="16">
        <v>0.0</v>
      </c>
      <c r="I5008" s="16">
        <v>0.0</v>
      </c>
      <c r="J5008" s="16">
        <v>0.0</v>
      </c>
      <c r="K5008" s="16">
        <v>0.0</v>
      </c>
      <c r="L5008" s="16">
        <v>745.09</v>
      </c>
      <c r="M5008" s="16">
        <v>796.802</v>
      </c>
      <c r="N5008" s="16">
        <v>382.993</v>
      </c>
      <c r="O5008" s="24">
        <v>14.4</v>
      </c>
      <c r="P5008" s="18">
        <f t="shared" si="1"/>
        <v>745.09</v>
      </c>
    </row>
    <row r="5009" ht="15.75" customHeight="1">
      <c r="A5009" s="19" t="s">
        <v>253</v>
      </c>
      <c r="B5009" s="19" t="s">
        <v>61</v>
      </c>
      <c r="C5009" s="20" t="s">
        <v>92</v>
      </c>
      <c r="D5009" s="14" t="str">
        <f>VLOOKUP(C5009,'State Key'!$A$2:$B$210,2,False)</f>
        <v>Rajasthan</v>
      </c>
      <c r="E5009" s="21">
        <v>1320.0</v>
      </c>
      <c r="F5009" s="22">
        <v>0.0</v>
      </c>
      <c r="G5009" s="22">
        <v>0.0</v>
      </c>
      <c r="H5009" s="22">
        <v>270.77078</v>
      </c>
      <c r="I5009" s="22">
        <v>0.0</v>
      </c>
      <c r="J5009" s="22">
        <v>0.0</v>
      </c>
      <c r="K5009" s="22">
        <v>0.0</v>
      </c>
      <c r="L5009" s="22">
        <v>270.77078</v>
      </c>
      <c r="M5009" s="22">
        <v>224.414</v>
      </c>
      <c r="N5009" s="22">
        <v>579.34</v>
      </c>
      <c r="O5009" s="24">
        <v>77.4</v>
      </c>
      <c r="P5009" s="18">
        <f t="shared" si="1"/>
        <v>270.77078</v>
      </c>
    </row>
    <row r="5010" ht="15.75" customHeight="1">
      <c r="A5010" s="13" t="s">
        <v>253</v>
      </c>
      <c r="B5010" s="13" t="s">
        <v>61</v>
      </c>
      <c r="C5010" s="14" t="s">
        <v>93</v>
      </c>
      <c r="D5010" s="14" t="str">
        <f>VLOOKUP(C5010,'State Key'!$A$2:$B$210,2,False)</f>
        <v>Rajasthan</v>
      </c>
      <c r="E5010" s="15">
        <v>1500.0</v>
      </c>
      <c r="F5010" s="16">
        <v>251.036</v>
      </c>
      <c r="G5010" s="16">
        <v>0.0</v>
      </c>
      <c r="H5010" s="16">
        <v>3.592</v>
      </c>
      <c r="I5010" s="16">
        <v>0.0</v>
      </c>
      <c r="J5010" s="16">
        <v>0.0</v>
      </c>
      <c r="K5010" s="16">
        <v>0.0</v>
      </c>
      <c r="L5010" s="16">
        <v>254.628</v>
      </c>
      <c r="M5010" s="16">
        <v>304.8</v>
      </c>
      <c r="N5010" s="16">
        <v>613.46</v>
      </c>
      <c r="O5010" s="24">
        <v>60.4</v>
      </c>
      <c r="P5010" s="18">
        <f t="shared" si="1"/>
        <v>254.628</v>
      </c>
    </row>
    <row r="5011" ht="15.75" customHeight="1">
      <c r="A5011" s="19" t="s">
        <v>253</v>
      </c>
      <c r="B5011" s="19" t="s">
        <v>61</v>
      </c>
      <c r="C5011" s="20" t="s">
        <v>94</v>
      </c>
      <c r="D5011" s="14" t="str">
        <f>VLOOKUP(C5011,'State Key'!$A$2:$B$210,2,False)</f>
        <v>Punjab</v>
      </c>
      <c r="E5011" s="21">
        <v>1980.0</v>
      </c>
      <c r="F5011" s="22">
        <v>572.335</v>
      </c>
      <c r="G5011" s="22">
        <v>0.0</v>
      </c>
      <c r="H5011" s="22">
        <v>0.0</v>
      </c>
      <c r="I5011" s="22">
        <v>0.0</v>
      </c>
      <c r="J5011" s="22">
        <v>0.0</v>
      </c>
      <c r="K5011" s="22">
        <v>0.0</v>
      </c>
      <c r="L5011" s="22">
        <v>572.335</v>
      </c>
      <c r="M5011" s="22">
        <v>720.65</v>
      </c>
      <c r="N5011" s="22">
        <v>478.57</v>
      </c>
      <c r="O5011" s="24">
        <v>19.9</v>
      </c>
      <c r="P5011" s="18">
        <f t="shared" si="1"/>
        <v>572.335</v>
      </c>
    </row>
    <row r="5012" ht="15.75" customHeight="1">
      <c r="A5012" s="13" t="s">
        <v>253</v>
      </c>
      <c r="B5012" s="13" t="s">
        <v>61</v>
      </c>
      <c r="C5012" s="14" t="s">
        <v>95</v>
      </c>
      <c r="D5012" s="14" t="str">
        <f>VLOOKUP(C5012,'State Key'!$A$2:$B$210,2,False)</f>
        <v>Uttar Pradesh</v>
      </c>
      <c r="E5012" s="15">
        <v>1760.0</v>
      </c>
      <c r="F5012" s="16">
        <v>256.19</v>
      </c>
      <c r="G5012" s="16">
        <v>0.0</v>
      </c>
      <c r="H5012" s="16">
        <v>143.61</v>
      </c>
      <c r="I5012" s="16">
        <v>0.0</v>
      </c>
      <c r="J5012" s="16">
        <v>0.0</v>
      </c>
      <c r="K5012" s="16">
        <v>4.04</v>
      </c>
      <c r="L5012" s="16">
        <v>403.84</v>
      </c>
      <c r="M5012" s="16">
        <v>493.261</v>
      </c>
      <c r="N5012" s="16">
        <v>684.516</v>
      </c>
      <c r="O5012" s="24">
        <v>41.6</v>
      </c>
      <c r="P5012" s="18">
        <f t="shared" si="1"/>
        <v>403.84</v>
      </c>
    </row>
    <row r="5013" ht="15.75" customHeight="1">
      <c r="A5013" s="19" t="s">
        <v>253</v>
      </c>
      <c r="B5013" s="19" t="s">
        <v>61</v>
      </c>
      <c r="C5013" s="20" t="s">
        <v>96</v>
      </c>
      <c r="D5013" s="14" t="str">
        <f>VLOOKUP(C5013,'State Key'!$A$2:$B$210,2,False)</f>
        <v>Uttar Pradesh</v>
      </c>
      <c r="E5013" s="21">
        <v>1550.0</v>
      </c>
      <c r="F5013" s="22">
        <v>240.08</v>
      </c>
      <c r="G5013" s="22">
        <v>0.0</v>
      </c>
      <c r="H5013" s="22">
        <v>152.7</v>
      </c>
      <c r="I5013" s="22">
        <v>0.0</v>
      </c>
      <c r="J5013" s="22">
        <v>0.0</v>
      </c>
      <c r="K5013" s="22">
        <v>79.37</v>
      </c>
      <c r="L5013" s="22">
        <v>472.15</v>
      </c>
      <c r="M5013" s="22">
        <v>629.654</v>
      </c>
      <c r="N5013" s="22">
        <v>458.301</v>
      </c>
      <c r="O5013" s="24">
        <v>21.8</v>
      </c>
      <c r="P5013" s="18">
        <f t="shared" si="1"/>
        <v>472.15</v>
      </c>
    </row>
    <row r="5014" ht="15.75" customHeight="1">
      <c r="A5014" s="13" t="s">
        <v>253</v>
      </c>
      <c r="B5014" s="13" t="s">
        <v>61</v>
      </c>
      <c r="C5014" s="14" t="s">
        <v>97</v>
      </c>
      <c r="D5014" s="14" t="str">
        <f>VLOOKUP(C5014,'State Key'!$A$2:$B$210,2,False)</f>
        <v>Uttar Pradesh</v>
      </c>
      <c r="E5014" s="15">
        <v>90.0</v>
      </c>
      <c r="F5014" s="16">
        <v>0.0</v>
      </c>
      <c r="G5014" s="16">
        <v>0.0</v>
      </c>
      <c r="H5014" s="16">
        <v>0.0</v>
      </c>
      <c r="I5014" s="16">
        <v>0.0</v>
      </c>
      <c r="J5014" s="16">
        <v>0.0</v>
      </c>
      <c r="K5014" s="16">
        <v>0.0</v>
      </c>
      <c r="L5014" s="16">
        <v>0.0</v>
      </c>
      <c r="M5014" s="16">
        <v>17.702</v>
      </c>
      <c r="N5014" s="16">
        <v>47.76</v>
      </c>
      <c r="O5014" s="24">
        <v>80.9</v>
      </c>
      <c r="P5014" s="18">
        <f t="shared" si="1"/>
        <v>0</v>
      </c>
    </row>
    <row r="5015" ht="15.75" customHeight="1">
      <c r="A5015" s="19" t="s">
        <v>253</v>
      </c>
      <c r="B5015" s="19" t="s">
        <v>61</v>
      </c>
      <c r="C5015" s="20" t="s">
        <v>98</v>
      </c>
      <c r="D5015" s="14" t="str">
        <f>VLOOKUP(C5015,'State Key'!$A$2:$B$210,2,False)</f>
        <v>Haryana</v>
      </c>
      <c r="E5015" s="21">
        <v>600.0</v>
      </c>
      <c r="F5015" s="22">
        <v>254.596</v>
      </c>
      <c r="G5015" s="22">
        <v>0.0</v>
      </c>
      <c r="H5015" s="22">
        <v>0.0</v>
      </c>
      <c r="I5015" s="22">
        <v>0.0</v>
      </c>
      <c r="J5015" s="22">
        <v>0.0</v>
      </c>
      <c r="K5015" s="22">
        <v>0.0</v>
      </c>
      <c r="L5015" s="22">
        <v>254.596</v>
      </c>
      <c r="M5015" s="22">
        <v>229.06</v>
      </c>
      <c r="N5015" s="22">
        <v>275.95</v>
      </c>
      <c r="O5015" s="24">
        <v>36.1</v>
      </c>
      <c r="P5015" s="18">
        <f t="shared" si="1"/>
        <v>254.596</v>
      </c>
    </row>
    <row r="5016" ht="15.75" customHeight="1">
      <c r="A5016" s="13" t="s">
        <v>253</v>
      </c>
      <c r="B5016" s="13" t="s">
        <v>99</v>
      </c>
      <c r="C5016" s="14" t="s">
        <v>210</v>
      </c>
      <c r="D5016" s="14" t="str">
        <f>VLOOKUP(C5016,'State Key'!$A$2:$B$210,2,False)</f>
        <v>Karnataka</v>
      </c>
      <c r="E5016" s="15">
        <v>1200.0</v>
      </c>
      <c r="F5016" s="16">
        <v>0.0</v>
      </c>
      <c r="G5016" s="16">
        <v>0.0</v>
      </c>
      <c r="H5016" s="16">
        <v>0.0</v>
      </c>
      <c r="I5016" s="16">
        <v>0.0</v>
      </c>
      <c r="J5016" s="16">
        <v>0.0</v>
      </c>
      <c r="K5016" s="16">
        <v>0.0</v>
      </c>
      <c r="L5016" s="16">
        <v>0.0</v>
      </c>
      <c r="M5016" s="16">
        <v>68.386</v>
      </c>
      <c r="N5016" s="16">
        <v>315.31</v>
      </c>
      <c r="O5016" s="24">
        <v>138.3</v>
      </c>
      <c r="P5016" s="18">
        <f t="shared" si="1"/>
        <v>0</v>
      </c>
    </row>
    <row r="5017" ht="15.75" customHeight="1">
      <c r="A5017" s="19" t="s">
        <v>253</v>
      </c>
      <c r="B5017" s="19" t="s">
        <v>99</v>
      </c>
      <c r="C5017" s="20" t="s">
        <v>100</v>
      </c>
      <c r="D5017" s="14" t="str">
        <f>VLOOKUP(C5017,'State Key'!$A$2:$B$210,2,False)</f>
        <v>Karnataka</v>
      </c>
      <c r="E5017" s="21">
        <v>1700.0</v>
      </c>
      <c r="F5017" s="22">
        <v>61.80029</v>
      </c>
      <c r="G5017" s="22">
        <v>28.07359</v>
      </c>
      <c r="H5017" s="22">
        <v>275.05827</v>
      </c>
      <c r="I5017" s="22">
        <v>0.0</v>
      </c>
      <c r="J5017" s="22">
        <v>24.08329</v>
      </c>
      <c r="K5017" s="22">
        <v>0.0</v>
      </c>
      <c r="L5017" s="22">
        <v>389.01544</v>
      </c>
      <c r="M5017" s="22">
        <v>572.949</v>
      </c>
      <c r="N5017" s="22">
        <v>313.5942</v>
      </c>
      <c r="O5017" s="24">
        <v>16.4</v>
      </c>
      <c r="P5017" s="18">
        <f t="shared" si="1"/>
        <v>389.01544</v>
      </c>
    </row>
    <row r="5018" ht="15.75" customHeight="1">
      <c r="A5018" s="13" t="s">
        <v>253</v>
      </c>
      <c r="B5018" s="13" t="s">
        <v>99</v>
      </c>
      <c r="C5018" s="14" t="s">
        <v>101</v>
      </c>
      <c r="D5018" s="14" t="str">
        <f>VLOOKUP(C5018,'State Key'!$A$2:$B$210,2,False)</f>
        <v>Telangana</v>
      </c>
      <c r="E5018" s="15">
        <v>1080.0</v>
      </c>
      <c r="F5018" s="16">
        <v>0.0</v>
      </c>
      <c r="G5018" s="16">
        <v>266.395</v>
      </c>
      <c r="H5018" s="16">
        <v>0.0</v>
      </c>
      <c r="I5018" s="16">
        <v>0.0</v>
      </c>
      <c r="J5018" s="16">
        <v>0.0</v>
      </c>
      <c r="K5018" s="16">
        <v>0.0</v>
      </c>
      <c r="L5018" s="16">
        <v>266.395</v>
      </c>
      <c r="M5018" s="16">
        <v>327.642</v>
      </c>
      <c r="N5018" s="16">
        <v>195.723</v>
      </c>
      <c r="O5018" s="24">
        <v>17.9</v>
      </c>
      <c r="P5018" s="18">
        <f t="shared" si="1"/>
        <v>266.395</v>
      </c>
    </row>
    <row r="5019" ht="15.75" customHeight="1">
      <c r="A5019" s="19" t="s">
        <v>253</v>
      </c>
      <c r="B5019" s="19" t="s">
        <v>99</v>
      </c>
      <c r="C5019" s="20" t="s">
        <v>102</v>
      </c>
      <c r="D5019" s="14" t="str">
        <f>VLOOKUP(C5019,'State Key'!$A$2:$B$210,2,False)</f>
        <v>Andhra Pradesh</v>
      </c>
      <c r="E5019" s="21">
        <v>2400.0</v>
      </c>
      <c r="F5019" s="22">
        <v>565.41669</v>
      </c>
      <c r="G5019" s="22">
        <v>0.0</v>
      </c>
      <c r="H5019" s="22">
        <v>0.0</v>
      </c>
      <c r="I5019" s="22">
        <v>0.0</v>
      </c>
      <c r="J5019" s="22">
        <v>0.0</v>
      </c>
      <c r="K5019" s="22">
        <v>0.0</v>
      </c>
      <c r="L5019" s="22">
        <v>565.41669</v>
      </c>
      <c r="M5019" s="22">
        <v>665.43</v>
      </c>
      <c r="N5019" s="22">
        <v>78.19</v>
      </c>
      <c r="O5019" s="17">
        <v>3.5</v>
      </c>
      <c r="P5019" s="18">
        <f t="shared" si="1"/>
        <v>565.41669</v>
      </c>
    </row>
    <row r="5020" ht="15.75" customHeight="1">
      <c r="A5020" s="13" t="s">
        <v>253</v>
      </c>
      <c r="B5020" s="13" t="s">
        <v>99</v>
      </c>
      <c r="C5020" s="14" t="s">
        <v>103</v>
      </c>
      <c r="D5020" s="14" t="str">
        <f>VLOOKUP(C5020,'State Key'!$A$2:$B$210,2,False)</f>
        <v>Andhra Pradesh</v>
      </c>
      <c r="E5020" s="15">
        <v>2560.0</v>
      </c>
      <c r="F5020" s="16">
        <v>708.249</v>
      </c>
      <c r="G5020" s="16">
        <v>56.238</v>
      </c>
      <c r="H5020" s="16">
        <v>0.0</v>
      </c>
      <c r="I5020" s="16">
        <v>0.0</v>
      </c>
      <c r="J5020" s="16">
        <v>0.0</v>
      </c>
      <c r="K5020" s="16">
        <v>0.0</v>
      </c>
      <c r="L5020" s="16">
        <v>764.487</v>
      </c>
      <c r="M5020" s="16">
        <v>787.369</v>
      </c>
      <c r="N5020" s="16">
        <v>514.353</v>
      </c>
      <c r="O5020" s="24">
        <v>19.6</v>
      </c>
      <c r="P5020" s="18">
        <f t="shared" si="1"/>
        <v>764.487</v>
      </c>
    </row>
    <row r="5021" ht="15.75" customHeight="1">
      <c r="A5021" s="19" t="s">
        <v>253</v>
      </c>
      <c r="B5021" s="19" t="s">
        <v>99</v>
      </c>
      <c r="C5021" s="20" t="s">
        <v>104</v>
      </c>
      <c r="D5021" s="14" t="str">
        <f>VLOOKUP(C5021,'State Key'!$A$2:$B$210,2,False)</f>
        <v>Tamil Nadu</v>
      </c>
      <c r="E5021" s="21">
        <v>1200.0</v>
      </c>
      <c r="F5021" s="22">
        <v>0.0</v>
      </c>
      <c r="G5021" s="22">
        <v>0.0</v>
      </c>
      <c r="H5021" s="22">
        <v>0.0</v>
      </c>
      <c r="I5021" s="22">
        <v>0.0</v>
      </c>
      <c r="J5021" s="22">
        <v>422.881</v>
      </c>
      <c r="K5021" s="22">
        <v>0.0</v>
      </c>
      <c r="L5021" s="22">
        <v>422.881</v>
      </c>
      <c r="M5021" s="22">
        <v>404.243</v>
      </c>
      <c r="N5021" s="22">
        <v>424.92</v>
      </c>
      <c r="O5021" s="24">
        <v>31.5</v>
      </c>
      <c r="P5021" s="18">
        <f t="shared" si="1"/>
        <v>422.881</v>
      </c>
    </row>
    <row r="5022" ht="15.75" customHeight="1">
      <c r="A5022" s="13" t="s">
        <v>253</v>
      </c>
      <c r="B5022" s="13" t="s">
        <v>99</v>
      </c>
      <c r="C5022" s="14" t="s">
        <v>105</v>
      </c>
      <c r="D5022" s="14" t="str">
        <f>VLOOKUP(C5022,'State Key'!$A$2:$B$210,2,False)</f>
        <v>Telangana</v>
      </c>
      <c r="E5022" s="15">
        <v>1100.0</v>
      </c>
      <c r="F5022" s="16">
        <v>0.0</v>
      </c>
      <c r="G5022" s="16">
        <v>114.363</v>
      </c>
      <c r="H5022" s="16">
        <v>182.812</v>
      </c>
      <c r="I5022" s="16">
        <v>0.0</v>
      </c>
      <c r="J5022" s="16">
        <v>0.0</v>
      </c>
      <c r="K5022" s="16">
        <v>0.0</v>
      </c>
      <c r="L5022" s="16">
        <v>297.175</v>
      </c>
      <c r="M5022" s="16">
        <v>376.509</v>
      </c>
      <c r="N5022" s="16">
        <v>239.547</v>
      </c>
      <c r="O5022" s="24">
        <v>19.1</v>
      </c>
      <c r="P5022" s="18">
        <f t="shared" si="1"/>
        <v>297.175</v>
      </c>
    </row>
    <row r="5023" ht="15.75" customHeight="1">
      <c r="A5023" s="19" t="s">
        <v>253</v>
      </c>
      <c r="B5023" s="19" t="s">
        <v>99</v>
      </c>
      <c r="C5023" s="20" t="s">
        <v>106</v>
      </c>
      <c r="D5023" s="14" t="str">
        <f>VLOOKUP(C5023,'State Key'!$A$2:$B$210,2,False)</f>
        <v>Telangana</v>
      </c>
      <c r="E5023" s="21">
        <v>1000.0</v>
      </c>
      <c r="F5023" s="22">
        <v>0.0</v>
      </c>
      <c r="G5023" s="22">
        <v>298.14</v>
      </c>
      <c r="H5023" s="22">
        <v>0.0</v>
      </c>
      <c r="I5023" s="22">
        <v>0.0</v>
      </c>
      <c r="J5023" s="22">
        <v>0.0</v>
      </c>
      <c r="K5023" s="22">
        <v>0.0</v>
      </c>
      <c r="L5023" s="22">
        <v>298.14</v>
      </c>
      <c r="M5023" s="22">
        <v>263.84</v>
      </c>
      <c r="N5023" s="22">
        <v>497.76</v>
      </c>
      <c r="O5023" s="24">
        <v>56.6</v>
      </c>
      <c r="P5023" s="18">
        <f t="shared" si="1"/>
        <v>298.14</v>
      </c>
    </row>
    <row r="5024" ht="15.75" customHeight="1">
      <c r="A5024" s="13" t="s">
        <v>253</v>
      </c>
      <c r="B5024" s="13" t="s">
        <v>99</v>
      </c>
      <c r="C5024" s="14" t="s">
        <v>107</v>
      </c>
      <c r="D5024" s="14" t="str">
        <f>VLOOKUP(C5024,'State Key'!$A$2:$B$210,2,False)</f>
        <v>Telangana</v>
      </c>
      <c r="E5024" s="15">
        <v>800.0</v>
      </c>
      <c r="F5024" s="16">
        <v>0.0</v>
      </c>
      <c r="G5024" s="16">
        <v>122.481</v>
      </c>
      <c r="H5024" s="16">
        <v>0.0</v>
      </c>
      <c r="I5024" s="16">
        <v>0.0</v>
      </c>
      <c r="J5024" s="16">
        <v>0.0</v>
      </c>
      <c r="K5024" s="16">
        <v>0.0</v>
      </c>
      <c r="L5024" s="16">
        <v>122.481</v>
      </c>
      <c r="M5024" s="16">
        <v>83.649</v>
      </c>
      <c r="N5024" s="16">
        <v>243.072</v>
      </c>
      <c r="O5024" s="24">
        <v>87.2</v>
      </c>
      <c r="P5024" s="18">
        <f t="shared" si="1"/>
        <v>122.481</v>
      </c>
    </row>
    <row r="5025" ht="15.75" customHeight="1">
      <c r="A5025" s="19" t="s">
        <v>253</v>
      </c>
      <c r="B5025" s="19" t="s">
        <v>99</v>
      </c>
      <c r="C5025" s="20" t="s">
        <v>108</v>
      </c>
      <c r="D5025" s="14" t="str">
        <f>VLOOKUP(C5025,'State Key'!$A$2:$B$210,2,False)</f>
        <v>Karnataka</v>
      </c>
      <c r="E5025" s="21">
        <v>2400.0</v>
      </c>
      <c r="F5025" s="22">
        <v>313.25</v>
      </c>
      <c r="G5025" s="22">
        <v>113.42</v>
      </c>
      <c r="H5025" s="22">
        <v>50.41</v>
      </c>
      <c r="I5025" s="22">
        <v>0.0</v>
      </c>
      <c r="J5025" s="22">
        <v>0.0</v>
      </c>
      <c r="K5025" s="22">
        <v>0.0</v>
      </c>
      <c r="L5025" s="22">
        <v>477.08</v>
      </c>
      <c r="M5025" s="22">
        <v>406.933</v>
      </c>
      <c r="N5025" s="22">
        <v>771.415</v>
      </c>
      <c r="O5025" s="24">
        <v>56.9</v>
      </c>
      <c r="P5025" s="18">
        <f t="shared" si="1"/>
        <v>477.08</v>
      </c>
    </row>
    <row r="5026" ht="15.75" customHeight="1">
      <c r="A5026" s="13" t="s">
        <v>253</v>
      </c>
      <c r="B5026" s="13" t="s">
        <v>99</v>
      </c>
      <c r="C5026" s="14" t="s">
        <v>109</v>
      </c>
      <c r="D5026" s="14" t="str">
        <f>VLOOKUP(C5026,'State Key'!$A$2:$B$210,2,False)</f>
        <v>Tamil Nadu</v>
      </c>
      <c r="E5026" s="15">
        <v>840.0</v>
      </c>
      <c r="F5026" s="16">
        <v>434.425</v>
      </c>
      <c r="G5026" s="16">
        <v>0.0</v>
      </c>
      <c r="H5026" s="16">
        <v>0.0</v>
      </c>
      <c r="I5026" s="16">
        <v>0.0</v>
      </c>
      <c r="J5026" s="16">
        <v>0.0</v>
      </c>
      <c r="K5026" s="16">
        <v>0.0</v>
      </c>
      <c r="L5026" s="16">
        <v>434.425</v>
      </c>
      <c r="M5026" s="16">
        <v>384.021</v>
      </c>
      <c r="N5026" s="16">
        <v>194.6859</v>
      </c>
      <c r="O5026" s="24">
        <v>15.2</v>
      </c>
      <c r="P5026" s="18">
        <f t="shared" si="1"/>
        <v>434.425</v>
      </c>
    </row>
    <row r="5027" ht="15.75" customHeight="1">
      <c r="A5027" s="19" t="s">
        <v>253</v>
      </c>
      <c r="B5027" s="19" t="s">
        <v>99</v>
      </c>
      <c r="C5027" s="20" t="s">
        <v>110</v>
      </c>
      <c r="D5027" s="14" t="str">
        <f>VLOOKUP(C5027,'State Key'!$A$2:$B$210,2,False)</f>
        <v>Tamil Nadu</v>
      </c>
      <c r="E5027" s="21">
        <v>600.0</v>
      </c>
      <c r="F5027" s="22">
        <v>251.38</v>
      </c>
      <c r="G5027" s="22">
        <v>0.0</v>
      </c>
      <c r="H5027" s="22">
        <v>0.0</v>
      </c>
      <c r="I5027" s="22">
        <v>0.0</v>
      </c>
      <c r="J5027" s="22">
        <v>44.61</v>
      </c>
      <c r="K5027" s="22">
        <v>0.0</v>
      </c>
      <c r="L5027" s="22">
        <v>295.99</v>
      </c>
      <c r="M5027" s="22">
        <v>276.3</v>
      </c>
      <c r="N5027" s="22">
        <v>151.5</v>
      </c>
      <c r="O5027" s="24">
        <v>16.4</v>
      </c>
      <c r="P5027" s="18">
        <f t="shared" si="1"/>
        <v>295.99</v>
      </c>
    </row>
    <row r="5028" ht="15.75" customHeight="1">
      <c r="A5028" s="13" t="s">
        <v>253</v>
      </c>
      <c r="B5028" s="13" t="s">
        <v>99</v>
      </c>
      <c r="C5028" s="14" t="s">
        <v>111</v>
      </c>
      <c r="D5028" s="14" t="str">
        <f>VLOOKUP(C5028,'State Key'!$A$2:$B$210,2,False)</f>
        <v>Tamil Nadu</v>
      </c>
      <c r="E5028" s="15">
        <v>1200.0</v>
      </c>
      <c r="F5028" s="16">
        <v>129.225</v>
      </c>
      <c r="G5028" s="16">
        <v>0.0</v>
      </c>
      <c r="H5028" s="16">
        <v>0.0</v>
      </c>
      <c r="I5028" s="16">
        <v>0.0</v>
      </c>
      <c r="J5028" s="16">
        <v>79.179</v>
      </c>
      <c r="K5028" s="16">
        <v>0.0</v>
      </c>
      <c r="L5028" s="16">
        <v>208.404</v>
      </c>
      <c r="M5028" s="16">
        <v>371.852</v>
      </c>
      <c r="N5028" s="16">
        <v>159.74</v>
      </c>
      <c r="O5028" s="23">
        <v>12.9</v>
      </c>
      <c r="P5028" s="18">
        <f t="shared" si="1"/>
        <v>208.404</v>
      </c>
    </row>
    <row r="5029" ht="15.75" customHeight="1">
      <c r="A5029" s="19" t="s">
        <v>253</v>
      </c>
      <c r="B5029" s="19" t="s">
        <v>99</v>
      </c>
      <c r="C5029" s="20" t="s">
        <v>112</v>
      </c>
      <c r="D5029" s="14" t="str">
        <f>VLOOKUP(C5029,'State Key'!$A$2:$B$210,2,False)</f>
        <v>Tamil Nadu</v>
      </c>
      <c r="E5029" s="21">
        <v>1830.0</v>
      </c>
      <c r="F5029" s="22">
        <v>629.093</v>
      </c>
      <c r="G5029" s="22">
        <v>0.0</v>
      </c>
      <c r="H5029" s="22">
        <v>0.0</v>
      </c>
      <c r="I5029" s="22">
        <v>0.0</v>
      </c>
      <c r="J5029" s="22">
        <v>0.0</v>
      </c>
      <c r="K5029" s="22">
        <v>0.0</v>
      </c>
      <c r="L5029" s="22">
        <v>629.093</v>
      </c>
      <c r="M5029" s="22">
        <v>781.411</v>
      </c>
      <c r="N5029" s="22">
        <v>290.887</v>
      </c>
      <c r="O5029" s="23">
        <v>11.2</v>
      </c>
      <c r="P5029" s="18">
        <f t="shared" si="1"/>
        <v>629.093</v>
      </c>
    </row>
    <row r="5030" ht="15.75" customHeight="1">
      <c r="A5030" s="13" t="s">
        <v>253</v>
      </c>
      <c r="B5030" s="13" t="s">
        <v>99</v>
      </c>
      <c r="C5030" s="14" t="s">
        <v>113</v>
      </c>
      <c r="D5030" s="14" t="str">
        <f>VLOOKUP(C5030,'State Key'!$A$2:$B$210,2,False)</f>
        <v>Tamil Nadu</v>
      </c>
      <c r="E5030" s="15">
        <v>1000.0</v>
      </c>
      <c r="F5030" s="16">
        <v>0.0</v>
      </c>
      <c r="G5030" s="16">
        <v>0.0</v>
      </c>
      <c r="H5030" s="16">
        <v>287.281</v>
      </c>
      <c r="I5030" s="16">
        <v>0.0</v>
      </c>
      <c r="J5030" s="16">
        <v>144.64</v>
      </c>
      <c r="K5030" s="16">
        <v>0.0</v>
      </c>
      <c r="L5030" s="16">
        <v>431.921</v>
      </c>
      <c r="M5030" s="16">
        <v>370.4089</v>
      </c>
      <c r="N5030" s="16">
        <v>323.62</v>
      </c>
      <c r="O5030" s="24">
        <v>26.2</v>
      </c>
      <c r="P5030" s="18">
        <f t="shared" si="1"/>
        <v>431.921</v>
      </c>
    </row>
    <row r="5031" ht="15.75" customHeight="1">
      <c r="A5031" s="19" t="s">
        <v>253</v>
      </c>
      <c r="B5031" s="19" t="s">
        <v>99</v>
      </c>
      <c r="C5031" s="20" t="s">
        <v>228</v>
      </c>
      <c r="D5031" s="14" t="str">
        <f>VLOOKUP(C5031,'State Key'!$A$2:$B$210,2,False)</f>
        <v>Tamil Nadu</v>
      </c>
      <c r="E5031" s="21">
        <v>414.0</v>
      </c>
      <c r="F5031" s="22">
        <v>0.0</v>
      </c>
      <c r="G5031" s="22">
        <v>0.0</v>
      </c>
      <c r="H5031" s="22">
        <v>0.0</v>
      </c>
      <c r="I5031" s="22">
        <v>0.0</v>
      </c>
      <c r="J5031" s="22">
        <v>190.292</v>
      </c>
      <c r="K5031" s="22">
        <v>0.0</v>
      </c>
      <c r="L5031" s="22">
        <v>190.292</v>
      </c>
      <c r="M5031" s="22">
        <v>139.071</v>
      </c>
      <c r="N5031" s="22">
        <v>110.55</v>
      </c>
      <c r="O5031" s="24">
        <v>23.8</v>
      </c>
      <c r="P5031" s="18">
        <f t="shared" si="1"/>
        <v>190.292</v>
      </c>
    </row>
    <row r="5032" ht="15.75" customHeight="1">
      <c r="A5032" s="13" t="s">
        <v>253</v>
      </c>
      <c r="B5032" s="13" t="s">
        <v>99</v>
      </c>
      <c r="C5032" s="14" t="s">
        <v>114</v>
      </c>
      <c r="D5032" s="14" t="str">
        <f>VLOOKUP(C5032,'State Key'!$A$2:$B$210,2,False)</f>
        <v>Andhra Pradesh</v>
      </c>
      <c r="E5032" s="15">
        <v>1320.0</v>
      </c>
      <c r="F5032" s="16">
        <v>415.032</v>
      </c>
      <c r="G5032" s="16">
        <v>0.0</v>
      </c>
      <c r="H5032" s="16">
        <v>0.0</v>
      </c>
      <c r="I5032" s="16">
        <v>0.0</v>
      </c>
      <c r="J5032" s="16">
        <v>187.58</v>
      </c>
      <c r="K5032" s="16">
        <v>0.0</v>
      </c>
      <c r="L5032" s="16">
        <v>602.612</v>
      </c>
      <c r="M5032" s="16">
        <v>496.984</v>
      </c>
      <c r="N5032" s="16">
        <v>356.96</v>
      </c>
      <c r="O5032" s="24">
        <v>21.5</v>
      </c>
      <c r="P5032" s="18">
        <f t="shared" si="1"/>
        <v>602.612</v>
      </c>
    </row>
    <row r="5033" ht="15.75" customHeight="1">
      <c r="A5033" s="19" t="s">
        <v>253</v>
      </c>
      <c r="B5033" s="19" t="s">
        <v>99</v>
      </c>
      <c r="C5033" s="20" t="s">
        <v>115</v>
      </c>
      <c r="D5033" s="14" t="str">
        <f>VLOOKUP(C5033,'State Key'!$A$2:$B$210,2,False)</f>
        <v>Karnataka</v>
      </c>
      <c r="E5033" s="21">
        <v>1720.0</v>
      </c>
      <c r="F5033" s="22">
        <v>56.943</v>
      </c>
      <c r="G5033" s="22">
        <v>57.697</v>
      </c>
      <c r="H5033" s="22">
        <v>0.0</v>
      </c>
      <c r="I5033" s="22">
        <v>0.0</v>
      </c>
      <c r="J5033" s="22">
        <v>0.0</v>
      </c>
      <c r="K5033" s="22">
        <v>0.0</v>
      </c>
      <c r="L5033" s="22">
        <v>114.64</v>
      </c>
      <c r="M5033" s="22">
        <v>315.16</v>
      </c>
      <c r="N5033" s="22">
        <v>674.34</v>
      </c>
      <c r="O5033" s="24">
        <v>64.2</v>
      </c>
      <c r="P5033" s="18">
        <f t="shared" si="1"/>
        <v>114.64</v>
      </c>
    </row>
    <row r="5034" ht="15.75" customHeight="1">
      <c r="A5034" s="13" t="s">
        <v>253</v>
      </c>
      <c r="B5034" s="13" t="s">
        <v>99</v>
      </c>
      <c r="C5034" s="14" t="s">
        <v>116</v>
      </c>
      <c r="D5034" s="14" t="str">
        <f>VLOOKUP(C5034,'State Key'!$A$2:$B$210,2,False)</f>
        <v>Telangana</v>
      </c>
      <c r="E5034" s="15">
        <v>2600.0</v>
      </c>
      <c r="F5034" s="16">
        <v>0.0</v>
      </c>
      <c r="G5034" s="16">
        <v>671.63</v>
      </c>
      <c r="H5034" s="16">
        <v>3.92</v>
      </c>
      <c r="I5034" s="16">
        <v>0.0</v>
      </c>
      <c r="J5034" s="16">
        <v>0.0</v>
      </c>
      <c r="K5034" s="16">
        <v>0.0</v>
      </c>
      <c r="L5034" s="16">
        <v>675.55</v>
      </c>
      <c r="M5034" s="16">
        <v>783.591</v>
      </c>
      <c r="N5034" s="16">
        <v>737.621</v>
      </c>
      <c r="O5034" s="24">
        <v>28.2</v>
      </c>
      <c r="P5034" s="18">
        <f t="shared" si="1"/>
        <v>675.55</v>
      </c>
    </row>
    <row r="5035" ht="15.75" customHeight="1">
      <c r="A5035" s="19" t="s">
        <v>253</v>
      </c>
      <c r="B5035" s="19" t="s">
        <v>99</v>
      </c>
      <c r="C5035" s="20" t="s">
        <v>117</v>
      </c>
      <c r="D5035" s="14" t="str">
        <f>VLOOKUP(C5035,'State Key'!$A$2:$B$210,2,False)</f>
        <v>Telangana</v>
      </c>
      <c r="E5035" s="21">
        <v>62.5</v>
      </c>
      <c r="F5035" s="22">
        <v>0.0</v>
      </c>
      <c r="G5035" s="22">
        <v>0.0</v>
      </c>
      <c r="H5035" s="22">
        <v>0.0</v>
      </c>
      <c r="I5035" s="22">
        <v>0.0</v>
      </c>
      <c r="J5035" s="22">
        <v>0.0</v>
      </c>
      <c r="K5035" s="22">
        <v>0.0</v>
      </c>
      <c r="L5035" s="22">
        <v>0.0</v>
      </c>
      <c r="M5035" s="22">
        <v>0.0</v>
      </c>
      <c r="N5035" s="22">
        <v>3.72</v>
      </c>
      <c r="O5035" s="19" t="s">
        <v>58</v>
      </c>
      <c r="P5035" s="18">
        <f t="shared" si="1"/>
        <v>0</v>
      </c>
    </row>
    <row r="5036" ht="15.75" customHeight="1">
      <c r="A5036" s="13" t="s">
        <v>253</v>
      </c>
      <c r="B5036" s="13" t="s">
        <v>99</v>
      </c>
      <c r="C5036" s="14" t="s">
        <v>118</v>
      </c>
      <c r="D5036" s="14" t="str">
        <f>VLOOKUP(C5036,'State Key'!$A$2:$B$210,2,False)</f>
        <v>Andhra Pradesh</v>
      </c>
      <c r="E5036" s="15">
        <v>1650.0</v>
      </c>
      <c r="F5036" s="16">
        <v>480.883</v>
      </c>
      <c r="G5036" s="16">
        <v>226.45</v>
      </c>
      <c r="H5036" s="16">
        <v>0.0</v>
      </c>
      <c r="I5036" s="16">
        <v>0.0</v>
      </c>
      <c r="J5036" s="16">
        <v>0.0</v>
      </c>
      <c r="K5036" s="16">
        <v>0.0</v>
      </c>
      <c r="L5036" s="16">
        <v>707.333</v>
      </c>
      <c r="M5036" s="16">
        <v>591.435</v>
      </c>
      <c r="N5036" s="16">
        <v>181.41</v>
      </c>
      <c r="O5036" s="23">
        <v>9.2</v>
      </c>
      <c r="P5036" s="18">
        <f t="shared" si="1"/>
        <v>707.333</v>
      </c>
    </row>
    <row r="5037" ht="15.75" customHeight="1">
      <c r="A5037" s="19" t="s">
        <v>253</v>
      </c>
      <c r="B5037" s="19" t="s">
        <v>99</v>
      </c>
      <c r="C5037" s="20" t="s">
        <v>119</v>
      </c>
      <c r="D5037" s="14" t="str">
        <f>VLOOKUP(C5037,'State Key'!$A$2:$B$210,2,False)</f>
        <v>Andhra Pradesh</v>
      </c>
      <c r="E5037" s="21">
        <v>1320.0</v>
      </c>
      <c r="F5037" s="22">
        <v>258.729</v>
      </c>
      <c r="G5037" s="22">
        <v>0.0</v>
      </c>
      <c r="H5037" s="22">
        <v>0.0</v>
      </c>
      <c r="I5037" s="22">
        <v>0.0</v>
      </c>
      <c r="J5037" s="22">
        <v>47.116</v>
      </c>
      <c r="K5037" s="22">
        <v>0.0</v>
      </c>
      <c r="L5037" s="22">
        <v>305.845</v>
      </c>
      <c r="M5037" s="22">
        <v>349.257</v>
      </c>
      <c r="N5037" s="22">
        <v>440.62</v>
      </c>
      <c r="O5037" s="24">
        <v>37.8</v>
      </c>
      <c r="P5037" s="18">
        <f t="shared" si="1"/>
        <v>305.845</v>
      </c>
    </row>
    <row r="5038" ht="15.75" customHeight="1">
      <c r="A5038" s="13" t="s">
        <v>253</v>
      </c>
      <c r="B5038" s="13" t="s">
        <v>99</v>
      </c>
      <c r="C5038" s="14" t="s">
        <v>120</v>
      </c>
      <c r="D5038" s="14" t="str">
        <f>VLOOKUP(C5038,'State Key'!$A$2:$B$210,2,False)</f>
        <v>Andhra Pradesh</v>
      </c>
      <c r="E5038" s="15">
        <v>2000.0</v>
      </c>
      <c r="F5038" s="16">
        <v>483.71</v>
      </c>
      <c r="G5038" s="16">
        <v>20.14</v>
      </c>
      <c r="H5038" s="16">
        <v>76.95</v>
      </c>
      <c r="I5038" s="16">
        <v>0.0</v>
      </c>
      <c r="J5038" s="16">
        <v>0.0</v>
      </c>
      <c r="K5038" s="16">
        <v>76.37</v>
      </c>
      <c r="L5038" s="16">
        <v>657.17</v>
      </c>
      <c r="M5038" s="16">
        <v>695.068</v>
      </c>
      <c r="N5038" s="16">
        <v>575.32</v>
      </c>
      <c r="O5038" s="24">
        <v>24.8</v>
      </c>
      <c r="P5038" s="18">
        <f t="shared" si="1"/>
        <v>657.17</v>
      </c>
    </row>
    <row r="5039" ht="15.75" customHeight="1">
      <c r="A5039" s="19" t="s">
        <v>253</v>
      </c>
      <c r="B5039" s="19" t="s">
        <v>99</v>
      </c>
      <c r="C5039" s="20" t="s">
        <v>121</v>
      </c>
      <c r="D5039" s="14" t="str">
        <f>VLOOKUP(C5039,'State Key'!$A$2:$B$210,2,False)</f>
        <v>Andhra Pradesh</v>
      </c>
      <c r="E5039" s="21">
        <v>600.0</v>
      </c>
      <c r="F5039" s="22">
        <v>50.501</v>
      </c>
      <c r="G5039" s="22">
        <v>0.0</v>
      </c>
      <c r="H5039" s="22">
        <v>0.0</v>
      </c>
      <c r="I5039" s="22">
        <v>0.0</v>
      </c>
      <c r="J5039" s="22">
        <v>39.825</v>
      </c>
      <c r="K5039" s="22">
        <v>0.0</v>
      </c>
      <c r="L5039" s="22">
        <v>90.326</v>
      </c>
      <c r="M5039" s="22">
        <v>97.354</v>
      </c>
      <c r="N5039" s="22">
        <v>264.43</v>
      </c>
      <c r="O5039" s="24">
        <v>81.5</v>
      </c>
      <c r="P5039" s="18">
        <f t="shared" si="1"/>
        <v>90.326</v>
      </c>
    </row>
    <row r="5040" ht="15.75" customHeight="1">
      <c r="A5040" s="13" t="s">
        <v>253</v>
      </c>
      <c r="B5040" s="13" t="s">
        <v>99</v>
      </c>
      <c r="C5040" s="14" t="s">
        <v>122</v>
      </c>
      <c r="D5040" s="14" t="str">
        <f>VLOOKUP(C5040,'State Key'!$A$2:$B$210,2,False)</f>
        <v>Telangana</v>
      </c>
      <c r="E5040" s="15">
        <v>1200.0</v>
      </c>
      <c r="F5040" s="16">
        <v>0.0</v>
      </c>
      <c r="G5040" s="16">
        <v>230.032</v>
      </c>
      <c r="H5040" s="16">
        <v>0.0</v>
      </c>
      <c r="I5040" s="16">
        <v>0.0</v>
      </c>
      <c r="J5040" s="16">
        <v>0.0</v>
      </c>
      <c r="K5040" s="16">
        <v>0.0</v>
      </c>
      <c r="L5040" s="16">
        <v>230.032</v>
      </c>
      <c r="M5040" s="16">
        <v>317.939</v>
      </c>
      <c r="N5040" s="16">
        <v>256.71</v>
      </c>
      <c r="O5040" s="24">
        <v>24.2</v>
      </c>
      <c r="P5040" s="18">
        <f t="shared" si="1"/>
        <v>230.032</v>
      </c>
    </row>
    <row r="5041" ht="15.75" customHeight="1">
      <c r="A5041" s="19" t="s">
        <v>253</v>
      </c>
      <c r="B5041" s="19" t="s">
        <v>99</v>
      </c>
      <c r="C5041" s="20" t="s">
        <v>243</v>
      </c>
      <c r="D5041" s="14" t="str">
        <f>VLOOKUP(C5041,'State Key'!$A$2:$B$210,2,False)</f>
        <v>Tamil Nadu</v>
      </c>
      <c r="E5041" s="21">
        <v>63.5</v>
      </c>
      <c r="F5041" s="22">
        <v>0.0</v>
      </c>
      <c r="G5041" s="22">
        <v>0.0</v>
      </c>
      <c r="H5041" s="22">
        <v>0.0</v>
      </c>
      <c r="I5041" s="22">
        <v>0.0</v>
      </c>
      <c r="J5041" s="22">
        <v>0.0</v>
      </c>
      <c r="K5041" s="22">
        <v>0.0</v>
      </c>
      <c r="L5041" s="22">
        <v>0.0</v>
      </c>
      <c r="M5041" s="22">
        <v>0.0</v>
      </c>
      <c r="N5041" s="22">
        <v>0.0</v>
      </c>
      <c r="O5041" s="19" t="s">
        <v>58</v>
      </c>
      <c r="P5041" s="18">
        <f t="shared" si="1"/>
        <v>0</v>
      </c>
    </row>
    <row r="5042" ht="15.75" customHeight="1">
      <c r="A5042" s="13" t="s">
        <v>253</v>
      </c>
      <c r="B5042" s="13" t="s">
        <v>99</v>
      </c>
      <c r="C5042" s="14" t="s">
        <v>220</v>
      </c>
      <c r="D5042" s="14" t="str">
        <f>VLOOKUP(C5042,'State Key'!$A$2:$B$210,2,False)</f>
        <v>Telangana</v>
      </c>
      <c r="E5042" s="15">
        <v>1600.0</v>
      </c>
      <c r="F5042" s="16">
        <v>15.86</v>
      </c>
      <c r="G5042" s="16">
        <v>356.61</v>
      </c>
      <c r="H5042" s="16">
        <v>3.8</v>
      </c>
      <c r="I5042" s="16">
        <v>0.0</v>
      </c>
      <c r="J5042" s="16">
        <v>0.0</v>
      </c>
      <c r="K5042" s="16">
        <v>65.86</v>
      </c>
      <c r="L5042" s="16">
        <v>442.13</v>
      </c>
      <c r="M5042" s="16">
        <v>398.462</v>
      </c>
      <c r="N5042" s="16">
        <v>547.246</v>
      </c>
      <c r="O5042" s="24">
        <v>41.2</v>
      </c>
      <c r="P5042" s="18">
        <f t="shared" si="1"/>
        <v>442.13</v>
      </c>
    </row>
    <row r="5043" ht="15.75" customHeight="1">
      <c r="A5043" s="19" t="s">
        <v>253</v>
      </c>
      <c r="B5043" s="19" t="s">
        <v>99</v>
      </c>
      <c r="C5043" s="20" t="s">
        <v>123</v>
      </c>
      <c r="D5043" s="14" t="str">
        <f>VLOOKUP(C5043,'State Key'!$A$2:$B$210,2,False)</f>
        <v>Andhra Pradesh</v>
      </c>
      <c r="E5043" s="21">
        <v>650.0</v>
      </c>
      <c r="F5043" s="22">
        <v>0.0</v>
      </c>
      <c r="G5043" s="22">
        <v>0.0</v>
      </c>
      <c r="H5043" s="22">
        <v>0.0</v>
      </c>
      <c r="I5043" s="22">
        <v>0.0</v>
      </c>
      <c r="J5043" s="22">
        <v>119.458</v>
      </c>
      <c r="K5043" s="22">
        <v>0.0</v>
      </c>
      <c r="L5043" s="22">
        <v>119.458</v>
      </c>
      <c r="M5043" s="22">
        <v>111.016</v>
      </c>
      <c r="N5043" s="22">
        <v>96.962</v>
      </c>
      <c r="O5043" s="24">
        <v>26.2</v>
      </c>
      <c r="P5043" s="18">
        <f t="shared" si="1"/>
        <v>119.458</v>
      </c>
    </row>
    <row r="5044" ht="15.75" customHeight="1">
      <c r="A5044" s="13" t="s">
        <v>253</v>
      </c>
      <c r="B5044" s="13" t="s">
        <v>99</v>
      </c>
      <c r="C5044" s="14" t="s">
        <v>124</v>
      </c>
      <c r="D5044" s="14" t="str">
        <f>VLOOKUP(C5044,'State Key'!$A$2:$B$210,2,False)</f>
        <v>Karnataka</v>
      </c>
      <c r="E5044" s="15">
        <v>260.0</v>
      </c>
      <c r="F5044" s="16">
        <v>0.0</v>
      </c>
      <c r="G5044" s="16">
        <v>0.0</v>
      </c>
      <c r="H5044" s="16">
        <v>0.0</v>
      </c>
      <c r="I5044" s="16">
        <v>0.0</v>
      </c>
      <c r="J5044" s="16">
        <v>30.93</v>
      </c>
      <c r="K5044" s="16">
        <v>0.0</v>
      </c>
      <c r="L5044" s="16">
        <v>30.93</v>
      </c>
      <c r="M5044" s="16">
        <v>30.93</v>
      </c>
      <c r="N5044" s="16">
        <v>0.0</v>
      </c>
      <c r="O5044" s="17">
        <v>0.0</v>
      </c>
      <c r="P5044" s="18">
        <f t="shared" si="1"/>
        <v>30.93</v>
      </c>
    </row>
    <row r="5045" ht="15.75" customHeight="1">
      <c r="A5045" s="19" t="s">
        <v>253</v>
      </c>
      <c r="B5045" s="19" t="s">
        <v>99</v>
      </c>
      <c r="C5045" s="20" t="s">
        <v>125</v>
      </c>
      <c r="D5045" s="14" t="str">
        <f>VLOOKUP(C5045,'State Key'!$A$2:$B$210,2,False)</f>
        <v>Karnataka</v>
      </c>
      <c r="E5045" s="21">
        <v>600.0</v>
      </c>
      <c r="F5045" s="22">
        <v>0.0</v>
      </c>
      <c r="G5045" s="22">
        <v>0.0</v>
      </c>
      <c r="H5045" s="22">
        <v>0.0</v>
      </c>
      <c r="I5045" s="22">
        <v>0.0</v>
      </c>
      <c r="J5045" s="22">
        <v>85.96</v>
      </c>
      <c r="K5045" s="22">
        <v>0.0</v>
      </c>
      <c r="L5045" s="22">
        <v>85.96</v>
      </c>
      <c r="M5045" s="22">
        <v>101.92</v>
      </c>
      <c r="N5045" s="22">
        <v>2.08</v>
      </c>
      <c r="O5045" s="17">
        <v>0.6</v>
      </c>
      <c r="P5045" s="18">
        <f t="shared" si="1"/>
        <v>85.96</v>
      </c>
    </row>
    <row r="5046" ht="15.75" customHeight="1">
      <c r="A5046" s="13" t="s">
        <v>253</v>
      </c>
      <c r="B5046" s="13" t="s">
        <v>99</v>
      </c>
      <c r="C5046" s="14" t="s">
        <v>126</v>
      </c>
      <c r="D5046" s="14" t="str">
        <f>VLOOKUP(C5046,'State Key'!$A$2:$B$210,2,False)</f>
        <v>Tamil Nadu</v>
      </c>
      <c r="E5046" s="15">
        <v>300.0</v>
      </c>
      <c r="F5046" s="16">
        <v>0.0</v>
      </c>
      <c r="G5046" s="16">
        <v>0.0</v>
      </c>
      <c r="H5046" s="16">
        <v>0.0</v>
      </c>
      <c r="I5046" s="16">
        <v>0.0</v>
      </c>
      <c r="J5046" s="16">
        <v>0.0</v>
      </c>
      <c r="K5046" s="16">
        <v>0.0</v>
      </c>
      <c r="L5046" s="16">
        <v>0.0</v>
      </c>
      <c r="M5046" s="16">
        <v>0.0</v>
      </c>
      <c r="N5046" s="16">
        <v>0.0</v>
      </c>
      <c r="O5046" s="13" t="s">
        <v>58</v>
      </c>
      <c r="P5046" s="18">
        <f t="shared" si="1"/>
        <v>0</v>
      </c>
    </row>
    <row r="5047" ht="15.75" customHeight="1">
      <c r="A5047" s="19" t="s">
        <v>253</v>
      </c>
      <c r="B5047" s="19" t="s">
        <v>99</v>
      </c>
      <c r="C5047" s="20" t="s">
        <v>127</v>
      </c>
      <c r="D5047" s="14" t="str">
        <f>VLOOKUP(C5047,'State Key'!$A$2:$B$210,2,False)</f>
        <v>Tamil Nadu</v>
      </c>
      <c r="E5047" s="21">
        <v>525.0</v>
      </c>
      <c r="F5047" s="22">
        <v>0.0</v>
      </c>
      <c r="G5047" s="22">
        <v>0.0</v>
      </c>
      <c r="H5047" s="22">
        <v>0.0</v>
      </c>
      <c r="I5047" s="22">
        <v>0.0</v>
      </c>
      <c r="J5047" s="22">
        <v>0.0</v>
      </c>
      <c r="K5047" s="22">
        <v>0.0</v>
      </c>
      <c r="L5047" s="22">
        <v>0.0</v>
      </c>
      <c r="M5047" s="22">
        <v>0.0</v>
      </c>
      <c r="N5047" s="22">
        <v>117.64</v>
      </c>
      <c r="O5047" s="19" t="s">
        <v>58</v>
      </c>
      <c r="P5047" s="18">
        <f t="shared" si="1"/>
        <v>0</v>
      </c>
    </row>
    <row r="5048" ht="15.75" customHeight="1">
      <c r="A5048" s="13" t="s">
        <v>253</v>
      </c>
      <c r="B5048" s="13" t="s">
        <v>99</v>
      </c>
      <c r="C5048" s="14" t="s">
        <v>128</v>
      </c>
      <c r="D5048" s="14" t="str">
        <f>VLOOKUP(C5048,'State Key'!$A$2:$B$210,2,False)</f>
        <v>Tamil Nadu</v>
      </c>
      <c r="E5048" s="15">
        <v>1050.0</v>
      </c>
      <c r="F5048" s="16">
        <v>295.995</v>
      </c>
      <c r="G5048" s="16">
        <v>0.0</v>
      </c>
      <c r="H5048" s="16">
        <v>0.0</v>
      </c>
      <c r="I5048" s="16">
        <v>0.0</v>
      </c>
      <c r="J5048" s="16">
        <v>0.0</v>
      </c>
      <c r="K5048" s="16">
        <v>0.0</v>
      </c>
      <c r="L5048" s="16">
        <v>295.995</v>
      </c>
      <c r="M5048" s="16">
        <v>335.039</v>
      </c>
      <c r="N5048" s="16">
        <v>383.43</v>
      </c>
      <c r="O5048" s="24">
        <v>34.3</v>
      </c>
      <c r="P5048" s="18">
        <f t="shared" si="1"/>
        <v>295.995</v>
      </c>
    </row>
    <row r="5049" ht="15.75" customHeight="1">
      <c r="A5049" s="19" t="s">
        <v>253</v>
      </c>
      <c r="B5049" s="19" t="s">
        <v>99</v>
      </c>
      <c r="C5049" s="20" t="s">
        <v>130</v>
      </c>
      <c r="D5049" s="14" t="str">
        <f>VLOOKUP(C5049,'State Key'!$A$2:$B$210,2,False)</f>
        <v>Tamil Nadu</v>
      </c>
      <c r="E5049" s="21">
        <v>1500.0</v>
      </c>
      <c r="F5049" s="22">
        <v>405.21</v>
      </c>
      <c r="G5049" s="22">
        <v>0.0</v>
      </c>
      <c r="H5049" s="22">
        <v>0.0</v>
      </c>
      <c r="I5049" s="22">
        <v>0.0</v>
      </c>
      <c r="J5049" s="22">
        <v>0.0</v>
      </c>
      <c r="K5049" s="22">
        <v>0.0</v>
      </c>
      <c r="L5049" s="22">
        <v>405.21</v>
      </c>
      <c r="M5049" s="22">
        <v>289.572</v>
      </c>
      <c r="N5049" s="22">
        <v>750.4</v>
      </c>
      <c r="O5049" s="24">
        <v>77.7</v>
      </c>
      <c r="P5049" s="18">
        <f t="shared" si="1"/>
        <v>405.21</v>
      </c>
    </row>
    <row r="5050" ht="15.75" customHeight="1">
      <c r="A5050" s="13" t="s">
        <v>253</v>
      </c>
      <c r="B5050" s="13" t="s">
        <v>99</v>
      </c>
      <c r="C5050" s="14" t="s">
        <v>131</v>
      </c>
      <c r="D5050" s="14" t="str">
        <f>VLOOKUP(C5050,'State Key'!$A$2:$B$210,2,False)</f>
        <v>Andhra Pradesh</v>
      </c>
      <c r="E5050" s="15">
        <v>1040.0</v>
      </c>
      <c r="F5050" s="16">
        <v>520.1981</v>
      </c>
      <c r="G5050" s="16">
        <v>0.0</v>
      </c>
      <c r="H5050" s="16">
        <v>0.0</v>
      </c>
      <c r="I5050" s="16">
        <v>0.0</v>
      </c>
      <c r="J5050" s="16">
        <v>0.0</v>
      </c>
      <c r="K5050" s="16">
        <v>0.0</v>
      </c>
      <c r="L5050" s="16">
        <v>520.1981</v>
      </c>
      <c r="M5050" s="16">
        <v>471.745</v>
      </c>
      <c r="N5050" s="16">
        <v>176.5807</v>
      </c>
      <c r="O5050" s="23">
        <v>11.2</v>
      </c>
      <c r="P5050" s="18">
        <f t="shared" si="1"/>
        <v>520.1981</v>
      </c>
    </row>
    <row r="5051" ht="15.75" customHeight="1">
      <c r="A5051" s="19" t="s">
        <v>253</v>
      </c>
      <c r="B5051" s="19" t="s">
        <v>99</v>
      </c>
      <c r="C5051" s="20" t="s">
        <v>249</v>
      </c>
      <c r="D5051" s="14" t="str">
        <f>VLOOKUP(C5051,'State Key'!$A$2:$B$210,2,False)</f>
        <v>Telangana</v>
      </c>
      <c r="E5051" s="21">
        <v>1600.0</v>
      </c>
      <c r="F5051" s="22">
        <v>0.0</v>
      </c>
      <c r="G5051" s="22">
        <v>335.545</v>
      </c>
      <c r="H5051" s="22">
        <v>0.0</v>
      </c>
      <c r="I5051" s="22">
        <v>0.0</v>
      </c>
      <c r="J5051" s="22">
        <v>0.0</v>
      </c>
      <c r="K5051" s="22">
        <v>0.0</v>
      </c>
      <c r="L5051" s="22">
        <v>335.545</v>
      </c>
      <c r="M5051" s="22">
        <v>441.203</v>
      </c>
      <c r="N5051" s="22">
        <v>348.804</v>
      </c>
      <c r="O5051" s="24">
        <v>23.7</v>
      </c>
      <c r="P5051" s="18">
        <f t="shared" si="1"/>
        <v>335.545</v>
      </c>
    </row>
    <row r="5052" ht="15.75" customHeight="1">
      <c r="A5052" s="13" t="s">
        <v>253</v>
      </c>
      <c r="B5052" s="13" t="s">
        <v>99</v>
      </c>
      <c r="C5052" s="14" t="s">
        <v>132</v>
      </c>
      <c r="D5052" s="14" t="str">
        <f>VLOOKUP(C5052,'State Key'!$A$2:$B$210,2,False)</f>
        <v>Karnataka</v>
      </c>
      <c r="E5052" s="15">
        <v>1600.0</v>
      </c>
      <c r="F5052" s="16">
        <v>0.0</v>
      </c>
      <c r="G5052" s="16">
        <v>335.36789</v>
      </c>
      <c r="H5052" s="16">
        <v>0.0</v>
      </c>
      <c r="I5052" s="16">
        <v>0.0</v>
      </c>
      <c r="J5052" s="16">
        <v>39.611</v>
      </c>
      <c r="K5052" s="16">
        <v>0.0</v>
      </c>
      <c r="L5052" s="16">
        <v>374.97889</v>
      </c>
      <c r="M5052" s="16">
        <v>333.47</v>
      </c>
      <c r="N5052" s="16">
        <v>261.787</v>
      </c>
      <c r="O5052" s="24">
        <v>23.6</v>
      </c>
      <c r="P5052" s="18">
        <f t="shared" si="1"/>
        <v>374.97889</v>
      </c>
    </row>
    <row r="5053" ht="15.75" customHeight="1">
      <c r="A5053" s="19" t="s">
        <v>253</v>
      </c>
      <c r="B5053" s="19" t="s">
        <v>133</v>
      </c>
      <c r="C5053" s="20" t="s">
        <v>211</v>
      </c>
      <c r="D5053" s="14" t="str">
        <f>VLOOKUP(C5053,'State Key'!$A$2:$B$210,2,False)</f>
        <v>Gujarat</v>
      </c>
      <c r="E5053" s="21">
        <v>2640.0</v>
      </c>
      <c r="F5053" s="22">
        <v>0.0</v>
      </c>
      <c r="G5053" s="22">
        <v>0.0</v>
      </c>
      <c r="H5053" s="22">
        <v>0.0</v>
      </c>
      <c r="I5053" s="22">
        <v>0.0</v>
      </c>
      <c r="J5053" s="22">
        <v>712.777</v>
      </c>
      <c r="K5053" s="22">
        <v>0.0</v>
      </c>
      <c r="L5053" s="22">
        <v>712.777</v>
      </c>
      <c r="M5053" s="22">
        <v>791.41</v>
      </c>
      <c r="N5053" s="22">
        <v>99.497</v>
      </c>
      <c r="O5053" s="17">
        <v>3.8</v>
      </c>
      <c r="P5053" s="18">
        <f t="shared" si="1"/>
        <v>712.777</v>
      </c>
    </row>
    <row r="5054" ht="15.75" customHeight="1">
      <c r="A5054" s="13" t="s">
        <v>253</v>
      </c>
      <c r="B5054" s="13" t="s">
        <v>133</v>
      </c>
      <c r="C5054" s="14" t="s">
        <v>212</v>
      </c>
      <c r="D5054" s="14" t="str">
        <f>VLOOKUP(C5054,'State Key'!$A$2:$B$210,2,False)</f>
        <v>Gujarat</v>
      </c>
      <c r="E5054" s="15">
        <v>1980.0</v>
      </c>
      <c r="F5054" s="16">
        <v>0.0</v>
      </c>
      <c r="G5054" s="16">
        <v>0.0</v>
      </c>
      <c r="H5054" s="16">
        <v>0.0</v>
      </c>
      <c r="I5054" s="16">
        <v>0.0</v>
      </c>
      <c r="J5054" s="16">
        <v>636.7</v>
      </c>
      <c r="K5054" s="16">
        <v>0.0</v>
      </c>
      <c r="L5054" s="16">
        <v>636.7</v>
      </c>
      <c r="M5054" s="16">
        <v>631.757</v>
      </c>
      <c r="N5054" s="16">
        <v>111.376</v>
      </c>
      <c r="O5054" s="17">
        <v>5.3</v>
      </c>
      <c r="P5054" s="18">
        <f t="shared" si="1"/>
        <v>636.7</v>
      </c>
    </row>
    <row r="5055" ht="15.75" customHeight="1">
      <c r="A5055" s="19" t="s">
        <v>253</v>
      </c>
      <c r="B5055" s="19" t="s">
        <v>133</v>
      </c>
      <c r="C5055" s="20" t="s">
        <v>213</v>
      </c>
      <c r="D5055" s="14" t="str">
        <f>VLOOKUP(C5055,'State Key'!$A$2:$B$210,2,False)</f>
        <v>Chhattisgarh</v>
      </c>
      <c r="E5055" s="21">
        <v>600.0</v>
      </c>
      <c r="F5055" s="22">
        <v>171.236</v>
      </c>
      <c r="G5055" s="22">
        <v>0.0</v>
      </c>
      <c r="H5055" s="22">
        <v>0.0</v>
      </c>
      <c r="I5055" s="22">
        <v>24.019</v>
      </c>
      <c r="J5055" s="22">
        <v>0.0</v>
      </c>
      <c r="K5055" s="22">
        <v>0.0</v>
      </c>
      <c r="L5055" s="22">
        <v>195.255</v>
      </c>
      <c r="M5055" s="22">
        <v>268.349</v>
      </c>
      <c r="N5055" s="22">
        <v>42.39</v>
      </c>
      <c r="O5055" s="17">
        <v>4.7</v>
      </c>
      <c r="P5055" s="18">
        <f t="shared" si="1"/>
        <v>195.255</v>
      </c>
    </row>
    <row r="5056" ht="15.75" customHeight="1">
      <c r="A5056" s="13" t="s">
        <v>253</v>
      </c>
      <c r="B5056" s="13" t="s">
        <v>133</v>
      </c>
      <c r="C5056" s="14" t="s">
        <v>214</v>
      </c>
      <c r="D5056" s="14" t="str">
        <f>VLOOKUP(C5056,'State Key'!$A$2:$B$210,2,False)</f>
        <v>Chhattisgarh</v>
      </c>
      <c r="E5056" s="15">
        <v>1370.0</v>
      </c>
      <c r="F5056" s="16">
        <v>298.513</v>
      </c>
      <c r="G5056" s="16">
        <v>0.0</v>
      </c>
      <c r="H5056" s="16">
        <v>0.0</v>
      </c>
      <c r="I5056" s="16">
        <v>0.0</v>
      </c>
      <c r="J5056" s="16">
        <v>0.0</v>
      </c>
      <c r="K5056" s="16">
        <v>126.028</v>
      </c>
      <c r="L5056" s="16">
        <v>424.541</v>
      </c>
      <c r="M5056" s="16">
        <v>374.124</v>
      </c>
      <c r="N5056" s="16">
        <v>117.54</v>
      </c>
      <c r="O5056" s="23">
        <v>9.4</v>
      </c>
      <c r="P5056" s="18">
        <f t="shared" si="1"/>
        <v>424.541</v>
      </c>
    </row>
    <row r="5057" ht="15.75" customHeight="1">
      <c r="A5057" s="19" t="s">
        <v>253</v>
      </c>
      <c r="B5057" s="19" t="s">
        <v>133</v>
      </c>
      <c r="C5057" s="20" t="s">
        <v>215</v>
      </c>
      <c r="D5057" s="14" t="str">
        <f>VLOOKUP(C5057,'State Key'!$A$2:$B$210,2,False)</f>
        <v>Maharashtra</v>
      </c>
      <c r="E5057" s="21">
        <v>3300.0</v>
      </c>
      <c r="F5057" s="22">
        <v>1018.203</v>
      </c>
      <c r="G5057" s="22">
        <v>0.0</v>
      </c>
      <c r="H5057" s="22">
        <v>0.0</v>
      </c>
      <c r="I5057" s="22">
        <v>0.0</v>
      </c>
      <c r="J5057" s="22">
        <v>0.0</v>
      </c>
      <c r="K5057" s="22">
        <v>0.0</v>
      </c>
      <c r="L5057" s="22">
        <v>1018.203</v>
      </c>
      <c r="M5057" s="22">
        <v>1019.316</v>
      </c>
      <c r="N5057" s="22">
        <v>4.04</v>
      </c>
      <c r="O5057" s="17">
        <v>0.1</v>
      </c>
      <c r="P5057" s="18">
        <f t="shared" si="1"/>
        <v>1018.203</v>
      </c>
    </row>
    <row r="5058" ht="15.75" customHeight="1">
      <c r="A5058" s="13" t="s">
        <v>253</v>
      </c>
      <c r="B5058" s="13" t="s">
        <v>133</v>
      </c>
      <c r="C5058" s="14" t="s">
        <v>134</v>
      </c>
      <c r="D5058" s="14" t="str">
        <f>VLOOKUP(C5058,'State Key'!$A$2:$B$210,2,False)</f>
        <v>Chhattisgarh</v>
      </c>
      <c r="E5058" s="15">
        <v>1800.0</v>
      </c>
      <c r="F5058" s="16">
        <v>501.0</v>
      </c>
      <c r="G5058" s="16">
        <v>0.0</v>
      </c>
      <c r="H5058" s="16">
        <v>0.0</v>
      </c>
      <c r="I5058" s="16">
        <v>0.0</v>
      </c>
      <c r="J5058" s="16">
        <v>0.0</v>
      </c>
      <c r="K5058" s="16">
        <v>0.0</v>
      </c>
      <c r="L5058" s="16">
        <v>501.0</v>
      </c>
      <c r="M5058" s="16">
        <v>693.0</v>
      </c>
      <c r="N5058" s="16">
        <v>708.11</v>
      </c>
      <c r="O5058" s="24">
        <v>30.7</v>
      </c>
      <c r="P5058" s="18">
        <f t="shared" si="1"/>
        <v>501</v>
      </c>
    </row>
    <row r="5059" ht="15.75" customHeight="1">
      <c r="A5059" s="19" t="s">
        <v>253</v>
      </c>
      <c r="B5059" s="19" t="s">
        <v>133</v>
      </c>
      <c r="C5059" s="20" t="s">
        <v>135</v>
      </c>
      <c r="D5059" s="14" t="str">
        <f>VLOOKUP(C5059,'State Key'!$A$2:$B$210,2,False)</f>
        <v>Madhya Pradesh</v>
      </c>
      <c r="E5059" s="21">
        <v>210.0</v>
      </c>
      <c r="F5059" s="22">
        <v>98.264</v>
      </c>
      <c r="G5059" s="22">
        <v>0.0</v>
      </c>
      <c r="H5059" s="22">
        <v>0.0</v>
      </c>
      <c r="I5059" s="22">
        <v>0.0</v>
      </c>
      <c r="J5059" s="22">
        <v>0.0</v>
      </c>
      <c r="K5059" s="22">
        <v>0.0</v>
      </c>
      <c r="L5059" s="22">
        <v>98.264</v>
      </c>
      <c r="M5059" s="22">
        <v>102.233</v>
      </c>
      <c r="N5059" s="22">
        <v>81.094</v>
      </c>
      <c r="O5059" s="24">
        <v>23.8</v>
      </c>
      <c r="P5059" s="18">
        <f t="shared" si="1"/>
        <v>98.264</v>
      </c>
    </row>
    <row r="5060" ht="15.75" customHeight="1">
      <c r="A5060" s="13" t="s">
        <v>253</v>
      </c>
      <c r="B5060" s="13" t="s">
        <v>133</v>
      </c>
      <c r="C5060" s="14" t="s">
        <v>136</v>
      </c>
      <c r="D5060" s="14" t="str">
        <f>VLOOKUP(C5060,'State Key'!$A$2:$B$210,2,False)</f>
        <v>Maharashtra</v>
      </c>
      <c r="E5060" s="15">
        <v>1350.0</v>
      </c>
      <c r="F5060" s="16">
        <v>537.579</v>
      </c>
      <c r="G5060" s="16">
        <v>0.0</v>
      </c>
      <c r="H5060" s="16">
        <v>0.0</v>
      </c>
      <c r="I5060" s="16">
        <v>0.0</v>
      </c>
      <c r="J5060" s="16">
        <v>0.0</v>
      </c>
      <c r="K5060" s="16">
        <v>0.0</v>
      </c>
      <c r="L5060" s="16">
        <v>537.579</v>
      </c>
      <c r="M5060" s="16">
        <v>505.776</v>
      </c>
      <c r="N5060" s="16">
        <v>285.57</v>
      </c>
      <c r="O5060" s="24">
        <v>16.9</v>
      </c>
      <c r="P5060" s="18">
        <f t="shared" si="1"/>
        <v>537.579</v>
      </c>
    </row>
    <row r="5061" ht="15.75" customHeight="1">
      <c r="A5061" s="19" t="s">
        <v>253</v>
      </c>
      <c r="B5061" s="19" t="s">
        <v>133</v>
      </c>
      <c r="C5061" s="20" t="s">
        <v>137</v>
      </c>
      <c r="D5061" s="14" t="str">
        <f>VLOOKUP(C5061,'State Key'!$A$2:$B$210,2,False)</f>
        <v>Madhya Pradesh</v>
      </c>
      <c r="E5061" s="21">
        <v>1250.0</v>
      </c>
      <c r="F5061" s="22">
        <v>182.84</v>
      </c>
      <c r="G5061" s="22">
        <v>0.0</v>
      </c>
      <c r="H5061" s="22">
        <v>0.0</v>
      </c>
      <c r="I5061" s="22">
        <v>125.35</v>
      </c>
      <c r="J5061" s="22">
        <v>0.0</v>
      </c>
      <c r="K5061" s="22">
        <v>0.0</v>
      </c>
      <c r="L5061" s="22">
        <v>308.19</v>
      </c>
      <c r="M5061" s="22">
        <v>501.26</v>
      </c>
      <c r="N5061" s="22">
        <v>154.81</v>
      </c>
      <c r="O5061" s="23">
        <v>9.3</v>
      </c>
      <c r="P5061" s="18">
        <f t="shared" si="1"/>
        <v>308.19</v>
      </c>
    </row>
    <row r="5062" ht="15.75" customHeight="1">
      <c r="A5062" s="13" t="s">
        <v>253</v>
      </c>
      <c r="B5062" s="13" t="s">
        <v>133</v>
      </c>
      <c r="C5062" s="14" t="s">
        <v>139</v>
      </c>
      <c r="D5062" s="14" t="str">
        <f>VLOOKUP(C5062,'State Key'!$A$2:$B$210,2,False)</f>
        <v>Chhattisgarh</v>
      </c>
      <c r="E5062" s="15">
        <v>600.0</v>
      </c>
      <c r="F5062" s="16">
        <v>113.308</v>
      </c>
      <c r="G5062" s="16">
        <v>0.0</v>
      </c>
      <c r="H5062" s="16">
        <v>0.0</v>
      </c>
      <c r="I5062" s="16">
        <v>0.0</v>
      </c>
      <c r="J5062" s="16">
        <v>0.0</v>
      </c>
      <c r="K5062" s="16">
        <v>0.0</v>
      </c>
      <c r="L5062" s="16">
        <v>113.308</v>
      </c>
      <c r="M5062" s="16">
        <v>134.8551</v>
      </c>
      <c r="N5062" s="16">
        <v>15.61</v>
      </c>
      <c r="O5062" s="17">
        <v>3.5</v>
      </c>
      <c r="P5062" s="18">
        <f t="shared" si="1"/>
        <v>113.308</v>
      </c>
    </row>
    <row r="5063" ht="15.75" customHeight="1">
      <c r="A5063" s="19" t="s">
        <v>253</v>
      </c>
      <c r="B5063" s="19" t="s">
        <v>133</v>
      </c>
      <c r="C5063" s="20" t="s">
        <v>140</v>
      </c>
      <c r="D5063" s="14" t="str">
        <f>VLOOKUP(C5063,'State Key'!$A$2:$B$210,2,False)</f>
        <v>Chhattisgarh</v>
      </c>
      <c r="E5063" s="21">
        <v>300.0</v>
      </c>
      <c r="F5063" s="22">
        <v>107.629</v>
      </c>
      <c r="G5063" s="22">
        <v>0.0</v>
      </c>
      <c r="H5063" s="22">
        <v>0.0</v>
      </c>
      <c r="I5063" s="22">
        <v>11.52</v>
      </c>
      <c r="J5063" s="22">
        <v>0.0</v>
      </c>
      <c r="K5063" s="22">
        <v>0.0</v>
      </c>
      <c r="L5063" s="22">
        <v>119.149</v>
      </c>
      <c r="M5063" s="22">
        <v>127.2641</v>
      </c>
      <c r="N5063" s="22">
        <v>166.38</v>
      </c>
      <c r="O5063" s="24">
        <v>39.2</v>
      </c>
      <c r="P5063" s="18">
        <f t="shared" si="1"/>
        <v>119.149</v>
      </c>
    </row>
    <row r="5064" ht="15.75" customHeight="1">
      <c r="A5064" s="13" t="s">
        <v>253</v>
      </c>
      <c r="B5064" s="13" t="s">
        <v>133</v>
      </c>
      <c r="C5064" s="14" t="s">
        <v>141</v>
      </c>
      <c r="D5064" s="14" t="str">
        <f>VLOOKUP(C5064,'State Key'!$A$2:$B$210,2,False)</f>
        <v>Chhattisgarh</v>
      </c>
      <c r="E5064" s="15">
        <v>1200.0</v>
      </c>
      <c r="F5064" s="16">
        <v>289.46</v>
      </c>
      <c r="G5064" s="16">
        <v>0.0</v>
      </c>
      <c r="H5064" s="16">
        <v>0.0</v>
      </c>
      <c r="I5064" s="16">
        <v>0.0</v>
      </c>
      <c r="J5064" s="16">
        <v>0.0</v>
      </c>
      <c r="K5064" s="16">
        <v>0.0</v>
      </c>
      <c r="L5064" s="16">
        <v>289.46</v>
      </c>
      <c r="M5064" s="16">
        <v>479.99</v>
      </c>
      <c r="N5064" s="16">
        <v>292.71</v>
      </c>
      <c r="O5064" s="24">
        <v>18.3</v>
      </c>
      <c r="P5064" s="18">
        <f t="shared" si="1"/>
        <v>289.46</v>
      </c>
    </row>
    <row r="5065" ht="15.75" customHeight="1">
      <c r="A5065" s="19" t="s">
        <v>253</v>
      </c>
      <c r="B5065" s="19" t="s">
        <v>133</v>
      </c>
      <c r="C5065" s="20" t="s">
        <v>142</v>
      </c>
      <c r="D5065" s="14" t="str">
        <f>VLOOKUP(C5065,'State Key'!$A$2:$B$210,2,False)</f>
        <v>Maharashtra</v>
      </c>
      <c r="E5065" s="21">
        <v>270.0</v>
      </c>
      <c r="F5065" s="22">
        <v>38.772</v>
      </c>
      <c r="G5065" s="22">
        <v>0.0</v>
      </c>
      <c r="H5065" s="22">
        <v>0.0</v>
      </c>
      <c r="I5065" s="22">
        <v>43.52</v>
      </c>
      <c r="J5065" s="22">
        <v>0.0</v>
      </c>
      <c r="K5065" s="22">
        <v>0.0</v>
      </c>
      <c r="L5065" s="22">
        <v>82.292</v>
      </c>
      <c r="M5065" s="22">
        <v>119.283</v>
      </c>
      <c r="N5065" s="22">
        <v>9.97</v>
      </c>
      <c r="O5065" s="17">
        <v>2.5</v>
      </c>
      <c r="P5065" s="18">
        <f t="shared" si="1"/>
        <v>82.292</v>
      </c>
    </row>
    <row r="5066" ht="15.75" customHeight="1">
      <c r="A5066" s="13" t="s">
        <v>253</v>
      </c>
      <c r="B5066" s="13" t="s">
        <v>133</v>
      </c>
      <c r="C5066" s="14" t="s">
        <v>143</v>
      </c>
      <c r="D5066" s="14" t="str">
        <f>VLOOKUP(C5066,'State Key'!$A$2:$B$210,2,False)</f>
        <v>Chhattisgarh</v>
      </c>
      <c r="E5066" s="15">
        <v>500.0</v>
      </c>
      <c r="F5066" s="16">
        <v>233.949</v>
      </c>
      <c r="G5066" s="16">
        <v>23.999</v>
      </c>
      <c r="H5066" s="16">
        <v>0.0</v>
      </c>
      <c r="I5066" s="16">
        <v>0.0</v>
      </c>
      <c r="J5066" s="16">
        <v>0.0</v>
      </c>
      <c r="K5066" s="16">
        <v>0.0</v>
      </c>
      <c r="L5066" s="16">
        <v>257.948</v>
      </c>
      <c r="M5066" s="16">
        <v>249.937</v>
      </c>
      <c r="N5066" s="16">
        <v>304.86</v>
      </c>
      <c r="O5066" s="24">
        <v>36.6</v>
      </c>
      <c r="P5066" s="18">
        <f t="shared" si="1"/>
        <v>257.948</v>
      </c>
    </row>
    <row r="5067" ht="15.75" customHeight="1">
      <c r="A5067" s="19" t="s">
        <v>253</v>
      </c>
      <c r="B5067" s="19" t="s">
        <v>133</v>
      </c>
      <c r="C5067" s="20" t="s">
        <v>144</v>
      </c>
      <c r="D5067" s="14" t="str">
        <f>VLOOKUP(C5067,'State Key'!$A$2:$B$210,2,False)</f>
        <v>Maharashtra</v>
      </c>
      <c r="E5067" s="21">
        <v>1870.0</v>
      </c>
      <c r="F5067" s="22">
        <v>621.163</v>
      </c>
      <c r="G5067" s="22">
        <v>7.576</v>
      </c>
      <c r="H5067" s="22">
        <v>0.0</v>
      </c>
      <c r="I5067" s="22">
        <v>0.0</v>
      </c>
      <c r="J5067" s="22">
        <v>0.0</v>
      </c>
      <c r="K5067" s="22">
        <v>0.0</v>
      </c>
      <c r="L5067" s="22">
        <v>628.739</v>
      </c>
      <c r="M5067" s="22">
        <v>753.203</v>
      </c>
      <c r="N5067" s="22">
        <v>402.86</v>
      </c>
      <c r="O5067" s="24">
        <v>16.0</v>
      </c>
      <c r="P5067" s="18">
        <f t="shared" si="1"/>
        <v>628.739</v>
      </c>
    </row>
    <row r="5068" ht="15.75" customHeight="1">
      <c r="A5068" s="13" t="s">
        <v>253</v>
      </c>
      <c r="B5068" s="13" t="s">
        <v>133</v>
      </c>
      <c r="C5068" s="14" t="s">
        <v>145</v>
      </c>
      <c r="D5068" s="14" t="str">
        <f>VLOOKUP(C5068,'State Key'!$A$2:$B$210,2,False)</f>
        <v>Madhya Pradesh</v>
      </c>
      <c r="E5068" s="15">
        <v>500.0</v>
      </c>
      <c r="F5068" s="16">
        <v>114.28462765864</v>
      </c>
      <c r="G5068" s="16">
        <v>0.0</v>
      </c>
      <c r="H5068" s="16">
        <v>0.0</v>
      </c>
      <c r="I5068" s="16">
        <v>38.2330966842</v>
      </c>
      <c r="J5068" s="16">
        <v>0.0</v>
      </c>
      <c r="K5068" s="16">
        <v>0.0</v>
      </c>
      <c r="L5068" s="16">
        <v>152.51772434284</v>
      </c>
      <c r="M5068" s="16">
        <v>153.97</v>
      </c>
      <c r="N5068" s="16">
        <v>210.02</v>
      </c>
      <c r="O5068" s="24">
        <v>40.9</v>
      </c>
      <c r="P5068" s="18">
        <f t="shared" si="1"/>
        <v>152.5177243</v>
      </c>
    </row>
    <row r="5069" ht="15.75" customHeight="1">
      <c r="A5069" s="19" t="s">
        <v>253</v>
      </c>
      <c r="B5069" s="19" t="s">
        <v>133</v>
      </c>
      <c r="C5069" s="20" t="s">
        <v>146</v>
      </c>
      <c r="D5069" s="14" t="str">
        <f>VLOOKUP(C5069,'State Key'!$A$2:$B$210,2,False)</f>
        <v>Chhattisgarh</v>
      </c>
      <c r="E5069" s="21">
        <v>600.0</v>
      </c>
      <c r="F5069" s="22">
        <v>0.0</v>
      </c>
      <c r="G5069" s="22">
        <v>0.0</v>
      </c>
      <c r="H5069" s="22">
        <v>111.958</v>
      </c>
      <c r="I5069" s="22">
        <v>118.637</v>
      </c>
      <c r="J5069" s="22">
        <v>0.0</v>
      </c>
      <c r="K5069" s="22">
        <v>50.07</v>
      </c>
      <c r="L5069" s="22">
        <v>280.665</v>
      </c>
      <c r="M5069" s="22">
        <v>280.753</v>
      </c>
      <c r="N5069" s="22">
        <v>81.36</v>
      </c>
      <c r="O5069" s="23">
        <v>8.7</v>
      </c>
      <c r="P5069" s="18">
        <f t="shared" si="1"/>
        <v>280.665</v>
      </c>
    </row>
    <row r="5070" ht="15.75" customHeight="1">
      <c r="A5070" s="13" t="s">
        <v>253</v>
      </c>
      <c r="B5070" s="13" t="s">
        <v>133</v>
      </c>
      <c r="C5070" s="14" t="s">
        <v>147</v>
      </c>
      <c r="D5070" s="14" t="str">
        <f>VLOOKUP(C5070,'State Key'!$A$2:$B$210,2,False)</f>
        <v>Maharashtra</v>
      </c>
      <c r="E5070" s="15">
        <v>600.0</v>
      </c>
      <c r="F5070" s="16">
        <v>102.0</v>
      </c>
      <c r="G5070" s="16">
        <v>0.0</v>
      </c>
      <c r="H5070" s="16">
        <v>0.0</v>
      </c>
      <c r="I5070" s="16">
        <v>0.0</v>
      </c>
      <c r="J5070" s="16">
        <v>0.0</v>
      </c>
      <c r="K5070" s="16">
        <v>0.0</v>
      </c>
      <c r="L5070" s="16">
        <v>102.0</v>
      </c>
      <c r="M5070" s="16">
        <v>74.0</v>
      </c>
      <c r="N5070" s="16">
        <v>28.0</v>
      </c>
      <c r="O5070" s="23">
        <v>11.4</v>
      </c>
      <c r="P5070" s="18">
        <f t="shared" si="1"/>
        <v>102</v>
      </c>
    </row>
    <row r="5071" ht="15.75" customHeight="1">
      <c r="A5071" s="19" t="s">
        <v>253</v>
      </c>
      <c r="B5071" s="19" t="s">
        <v>133</v>
      </c>
      <c r="C5071" s="20" t="s">
        <v>148</v>
      </c>
      <c r="D5071" s="14" t="str">
        <f>VLOOKUP(C5071,'State Key'!$A$2:$B$210,2,False)</f>
        <v>Chhattisgarh</v>
      </c>
      <c r="E5071" s="21">
        <v>30.0</v>
      </c>
      <c r="F5071" s="22">
        <v>3.0545</v>
      </c>
      <c r="G5071" s="22">
        <v>0.0</v>
      </c>
      <c r="H5071" s="22">
        <v>0.0</v>
      </c>
      <c r="I5071" s="22">
        <v>0.0</v>
      </c>
      <c r="J5071" s="22">
        <v>0.0</v>
      </c>
      <c r="K5071" s="22">
        <v>32.8016</v>
      </c>
      <c r="L5071" s="22">
        <v>35.8561</v>
      </c>
      <c r="M5071" s="22">
        <v>45.579</v>
      </c>
      <c r="N5071" s="22">
        <v>10.66</v>
      </c>
      <c r="O5071" s="23">
        <v>7.0</v>
      </c>
      <c r="P5071" s="18">
        <f t="shared" si="1"/>
        <v>35.8561</v>
      </c>
    </row>
    <row r="5072" ht="15.75" customHeight="1">
      <c r="A5072" s="13" t="s">
        <v>253</v>
      </c>
      <c r="B5072" s="13" t="s">
        <v>133</v>
      </c>
      <c r="C5072" s="14" t="s">
        <v>149</v>
      </c>
      <c r="D5072" s="14" t="str">
        <f>VLOOKUP(C5072,'State Key'!$A$2:$B$210,2,False)</f>
        <v>Maharashtra</v>
      </c>
      <c r="E5072" s="15">
        <v>2920.0</v>
      </c>
      <c r="F5072" s="16">
        <v>480.449</v>
      </c>
      <c r="G5072" s="16">
        <v>133.846</v>
      </c>
      <c r="H5072" s="16">
        <v>0.0</v>
      </c>
      <c r="I5072" s="16">
        <v>0.0</v>
      </c>
      <c r="J5072" s="16">
        <v>58.844</v>
      </c>
      <c r="K5072" s="16">
        <v>0.0</v>
      </c>
      <c r="L5072" s="16">
        <v>673.139</v>
      </c>
      <c r="M5072" s="16">
        <v>979.35</v>
      </c>
      <c r="N5072" s="16">
        <v>441.22</v>
      </c>
      <c r="O5072" s="23">
        <v>13.5</v>
      </c>
      <c r="P5072" s="18">
        <f t="shared" si="1"/>
        <v>673.139</v>
      </c>
    </row>
    <row r="5073" ht="15.75" customHeight="1">
      <c r="A5073" s="19" t="s">
        <v>253</v>
      </c>
      <c r="B5073" s="19" t="s">
        <v>133</v>
      </c>
      <c r="C5073" s="20" t="s">
        <v>150</v>
      </c>
      <c r="D5073" s="14" t="str">
        <f>VLOOKUP(C5073,'State Key'!$A$2:$B$210,2,False)</f>
        <v>Maharashtra</v>
      </c>
      <c r="E5073" s="21">
        <v>500.0</v>
      </c>
      <c r="F5073" s="22">
        <v>153.081</v>
      </c>
      <c r="G5073" s="22">
        <v>0.0</v>
      </c>
      <c r="H5073" s="22">
        <v>0.0</v>
      </c>
      <c r="I5073" s="22">
        <v>0.0</v>
      </c>
      <c r="J5073" s="22">
        <v>0.0</v>
      </c>
      <c r="K5073" s="22">
        <v>0.0</v>
      </c>
      <c r="L5073" s="22">
        <v>153.081</v>
      </c>
      <c r="M5073" s="22">
        <v>151.947</v>
      </c>
      <c r="N5073" s="22">
        <v>65.0</v>
      </c>
      <c r="O5073" s="23">
        <v>12.8</v>
      </c>
      <c r="P5073" s="18">
        <f t="shared" si="1"/>
        <v>153.081</v>
      </c>
    </row>
    <row r="5074" ht="15.75" customHeight="1">
      <c r="A5074" s="13" t="s">
        <v>253</v>
      </c>
      <c r="B5074" s="13" t="s">
        <v>133</v>
      </c>
      <c r="C5074" s="14" t="s">
        <v>151</v>
      </c>
      <c r="D5074" s="14" t="str">
        <f>VLOOKUP(C5074,'State Key'!$A$2:$B$210,2,False)</f>
        <v>Maharashtra</v>
      </c>
      <c r="E5074" s="15">
        <v>600.0</v>
      </c>
      <c r="F5074" s="16">
        <v>134.361</v>
      </c>
      <c r="G5074" s="16">
        <v>0.0</v>
      </c>
      <c r="H5074" s="16">
        <v>0.0</v>
      </c>
      <c r="I5074" s="16">
        <v>91.249</v>
      </c>
      <c r="J5074" s="16">
        <v>0.0</v>
      </c>
      <c r="K5074" s="16">
        <v>0.0</v>
      </c>
      <c r="L5074" s="16">
        <v>225.61</v>
      </c>
      <c r="M5074" s="16">
        <v>263.555</v>
      </c>
      <c r="N5074" s="16">
        <v>137.44</v>
      </c>
      <c r="O5074" s="24">
        <v>15.6</v>
      </c>
      <c r="P5074" s="18">
        <f t="shared" si="1"/>
        <v>225.61</v>
      </c>
    </row>
    <row r="5075" ht="15.75" customHeight="1">
      <c r="A5075" s="19" t="s">
        <v>253</v>
      </c>
      <c r="B5075" s="19" t="s">
        <v>133</v>
      </c>
      <c r="C5075" s="20" t="s">
        <v>152</v>
      </c>
      <c r="D5075" s="14" t="str">
        <f>VLOOKUP(C5075,'State Key'!$A$2:$B$210,2,False)</f>
        <v>Chhattisgarh</v>
      </c>
      <c r="E5075" s="21">
        <v>500.0</v>
      </c>
      <c r="F5075" s="22">
        <v>115.536</v>
      </c>
      <c r="G5075" s="22">
        <v>0.0</v>
      </c>
      <c r="H5075" s="22">
        <v>0.0</v>
      </c>
      <c r="I5075" s="22">
        <v>0.0</v>
      </c>
      <c r="J5075" s="22">
        <v>0.0</v>
      </c>
      <c r="K5075" s="22">
        <v>0.0</v>
      </c>
      <c r="L5075" s="22">
        <v>115.536</v>
      </c>
      <c r="M5075" s="22">
        <v>239.76</v>
      </c>
      <c r="N5075" s="22">
        <v>218.174</v>
      </c>
      <c r="O5075" s="24">
        <v>27.3</v>
      </c>
      <c r="P5075" s="18">
        <f t="shared" si="1"/>
        <v>115.536</v>
      </c>
    </row>
    <row r="5076" ht="15.75" customHeight="1">
      <c r="A5076" s="13" t="s">
        <v>253</v>
      </c>
      <c r="B5076" s="13" t="s">
        <v>133</v>
      </c>
      <c r="C5076" s="14" t="s">
        <v>153</v>
      </c>
      <c r="D5076" s="14" t="str">
        <f>VLOOKUP(C5076,'State Key'!$A$2:$B$210,2,False)</f>
        <v>Madhya Pradesh</v>
      </c>
      <c r="E5076" s="15">
        <v>1600.0</v>
      </c>
      <c r="F5076" s="16">
        <v>322.4</v>
      </c>
      <c r="G5076" s="16">
        <v>0.0</v>
      </c>
      <c r="H5076" s="16">
        <v>30.63</v>
      </c>
      <c r="I5076" s="16">
        <v>0.0</v>
      </c>
      <c r="J5076" s="16">
        <v>0.0</v>
      </c>
      <c r="K5076" s="16">
        <v>0.0</v>
      </c>
      <c r="L5076" s="16">
        <v>353.03</v>
      </c>
      <c r="M5076" s="16">
        <v>308.174</v>
      </c>
      <c r="N5076" s="16">
        <v>250.873</v>
      </c>
      <c r="O5076" s="24">
        <v>24.4</v>
      </c>
      <c r="P5076" s="18">
        <f t="shared" si="1"/>
        <v>353.03</v>
      </c>
    </row>
    <row r="5077" ht="15.75" customHeight="1">
      <c r="A5077" s="19" t="s">
        <v>253</v>
      </c>
      <c r="B5077" s="19" t="s">
        <v>133</v>
      </c>
      <c r="C5077" s="20" t="s">
        <v>154</v>
      </c>
      <c r="D5077" s="14" t="str">
        <f>VLOOKUP(C5077,'State Key'!$A$2:$B$210,2,False)</f>
        <v>Gujarat</v>
      </c>
      <c r="E5077" s="21">
        <v>630.0</v>
      </c>
      <c r="F5077" s="22">
        <v>76.107</v>
      </c>
      <c r="G5077" s="22">
        <v>0.0</v>
      </c>
      <c r="H5077" s="22">
        <v>0.0</v>
      </c>
      <c r="I5077" s="22">
        <v>0.0</v>
      </c>
      <c r="J5077" s="22">
        <v>0.0</v>
      </c>
      <c r="K5077" s="22">
        <v>0.0</v>
      </c>
      <c r="L5077" s="22">
        <v>76.107</v>
      </c>
      <c r="M5077" s="22">
        <v>115.982</v>
      </c>
      <c r="N5077" s="22">
        <v>255.77</v>
      </c>
      <c r="O5077" s="24">
        <v>66.2</v>
      </c>
      <c r="P5077" s="18">
        <f t="shared" si="1"/>
        <v>76.107</v>
      </c>
    </row>
    <row r="5078" ht="15.75" customHeight="1">
      <c r="A5078" s="13" t="s">
        <v>253</v>
      </c>
      <c r="B5078" s="13" t="s">
        <v>133</v>
      </c>
      <c r="C5078" s="14" t="s">
        <v>155</v>
      </c>
      <c r="D5078" s="14" t="str">
        <f>VLOOKUP(C5078,'State Key'!$A$2:$B$210,2,False)</f>
        <v>Maharashtra</v>
      </c>
      <c r="E5078" s="15">
        <v>120.0</v>
      </c>
      <c r="F5078" s="16">
        <v>0.0</v>
      </c>
      <c r="G5078" s="16">
        <v>0.0</v>
      </c>
      <c r="H5078" s="16">
        <v>0.0</v>
      </c>
      <c r="I5078" s="16">
        <v>0.0</v>
      </c>
      <c r="J5078" s="16">
        <v>0.0</v>
      </c>
      <c r="K5078" s="16">
        <v>0.0</v>
      </c>
      <c r="L5078" s="16">
        <v>0.0</v>
      </c>
      <c r="M5078" s="16">
        <v>0.0</v>
      </c>
      <c r="N5078" s="16">
        <v>0.0</v>
      </c>
      <c r="O5078" s="13" t="s">
        <v>58</v>
      </c>
      <c r="P5078" s="18">
        <f t="shared" si="1"/>
        <v>0</v>
      </c>
    </row>
    <row r="5079" ht="15.75" customHeight="1">
      <c r="A5079" s="19" t="s">
        <v>253</v>
      </c>
      <c r="B5079" s="19" t="s">
        <v>133</v>
      </c>
      <c r="C5079" s="20" t="s">
        <v>156</v>
      </c>
      <c r="D5079" s="14" t="str">
        <f>VLOOKUP(C5079,'State Key'!$A$2:$B$210,2,False)</f>
        <v>Maharashtra</v>
      </c>
      <c r="E5079" s="21">
        <v>600.0</v>
      </c>
      <c r="F5079" s="22">
        <v>155.664</v>
      </c>
      <c r="G5079" s="22">
        <v>0.0</v>
      </c>
      <c r="H5079" s="22">
        <v>0.0</v>
      </c>
      <c r="I5079" s="22">
        <v>0.0</v>
      </c>
      <c r="J5079" s="22">
        <v>0.0</v>
      </c>
      <c r="K5079" s="22">
        <v>0.0</v>
      </c>
      <c r="L5079" s="22">
        <v>155.664</v>
      </c>
      <c r="M5079" s="22">
        <v>154.574</v>
      </c>
      <c r="N5079" s="22">
        <v>241.24</v>
      </c>
      <c r="O5079" s="24">
        <v>46.8</v>
      </c>
      <c r="P5079" s="18">
        <f t="shared" si="1"/>
        <v>155.664</v>
      </c>
    </row>
    <row r="5080" ht="15.75" customHeight="1">
      <c r="A5080" s="13" t="s">
        <v>253</v>
      </c>
      <c r="B5080" s="13" t="s">
        <v>133</v>
      </c>
      <c r="C5080" s="14" t="s">
        <v>157</v>
      </c>
      <c r="D5080" s="14" t="str">
        <f>VLOOKUP(C5080,'State Key'!$A$2:$B$210,2,False)</f>
        <v>Maharashtra</v>
      </c>
      <c r="E5080" s="15">
        <v>300.0</v>
      </c>
      <c r="F5080" s="16">
        <v>0.0</v>
      </c>
      <c r="G5080" s="16">
        <v>0.0</v>
      </c>
      <c r="H5080" s="16">
        <v>0.0</v>
      </c>
      <c r="I5080" s="16">
        <v>0.0</v>
      </c>
      <c r="J5080" s="16">
        <v>80.0</v>
      </c>
      <c r="K5080" s="16">
        <v>0.0</v>
      </c>
      <c r="L5080" s="16">
        <v>80.0</v>
      </c>
      <c r="M5080" s="16">
        <v>77.9</v>
      </c>
      <c r="N5080" s="16">
        <v>58.36</v>
      </c>
      <c r="O5080" s="24">
        <v>22.5</v>
      </c>
      <c r="P5080" s="18">
        <f t="shared" si="1"/>
        <v>80</v>
      </c>
    </row>
    <row r="5081" ht="15.75" customHeight="1">
      <c r="A5081" s="19" t="s">
        <v>253</v>
      </c>
      <c r="B5081" s="19" t="s">
        <v>133</v>
      </c>
      <c r="C5081" s="20" t="s">
        <v>158</v>
      </c>
      <c r="D5081" s="14" t="str">
        <f>VLOOKUP(C5081,'State Key'!$A$2:$B$210,2,False)</f>
        <v>Chhattisgarh</v>
      </c>
      <c r="E5081" s="21">
        <v>270.0</v>
      </c>
      <c r="F5081" s="22">
        <v>45.5599</v>
      </c>
      <c r="G5081" s="22">
        <v>0.0</v>
      </c>
      <c r="H5081" s="22">
        <v>0.0</v>
      </c>
      <c r="I5081" s="22">
        <v>0.0</v>
      </c>
      <c r="J5081" s="22">
        <v>0.0</v>
      </c>
      <c r="K5081" s="22">
        <v>72.7129</v>
      </c>
      <c r="L5081" s="22">
        <v>118.2728</v>
      </c>
      <c r="M5081" s="22">
        <v>141.47</v>
      </c>
      <c r="N5081" s="22">
        <v>29.9867</v>
      </c>
      <c r="O5081" s="17">
        <v>6.4</v>
      </c>
      <c r="P5081" s="18">
        <f t="shared" si="1"/>
        <v>118.2728</v>
      </c>
    </row>
    <row r="5082" ht="15.75" customHeight="1">
      <c r="A5082" s="13" t="s">
        <v>253</v>
      </c>
      <c r="B5082" s="13" t="s">
        <v>133</v>
      </c>
      <c r="C5082" s="14" t="s">
        <v>160</v>
      </c>
      <c r="D5082" s="14" t="str">
        <f>VLOOKUP(C5082,'State Key'!$A$2:$B$210,2,False)</f>
        <v>Maharashtra</v>
      </c>
      <c r="E5082" s="15">
        <v>1340.0</v>
      </c>
      <c r="F5082" s="16">
        <v>330.012</v>
      </c>
      <c r="G5082" s="16">
        <v>0.0</v>
      </c>
      <c r="H5082" s="16">
        <v>0.0</v>
      </c>
      <c r="I5082" s="16">
        <v>0.0</v>
      </c>
      <c r="J5082" s="16">
        <v>64.214</v>
      </c>
      <c r="K5082" s="16">
        <v>0.0</v>
      </c>
      <c r="L5082" s="16">
        <v>394.226</v>
      </c>
      <c r="M5082" s="16">
        <v>371.359</v>
      </c>
      <c r="N5082" s="16">
        <v>435.86</v>
      </c>
      <c r="O5082" s="24">
        <v>35.2</v>
      </c>
      <c r="P5082" s="18">
        <f t="shared" si="1"/>
        <v>394.226</v>
      </c>
    </row>
    <row r="5083" ht="15.75" customHeight="1">
      <c r="A5083" s="19" t="s">
        <v>253</v>
      </c>
      <c r="B5083" s="19" t="s">
        <v>133</v>
      </c>
      <c r="C5083" s="20" t="s">
        <v>161</v>
      </c>
      <c r="D5083" s="14" t="str">
        <f>VLOOKUP(C5083,'State Key'!$A$2:$B$210,2,False)</f>
        <v>Madhya Pradesh</v>
      </c>
      <c r="E5083" s="21">
        <v>1320.0</v>
      </c>
      <c r="F5083" s="22">
        <v>255.98</v>
      </c>
      <c r="G5083" s="22">
        <v>28.52</v>
      </c>
      <c r="H5083" s="22">
        <v>100.52</v>
      </c>
      <c r="I5083" s="22">
        <v>0.0</v>
      </c>
      <c r="J5083" s="22">
        <v>0.0</v>
      </c>
      <c r="K5083" s="22">
        <v>0.0</v>
      </c>
      <c r="L5083" s="22">
        <v>385.02</v>
      </c>
      <c r="M5083" s="22">
        <v>244.999</v>
      </c>
      <c r="N5083" s="22">
        <v>539.823</v>
      </c>
      <c r="O5083" s="24">
        <v>66.1</v>
      </c>
      <c r="P5083" s="18">
        <f t="shared" si="1"/>
        <v>385.02</v>
      </c>
    </row>
    <row r="5084" ht="15.75" customHeight="1">
      <c r="A5084" s="13" t="s">
        <v>253</v>
      </c>
      <c r="B5084" s="13" t="s">
        <v>133</v>
      </c>
      <c r="C5084" s="14" t="s">
        <v>162</v>
      </c>
      <c r="D5084" s="14" t="str">
        <f>VLOOKUP(C5084,'State Key'!$A$2:$B$210,2,False)</f>
        <v>Maharashtra</v>
      </c>
      <c r="E5084" s="15">
        <v>2190.0</v>
      </c>
      <c r="F5084" s="16">
        <v>817.49</v>
      </c>
      <c r="G5084" s="16">
        <v>51.011</v>
      </c>
      <c r="H5084" s="16">
        <v>0.0</v>
      </c>
      <c r="I5084" s="16">
        <v>0.0</v>
      </c>
      <c r="J5084" s="16">
        <v>0.0</v>
      </c>
      <c r="K5084" s="16">
        <v>0.0</v>
      </c>
      <c r="L5084" s="16">
        <v>868.501</v>
      </c>
      <c r="M5084" s="16">
        <v>666.79</v>
      </c>
      <c r="N5084" s="16">
        <v>484.45</v>
      </c>
      <c r="O5084" s="24">
        <v>21.8</v>
      </c>
      <c r="P5084" s="18">
        <f t="shared" si="1"/>
        <v>868.501</v>
      </c>
    </row>
    <row r="5085" ht="15.75" customHeight="1">
      <c r="A5085" s="19" t="s">
        <v>253</v>
      </c>
      <c r="B5085" s="19" t="s">
        <v>133</v>
      </c>
      <c r="C5085" s="20" t="s">
        <v>163</v>
      </c>
      <c r="D5085" s="14" t="str">
        <f>VLOOKUP(C5085,'State Key'!$A$2:$B$210,2,False)</f>
        <v>Chhattisgarh</v>
      </c>
      <c r="E5085" s="21">
        <v>2600.0</v>
      </c>
      <c r="F5085" s="22">
        <v>1074.71</v>
      </c>
      <c r="G5085" s="22">
        <v>0.0</v>
      </c>
      <c r="H5085" s="22">
        <v>0.0</v>
      </c>
      <c r="I5085" s="22">
        <v>0.0</v>
      </c>
      <c r="J5085" s="22">
        <v>0.0</v>
      </c>
      <c r="K5085" s="22">
        <v>0.0</v>
      </c>
      <c r="L5085" s="22">
        <v>1074.71</v>
      </c>
      <c r="M5085" s="22">
        <v>1216.23</v>
      </c>
      <c r="N5085" s="22">
        <v>262.063</v>
      </c>
      <c r="O5085" s="17">
        <v>6.5</v>
      </c>
      <c r="P5085" s="18">
        <f t="shared" si="1"/>
        <v>1074.71</v>
      </c>
    </row>
    <row r="5086" ht="15.75" customHeight="1">
      <c r="A5086" s="13" t="s">
        <v>253</v>
      </c>
      <c r="B5086" s="13" t="s">
        <v>133</v>
      </c>
      <c r="C5086" s="14" t="s">
        <v>164</v>
      </c>
      <c r="D5086" s="14" t="str">
        <f>VLOOKUP(C5086,'State Key'!$A$2:$B$210,2,False)</f>
        <v>Chhattisgarh</v>
      </c>
      <c r="E5086" s="15">
        <v>1340.0</v>
      </c>
      <c r="F5086" s="16">
        <v>371.44</v>
      </c>
      <c r="G5086" s="16">
        <v>0.0</v>
      </c>
      <c r="H5086" s="16">
        <v>0.0</v>
      </c>
      <c r="I5086" s="16">
        <v>0.0</v>
      </c>
      <c r="J5086" s="16">
        <v>0.0</v>
      </c>
      <c r="K5086" s="16">
        <v>0.0</v>
      </c>
      <c r="L5086" s="16">
        <v>371.44</v>
      </c>
      <c r="M5086" s="16">
        <v>416.249</v>
      </c>
      <c r="N5086" s="16">
        <v>244.1</v>
      </c>
      <c r="O5086" s="24">
        <v>17.6</v>
      </c>
      <c r="P5086" s="18">
        <f t="shared" si="1"/>
        <v>371.44</v>
      </c>
    </row>
    <row r="5087" ht="15.75" customHeight="1">
      <c r="A5087" s="19" t="s">
        <v>253</v>
      </c>
      <c r="B5087" s="19" t="s">
        <v>133</v>
      </c>
      <c r="C5087" s="20" t="s">
        <v>165</v>
      </c>
      <c r="D5087" s="14" t="str">
        <f>VLOOKUP(C5087,'State Key'!$A$2:$B$210,2,False)</f>
        <v>Chhattisgarh</v>
      </c>
      <c r="E5087" s="21">
        <v>1600.0</v>
      </c>
      <c r="F5087" s="22">
        <v>0.0</v>
      </c>
      <c r="G5087" s="22">
        <v>0.0</v>
      </c>
      <c r="H5087" s="22">
        <v>628.5</v>
      </c>
      <c r="I5087" s="22">
        <v>0.0</v>
      </c>
      <c r="J5087" s="22">
        <v>0.0</v>
      </c>
      <c r="K5087" s="22">
        <v>0.0</v>
      </c>
      <c r="L5087" s="22">
        <v>628.5</v>
      </c>
      <c r="M5087" s="22">
        <v>705.289</v>
      </c>
      <c r="N5087" s="22">
        <v>397.562</v>
      </c>
      <c r="O5087" s="24">
        <v>16.9</v>
      </c>
      <c r="P5087" s="18">
        <f t="shared" si="1"/>
        <v>628.5</v>
      </c>
    </row>
    <row r="5088" ht="15.75" customHeight="1">
      <c r="A5088" s="13" t="s">
        <v>253</v>
      </c>
      <c r="B5088" s="13" t="s">
        <v>133</v>
      </c>
      <c r="C5088" s="14" t="s">
        <v>166</v>
      </c>
      <c r="D5088" s="14" t="str">
        <f>VLOOKUP(C5088,'State Key'!$A$2:$B$210,2,False)</f>
        <v>Madhya Pradesh</v>
      </c>
      <c r="E5088" s="15">
        <v>1200.0</v>
      </c>
      <c r="F5088" s="16">
        <v>107.038</v>
      </c>
      <c r="G5088" s="16">
        <v>0.0</v>
      </c>
      <c r="H5088" s="16">
        <v>0.0</v>
      </c>
      <c r="I5088" s="16">
        <v>0.0</v>
      </c>
      <c r="J5088" s="16">
        <v>0.0</v>
      </c>
      <c r="K5088" s="16">
        <v>186.878</v>
      </c>
      <c r="L5088" s="16">
        <v>293.916</v>
      </c>
      <c r="M5088" s="16">
        <v>497.022</v>
      </c>
      <c r="N5088" s="16">
        <v>177.93</v>
      </c>
      <c r="O5088" s="23">
        <v>10.7</v>
      </c>
      <c r="P5088" s="18">
        <f t="shared" si="1"/>
        <v>293.916</v>
      </c>
    </row>
    <row r="5089" ht="15.75" customHeight="1">
      <c r="A5089" s="19" t="s">
        <v>253</v>
      </c>
      <c r="B5089" s="19" t="s">
        <v>133</v>
      </c>
      <c r="C5089" s="20" t="s">
        <v>167</v>
      </c>
      <c r="D5089" s="14" t="str">
        <f>VLOOKUP(C5089,'State Key'!$A$2:$B$210,2,False)</f>
        <v>Chhattisgarh</v>
      </c>
      <c r="E5089" s="21">
        <v>1000.0</v>
      </c>
      <c r="F5089" s="22">
        <v>39.729</v>
      </c>
      <c r="G5089" s="22">
        <v>0.0</v>
      </c>
      <c r="H5089" s="22">
        <v>395.16</v>
      </c>
      <c r="I5089" s="22">
        <v>0.0</v>
      </c>
      <c r="J5089" s="22">
        <v>0.0</v>
      </c>
      <c r="K5089" s="22">
        <v>0.0</v>
      </c>
      <c r="L5089" s="22">
        <v>434.889</v>
      </c>
      <c r="M5089" s="22">
        <v>452.476</v>
      </c>
      <c r="N5089" s="22">
        <v>540.95</v>
      </c>
      <c r="O5089" s="24">
        <v>35.9</v>
      </c>
      <c r="P5089" s="18">
        <f t="shared" si="1"/>
        <v>434.889</v>
      </c>
    </row>
    <row r="5090" ht="15.75" customHeight="1">
      <c r="A5090" s="13" t="s">
        <v>253</v>
      </c>
      <c r="B5090" s="13" t="s">
        <v>133</v>
      </c>
      <c r="C5090" s="14" t="s">
        <v>168</v>
      </c>
      <c r="D5090" s="14" t="str">
        <f>VLOOKUP(C5090,'State Key'!$A$2:$B$210,2,False)</f>
        <v>Maharashtra</v>
      </c>
      <c r="E5090" s="15">
        <v>2320.0</v>
      </c>
      <c r="F5090" s="16">
        <v>624.9</v>
      </c>
      <c r="G5090" s="16">
        <v>40.64</v>
      </c>
      <c r="H5090" s="16">
        <v>76.04</v>
      </c>
      <c r="I5090" s="16">
        <v>0.0</v>
      </c>
      <c r="J5090" s="16">
        <v>0.0</v>
      </c>
      <c r="K5090" s="16">
        <v>0.0</v>
      </c>
      <c r="L5090" s="16">
        <v>741.58</v>
      </c>
      <c r="M5090" s="16">
        <v>840.519</v>
      </c>
      <c r="N5090" s="16">
        <v>608.325</v>
      </c>
      <c r="O5090" s="24">
        <v>21.7</v>
      </c>
      <c r="P5090" s="18">
        <f t="shared" si="1"/>
        <v>741.58</v>
      </c>
    </row>
    <row r="5091" ht="15.75" customHeight="1">
      <c r="A5091" s="19" t="s">
        <v>253</v>
      </c>
      <c r="B5091" s="19" t="s">
        <v>133</v>
      </c>
      <c r="C5091" s="20" t="s">
        <v>169</v>
      </c>
      <c r="D5091" s="14" t="str">
        <f>VLOOKUP(C5091,'State Key'!$A$2:$B$210,2,False)</f>
        <v>Madhya Pradesh</v>
      </c>
      <c r="E5091" s="21">
        <v>246.01</v>
      </c>
      <c r="F5091" s="22">
        <v>0.0</v>
      </c>
      <c r="G5091" s="22">
        <v>0.0</v>
      </c>
      <c r="H5091" s="22">
        <v>0.0</v>
      </c>
      <c r="I5091" s="22">
        <v>0.0</v>
      </c>
      <c r="J5091" s="22">
        <v>0.0</v>
      </c>
      <c r="K5091" s="22">
        <v>0.0</v>
      </c>
      <c r="L5091" s="22">
        <v>0.0</v>
      </c>
      <c r="M5091" s="22">
        <v>0.0</v>
      </c>
      <c r="N5091" s="22">
        <v>0.0</v>
      </c>
      <c r="O5091" s="19" t="s">
        <v>58</v>
      </c>
      <c r="P5091" s="18">
        <f t="shared" si="1"/>
        <v>0</v>
      </c>
    </row>
    <row r="5092" ht="15.75" customHeight="1">
      <c r="A5092" s="13" t="s">
        <v>253</v>
      </c>
      <c r="B5092" s="13" t="s">
        <v>133</v>
      </c>
      <c r="C5092" s="14" t="s">
        <v>172</v>
      </c>
      <c r="D5092" s="14" t="str">
        <f>VLOOKUP(C5092,'State Key'!$A$2:$B$210,2,False)</f>
        <v>Gujarat</v>
      </c>
      <c r="E5092" s="15">
        <v>4000.0</v>
      </c>
      <c r="F5092" s="16">
        <v>0.0</v>
      </c>
      <c r="G5092" s="16">
        <v>0.0</v>
      </c>
      <c r="H5092" s="16">
        <v>0.0</v>
      </c>
      <c r="I5092" s="16">
        <v>0.0</v>
      </c>
      <c r="J5092" s="16">
        <v>527.0</v>
      </c>
      <c r="K5092" s="16">
        <v>0.0</v>
      </c>
      <c r="L5092" s="16">
        <v>527.0</v>
      </c>
      <c r="M5092" s="16">
        <v>45.0</v>
      </c>
      <c r="N5092" s="16">
        <v>1106.97</v>
      </c>
      <c r="O5092" s="24">
        <v>738.0</v>
      </c>
      <c r="P5092" s="18">
        <f t="shared" si="1"/>
        <v>527</v>
      </c>
    </row>
    <row r="5093" ht="15.75" customHeight="1">
      <c r="A5093" s="19" t="s">
        <v>253</v>
      </c>
      <c r="B5093" s="19" t="s">
        <v>133</v>
      </c>
      <c r="C5093" s="20" t="s">
        <v>174</v>
      </c>
      <c r="D5093" s="14" t="str">
        <f>VLOOKUP(C5093,'State Key'!$A$2:$B$210,2,False)</f>
        <v>Maharashtra</v>
      </c>
      <c r="E5093" s="21">
        <v>630.0</v>
      </c>
      <c r="F5093" s="22">
        <v>239.389</v>
      </c>
      <c r="G5093" s="22">
        <v>0.0</v>
      </c>
      <c r="H5093" s="22">
        <v>0.0</v>
      </c>
      <c r="I5093" s="22">
        <v>0.0</v>
      </c>
      <c r="J5093" s="22">
        <v>0.0</v>
      </c>
      <c r="K5093" s="22">
        <v>0.0</v>
      </c>
      <c r="L5093" s="22">
        <v>239.389</v>
      </c>
      <c r="M5093" s="22">
        <v>219.478</v>
      </c>
      <c r="N5093" s="22">
        <v>267.87</v>
      </c>
      <c r="O5093" s="24">
        <v>36.6</v>
      </c>
      <c r="P5093" s="18">
        <f t="shared" si="1"/>
        <v>239.389</v>
      </c>
    </row>
    <row r="5094" ht="15.75" customHeight="1">
      <c r="A5094" s="13" t="s">
        <v>253</v>
      </c>
      <c r="B5094" s="13" t="s">
        <v>133</v>
      </c>
      <c r="C5094" s="14" t="s">
        <v>175</v>
      </c>
      <c r="D5094" s="14" t="str">
        <f>VLOOKUP(C5094,'State Key'!$A$2:$B$210,2,False)</f>
        <v>Chhattisgarh</v>
      </c>
      <c r="E5094" s="15">
        <v>600.0</v>
      </c>
      <c r="F5094" s="16">
        <v>134.53</v>
      </c>
      <c r="G5094" s="16">
        <v>0.0</v>
      </c>
      <c r="H5094" s="16">
        <v>0.0</v>
      </c>
      <c r="I5094" s="16">
        <v>0.685</v>
      </c>
      <c r="J5094" s="16">
        <v>0.0</v>
      </c>
      <c r="K5094" s="16">
        <v>0.0</v>
      </c>
      <c r="L5094" s="16">
        <v>135.215</v>
      </c>
      <c r="M5094" s="16">
        <v>170.897</v>
      </c>
      <c r="N5094" s="16">
        <v>218.95</v>
      </c>
      <c r="O5094" s="24">
        <v>38.4</v>
      </c>
      <c r="P5094" s="18">
        <f t="shared" si="1"/>
        <v>135.215</v>
      </c>
    </row>
    <row r="5095" ht="15.75" customHeight="1">
      <c r="A5095" s="19" t="s">
        <v>253</v>
      </c>
      <c r="B5095" s="19" t="s">
        <v>133</v>
      </c>
      <c r="C5095" s="20" t="s">
        <v>176</v>
      </c>
      <c r="D5095" s="14" t="str">
        <f>VLOOKUP(C5095,'State Key'!$A$2:$B$210,2,False)</f>
        <v>Madhya Pradesh</v>
      </c>
      <c r="E5095" s="21">
        <v>1320.0</v>
      </c>
      <c r="F5095" s="22">
        <v>0.0</v>
      </c>
      <c r="G5095" s="22">
        <v>0.0</v>
      </c>
      <c r="H5095" s="22">
        <v>455.8324</v>
      </c>
      <c r="I5095" s="22">
        <v>89.0729</v>
      </c>
      <c r="J5095" s="22">
        <v>0.0</v>
      </c>
      <c r="K5095" s="22">
        <v>0.0</v>
      </c>
      <c r="L5095" s="22">
        <v>544.9053</v>
      </c>
      <c r="M5095" s="22">
        <v>520.1159</v>
      </c>
      <c r="N5095" s="22">
        <v>365.846</v>
      </c>
      <c r="O5095" s="24">
        <v>21.1</v>
      </c>
      <c r="P5095" s="18">
        <f t="shared" si="1"/>
        <v>544.9053</v>
      </c>
    </row>
    <row r="5096" ht="15.75" customHeight="1">
      <c r="A5096" s="13" t="s">
        <v>253</v>
      </c>
      <c r="B5096" s="13" t="s">
        <v>133</v>
      </c>
      <c r="C5096" s="14" t="s">
        <v>177</v>
      </c>
      <c r="D5096" s="14" t="str">
        <f>VLOOKUP(C5096,'State Key'!$A$2:$B$210,2,False)</f>
        <v>Madhya Pradesh</v>
      </c>
      <c r="E5096" s="15">
        <v>90.0</v>
      </c>
      <c r="F5096" s="16">
        <v>33.94</v>
      </c>
      <c r="G5096" s="16">
        <v>0.0</v>
      </c>
      <c r="H5096" s="16">
        <v>0.0</v>
      </c>
      <c r="I5096" s="16">
        <v>0.0</v>
      </c>
      <c r="J5096" s="16">
        <v>0.0</v>
      </c>
      <c r="K5096" s="16">
        <v>0.0</v>
      </c>
      <c r="L5096" s="16">
        <v>33.94</v>
      </c>
      <c r="M5096" s="16">
        <v>35.76</v>
      </c>
      <c r="N5096" s="16">
        <v>74.7</v>
      </c>
      <c r="O5096" s="24">
        <v>62.7</v>
      </c>
      <c r="P5096" s="18">
        <f t="shared" si="1"/>
        <v>33.94</v>
      </c>
    </row>
    <row r="5097" ht="15.75" customHeight="1">
      <c r="A5097" s="19" t="s">
        <v>253</v>
      </c>
      <c r="B5097" s="19" t="s">
        <v>133</v>
      </c>
      <c r="C5097" s="20" t="s">
        <v>178</v>
      </c>
      <c r="D5097" s="14" t="str">
        <f>VLOOKUP(C5097,'State Key'!$A$2:$B$210,2,False)</f>
        <v>Chhattisgarh</v>
      </c>
      <c r="E5097" s="21">
        <v>1000.0</v>
      </c>
      <c r="F5097" s="22">
        <v>47.588</v>
      </c>
      <c r="G5097" s="22">
        <v>0.0</v>
      </c>
      <c r="H5097" s="22">
        <v>482.304</v>
      </c>
      <c r="I5097" s="22">
        <v>0.0</v>
      </c>
      <c r="J5097" s="22">
        <v>0.0</v>
      </c>
      <c r="K5097" s="22">
        <v>15.822</v>
      </c>
      <c r="L5097" s="22">
        <v>545.714</v>
      </c>
      <c r="M5097" s="22">
        <v>532.095</v>
      </c>
      <c r="N5097" s="22">
        <v>217.75</v>
      </c>
      <c r="O5097" s="23">
        <v>12.3</v>
      </c>
      <c r="P5097" s="18">
        <f t="shared" si="1"/>
        <v>545.714</v>
      </c>
    </row>
    <row r="5098" ht="15.75" customHeight="1">
      <c r="A5098" s="13" t="s">
        <v>253</v>
      </c>
      <c r="B5098" s="13" t="s">
        <v>133</v>
      </c>
      <c r="C5098" s="14" t="s">
        <v>179</v>
      </c>
      <c r="D5098" s="14" t="str">
        <f>VLOOKUP(C5098,'State Key'!$A$2:$B$210,2,False)</f>
        <v>Maharashtra</v>
      </c>
      <c r="E5098" s="15">
        <v>500.0</v>
      </c>
      <c r="F5098" s="16">
        <v>128.973</v>
      </c>
      <c r="G5098" s="16">
        <v>35.434</v>
      </c>
      <c r="H5098" s="16">
        <v>0.0</v>
      </c>
      <c r="I5098" s="16">
        <v>0.0</v>
      </c>
      <c r="J5098" s="16">
        <v>0.0</v>
      </c>
      <c r="K5098" s="16">
        <v>0.0</v>
      </c>
      <c r="L5098" s="16">
        <v>164.407</v>
      </c>
      <c r="M5098" s="16">
        <v>226.407</v>
      </c>
      <c r="N5098" s="16">
        <v>82.324</v>
      </c>
      <c r="O5098" s="23">
        <v>10.9</v>
      </c>
      <c r="P5098" s="18">
        <f t="shared" si="1"/>
        <v>164.407</v>
      </c>
    </row>
    <row r="5099" ht="15.75" customHeight="1">
      <c r="A5099" s="19" t="s">
        <v>253</v>
      </c>
      <c r="B5099" s="19" t="s">
        <v>133</v>
      </c>
      <c r="C5099" s="20" t="s">
        <v>180</v>
      </c>
      <c r="D5099" s="14" t="str">
        <f>VLOOKUP(C5099,'State Key'!$A$2:$B$210,2,False)</f>
        <v>Maharashtra</v>
      </c>
      <c r="E5099" s="21">
        <v>750.0</v>
      </c>
      <c r="F5099" s="22">
        <v>46.92</v>
      </c>
      <c r="G5099" s="22">
        <v>152.618</v>
      </c>
      <c r="H5099" s="22">
        <v>0.0</v>
      </c>
      <c r="I5099" s="22">
        <v>0.0</v>
      </c>
      <c r="J5099" s="22">
        <v>0.0</v>
      </c>
      <c r="K5099" s="22">
        <v>0.0</v>
      </c>
      <c r="L5099" s="22">
        <v>199.538</v>
      </c>
      <c r="M5099" s="22">
        <v>263.14</v>
      </c>
      <c r="N5099" s="22">
        <v>178.41</v>
      </c>
      <c r="O5099" s="24">
        <v>20.3</v>
      </c>
      <c r="P5099" s="18">
        <f t="shared" si="1"/>
        <v>199.538</v>
      </c>
    </row>
    <row r="5100" ht="15.75" customHeight="1">
      <c r="A5100" s="13" t="s">
        <v>253</v>
      </c>
      <c r="B5100" s="13" t="s">
        <v>133</v>
      </c>
      <c r="C5100" s="14" t="s">
        <v>181</v>
      </c>
      <c r="D5100" s="14" t="str">
        <f>VLOOKUP(C5100,'State Key'!$A$2:$B$210,2,False)</f>
        <v>Chhattisgarh</v>
      </c>
      <c r="E5100" s="15">
        <v>600.0</v>
      </c>
      <c r="F5100" s="16">
        <v>224.829</v>
      </c>
      <c r="G5100" s="16">
        <v>0.0</v>
      </c>
      <c r="H5100" s="16">
        <v>0.0</v>
      </c>
      <c r="I5100" s="16">
        <v>0.0</v>
      </c>
      <c r="J5100" s="16">
        <v>0.0</v>
      </c>
      <c r="K5100" s="16">
        <v>24.272</v>
      </c>
      <c r="L5100" s="16">
        <v>249.101</v>
      </c>
      <c r="M5100" s="16">
        <v>275.429</v>
      </c>
      <c r="N5100" s="16">
        <v>107.45</v>
      </c>
      <c r="O5100" s="23">
        <v>11.7</v>
      </c>
      <c r="P5100" s="18">
        <f t="shared" si="1"/>
        <v>249.101</v>
      </c>
    </row>
    <row r="5101" ht="15.75" customHeight="1">
      <c r="A5101" s="19" t="s">
        <v>253</v>
      </c>
      <c r="B5101" s="19" t="s">
        <v>133</v>
      </c>
      <c r="C5101" s="20" t="s">
        <v>183</v>
      </c>
      <c r="D5101" s="14" t="str">
        <f>VLOOKUP(C5101,'State Key'!$A$2:$B$210,2,False)</f>
        <v>Chhattisgarh</v>
      </c>
      <c r="E5101" s="21">
        <v>100.0</v>
      </c>
      <c r="F5101" s="22">
        <v>1.11</v>
      </c>
      <c r="G5101" s="22">
        <v>0.0</v>
      </c>
      <c r="H5101" s="22">
        <v>0.0</v>
      </c>
      <c r="I5101" s="22">
        <v>0.0</v>
      </c>
      <c r="J5101" s="22">
        <v>0.0</v>
      </c>
      <c r="K5101" s="22">
        <v>93.28</v>
      </c>
      <c r="L5101" s="22">
        <v>94.39</v>
      </c>
      <c r="M5101" s="22">
        <v>68.8</v>
      </c>
      <c r="N5101" s="22">
        <v>29.83</v>
      </c>
      <c r="O5101" s="23">
        <v>13.0</v>
      </c>
      <c r="P5101" s="18">
        <f t="shared" si="1"/>
        <v>94.39</v>
      </c>
    </row>
    <row r="5102" ht="15.75" customHeight="1">
      <c r="A5102" s="13" t="s">
        <v>253</v>
      </c>
      <c r="B5102" s="13" t="s">
        <v>133</v>
      </c>
      <c r="C5102" s="14" t="s">
        <v>184</v>
      </c>
      <c r="D5102" s="14" t="str">
        <f>VLOOKUP(C5102,'State Key'!$A$2:$B$210,2,False)</f>
        <v>Gujarat</v>
      </c>
      <c r="E5102" s="15">
        <v>362.0</v>
      </c>
      <c r="F5102" s="16">
        <v>94.56434</v>
      </c>
      <c r="G5102" s="16">
        <v>0.0</v>
      </c>
      <c r="H5102" s="16">
        <v>0.0</v>
      </c>
      <c r="I5102" s="16">
        <v>0.0</v>
      </c>
      <c r="J5102" s="16">
        <v>0.0</v>
      </c>
      <c r="K5102" s="16">
        <v>0.0</v>
      </c>
      <c r="L5102" s="16">
        <v>94.56434</v>
      </c>
      <c r="M5102" s="16">
        <v>144.6552</v>
      </c>
      <c r="N5102" s="16">
        <v>34.92</v>
      </c>
      <c r="O5102" s="23">
        <v>7.2</v>
      </c>
      <c r="P5102" s="18">
        <f t="shared" si="1"/>
        <v>94.56434</v>
      </c>
    </row>
    <row r="5103" ht="15.75" customHeight="1">
      <c r="A5103" s="19" t="s">
        <v>253</v>
      </c>
      <c r="B5103" s="19" t="s">
        <v>133</v>
      </c>
      <c r="C5103" s="20" t="s">
        <v>185</v>
      </c>
      <c r="D5103" s="14" t="str">
        <f>VLOOKUP(C5103,'State Key'!$A$2:$B$210,2,False)</f>
        <v>Gujarat</v>
      </c>
      <c r="E5103" s="21">
        <v>1200.0</v>
      </c>
      <c r="F5103" s="22">
        <v>0.0</v>
      </c>
      <c r="G5103" s="22">
        <v>0.0</v>
      </c>
      <c r="H5103" s="22">
        <v>0.0</v>
      </c>
      <c r="I5103" s="22">
        <v>0.0</v>
      </c>
      <c r="J5103" s="22">
        <v>163.0</v>
      </c>
      <c r="K5103" s="22">
        <v>0.0</v>
      </c>
      <c r="L5103" s="22">
        <v>163.0</v>
      </c>
      <c r="M5103" s="22">
        <v>156.954</v>
      </c>
      <c r="N5103" s="22">
        <v>294.6365</v>
      </c>
      <c r="O5103" s="24">
        <v>56.3</v>
      </c>
      <c r="P5103" s="18">
        <f t="shared" si="1"/>
        <v>163</v>
      </c>
    </row>
    <row r="5104" ht="15.75" customHeight="1">
      <c r="A5104" s="13" t="s">
        <v>253</v>
      </c>
      <c r="B5104" s="13" t="s">
        <v>133</v>
      </c>
      <c r="C5104" s="14" t="s">
        <v>187</v>
      </c>
      <c r="D5104" s="14" t="str">
        <f>VLOOKUP(C5104,'State Key'!$A$2:$B$210,2,False)</f>
        <v>Madhya Pradesh</v>
      </c>
      <c r="E5104" s="15">
        <v>1340.0</v>
      </c>
      <c r="F5104" s="16">
        <v>452.012</v>
      </c>
      <c r="G5104" s="16">
        <v>0.0</v>
      </c>
      <c r="H5104" s="16">
        <v>0.0</v>
      </c>
      <c r="I5104" s="16">
        <v>0.0</v>
      </c>
      <c r="J5104" s="16">
        <v>0.0</v>
      </c>
      <c r="K5104" s="16">
        <v>0.0</v>
      </c>
      <c r="L5104" s="16">
        <v>452.012</v>
      </c>
      <c r="M5104" s="16">
        <v>339.684</v>
      </c>
      <c r="N5104" s="16">
        <v>403.686</v>
      </c>
      <c r="O5104" s="24">
        <v>35.7</v>
      </c>
      <c r="P5104" s="18">
        <f t="shared" si="1"/>
        <v>452.012</v>
      </c>
    </row>
    <row r="5105" ht="15.75" customHeight="1">
      <c r="A5105" s="19" t="s">
        <v>253</v>
      </c>
      <c r="B5105" s="19" t="s">
        <v>133</v>
      </c>
      <c r="C5105" s="20" t="s">
        <v>188</v>
      </c>
      <c r="D5105" s="14" t="str">
        <f>VLOOKUP(C5105,'State Key'!$A$2:$B$210,2,False)</f>
        <v>Madhya Pradesh</v>
      </c>
      <c r="E5105" s="21">
        <v>3960.0</v>
      </c>
      <c r="F5105" s="22">
        <v>0.0</v>
      </c>
      <c r="G5105" s="22">
        <v>0.0</v>
      </c>
      <c r="H5105" s="22">
        <v>1367.489</v>
      </c>
      <c r="I5105" s="22">
        <v>0.0</v>
      </c>
      <c r="J5105" s="22">
        <v>0.0</v>
      </c>
      <c r="K5105" s="22">
        <v>0.0</v>
      </c>
      <c r="L5105" s="22">
        <v>1367.489</v>
      </c>
      <c r="M5105" s="22">
        <v>1293.294</v>
      </c>
      <c r="N5105" s="22">
        <v>190.04</v>
      </c>
      <c r="O5105" s="17">
        <v>4.4</v>
      </c>
      <c r="P5105" s="18">
        <f t="shared" si="1"/>
        <v>1367.489</v>
      </c>
    </row>
    <row r="5106" ht="15.75" customHeight="1">
      <c r="A5106" s="13" t="s">
        <v>253</v>
      </c>
      <c r="B5106" s="13" t="s">
        <v>133</v>
      </c>
      <c r="C5106" s="14" t="s">
        <v>189</v>
      </c>
      <c r="D5106" s="14" t="str">
        <f>VLOOKUP(C5106,'State Key'!$A$2:$B$210,2,False)</f>
        <v>Madhya Pradesh</v>
      </c>
      <c r="E5106" s="15">
        <v>500.0</v>
      </c>
      <c r="F5106" s="16">
        <v>206.397</v>
      </c>
      <c r="G5106" s="16">
        <v>0.0</v>
      </c>
      <c r="H5106" s="16">
        <v>0.0</v>
      </c>
      <c r="I5106" s="16">
        <v>0.0</v>
      </c>
      <c r="J5106" s="16">
        <v>0.0</v>
      </c>
      <c r="K5106" s="16">
        <v>0.0</v>
      </c>
      <c r="L5106" s="16">
        <v>206.397</v>
      </c>
      <c r="M5106" s="16">
        <v>174.861</v>
      </c>
      <c r="N5106" s="16">
        <v>197.4</v>
      </c>
      <c r="O5106" s="24">
        <v>33.9</v>
      </c>
      <c r="P5106" s="18">
        <f t="shared" si="1"/>
        <v>206.397</v>
      </c>
    </row>
    <row r="5107" ht="15.75" customHeight="1">
      <c r="A5107" s="19" t="s">
        <v>253</v>
      </c>
      <c r="B5107" s="19" t="s">
        <v>133</v>
      </c>
      <c r="C5107" s="20" t="s">
        <v>190</v>
      </c>
      <c r="D5107" s="14" t="str">
        <f>VLOOKUP(C5107,'State Key'!$A$2:$B$210,2,False)</f>
        <v>Madhya Pradesh</v>
      </c>
      <c r="E5107" s="21">
        <v>600.0</v>
      </c>
      <c r="F5107" s="22">
        <v>95.625</v>
      </c>
      <c r="G5107" s="22">
        <v>0.0</v>
      </c>
      <c r="H5107" s="22">
        <v>0.0</v>
      </c>
      <c r="I5107" s="22">
        <v>72.679</v>
      </c>
      <c r="J5107" s="22">
        <v>0.0</v>
      </c>
      <c r="K5107" s="22">
        <v>0.0</v>
      </c>
      <c r="L5107" s="22">
        <v>168.304</v>
      </c>
      <c r="M5107" s="22">
        <v>265.306</v>
      </c>
      <c r="N5107" s="22">
        <v>128.65</v>
      </c>
      <c r="O5107" s="24">
        <v>14.5</v>
      </c>
      <c r="P5107" s="18">
        <f t="shared" si="1"/>
        <v>168.304</v>
      </c>
    </row>
    <row r="5108" ht="15.75" customHeight="1">
      <c r="A5108" s="13" t="s">
        <v>253</v>
      </c>
      <c r="B5108" s="13" t="s">
        <v>133</v>
      </c>
      <c r="C5108" s="14" t="s">
        <v>191</v>
      </c>
      <c r="D5108" s="14" t="str">
        <f>VLOOKUP(C5108,'State Key'!$A$2:$B$210,2,False)</f>
        <v>Maharashtra</v>
      </c>
      <c r="E5108" s="15">
        <v>300.0</v>
      </c>
      <c r="F5108" s="16">
        <v>0.0</v>
      </c>
      <c r="G5108" s="16">
        <v>0.0</v>
      </c>
      <c r="H5108" s="16">
        <v>0.0</v>
      </c>
      <c r="I5108" s="16">
        <v>0.0</v>
      </c>
      <c r="J5108" s="16">
        <v>0.0</v>
      </c>
      <c r="K5108" s="16">
        <v>95.117</v>
      </c>
      <c r="L5108" s="16">
        <v>95.117</v>
      </c>
      <c r="M5108" s="16">
        <v>99.063</v>
      </c>
      <c r="N5108" s="16">
        <v>93.41</v>
      </c>
      <c r="O5108" s="24">
        <v>28.3</v>
      </c>
      <c r="P5108" s="18">
        <f t="shared" si="1"/>
        <v>95.117</v>
      </c>
    </row>
    <row r="5109" ht="15.75" customHeight="1">
      <c r="A5109" s="19" t="s">
        <v>253</v>
      </c>
      <c r="B5109" s="19" t="s">
        <v>133</v>
      </c>
      <c r="C5109" s="20" t="s">
        <v>192</v>
      </c>
      <c r="D5109" s="14" t="str">
        <f>VLOOKUP(C5109,'State Key'!$A$2:$B$210,2,False)</f>
        <v>Madhya Pradesh</v>
      </c>
      <c r="E5109" s="21">
        <v>2520.0</v>
      </c>
      <c r="F5109" s="22">
        <v>782.028</v>
      </c>
      <c r="G5109" s="22">
        <v>0.0</v>
      </c>
      <c r="H5109" s="22">
        <v>0.0</v>
      </c>
      <c r="I5109" s="22">
        <v>0.0</v>
      </c>
      <c r="J5109" s="22">
        <v>0.0</v>
      </c>
      <c r="K5109" s="22">
        <v>0.0</v>
      </c>
      <c r="L5109" s="22">
        <v>782.028</v>
      </c>
      <c r="M5109" s="22">
        <v>806.85</v>
      </c>
      <c r="N5109" s="22">
        <v>496.32</v>
      </c>
      <c r="O5109" s="24">
        <v>18.5</v>
      </c>
      <c r="P5109" s="18">
        <f t="shared" si="1"/>
        <v>782.028</v>
      </c>
    </row>
    <row r="5110" ht="15.75" customHeight="1">
      <c r="A5110" s="13" t="s">
        <v>253</v>
      </c>
      <c r="B5110" s="13" t="s">
        <v>133</v>
      </c>
      <c r="C5110" s="14" t="s">
        <v>193</v>
      </c>
      <c r="D5110" s="14" t="str">
        <f>VLOOKUP(C5110,'State Key'!$A$2:$B$210,2,False)</f>
        <v>Gujarat</v>
      </c>
      <c r="E5110" s="15">
        <v>500.0</v>
      </c>
      <c r="F5110" s="16">
        <v>0.0</v>
      </c>
      <c r="G5110" s="16">
        <v>0.0</v>
      </c>
      <c r="H5110" s="16">
        <v>0.0</v>
      </c>
      <c r="I5110" s="16">
        <v>0.0</v>
      </c>
      <c r="J5110" s="16">
        <v>28.318</v>
      </c>
      <c r="K5110" s="16">
        <v>0.0</v>
      </c>
      <c r="L5110" s="16">
        <v>28.318</v>
      </c>
      <c r="M5110" s="16">
        <v>43.314</v>
      </c>
      <c r="N5110" s="16">
        <v>99.48</v>
      </c>
      <c r="O5110" s="24">
        <v>68.9</v>
      </c>
      <c r="P5110" s="18">
        <f t="shared" si="1"/>
        <v>28.318</v>
      </c>
    </row>
    <row r="5111" ht="15.75" customHeight="1">
      <c r="A5111" s="19" t="s">
        <v>253</v>
      </c>
      <c r="B5111" s="19" t="s">
        <v>133</v>
      </c>
      <c r="C5111" s="20" t="s">
        <v>194</v>
      </c>
      <c r="D5111" s="14" t="str">
        <f>VLOOKUP(C5111,'State Key'!$A$2:$B$210,2,False)</f>
        <v>Chhattisgarh</v>
      </c>
      <c r="E5111" s="21">
        <v>2980.0</v>
      </c>
      <c r="F5111" s="22">
        <v>1123.3</v>
      </c>
      <c r="G5111" s="22">
        <v>0.0</v>
      </c>
      <c r="H5111" s="22">
        <v>8.33</v>
      </c>
      <c r="I5111" s="22">
        <v>0.0</v>
      </c>
      <c r="J5111" s="22">
        <v>0.0</v>
      </c>
      <c r="K5111" s="22">
        <v>0.0</v>
      </c>
      <c r="L5111" s="22">
        <v>1131.63</v>
      </c>
      <c r="M5111" s="22">
        <v>1279.592</v>
      </c>
      <c r="N5111" s="22">
        <v>600.57</v>
      </c>
      <c r="O5111" s="24">
        <v>14.1</v>
      </c>
      <c r="P5111" s="18">
        <f t="shared" si="1"/>
        <v>1131.63</v>
      </c>
    </row>
    <row r="5112" ht="15.75" customHeight="1">
      <c r="A5112" s="13" t="s">
        <v>253</v>
      </c>
      <c r="B5112" s="13" t="s">
        <v>133</v>
      </c>
      <c r="C5112" s="14" t="s">
        <v>195</v>
      </c>
      <c r="D5112" s="14" t="str">
        <f>VLOOKUP(C5112,'State Key'!$A$2:$B$210,2,False)</f>
        <v>Maharashtra</v>
      </c>
      <c r="E5112" s="15">
        <v>1320.0</v>
      </c>
      <c r="F5112" s="16">
        <v>193.87</v>
      </c>
      <c r="G5112" s="16">
        <v>144.92</v>
      </c>
      <c r="H5112" s="16">
        <v>26.79</v>
      </c>
      <c r="I5112" s="16">
        <v>0.0</v>
      </c>
      <c r="J5112" s="16">
        <v>0.0</v>
      </c>
      <c r="K5112" s="16">
        <v>12.17</v>
      </c>
      <c r="L5112" s="16">
        <v>377.75</v>
      </c>
      <c r="M5112" s="16">
        <v>246.535</v>
      </c>
      <c r="N5112" s="16">
        <v>529.031</v>
      </c>
      <c r="O5112" s="24">
        <v>64.4</v>
      </c>
      <c r="P5112" s="18">
        <f t="shared" si="1"/>
        <v>377.75</v>
      </c>
    </row>
    <row r="5113" ht="15.75" customHeight="1">
      <c r="A5113" s="19" t="s">
        <v>253</v>
      </c>
      <c r="B5113" s="19" t="s">
        <v>133</v>
      </c>
      <c r="C5113" s="20" t="s">
        <v>196</v>
      </c>
      <c r="D5113" s="14" t="str">
        <f>VLOOKUP(C5113,'State Key'!$A$2:$B$210,2,False)</f>
        <v>Chhattisgarh</v>
      </c>
      <c r="E5113" s="21">
        <v>63.0</v>
      </c>
      <c r="F5113" s="22">
        <v>1.02068</v>
      </c>
      <c r="G5113" s="22">
        <v>0.0</v>
      </c>
      <c r="H5113" s="22">
        <v>0.0</v>
      </c>
      <c r="I5113" s="22">
        <v>0.0</v>
      </c>
      <c r="J5113" s="22">
        <v>0.0</v>
      </c>
      <c r="K5113" s="22">
        <v>20.86287</v>
      </c>
      <c r="L5113" s="22">
        <v>21.88355</v>
      </c>
      <c r="M5113" s="22">
        <v>37.959</v>
      </c>
      <c r="N5113" s="22">
        <v>27.34</v>
      </c>
      <c r="O5113" s="24">
        <v>21.6</v>
      </c>
      <c r="P5113" s="18">
        <f t="shared" si="1"/>
        <v>21.88355</v>
      </c>
    </row>
    <row r="5114" ht="15.75" customHeight="1">
      <c r="A5114" s="13" t="s">
        <v>253</v>
      </c>
      <c r="B5114" s="13" t="s">
        <v>133</v>
      </c>
      <c r="C5114" s="14" t="s">
        <v>198</v>
      </c>
      <c r="D5114" s="14" t="str">
        <f>VLOOKUP(C5114,'State Key'!$A$2:$B$210,2,False)</f>
        <v>Chhattisgarh</v>
      </c>
      <c r="E5114" s="15">
        <v>2400.0</v>
      </c>
      <c r="F5114" s="16">
        <v>551.724</v>
      </c>
      <c r="G5114" s="16">
        <v>0.0</v>
      </c>
      <c r="H5114" s="16">
        <v>661.637</v>
      </c>
      <c r="I5114" s="16">
        <v>0.0</v>
      </c>
      <c r="J5114" s="16">
        <v>0.0</v>
      </c>
      <c r="K5114" s="16">
        <v>52.287</v>
      </c>
      <c r="L5114" s="16">
        <v>1265.648</v>
      </c>
      <c r="M5114" s="16">
        <v>1212.9</v>
      </c>
      <c r="N5114" s="16">
        <v>643.19</v>
      </c>
      <c r="O5114" s="24">
        <v>15.9</v>
      </c>
      <c r="P5114" s="18">
        <f t="shared" si="1"/>
        <v>1265.648</v>
      </c>
    </row>
    <row r="5115" ht="15.75" customHeight="1">
      <c r="A5115" s="19" t="s">
        <v>253</v>
      </c>
      <c r="B5115" s="19" t="s">
        <v>133</v>
      </c>
      <c r="C5115" s="20" t="s">
        <v>200</v>
      </c>
      <c r="D5115" s="14" t="str">
        <f>VLOOKUP(C5115,'State Key'!$A$2:$B$210,2,False)</f>
        <v>Maharashtra</v>
      </c>
      <c r="E5115" s="21">
        <v>750.0</v>
      </c>
      <c r="F5115" s="22">
        <v>0.0</v>
      </c>
      <c r="G5115" s="22">
        <v>0.0</v>
      </c>
      <c r="H5115" s="22">
        <v>0.0</v>
      </c>
      <c r="I5115" s="22">
        <v>0.0</v>
      </c>
      <c r="J5115" s="22">
        <v>178.597</v>
      </c>
      <c r="K5115" s="22">
        <v>0.0</v>
      </c>
      <c r="L5115" s="22">
        <v>178.597</v>
      </c>
      <c r="M5115" s="22">
        <v>228.247</v>
      </c>
      <c r="N5115" s="22">
        <v>174.2</v>
      </c>
      <c r="O5115" s="24">
        <v>22.9</v>
      </c>
      <c r="P5115" s="18">
        <f t="shared" si="1"/>
        <v>178.597</v>
      </c>
    </row>
    <row r="5116" ht="15.75" customHeight="1">
      <c r="A5116" s="13" t="s">
        <v>253</v>
      </c>
      <c r="B5116" s="13" t="s">
        <v>133</v>
      </c>
      <c r="C5116" s="14" t="s">
        <v>201</v>
      </c>
      <c r="D5116" s="14" t="str">
        <f>VLOOKUP(C5116,'State Key'!$A$2:$B$210,2,False)</f>
        <v>Chhattisgarh</v>
      </c>
      <c r="E5116" s="15">
        <v>1440.0</v>
      </c>
      <c r="F5116" s="16">
        <v>524.307</v>
      </c>
      <c r="G5116" s="16">
        <v>0.0</v>
      </c>
      <c r="H5116" s="16">
        <v>0.0</v>
      </c>
      <c r="I5116" s="16">
        <v>0.0</v>
      </c>
      <c r="J5116" s="16">
        <v>0.0</v>
      </c>
      <c r="K5116" s="16">
        <v>18.769</v>
      </c>
      <c r="L5116" s="16">
        <v>543.076</v>
      </c>
      <c r="M5116" s="16">
        <v>476.555</v>
      </c>
      <c r="N5116" s="16">
        <v>1462.64</v>
      </c>
      <c r="O5116" s="24">
        <v>92.1</v>
      </c>
      <c r="P5116" s="18">
        <f t="shared" si="1"/>
        <v>543.076</v>
      </c>
    </row>
    <row r="5117" ht="15.75" customHeight="1">
      <c r="A5117" s="19" t="s">
        <v>253</v>
      </c>
      <c r="B5117" s="19" t="s">
        <v>133</v>
      </c>
      <c r="C5117" s="20" t="s">
        <v>202</v>
      </c>
      <c r="D5117" s="14" t="str">
        <f>VLOOKUP(C5117,'State Key'!$A$2:$B$210,2,False)</f>
        <v>Gujarat</v>
      </c>
      <c r="E5117" s="21">
        <v>1110.0</v>
      </c>
      <c r="F5117" s="22">
        <v>379.228</v>
      </c>
      <c r="G5117" s="22">
        <v>0.0</v>
      </c>
      <c r="H5117" s="22">
        <v>0.0</v>
      </c>
      <c r="I5117" s="22">
        <v>0.0</v>
      </c>
      <c r="J5117" s="22">
        <v>0.0</v>
      </c>
      <c r="K5117" s="22">
        <v>0.0</v>
      </c>
      <c r="L5117" s="22">
        <v>379.228</v>
      </c>
      <c r="M5117" s="22">
        <v>368.831</v>
      </c>
      <c r="N5117" s="22">
        <v>319.85</v>
      </c>
      <c r="O5117" s="24">
        <v>26.0</v>
      </c>
      <c r="P5117" s="18">
        <f t="shared" si="1"/>
        <v>379.228</v>
      </c>
    </row>
    <row r="5118" ht="15.75" customHeight="1">
      <c r="A5118" s="13" t="s">
        <v>253</v>
      </c>
      <c r="B5118" s="13" t="s">
        <v>133</v>
      </c>
      <c r="C5118" s="14" t="s">
        <v>203</v>
      </c>
      <c r="D5118" s="14" t="str">
        <f>VLOOKUP(C5118,'State Key'!$A$2:$B$210,2,False)</f>
        <v>Madhya Pradesh</v>
      </c>
      <c r="E5118" s="15">
        <v>4760.0</v>
      </c>
      <c r="F5118" s="16">
        <v>1840.46</v>
      </c>
      <c r="G5118" s="16">
        <v>0.0</v>
      </c>
      <c r="H5118" s="16">
        <v>0.0</v>
      </c>
      <c r="I5118" s="16">
        <v>0.0</v>
      </c>
      <c r="J5118" s="16">
        <v>0.0</v>
      </c>
      <c r="K5118" s="16">
        <v>0.0</v>
      </c>
      <c r="L5118" s="16">
        <v>1840.46</v>
      </c>
      <c r="M5118" s="16">
        <v>2044.82</v>
      </c>
      <c r="N5118" s="16">
        <v>638.928</v>
      </c>
      <c r="O5118" s="23">
        <v>9.4</v>
      </c>
      <c r="P5118" s="18">
        <f t="shared" si="1"/>
        <v>1840.46</v>
      </c>
    </row>
    <row r="5119" ht="15.75" customHeight="1">
      <c r="A5119" s="19" t="s">
        <v>253</v>
      </c>
      <c r="B5119" s="19" t="s">
        <v>133</v>
      </c>
      <c r="C5119" s="20" t="s">
        <v>204</v>
      </c>
      <c r="D5119" s="14" t="str">
        <f>VLOOKUP(C5119,'State Key'!$A$2:$B$210,2,False)</f>
        <v>Gujarat</v>
      </c>
      <c r="E5119" s="21">
        <v>2270.0</v>
      </c>
      <c r="F5119" s="22">
        <v>546.412</v>
      </c>
      <c r="G5119" s="22">
        <v>0.0</v>
      </c>
      <c r="H5119" s="22">
        <v>0.0</v>
      </c>
      <c r="I5119" s="22">
        <v>0.0</v>
      </c>
      <c r="J5119" s="22">
        <v>0.0</v>
      </c>
      <c r="K5119" s="22">
        <v>0.0</v>
      </c>
      <c r="L5119" s="22">
        <v>546.412</v>
      </c>
      <c r="M5119" s="22">
        <v>596.446</v>
      </c>
      <c r="N5119" s="22">
        <v>628.78</v>
      </c>
      <c r="O5119" s="24">
        <v>31.6</v>
      </c>
      <c r="P5119" s="18">
        <f t="shared" si="1"/>
        <v>546.412</v>
      </c>
    </row>
    <row r="5120" ht="15.75" customHeight="1">
      <c r="A5120" s="13" t="s">
        <v>253</v>
      </c>
      <c r="B5120" s="13" t="s">
        <v>133</v>
      </c>
      <c r="C5120" s="14" t="s">
        <v>205</v>
      </c>
      <c r="D5120" s="14" t="str">
        <f>VLOOKUP(C5120,'State Key'!$A$2:$B$210,2,False)</f>
        <v>Maharashtra</v>
      </c>
      <c r="E5120" s="15">
        <v>540.0</v>
      </c>
      <c r="F5120" s="16">
        <v>77.62</v>
      </c>
      <c r="G5120" s="16">
        <v>0.0</v>
      </c>
      <c r="H5120" s="16">
        <v>0.0</v>
      </c>
      <c r="I5120" s="16">
        <v>0.0</v>
      </c>
      <c r="J5120" s="16">
        <v>0.0</v>
      </c>
      <c r="K5120" s="16">
        <v>26.09</v>
      </c>
      <c r="L5120" s="16">
        <v>103.71</v>
      </c>
      <c r="M5120" s="16">
        <v>230.67</v>
      </c>
      <c r="N5120" s="16">
        <v>290.51</v>
      </c>
      <c r="O5120" s="24">
        <v>37.8</v>
      </c>
      <c r="P5120" s="18">
        <f t="shared" si="1"/>
        <v>103.71</v>
      </c>
    </row>
    <row r="5121" ht="15.75" customHeight="1">
      <c r="A5121" s="19" t="s">
        <v>254</v>
      </c>
      <c r="B5121" s="19" t="s">
        <v>22</v>
      </c>
      <c r="C5121" s="20" t="s">
        <v>23</v>
      </c>
      <c r="D5121" s="14" t="str">
        <f>VLOOKUP(C5121,'State Key'!$A$2:$B$210,2,False)</f>
        <v>West Bengal</v>
      </c>
      <c r="E5121" s="21">
        <v>1050.0</v>
      </c>
      <c r="F5121" s="22">
        <v>0.0</v>
      </c>
      <c r="G5121" s="22">
        <v>0.0</v>
      </c>
      <c r="H5121" s="22">
        <v>364.937</v>
      </c>
      <c r="I5121" s="22">
        <v>0.0</v>
      </c>
      <c r="J5121" s="22">
        <v>0.0</v>
      </c>
      <c r="K5121" s="22">
        <v>0.0</v>
      </c>
      <c r="L5121" s="22">
        <v>364.937</v>
      </c>
      <c r="M5121" s="22">
        <v>449.551</v>
      </c>
      <c r="N5121" s="22">
        <v>70.53</v>
      </c>
      <c r="O5121" s="17">
        <v>4.7</v>
      </c>
      <c r="P5121" s="18">
        <f t="shared" si="1"/>
        <v>364.937</v>
      </c>
    </row>
    <row r="5122" ht="15.75" customHeight="1">
      <c r="A5122" s="13" t="s">
        <v>254</v>
      </c>
      <c r="B5122" s="13" t="s">
        <v>22</v>
      </c>
      <c r="C5122" s="14" t="s">
        <v>24</v>
      </c>
      <c r="D5122" s="14" t="str">
        <f>VLOOKUP(C5122,'State Key'!$A$2:$B$210,2,False)</f>
        <v>West Bengal</v>
      </c>
      <c r="E5122" s="15">
        <v>270.0</v>
      </c>
      <c r="F5122" s="16">
        <v>0.0</v>
      </c>
      <c r="G5122" s="16">
        <v>0.0</v>
      </c>
      <c r="H5122" s="16">
        <v>91.061</v>
      </c>
      <c r="I5122" s="16">
        <v>0.0</v>
      </c>
      <c r="J5122" s="16">
        <v>0.0</v>
      </c>
      <c r="K5122" s="16">
        <v>0.0</v>
      </c>
      <c r="L5122" s="16">
        <v>91.061</v>
      </c>
      <c r="M5122" s="16">
        <v>99.003</v>
      </c>
      <c r="N5122" s="16">
        <v>44.56</v>
      </c>
      <c r="O5122" s="23">
        <v>13.5</v>
      </c>
      <c r="P5122" s="18">
        <f t="shared" si="1"/>
        <v>91.061</v>
      </c>
    </row>
    <row r="5123" ht="15.75" customHeight="1">
      <c r="A5123" s="19" t="s">
        <v>254</v>
      </c>
      <c r="B5123" s="19" t="s">
        <v>22</v>
      </c>
      <c r="C5123" s="20" t="s">
        <v>25</v>
      </c>
      <c r="D5123" s="14" t="str">
        <f>VLOOKUP(C5123,'State Key'!$A$2:$B$210,2,False)</f>
        <v>Bihar</v>
      </c>
      <c r="E5123" s="21">
        <v>500.0</v>
      </c>
      <c r="F5123" s="22">
        <v>20.29</v>
      </c>
      <c r="G5123" s="22">
        <v>0.0</v>
      </c>
      <c r="H5123" s="22">
        <v>85.59</v>
      </c>
      <c r="I5123" s="22">
        <v>0.0</v>
      </c>
      <c r="J5123" s="22">
        <v>0.0</v>
      </c>
      <c r="K5123" s="22">
        <v>0.0</v>
      </c>
      <c r="L5123" s="22">
        <v>105.88</v>
      </c>
      <c r="M5123" s="22">
        <v>217.237</v>
      </c>
      <c r="N5123" s="22">
        <v>86.07</v>
      </c>
      <c r="O5123" s="23">
        <v>11.9</v>
      </c>
      <c r="P5123" s="18">
        <f t="shared" si="1"/>
        <v>105.88</v>
      </c>
    </row>
    <row r="5124" ht="15.75" customHeight="1">
      <c r="A5124" s="13" t="s">
        <v>254</v>
      </c>
      <c r="B5124" s="13" t="s">
        <v>22</v>
      </c>
      <c r="C5124" s="14" t="s">
        <v>26</v>
      </c>
      <c r="D5124" s="14" t="str">
        <f>VLOOKUP(C5124,'State Key'!$A$2:$B$210,2,False)</f>
        <v>Bihar</v>
      </c>
      <c r="E5124" s="15">
        <v>3300.0</v>
      </c>
      <c r="F5124" s="16">
        <v>292.08</v>
      </c>
      <c r="G5124" s="16">
        <v>0.0</v>
      </c>
      <c r="H5124" s="16">
        <v>430.6</v>
      </c>
      <c r="I5124" s="16">
        <v>0.0</v>
      </c>
      <c r="J5124" s="16">
        <v>0.0</v>
      </c>
      <c r="K5124" s="16">
        <v>3.76</v>
      </c>
      <c r="L5124" s="16">
        <v>726.44</v>
      </c>
      <c r="M5124" s="16">
        <v>924.352</v>
      </c>
      <c r="N5124" s="16">
        <v>840.91</v>
      </c>
      <c r="O5124" s="24">
        <v>27.3</v>
      </c>
      <c r="P5124" s="18">
        <f t="shared" si="1"/>
        <v>726.44</v>
      </c>
    </row>
    <row r="5125" ht="15.75" customHeight="1">
      <c r="A5125" s="19" t="s">
        <v>254</v>
      </c>
      <c r="B5125" s="19" t="s">
        <v>22</v>
      </c>
      <c r="C5125" s="20" t="s">
        <v>27</v>
      </c>
      <c r="D5125" s="14" t="str">
        <f>VLOOKUP(C5125,'State Key'!$A$2:$B$210,2,False)</f>
        <v>Jharkhand</v>
      </c>
      <c r="E5125" s="21">
        <v>500.0</v>
      </c>
      <c r="F5125" s="22">
        <v>151.005</v>
      </c>
      <c r="G5125" s="22">
        <v>0.0</v>
      </c>
      <c r="H5125" s="22">
        <v>24.867</v>
      </c>
      <c r="I5125" s="22">
        <v>0.0</v>
      </c>
      <c r="J5125" s="22">
        <v>0.0</v>
      </c>
      <c r="K5125" s="22">
        <v>0.0</v>
      </c>
      <c r="L5125" s="22">
        <v>175.872</v>
      </c>
      <c r="M5125" s="22">
        <v>197.176</v>
      </c>
      <c r="N5125" s="22">
        <v>89.5</v>
      </c>
      <c r="O5125" s="23">
        <v>13.6</v>
      </c>
      <c r="P5125" s="18">
        <f t="shared" si="1"/>
        <v>175.872</v>
      </c>
    </row>
    <row r="5126" ht="15.75" customHeight="1">
      <c r="A5126" s="13" t="s">
        <v>254</v>
      </c>
      <c r="B5126" s="13" t="s">
        <v>22</v>
      </c>
      <c r="C5126" s="14" t="s">
        <v>28</v>
      </c>
      <c r="D5126" s="14" t="str">
        <f>VLOOKUP(C5126,'State Key'!$A$2:$B$210,2,False)</f>
        <v>West Bengal</v>
      </c>
      <c r="E5126" s="15">
        <v>750.0</v>
      </c>
      <c r="F5126" s="16">
        <v>109.456</v>
      </c>
      <c r="G5126" s="16">
        <v>0.0</v>
      </c>
      <c r="H5126" s="16">
        <v>106.081</v>
      </c>
      <c r="I5126" s="16">
        <v>98.976</v>
      </c>
      <c r="J5126" s="16">
        <v>0.0</v>
      </c>
      <c r="K5126" s="16">
        <v>0.0</v>
      </c>
      <c r="L5126" s="16">
        <v>314.513</v>
      </c>
      <c r="M5126" s="16">
        <v>271.403</v>
      </c>
      <c r="N5126" s="16">
        <v>125.13</v>
      </c>
      <c r="O5126" s="23">
        <v>13.8</v>
      </c>
      <c r="P5126" s="18">
        <f t="shared" si="1"/>
        <v>314.513</v>
      </c>
    </row>
    <row r="5127" ht="15.75" customHeight="1">
      <c r="A5127" s="19" t="s">
        <v>254</v>
      </c>
      <c r="B5127" s="19" t="s">
        <v>22</v>
      </c>
      <c r="C5127" s="20" t="s">
        <v>29</v>
      </c>
      <c r="D5127" s="14" t="str">
        <f>VLOOKUP(C5127,'State Key'!$A$2:$B$210,2,False)</f>
        <v>Jharkhand</v>
      </c>
      <c r="E5127" s="21">
        <v>500.0</v>
      </c>
      <c r="F5127" s="22">
        <v>67.003</v>
      </c>
      <c r="G5127" s="22">
        <v>0.0</v>
      </c>
      <c r="H5127" s="22">
        <v>22.631</v>
      </c>
      <c r="I5127" s="22">
        <v>0.0</v>
      </c>
      <c r="J5127" s="22">
        <v>0.0</v>
      </c>
      <c r="K5127" s="22">
        <v>0.0</v>
      </c>
      <c r="L5127" s="22">
        <v>89.634</v>
      </c>
      <c r="M5127" s="22">
        <v>136.274</v>
      </c>
      <c r="N5127" s="22">
        <v>203.18</v>
      </c>
      <c r="O5127" s="24">
        <v>44.7</v>
      </c>
      <c r="P5127" s="18">
        <f t="shared" si="1"/>
        <v>89.634</v>
      </c>
    </row>
    <row r="5128" ht="15.75" customHeight="1">
      <c r="A5128" s="13" t="s">
        <v>254</v>
      </c>
      <c r="B5128" s="13" t="s">
        <v>22</v>
      </c>
      <c r="C5128" s="14" t="s">
        <v>30</v>
      </c>
      <c r="D5128" s="14" t="str">
        <f>VLOOKUP(C5128,'State Key'!$A$2:$B$210,2,False)</f>
        <v>West Bengal</v>
      </c>
      <c r="E5128" s="15">
        <v>550.0</v>
      </c>
      <c r="F5128" s="16">
        <v>170.78</v>
      </c>
      <c r="G5128" s="16">
        <v>0.0</v>
      </c>
      <c r="H5128" s="16">
        <v>3.37</v>
      </c>
      <c r="I5128" s="16">
        <v>1.19</v>
      </c>
      <c r="J5128" s="16">
        <v>0.0</v>
      </c>
      <c r="K5128" s="16">
        <v>0.0</v>
      </c>
      <c r="L5128" s="16">
        <v>175.34</v>
      </c>
      <c r="M5128" s="16">
        <v>159.28</v>
      </c>
      <c r="N5128" s="16">
        <v>63.11</v>
      </c>
      <c r="O5128" s="23">
        <v>11.9</v>
      </c>
      <c r="P5128" s="18">
        <f t="shared" si="1"/>
        <v>175.34</v>
      </c>
    </row>
    <row r="5129" ht="15.75" customHeight="1">
      <c r="A5129" s="19" t="s">
        <v>254</v>
      </c>
      <c r="B5129" s="19" t="s">
        <v>22</v>
      </c>
      <c r="C5129" s="20" t="s">
        <v>31</v>
      </c>
      <c r="D5129" s="14" t="str">
        <f>VLOOKUP(C5129,'State Key'!$A$2:$B$210,2,False)</f>
        <v>Odisha</v>
      </c>
      <c r="E5129" s="21">
        <v>1600.0</v>
      </c>
      <c r="F5129" s="22">
        <v>0.0</v>
      </c>
      <c r="G5129" s="22">
        <v>0.0</v>
      </c>
      <c r="H5129" s="22">
        <v>456.26</v>
      </c>
      <c r="I5129" s="22">
        <v>0.0</v>
      </c>
      <c r="J5129" s="22">
        <v>0.0</v>
      </c>
      <c r="K5129" s="22">
        <v>0.0</v>
      </c>
      <c r="L5129" s="22">
        <v>456.26</v>
      </c>
      <c r="M5129" s="22">
        <v>459.497</v>
      </c>
      <c r="N5129" s="22">
        <v>525.98</v>
      </c>
      <c r="O5129" s="24">
        <v>34.3</v>
      </c>
      <c r="P5129" s="18">
        <f t="shared" si="1"/>
        <v>456.26</v>
      </c>
    </row>
    <row r="5130" ht="15.75" customHeight="1">
      <c r="A5130" s="13" t="s">
        <v>254</v>
      </c>
      <c r="B5130" s="13" t="s">
        <v>22</v>
      </c>
      <c r="C5130" s="14" t="s">
        <v>32</v>
      </c>
      <c r="D5130" s="14" t="str">
        <f>VLOOKUP(C5130,'State Key'!$A$2:$B$210,2,False)</f>
        <v>Odisha</v>
      </c>
      <c r="E5130" s="15">
        <v>1200.0</v>
      </c>
      <c r="F5130" s="16">
        <v>570.226</v>
      </c>
      <c r="G5130" s="16">
        <v>0.0</v>
      </c>
      <c r="H5130" s="16">
        <v>0.0</v>
      </c>
      <c r="I5130" s="16">
        <v>4.067</v>
      </c>
      <c r="J5130" s="16">
        <v>0.0</v>
      </c>
      <c r="K5130" s="16">
        <v>0.0</v>
      </c>
      <c r="L5130" s="16">
        <v>574.293</v>
      </c>
      <c r="M5130" s="16">
        <v>568.893</v>
      </c>
      <c r="N5130" s="16">
        <v>1003.94</v>
      </c>
      <c r="O5130" s="24">
        <v>52.9</v>
      </c>
      <c r="P5130" s="18">
        <f t="shared" si="1"/>
        <v>574.293</v>
      </c>
    </row>
    <row r="5131" ht="15.75" customHeight="1">
      <c r="A5131" s="19" t="s">
        <v>254</v>
      </c>
      <c r="B5131" s="19" t="s">
        <v>22</v>
      </c>
      <c r="C5131" s="20" t="s">
        <v>34</v>
      </c>
      <c r="D5131" s="14" t="str">
        <f>VLOOKUP(C5131,'State Key'!$A$2:$B$210,2,False)</f>
        <v>West Bengal</v>
      </c>
      <c r="E5131" s="21">
        <v>1000.0</v>
      </c>
      <c r="F5131" s="22">
        <v>232.586</v>
      </c>
      <c r="G5131" s="22">
        <v>0.0</v>
      </c>
      <c r="H5131" s="22">
        <v>10.854</v>
      </c>
      <c r="I5131" s="22">
        <v>0.0</v>
      </c>
      <c r="J5131" s="22">
        <v>0.0</v>
      </c>
      <c r="K5131" s="22">
        <v>1.714</v>
      </c>
      <c r="L5131" s="22">
        <v>245.154</v>
      </c>
      <c r="M5131" s="22">
        <v>329.519</v>
      </c>
      <c r="N5131" s="22">
        <v>229.8</v>
      </c>
      <c r="O5131" s="24">
        <v>20.9</v>
      </c>
      <c r="P5131" s="18">
        <f t="shared" si="1"/>
        <v>245.154</v>
      </c>
    </row>
    <row r="5132" ht="15.75" customHeight="1">
      <c r="A5132" s="13" t="s">
        <v>254</v>
      </c>
      <c r="B5132" s="13" t="s">
        <v>22</v>
      </c>
      <c r="C5132" s="14" t="s">
        <v>35</v>
      </c>
      <c r="D5132" s="14" t="str">
        <f>VLOOKUP(C5132,'State Key'!$A$2:$B$210,2,False)</f>
        <v>West Bengal</v>
      </c>
      <c r="E5132" s="15">
        <v>2100.0</v>
      </c>
      <c r="F5132" s="16">
        <v>526.19</v>
      </c>
      <c r="G5132" s="16">
        <v>0.0</v>
      </c>
      <c r="H5132" s="16">
        <v>138.33</v>
      </c>
      <c r="I5132" s="16">
        <v>0.0</v>
      </c>
      <c r="J5132" s="16">
        <v>0.0</v>
      </c>
      <c r="K5132" s="16">
        <v>0.0</v>
      </c>
      <c r="L5132" s="16">
        <v>664.52</v>
      </c>
      <c r="M5132" s="16">
        <v>824.888</v>
      </c>
      <c r="N5132" s="16">
        <v>263.5</v>
      </c>
      <c r="O5132" s="23">
        <v>9.6</v>
      </c>
      <c r="P5132" s="18">
        <f t="shared" si="1"/>
        <v>664.52</v>
      </c>
    </row>
    <row r="5133" ht="15.75" customHeight="1">
      <c r="A5133" s="19" t="s">
        <v>254</v>
      </c>
      <c r="B5133" s="19" t="s">
        <v>22</v>
      </c>
      <c r="C5133" s="20" t="s">
        <v>36</v>
      </c>
      <c r="D5133" s="14" t="str">
        <f>VLOOKUP(C5133,'State Key'!$A$2:$B$210,2,False)</f>
        <v>West Bengal</v>
      </c>
      <c r="E5133" s="21">
        <v>600.0</v>
      </c>
      <c r="F5133" s="22">
        <v>295.731</v>
      </c>
      <c r="G5133" s="22">
        <v>0.0</v>
      </c>
      <c r="H5133" s="22">
        <v>0.0</v>
      </c>
      <c r="I5133" s="22">
        <v>0.0</v>
      </c>
      <c r="J5133" s="22">
        <v>0.0</v>
      </c>
      <c r="K5133" s="22">
        <v>0.0</v>
      </c>
      <c r="L5133" s="22">
        <v>295.731</v>
      </c>
      <c r="M5133" s="22">
        <v>293.29</v>
      </c>
      <c r="N5133" s="22">
        <v>117.69</v>
      </c>
      <c r="O5133" s="23">
        <v>12.0</v>
      </c>
      <c r="P5133" s="18">
        <f t="shared" si="1"/>
        <v>295.731</v>
      </c>
    </row>
    <row r="5134" ht="15.75" customHeight="1">
      <c r="A5134" s="13" t="s">
        <v>254</v>
      </c>
      <c r="B5134" s="13" t="s">
        <v>22</v>
      </c>
      <c r="C5134" s="14" t="s">
        <v>37</v>
      </c>
      <c r="D5134" s="14" t="str">
        <f>VLOOKUP(C5134,'State Key'!$A$2:$B$210,2,False)</f>
        <v>West Bengal</v>
      </c>
      <c r="E5134" s="15">
        <v>300.0</v>
      </c>
      <c r="F5134" s="16">
        <v>160.108</v>
      </c>
      <c r="G5134" s="16">
        <v>0.0</v>
      </c>
      <c r="H5134" s="16">
        <v>0.0</v>
      </c>
      <c r="I5134" s="16">
        <v>0.0</v>
      </c>
      <c r="J5134" s="16">
        <v>0.0</v>
      </c>
      <c r="K5134" s="16">
        <v>0.0</v>
      </c>
      <c r="L5134" s="16">
        <v>160.108</v>
      </c>
      <c r="M5134" s="16">
        <v>153.008</v>
      </c>
      <c r="N5134" s="16">
        <v>230.84</v>
      </c>
      <c r="O5134" s="24">
        <v>45.3</v>
      </c>
      <c r="P5134" s="18">
        <f t="shared" si="1"/>
        <v>160.108</v>
      </c>
    </row>
    <row r="5135" ht="15.75" customHeight="1">
      <c r="A5135" s="19" t="s">
        <v>254</v>
      </c>
      <c r="B5135" s="19" t="s">
        <v>22</v>
      </c>
      <c r="C5135" s="20" t="s">
        <v>38</v>
      </c>
      <c r="D5135" s="14" t="str">
        <f>VLOOKUP(C5135,'State Key'!$A$2:$B$210,2,False)</f>
        <v>Odisha</v>
      </c>
      <c r="E5135" s="21">
        <v>1740.0</v>
      </c>
      <c r="F5135" s="22">
        <v>121.23</v>
      </c>
      <c r="G5135" s="22">
        <v>0.0</v>
      </c>
      <c r="H5135" s="22">
        <v>686.98</v>
      </c>
      <c r="I5135" s="22">
        <v>0.0</v>
      </c>
      <c r="J5135" s="22">
        <v>0.0</v>
      </c>
      <c r="K5135" s="22">
        <v>0.0</v>
      </c>
      <c r="L5135" s="22">
        <v>808.21</v>
      </c>
      <c r="M5135" s="22">
        <v>743.75</v>
      </c>
      <c r="N5135" s="22">
        <v>356.18</v>
      </c>
      <c r="O5135" s="24">
        <v>14.4</v>
      </c>
      <c r="P5135" s="18">
        <f t="shared" si="1"/>
        <v>808.21</v>
      </c>
    </row>
    <row r="5136" ht="15.75" customHeight="1">
      <c r="A5136" s="13" t="s">
        <v>254</v>
      </c>
      <c r="B5136" s="13" t="s">
        <v>22</v>
      </c>
      <c r="C5136" s="14" t="s">
        <v>39</v>
      </c>
      <c r="D5136" s="14" t="str">
        <f>VLOOKUP(C5136,'State Key'!$A$2:$B$210,2,False)</f>
        <v>Jharkhand</v>
      </c>
      <c r="E5136" s="15">
        <v>240.0</v>
      </c>
      <c r="F5136" s="16">
        <v>85.25126</v>
      </c>
      <c r="G5136" s="16">
        <v>0.0</v>
      </c>
      <c r="H5136" s="16">
        <v>0.0</v>
      </c>
      <c r="I5136" s="16">
        <v>0.0</v>
      </c>
      <c r="J5136" s="16">
        <v>0.0</v>
      </c>
      <c r="K5136" s="16">
        <v>3.7848</v>
      </c>
      <c r="L5136" s="16">
        <v>89.03606</v>
      </c>
      <c r="M5136" s="16">
        <v>96.689</v>
      </c>
      <c r="N5136" s="16">
        <v>150.48</v>
      </c>
      <c r="O5136" s="24">
        <v>46.7</v>
      </c>
      <c r="P5136" s="18">
        <f t="shared" si="1"/>
        <v>89.03606</v>
      </c>
    </row>
    <row r="5137" ht="15.75" customHeight="1">
      <c r="A5137" s="19" t="s">
        <v>254</v>
      </c>
      <c r="B5137" s="19" t="s">
        <v>22</v>
      </c>
      <c r="C5137" s="20" t="s">
        <v>245</v>
      </c>
      <c r="D5137" s="14" t="str">
        <f>VLOOKUP(C5137,'State Key'!$A$2:$B$210,2,False)</f>
        <v>Odisha</v>
      </c>
      <c r="E5137" s="21">
        <v>700.0</v>
      </c>
      <c r="F5137" s="22">
        <v>0.0</v>
      </c>
      <c r="G5137" s="22">
        <v>0.0</v>
      </c>
      <c r="H5137" s="22">
        <v>0.0</v>
      </c>
      <c r="I5137" s="22">
        <v>322.789</v>
      </c>
      <c r="J5137" s="22">
        <v>0.0</v>
      </c>
      <c r="K5137" s="22">
        <v>0.0</v>
      </c>
      <c r="L5137" s="22">
        <v>322.789</v>
      </c>
      <c r="M5137" s="22">
        <v>263.856</v>
      </c>
      <c r="N5137" s="22">
        <v>111.57</v>
      </c>
      <c r="O5137" s="23">
        <v>12.7</v>
      </c>
      <c r="P5137" s="18">
        <f t="shared" si="1"/>
        <v>322.789</v>
      </c>
    </row>
    <row r="5138" ht="15.75" customHeight="1">
      <c r="A5138" s="13" t="s">
        <v>254</v>
      </c>
      <c r="B5138" s="13" t="s">
        <v>22</v>
      </c>
      <c r="C5138" s="14" t="s">
        <v>40</v>
      </c>
      <c r="D5138" s="14" t="str">
        <f>VLOOKUP(C5138,'State Key'!$A$2:$B$210,2,False)</f>
        <v>Bihar</v>
      </c>
      <c r="E5138" s="15">
        <v>2340.0</v>
      </c>
      <c r="F5138" s="16">
        <v>859.23</v>
      </c>
      <c r="G5138" s="16">
        <v>0.0</v>
      </c>
      <c r="H5138" s="16">
        <v>41.32</v>
      </c>
      <c r="I5138" s="16">
        <v>0.0</v>
      </c>
      <c r="J5138" s="16">
        <v>0.0</v>
      </c>
      <c r="K5138" s="16">
        <v>0.0</v>
      </c>
      <c r="L5138" s="16">
        <v>900.55</v>
      </c>
      <c r="M5138" s="16">
        <v>926.944</v>
      </c>
      <c r="N5138" s="16">
        <v>597.66</v>
      </c>
      <c r="O5138" s="24">
        <v>19.3</v>
      </c>
      <c r="P5138" s="18">
        <f t="shared" si="1"/>
        <v>900.55</v>
      </c>
    </row>
    <row r="5139" ht="15.75" customHeight="1">
      <c r="A5139" s="19" t="s">
        <v>254</v>
      </c>
      <c r="B5139" s="19" t="s">
        <v>22</v>
      </c>
      <c r="C5139" s="20" t="s">
        <v>41</v>
      </c>
      <c r="D5139" s="14" t="str">
        <f>VLOOKUP(C5139,'State Key'!$A$2:$B$210,2,False)</f>
        <v>Odisha</v>
      </c>
      <c r="E5139" s="21">
        <v>1050.0</v>
      </c>
      <c r="F5139" s="22">
        <v>338.044</v>
      </c>
      <c r="G5139" s="22">
        <v>0.0</v>
      </c>
      <c r="H5139" s="22">
        <v>0.0</v>
      </c>
      <c r="I5139" s="22">
        <v>121.228</v>
      </c>
      <c r="J5139" s="22">
        <v>0.0</v>
      </c>
      <c r="K5139" s="22">
        <v>0.0</v>
      </c>
      <c r="L5139" s="22">
        <v>459.272</v>
      </c>
      <c r="M5139" s="22">
        <v>500.318</v>
      </c>
      <c r="N5139" s="22">
        <v>342.06</v>
      </c>
      <c r="O5139" s="24">
        <v>20.5</v>
      </c>
      <c r="P5139" s="18">
        <f t="shared" si="1"/>
        <v>459.272</v>
      </c>
    </row>
    <row r="5140" ht="15.75" customHeight="1">
      <c r="A5140" s="13" t="s">
        <v>254</v>
      </c>
      <c r="B5140" s="13" t="s">
        <v>22</v>
      </c>
      <c r="C5140" s="14" t="s">
        <v>42</v>
      </c>
      <c r="D5140" s="14" t="str">
        <f>VLOOKUP(C5140,'State Key'!$A$2:$B$210,2,False)</f>
        <v>Jharkhand</v>
      </c>
      <c r="E5140" s="15">
        <v>1000.0</v>
      </c>
      <c r="F5140" s="16">
        <v>304.154</v>
      </c>
      <c r="G5140" s="16">
        <v>0.0</v>
      </c>
      <c r="H5140" s="16">
        <v>64.808</v>
      </c>
      <c r="I5140" s="16">
        <v>0.0</v>
      </c>
      <c r="J5140" s="16">
        <v>0.0</v>
      </c>
      <c r="K5140" s="16">
        <v>0.0</v>
      </c>
      <c r="L5140" s="16">
        <v>368.962</v>
      </c>
      <c r="M5140" s="16">
        <v>396.09</v>
      </c>
      <c r="N5140" s="16">
        <v>175.64</v>
      </c>
      <c r="O5140" s="23">
        <v>13.3</v>
      </c>
      <c r="P5140" s="18">
        <f t="shared" si="1"/>
        <v>368.962</v>
      </c>
    </row>
    <row r="5141" ht="15.75" customHeight="1">
      <c r="A5141" s="19" t="s">
        <v>254</v>
      </c>
      <c r="B5141" s="19" t="s">
        <v>22</v>
      </c>
      <c r="C5141" s="20" t="s">
        <v>43</v>
      </c>
      <c r="D5141" s="14" t="str">
        <f>VLOOKUP(C5141,'State Key'!$A$2:$B$210,2,False)</f>
        <v>West Bengal</v>
      </c>
      <c r="E5141" s="21">
        <v>840.0</v>
      </c>
      <c r="F5141" s="22">
        <v>0.0</v>
      </c>
      <c r="G5141" s="22">
        <v>0.0</v>
      </c>
      <c r="H5141" s="22">
        <v>258.525</v>
      </c>
      <c r="I5141" s="22">
        <v>0.0</v>
      </c>
      <c r="J5141" s="22">
        <v>0.0</v>
      </c>
      <c r="K5141" s="22">
        <v>0.0</v>
      </c>
      <c r="L5141" s="22">
        <v>258.525</v>
      </c>
      <c r="M5141" s="22">
        <v>286.48</v>
      </c>
      <c r="N5141" s="22">
        <v>79.34</v>
      </c>
      <c r="O5141" s="23">
        <v>8.3</v>
      </c>
      <c r="P5141" s="18">
        <f t="shared" si="1"/>
        <v>258.525</v>
      </c>
    </row>
    <row r="5142" ht="15.75" customHeight="1">
      <c r="A5142" s="13" t="s">
        <v>254</v>
      </c>
      <c r="B5142" s="13" t="s">
        <v>22</v>
      </c>
      <c r="C5142" s="14" t="s">
        <v>44</v>
      </c>
      <c r="D5142" s="14" t="str">
        <f>VLOOKUP(C5142,'State Key'!$A$2:$B$210,2,False)</f>
        <v>Jharkhand</v>
      </c>
      <c r="E5142" s="15">
        <v>540.0</v>
      </c>
      <c r="F5142" s="16">
        <v>194.935</v>
      </c>
      <c r="G5142" s="16">
        <v>0.0</v>
      </c>
      <c r="H5142" s="16">
        <v>0.0</v>
      </c>
      <c r="I5142" s="16">
        <v>0.0</v>
      </c>
      <c r="J5142" s="16">
        <v>0.0</v>
      </c>
      <c r="K5142" s="16">
        <v>35.542</v>
      </c>
      <c r="L5142" s="16">
        <v>230.477</v>
      </c>
      <c r="M5142" s="16">
        <v>219.251</v>
      </c>
      <c r="N5142" s="16">
        <v>56.8</v>
      </c>
      <c r="O5142" s="23">
        <v>7.8</v>
      </c>
      <c r="P5142" s="18">
        <f t="shared" si="1"/>
        <v>230.477</v>
      </c>
    </row>
    <row r="5143" ht="15.75" customHeight="1">
      <c r="A5143" s="19" t="s">
        <v>254</v>
      </c>
      <c r="B5143" s="19" t="s">
        <v>22</v>
      </c>
      <c r="C5143" s="20" t="s">
        <v>45</v>
      </c>
      <c r="D5143" s="14" t="str">
        <f>VLOOKUP(C5143,'State Key'!$A$2:$B$210,2,False)</f>
        <v>Jharkhand</v>
      </c>
      <c r="E5143" s="21">
        <v>1050.0</v>
      </c>
      <c r="F5143" s="22">
        <v>385.51</v>
      </c>
      <c r="G5143" s="22">
        <v>0.0</v>
      </c>
      <c r="H5143" s="22">
        <v>0.0</v>
      </c>
      <c r="I5143" s="22">
        <v>0.0</v>
      </c>
      <c r="J5143" s="22">
        <v>0.0</v>
      </c>
      <c r="K5143" s="22">
        <v>0.0</v>
      </c>
      <c r="L5143" s="22">
        <v>385.51</v>
      </c>
      <c r="M5143" s="22">
        <v>387.24</v>
      </c>
      <c r="N5143" s="22">
        <v>384.58</v>
      </c>
      <c r="O5143" s="24">
        <v>29.8</v>
      </c>
      <c r="P5143" s="18">
        <f t="shared" si="1"/>
        <v>385.51</v>
      </c>
    </row>
    <row r="5144" ht="15.75" customHeight="1">
      <c r="A5144" s="13" t="s">
        <v>254</v>
      </c>
      <c r="B5144" s="13" t="s">
        <v>22</v>
      </c>
      <c r="C5144" s="14" t="s">
        <v>46</v>
      </c>
      <c r="D5144" s="14" t="str">
        <f>VLOOKUP(C5144,'State Key'!$A$2:$B$210,2,False)</f>
        <v>West Bengal</v>
      </c>
      <c r="E5144" s="15">
        <v>2340.0</v>
      </c>
      <c r="F5144" s="16">
        <v>673.384</v>
      </c>
      <c r="G5144" s="16">
        <v>0.0</v>
      </c>
      <c r="H5144" s="16">
        <v>127.533</v>
      </c>
      <c r="I5144" s="16">
        <v>0.0</v>
      </c>
      <c r="J5144" s="16">
        <v>0.0</v>
      </c>
      <c r="K5144" s="16">
        <v>74.089</v>
      </c>
      <c r="L5144" s="16">
        <v>875.006</v>
      </c>
      <c r="M5144" s="16">
        <v>860.642</v>
      </c>
      <c r="N5144" s="16">
        <v>500.97</v>
      </c>
      <c r="O5144" s="24">
        <v>17.5</v>
      </c>
      <c r="P5144" s="18">
        <f t="shared" si="1"/>
        <v>875.006</v>
      </c>
    </row>
    <row r="5145" ht="15.75" customHeight="1">
      <c r="A5145" s="19" t="s">
        <v>254</v>
      </c>
      <c r="B5145" s="19" t="s">
        <v>22</v>
      </c>
      <c r="C5145" s="20" t="s">
        <v>47</v>
      </c>
      <c r="D5145" s="14" t="str">
        <f>VLOOKUP(C5145,'State Key'!$A$2:$B$210,2,False)</f>
        <v>Bihar</v>
      </c>
      <c r="E5145" s="21">
        <v>390.0</v>
      </c>
      <c r="F5145" s="22">
        <v>0.0</v>
      </c>
      <c r="G5145" s="22">
        <v>0.0</v>
      </c>
      <c r="H5145" s="22">
        <v>142.785</v>
      </c>
      <c r="I5145" s="22">
        <v>0.0</v>
      </c>
      <c r="J5145" s="22">
        <v>0.0</v>
      </c>
      <c r="K5145" s="22">
        <v>0.0</v>
      </c>
      <c r="L5145" s="22">
        <v>142.785</v>
      </c>
      <c r="M5145" s="22">
        <v>170.483</v>
      </c>
      <c r="N5145" s="22">
        <v>154.56</v>
      </c>
      <c r="O5145" s="24">
        <v>27.2</v>
      </c>
      <c r="P5145" s="18">
        <f t="shared" si="1"/>
        <v>142.785</v>
      </c>
    </row>
    <row r="5146" ht="15.75" customHeight="1">
      <c r="A5146" s="13" t="s">
        <v>254</v>
      </c>
      <c r="B5146" s="13" t="s">
        <v>22</v>
      </c>
      <c r="C5146" s="14" t="s">
        <v>241</v>
      </c>
      <c r="D5146" s="14" t="str">
        <f>VLOOKUP(C5146,'State Key'!$A$2:$B$210,2,False)</f>
        <v>Odisha</v>
      </c>
      <c r="E5146" s="15">
        <v>60.0</v>
      </c>
      <c r="F5146" s="16">
        <v>24.585</v>
      </c>
      <c r="G5146" s="16">
        <v>0.0</v>
      </c>
      <c r="H5146" s="16">
        <v>0.0</v>
      </c>
      <c r="I5146" s="16">
        <v>0.0</v>
      </c>
      <c r="J5146" s="16">
        <v>0.0</v>
      </c>
      <c r="K5146" s="16">
        <v>5.93</v>
      </c>
      <c r="L5146" s="16">
        <v>30.515</v>
      </c>
      <c r="M5146" s="16">
        <v>26.473</v>
      </c>
      <c r="N5146" s="16">
        <v>17.08</v>
      </c>
      <c r="O5146" s="24">
        <v>19.4</v>
      </c>
      <c r="P5146" s="18">
        <f t="shared" si="1"/>
        <v>30.515</v>
      </c>
    </row>
    <row r="5147" ht="15.75" customHeight="1">
      <c r="A5147" s="19" t="s">
        <v>254</v>
      </c>
      <c r="B5147" s="19" t="s">
        <v>22</v>
      </c>
      <c r="C5147" s="20" t="s">
        <v>48</v>
      </c>
      <c r="D5147" s="14" t="str">
        <f>VLOOKUP(C5147,'State Key'!$A$2:$B$210,2,False)</f>
        <v>Bihar</v>
      </c>
      <c r="E5147" s="21">
        <v>1980.0</v>
      </c>
      <c r="F5147" s="22">
        <v>584.254</v>
      </c>
      <c r="G5147" s="22">
        <v>0.0</v>
      </c>
      <c r="H5147" s="22">
        <v>23.071</v>
      </c>
      <c r="I5147" s="22">
        <v>8.15</v>
      </c>
      <c r="J5147" s="22">
        <v>0.0</v>
      </c>
      <c r="K5147" s="22">
        <v>0.0</v>
      </c>
      <c r="L5147" s="22">
        <v>615.475</v>
      </c>
      <c r="M5147" s="22">
        <v>847.228</v>
      </c>
      <c r="N5147" s="22">
        <v>249.659</v>
      </c>
      <c r="O5147" s="23">
        <v>8.8</v>
      </c>
      <c r="P5147" s="18">
        <f t="shared" si="1"/>
        <v>615.475</v>
      </c>
    </row>
    <row r="5148" ht="15.75" customHeight="1">
      <c r="A5148" s="13" t="s">
        <v>254</v>
      </c>
      <c r="B5148" s="13" t="s">
        <v>22</v>
      </c>
      <c r="C5148" s="14" t="s">
        <v>49</v>
      </c>
      <c r="D5148" s="14" t="str">
        <f>VLOOKUP(C5148,'State Key'!$A$2:$B$210,2,False)</f>
        <v>Bihar</v>
      </c>
      <c r="E5148" s="15">
        <v>1000.0</v>
      </c>
      <c r="F5148" s="16">
        <v>281.9437</v>
      </c>
      <c r="G5148" s="16">
        <v>0.0</v>
      </c>
      <c r="H5148" s="16">
        <v>0.0</v>
      </c>
      <c r="I5148" s="16">
        <v>0.0</v>
      </c>
      <c r="J5148" s="16">
        <v>0.0</v>
      </c>
      <c r="K5148" s="16">
        <v>98.317</v>
      </c>
      <c r="L5148" s="16">
        <v>380.2607</v>
      </c>
      <c r="M5148" s="16">
        <v>399.041</v>
      </c>
      <c r="N5148" s="16">
        <v>188.58</v>
      </c>
      <c r="O5148" s="24">
        <v>14.2</v>
      </c>
      <c r="P5148" s="18">
        <f t="shared" si="1"/>
        <v>380.2607</v>
      </c>
    </row>
    <row r="5149" ht="15.75" customHeight="1">
      <c r="A5149" s="19" t="s">
        <v>254</v>
      </c>
      <c r="B5149" s="19" t="s">
        <v>22</v>
      </c>
      <c r="C5149" s="20" t="s">
        <v>50</v>
      </c>
      <c r="D5149" s="14" t="str">
        <f>VLOOKUP(C5149,'State Key'!$A$2:$B$210,2,False)</f>
        <v>Jharkhand</v>
      </c>
      <c r="E5149" s="21">
        <v>1980.0</v>
      </c>
      <c r="F5149" s="22">
        <v>464.19</v>
      </c>
      <c r="G5149" s="22">
        <v>0.0</v>
      </c>
      <c r="H5149" s="22">
        <v>220.39</v>
      </c>
      <c r="I5149" s="22">
        <v>0.0</v>
      </c>
      <c r="J5149" s="22">
        <v>0.0</v>
      </c>
      <c r="K5149" s="22">
        <v>0.0</v>
      </c>
      <c r="L5149" s="22">
        <v>684.58</v>
      </c>
      <c r="M5149" s="22">
        <v>756.589</v>
      </c>
      <c r="N5149" s="22">
        <v>92.81</v>
      </c>
      <c r="O5149" s="17">
        <v>3.7</v>
      </c>
      <c r="P5149" s="18">
        <f t="shared" si="1"/>
        <v>684.58</v>
      </c>
    </row>
    <row r="5150" ht="15.75" customHeight="1">
      <c r="A5150" s="13" t="s">
        <v>254</v>
      </c>
      <c r="B5150" s="13" t="s">
        <v>22</v>
      </c>
      <c r="C5150" s="14" t="s">
        <v>51</v>
      </c>
      <c r="D5150" s="14" t="str">
        <f>VLOOKUP(C5150,'State Key'!$A$2:$B$210,2,False)</f>
        <v>West Bengal</v>
      </c>
      <c r="E5150" s="15">
        <v>1200.0</v>
      </c>
      <c r="F5150" s="16">
        <v>394.133</v>
      </c>
      <c r="G5150" s="16">
        <v>0.0</v>
      </c>
      <c r="H5150" s="16">
        <v>7.341</v>
      </c>
      <c r="I5150" s="16">
        <v>0.0</v>
      </c>
      <c r="J5150" s="16">
        <v>0.0</v>
      </c>
      <c r="K5150" s="16">
        <v>0.0</v>
      </c>
      <c r="L5150" s="16">
        <v>401.474</v>
      </c>
      <c r="M5150" s="16">
        <v>447.938</v>
      </c>
      <c r="N5150" s="16">
        <v>210.83</v>
      </c>
      <c r="O5150" s="24">
        <v>14.1</v>
      </c>
      <c r="P5150" s="18">
        <f t="shared" si="1"/>
        <v>401.474</v>
      </c>
    </row>
    <row r="5151" ht="15.75" customHeight="1">
      <c r="A5151" s="19" t="s">
        <v>254</v>
      </c>
      <c r="B5151" s="19" t="s">
        <v>22</v>
      </c>
      <c r="C5151" s="20" t="s">
        <v>52</v>
      </c>
      <c r="D5151" s="14" t="str">
        <f>VLOOKUP(C5151,'State Key'!$A$2:$B$210,2,False)</f>
        <v>West Bengal</v>
      </c>
      <c r="E5151" s="21">
        <v>1600.0</v>
      </c>
      <c r="F5151" s="22">
        <v>0.0</v>
      </c>
      <c r="G5151" s="22">
        <v>0.0</v>
      </c>
      <c r="H5151" s="22">
        <v>586.17</v>
      </c>
      <c r="I5151" s="22">
        <v>0.0</v>
      </c>
      <c r="J5151" s="22">
        <v>0.0</v>
      </c>
      <c r="K5151" s="22">
        <v>0.0</v>
      </c>
      <c r="L5151" s="22">
        <v>586.17</v>
      </c>
      <c r="M5151" s="22">
        <v>726.018</v>
      </c>
      <c r="N5151" s="22">
        <v>66.22</v>
      </c>
      <c r="O5151" s="17">
        <v>2.7</v>
      </c>
      <c r="P5151" s="18">
        <f t="shared" si="1"/>
        <v>586.17</v>
      </c>
    </row>
    <row r="5152" ht="15.75" customHeight="1">
      <c r="A5152" s="13" t="s">
        <v>254</v>
      </c>
      <c r="B5152" s="13" t="s">
        <v>22</v>
      </c>
      <c r="C5152" s="14" t="s">
        <v>53</v>
      </c>
      <c r="D5152" s="14" t="str">
        <f>VLOOKUP(C5152,'State Key'!$A$2:$B$210,2,False)</f>
        <v>West Bengal</v>
      </c>
      <c r="E5152" s="15">
        <v>500.0</v>
      </c>
      <c r="F5152" s="16">
        <v>0.0</v>
      </c>
      <c r="G5152" s="16">
        <v>0.0</v>
      </c>
      <c r="H5152" s="16">
        <v>196.597</v>
      </c>
      <c r="I5152" s="16">
        <v>0.0</v>
      </c>
      <c r="J5152" s="16">
        <v>0.0</v>
      </c>
      <c r="K5152" s="16">
        <v>0.0</v>
      </c>
      <c r="L5152" s="16">
        <v>196.597</v>
      </c>
      <c r="M5152" s="16">
        <v>232.671</v>
      </c>
      <c r="N5152" s="16">
        <v>26.6</v>
      </c>
      <c r="O5152" s="17">
        <v>3.4</v>
      </c>
      <c r="P5152" s="18">
        <f t="shared" si="1"/>
        <v>196.597</v>
      </c>
    </row>
    <row r="5153" ht="15.75" customHeight="1">
      <c r="A5153" s="19" t="s">
        <v>254</v>
      </c>
      <c r="B5153" s="19" t="s">
        <v>22</v>
      </c>
      <c r="C5153" s="20" t="s">
        <v>54</v>
      </c>
      <c r="D5153" s="14" t="str">
        <f>VLOOKUP(C5153,'State Key'!$A$2:$B$210,2,False)</f>
        <v>West Bengal</v>
      </c>
      <c r="E5153" s="21">
        <v>135.0</v>
      </c>
      <c r="F5153" s="22">
        <v>35.444</v>
      </c>
      <c r="G5153" s="22">
        <v>0.0</v>
      </c>
      <c r="H5153" s="22">
        <v>0.0</v>
      </c>
      <c r="I5153" s="22">
        <v>0.0</v>
      </c>
      <c r="J5153" s="22">
        <v>0.0</v>
      </c>
      <c r="K5153" s="22">
        <v>0.0</v>
      </c>
      <c r="L5153" s="22">
        <v>35.444</v>
      </c>
      <c r="M5153" s="22">
        <v>34.521</v>
      </c>
      <c r="N5153" s="22">
        <v>14.26</v>
      </c>
      <c r="O5153" s="23">
        <v>12.4</v>
      </c>
      <c r="P5153" s="18">
        <f t="shared" si="1"/>
        <v>35.444</v>
      </c>
    </row>
    <row r="5154" ht="15.75" customHeight="1">
      <c r="A5154" s="13" t="s">
        <v>254</v>
      </c>
      <c r="B5154" s="13" t="s">
        <v>22</v>
      </c>
      <c r="C5154" s="14" t="s">
        <v>55</v>
      </c>
      <c r="D5154" s="14" t="str">
        <f>VLOOKUP(C5154,'State Key'!$A$2:$B$210,2,False)</f>
        <v>Odisha</v>
      </c>
      <c r="E5154" s="15">
        <v>3000.0</v>
      </c>
      <c r="F5154" s="16">
        <v>1238.52</v>
      </c>
      <c r="G5154" s="16">
        <v>0.0</v>
      </c>
      <c r="H5154" s="16">
        <v>90.59</v>
      </c>
      <c r="I5154" s="16">
        <v>0.0</v>
      </c>
      <c r="J5154" s="16">
        <v>0.0</v>
      </c>
      <c r="K5154" s="16">
        <v>0.0</v>
      </c>
      <c r="L5154" s="16">
        <v>1329.11</v>
      </c>
      <c r="M5154" s="16">
        <v>1381.741</v>
      </c>
      <c r="N5154" s="16">
        <v>545.28</v>
      </c>
      <c r="O5154" s="23">
        <v>11.8</v>
      </c>
      <c r="P5154" s="18">
        <f t="shared" si="1"/>
        <v>1329.11</v>
      </c>
    </row>
    <row r="5155" ht="15.75" customHeight="1">
      <c r="A5155" s="19" t="s">
        <v>254</v>
      </c>
      <c r="B5155" s="19" t="s">
        <v>22</v>
      </c>
      <c r="C5155" s="20" t="s">
        <v>56</v>
      </c>
      <c r="D5155" s="14" t="str">
        <f>VLOOKUP(C5155,'State Key'!$A$2:$B$210,2,False)</f>
        <v>Jharkhand</v>
      </c>
      <c r="E5155" s="21">
        <v>420.0</v>
      </c>
      <c r="F5155" s="22">
        <v>45.366</v>
      </c>
      <c r="G5155" s="22">
        <v>0.0</v>
      </c>
      <c r="H5155" s="22">
        <v>0.0</v>
      </c>
      <c r="I5155" s="22">
        <v>0.0</v>
      </c>
      <c r="J5155" s="22">
        <v>0.0</v>
      </c>
      <c r="K5155" s="22">
        <v>0.0</v>
      </c>
      <c r="L5155" s="22">
        <v>45.366</v>
      </c>
      <c r="M5155" s="22">
        <v>88.75</v>
      </c>
      <c r="N5155" s="22">
        <v>211.7</v>
      </c>
      <c r="O5155" s="24">
        <v>71.6</v>
      </c>
      <c r="P5155" s="18">
        <f t="shared" si="1"/>
        <v>45.366</v>
      </c>
    </row>
    <row r="5156" ht="15.75" customHeight="1">
      <c r="A5156" s="13" t="s">
        <v>254</v>
      </c>
      <c r="B5156" s="13" t="s">
        <v>22</v>
      </c>
      <c r="C5156" s="14" t="s">
        <v>60</v>
      </c>
      <c r="D5156" s="14" t="str">
        <f>VLOOKUP(C5156,'State Key'!$A$2:$B$210,2,False)</f>
        <v>Odisha</v>
      </c>
      <c r="E5156" s="15">
        <v>600.0</v>
      </c>
      <c r="F5156" s="16">
        <v>37.89797</v>
      </c>
      <c r="G5156" s="16">
        <v>0.0</v>
      </c>
      <c r="H5156" s="16">
        <v>0.0</v>
      </c>
      <c r="I5156" s="16">
        <v>0.0</v>
      </c>
      <c r="J5156" s="16">
        <v>0.0</v>
      </c>
      <c r="K5156" s="16">
        <v>0.0</v>
      </c>
      <c r="L5156" s="16">
        <v>37.89797</v>
      </c>
      <c r="M5156" s="16">
        <v>115.65</v>
      </c>
      <c r="N5156" s="16">
        <v>73.85</v>
      </c>
      <c r="O5156" s="24">
        <v>19.2</v>
      </c>
      <c r="P5156" s="18">
        <f t="shared" si="1"/>
        <v>37.89797</v>
      </c>
    </row>
    <row r="5157" ht="15.75" customHeight="1">
      <c r="A5157" s="19" t="s">
        <v>254</v>
      </c>
      <c r="B5157" s="19" t="s">
        <v>61</v>
      </c>
      <c r="C5157" s="20" t="s">
        <v>209</v>
      </c>
      <c r="D5157" s="14" t="str">
        <f>VLOOKUP(C5157,'State Key'!$A$2:$B$210,2,False)</f>
        <v>Rajasthan</v>
      </c>
      <c r="E5157" s="21">
        <v>1320.0</v>
      </c>
      <c r="F5157" s="22">
        <v>257.893</v>
      </c>
      <c r="G5157" s="22">
        <v>0.0</v>
      </c>
      <c r="H5157" s="22">
        <v>0.0</v>
      </c>
      <c r="I5157" s="22">
        <v>0.0</v>
      </c>
      <c r="J5157" s="22">
        <v>3.932</v>
      </c>
      <c r="K5157" s="22">
        <v>0.0</v>
      </c>
      <c r="L5157" s="22">
        <v>261.825</v>
      </c>
      <c r="M5157" s="22">
        <v>387.172</v>
      </c>
      <c r="N5157" s="22">
        <v>254.27</v>
      </c>
      <c r="O5157" s="24">
        <v>19.7</v>
      </c>
      <c r="P5157" s="18">
        <f t="shared" si="1"/>
        <v>261.825</v>
      </c>
    </row>
    <row r="5158" ht="15.75" customHeight="1">
      <c r="A5158" s="13" t="s">
        <v>254</v>
      </c>
      <c r="B5158" s="13" t="s">
        <v>61</v>
      </c>
      <c r="C5158" s="14" t="s">
        <v>62</v>
      </c>
      <c r="D5158" s="14" t="str">
        <f>VLOOKUP(C5158,'State Key'!$A$2:$B$210,2,False)</f>
        <v>Uttar Pradesh</v>
      </c>
      <c r="E5158" s="15">
        <v>1200.0</v>
      </c>
      <c r="F5158" s="16">
        <v>446.671</v>
      </c>
      <c r="G5158" s="16">
        <v>0.0</v>
      </c>
      <c r="H5158" s="16">
        <v>0.0</v>
      </c>
      <c r="I5158" s="16">
        <v>0.0</v>
      </c>
      <c r="J5158" s="16">
        <v>0.0</v>
      </c>
      <c r="K5158" s="16">
        <v>0.0</v>
      </c>
      <c r="L5158" s="16">
        <v>446.671</v>
      </c>
      <c r="M5158" s="16">
        <v>485.55</v>
      </c>
      <c r="N5158" s="16">
        <v>119.53</v>
      </c>
      <c r="O5158" s="23">
        <v>7.4</v>
      </c>
      <c r="P5158" s="18">
        <f t="shared" si="1"/>
        <v>446.671</v>
      </c>
    </row>
    <row r="5159" ht="15.75" customHeight="1">
      <c r="A5159" s="19" t="s">
        <v>254</v>
      </c>
      <c r="B5159" s="19" t="s">
        <v>61</v>
      </c>
      <c r="C5159" s="20" t="s">
        <v>63</v>
      </c>
      <c r="D5159" s="14" t="str">
        <f>VLOOKUP(C5159,'State Key'!$A$2:$B$210,2,False)</f>
        <v>Uttar Pradesh</v>
      </c>
      <c r="E5159" s="21">
        <v>2630.0</v>
      </c>
      <c r="F5159" s="22">
        <v>951.72887</v>
      </c>
      <c r="G5159" s="22">
        <v>0.0</v>
      </c>
      <c r="H5159" s="22">
        <v>0.0</v>
      </c>
      <c r="I5159" s="22">
        <v>0.0</v>
      </c>
      <c r="J5159" s="22">
        <v>0.0</v>
      </c>
      <c r="K5159" s="22">
        <v>0.0</v>
      </c>
      <c r="L5159" s="22">
        <v>951.72887</v>
      </c>
      <c r="M5159" s="22">
        <v>1093.435</v>
      </c>
      <c r="N5159" s="22">
        <v>525.04</v>
      </c>
      <c r="O5159" s="24">
        <v>14.4</v>
      </c>
      <c r="P5159" s="18">
        <f t="shared" si="1"/>
        <v>951.72887</v>
      </c>
    </row>
    <row r="5160" ht="15.75" customHeight="1">
      <c r="A5160" s="13" t="s">
        <v>254</v>
      </c>
      <c r="B5160" s="13" t="s">
        <v>61</v>
      </c>
      <c r="C5160" s="14" t="s">
        <v>64</v>
      </c>
      <c r="D5160" s="14" t="str">
        <f>VLOOKUP(C5160,'State Key'!$A$2:$B$210,2,False)</f>
        <v>Uttar Pradesh</v>
      </c>
      <c r="E5160" s="15">
        <v>90.0</v>
      </c>
      <c r="F5160" s="16">
        <v>15.845</v>
      </c>
      <c r="G5160" s="16">
        <v>0.0</v>
      </c>
      <c r="H5160" s="16">
        <v>0.0</v>
      </c>
      <c r="I5160" s="16">
        <v>0.0</v>
      </c>
      <c r="J5160" s="16">
        <v>0.0</v>
      </c>
      <c r="K5160" s="16">
        <v>0.0</v>
      </c>
      <c r="L5160" s="16">
        <v>15.845</v>
      </c>
      <c r="M5160" s="16">
        <v>27.804</v>
      </c>
      <c r="N5160" s="16">
        <v>40.17</v>
      </c>
      <c r="O5160" s="24">
        <v>43.3</v>
      </c>
      <c r="P5160" s="18">
        <f t="shared" si="1"/>
        <v>15.845</v>
      </c>
    </row>
    <row r="5161" ht="15.75" customHeight="1">
      <c r="A5161" s="19" t="s">
        <v>254</v>
      </c>
      <c r="B5161" s="19" t="s">
        <v>61</v>
      </c>
      <c r="C5161" s="20" t="s">
        <v>65</v>
      </c>
      <c r="D5161" s="14" t="str">
        <f>VLOOKUP(C5161,'State Key'!$A$2:$B$210,2,False)</f>
        <v>Rajasthan</v>
      </c>
      <c r="E5161" s="21">
        <v>500.0</v>
      </c>
      <c r="F5161" s="22">
        <v>27.0064</v>
      </c>
      <c r="G5161" s="22">
        <v>0.0</v>
      </c>
      <c r="H5161" s="22">
        <v>0.0</v>
      </c>
      <c r="I5161" s="22">
        <v>0.0</v>
      </c>
      <c r="J5161" s="22">
        <v>0.0</v>
      </c>
      <c r="K5161" s="22">
        <v>0.0</v>
      </c>
      <c r="L5161" s="22">
        <v>27.0064</v>
      </c>
      <c r="M5161" s="22">
        <v>120.284</v>
      </c>
      <c r="N5161" s="22">
        <v>203.8816</v>
      </c>
      <c r="O5161" s="24">
        <v>50.9</v>
      </c>
      <c r="P5161" s="18">
        <f t="shared" si="1"/>
        <v>27.0064</v>
      </c>
    </row>
    <row r="5162" ht="15.75" customHeight="1">
      <c r="A5162" s="13" t="s">
        <v>254</v>
      </c>
      <c r="B5162" s="13" t="s">
        <v>61</v>
      </c>
      <c r="C5162" s="14" t="s">
        <v>66</v>
      </c>
      <c r="D5162" s="14" t="str">
        <f>VLOOKUP(C5162,'State Key'!$A$2:$B$210,2,False)</f>
        <v>Rajasthan</v>
      </c>
      <c r="E5162" s="15">
        <v>500.0</v>
      </c>
      <c r="F5162" s="16">
        <v>0.0</v>
      </c>
      <c r="G5162" s="16">
        <v>0.0</v>
      </c>
      <c r="H5162" s="16">
        <v>330.1879</v>
      </c>
      <c r="I5162" s="16">
        <v>0.0</v>
      </c>
      <c r="J5162" s="16">
        <v>0.0</v>
      </c>
      <c r="K5162" s="16">
        <v>0.0</v>
      </c>
      <c r="L5162" s="16">
        <v>330.1879</v>
      </c>
      <c r="M5162" s="16">
        <v>214.1933</v>
      </c>
      <c r="N5162" s="16">
        <v>243.4184</v>
      </c>
      <c r="O5162" s="24">
        <v>34.1</v>
      </c>
      <c r="P5162" s="18">
        <f t="shared" si="1"/>
        <v>330.1879</v>
      </c>
    </row>
    <row r="5163" ht="15.75" customHeight="1">
      <c r="A5163" s="19" t="s">
        <v>254</v>
      </c>
      <c r="B5163" s="19" t="s">
        <v>61</v>
      </c>
      <c r="C5163" s="20" t="s">
        <v>67</v>
      </c>
      <c r="D5163" s="14" t="str">
        <f>VLOOKUP(C5163,'State Key'!$A$2:$B$210,2,False)</f>
        <v>Rajasthan</v>
      </c>
      <c r="E5163" s="21">
        <v>1320.0</v>
      </c>
      <c r="F5163" s="22">
        <v>0.0</v>
      </c>
      <c r="G5163" s="22">
        <v>0.0</v>
      </c>
      <c r="H5163" s="22">
        <v>372.6871</v>
      </c>
      <c r="I5163" s="22">
        <v>0.0</v>
      </c>
      <c r="J5163" s="22">
        <v>0.0</v>
      </c>
      <c r="K5163" s="22">
        <v>0.0</v>
      </c>
      <c r="L5163" s="22">
        <v>372.6871</v>
      </c>
      <c r="M5163" s="22">
        <v>411.5667</v>
      </c>
      <c r="N5163" s="22">
        <v>436.62</v>
      </c>
      <c r="O5163" s="24">
        <v>31.8</v>
      </c>
      <c r="P5163" s="18">
        <f t="shared" si="1"/>
        <v>372.6871</v>
      </c>
    </row>
    <row r="5164" ht="15.75" customHeight="1">
      <c r="A5164" s="13" t="s">
        <v>254</v>
      </c>
      <c r="B5164" s="13" t="s">
        <v>61</v>
      </c>
      <c r="C5164" s="14" t="s">
        <v>68</v>
      </c>
      <c r="D5164" s="14" t="str">
        <f>VLOOKUP(C5164,'State Key'!$A$2:$B$210,2,False)</f>
        <v>Uttar Pradesh</v>
      </c>
      <c r="E5164" s="15">
        <v>1820.0</v>
      </c>
      <c r="F5164" s="16">
        <v>436.57</v>
      </c>
      <c r="G5164" s="16">
        <v>0.0</v>
      </c>
      <c r="H5164" s="16">
        <v>38.45</v>
      </c>
      <c r="I5164" s="16">
        <v>0.0</v>
      </c>
      <c r="J5164" s="16">
        <v>0.0</v>
      </c>
      <c r="K5164" s="16">
        <v>28.94</v>
      </c>
      <c r="L5164" s="16">
        <v>503.96</v>
      </c>
      <c r="M5164" s="16">
        <v>549.235</v>
      </c>
      <c r="N5164" s="16">
        <v>452.11</v>
      </c>
      <c r="O5164" s="24">
        <v>24.7</v>
      </c>
      <c r="P5164" s="18">
        <f t="shared" si="1"/>
        <v>503.96</v>
      </c>
    </row>
    <row r="5165" ht="15.75" customHeight="1">
      <c r="A5165" s="19" t="s">
        <v>254</v>
      </c>
      <c r="B5165" s="19" t="s">
        <v>61</v>
      </c>
      <c r="C5165" s="20" t="s">
        <v>69</v>
      </c>
      <c r="D5165" s="14" t="str">
        <f>VLOOKUP(C5165,'State Key'!$A$2:$B$210,2,False)</f>
        <v>Punjab</v>
      </c>
      <c r="E5165" s="21">
        <v>920.0</v>
      </c>
      <c r="F5165" s="22">
        <v>170.63464</v>
      </c>
      <c r="G5165" s="22">
        <v>0.0</v>
      </c>
      <c r="H5165" s="22">
        <v>132.84349</v>
      </c>
      <c r="I5165" s="22">
        <v>0.0</v>
      </c>
      <c r="J5165" s="22">
        <v>0.0</v>
      </c>
      <c r="K5165" s="22">
        <v>0.93171</v>
      </c>
      <c r="L5165" s="22">
        <v>304.40984</v>
      </c>
      <c r="M5165" s="22">
        <v>322.717</v>
      </c>
      <c r="N5165" s="22">
        <v>211.44</v>
      </c>
      <c r="O5165" s="24">
        <v>19.7</v>
      </c>
      <c r="P5165" s="18">
        <f t="shared" si="1"/>
        <v>304.40984</v>
      </c>
    </row>
    <row r="5166" ht="15.75" customHeight="1">
      <c r="A5166" s="13" t="s">
        <v>254</v>
      </c>
      <c r="B5166" s="13" t="s">
        <v>61</v>
      </c>
      <c r="C5166" s="14" t="s">
        <v>242</v>
      </c>
      <c r="D5166" s="14" t="str">
        <f>VLOOKUP(C5166,'State Key'!$A$2:$B$210,2,False)</f>
        <v>Uttar Pradesh</v>
      </c>
      <c r="E5166" s="15">
        <v>660.0</v>
      </c>
      <c r="F5166" s="16">
        <v>119.686</v>
      </c>
      <c r="G5166" s="16">
        <v>0.0</v>
      </c>
      <c r="H5166" s="16">
        <v>0.0</v>
      </c>
      <c r="I5166" s="16">
        <v>0.0</v>
      </c>
      <c r="J5166" s="16">
        <v>0.0</v>
      </c>
      <c r="K5166" s="16">
        <v>0.0</v>
      </c>
      <c r="L5166" s="16">
        <v>119.686</v>
      </c>
      <c r="M5166" s="16">
        <v>225.471</v>
      </c>
      <c r="N5166" s="16">
        <v>69.97</v>
      </c>
      <c r="O5166" s="23">
        <v>9.3</v>
      </c>
      <c r="P5166" s="18">
        <f t="shared" si="1"/>
        <v>119.686</v>
      </c>
    </row>
    <row r="5167" ht="15.75" customHeight="1">
      <c r="A5167" s="19" t="s">
        <v>254</v>
      </c>
      <c r="B5167" s="19" t="s">
        <v>61</v>
      </c>
      <c r="C5167" s="20" t="s">
        <v>70</v>
      </c>
      <c r="D5167" s="14" t="str">
        <f>VLOOKUP(C5167,'State Key'!$A$2:$B$210,2,False)</f>
        <v>Punjab</v>
      </c>
      <c r="E5167" s="21">
        <v>540.0</v>
      </c>
      <c r="F5167" s="22">
        <v>0.0</v>
      </c>
      <c r="G5167" s="22">
        <v>0.0</v>
      </c>
      <c r="H5167" s="22">
        <v>188.611</v>
      </c>
      <c r="I5167" s="22">
        <v>0.0</v>
      </c>
      <c r="J5167" s="22">
        <v>0.0</v>
      </c>
      <c r="K5167" s="22">
        <v>0.0</v>
      </c>
      <c r="L5167" s="22">
        <v>188.611</v>
      </c>
      <c r="M5167" s="22">
        <v>167.581</v>
      </c>
      <c r="N5167" s="22">
        <v>109.44</v>
      </c>
      <c r="O5167" s="24">
        <v>19.6</v>
      </c>
      <c r="P5167" s="18">
        <f t="shared" si="1"/>
        <v>188.611</v>
      </c>
    </row>
    <row r="5168" ht="15.75" customHeight="1">
      <c r="A5168" s="13" t="s">
        <v>254</v>
      </c>
      <c r="B5168" s="13" t="s">
        <v>61</v>
      </c>
      <c r="C5168" s="14" t="s">
        <v>71</v>
      </c>
      <c r="D5168" s="14" t="str">
        <f>VLOOKUP(C5168,'State Key'!$A$2:$B$210,2,False)</f>
        <v>Uttar Pradesh</v>
      </c>
      <c r="E5168" s="15">
        <v>1265.0</v>
      </c>
      <c r="F5168" s="16">
        <v>204.204</v>
      </c>
      <c r="G5168" s="16">
        <v>0.0</v>
      </c>
      <c r="H5168" s="16">
        <v>0.0</v>
      </c>
      <c r="I5168" s="16">
        <v>0.0</v>
      </c>
      <c r="J5168" s="16">
        <v>0.0</v>
      </c>
      <c r="K5168" s="16">
        <v>0.0</v>
      </c>
      <c r="L5168" s="16">
        <v>204.204</v>
      </c>
      <c r="M5168" s="16">
        <v>244.476</v>
      </c>
      <c r="N5168" s="16">
        <v>401.201</v>
      </c>
      <c r="O5168" s="24">
        <v>49.2</v>
      </c>
      <c r="P5168" s="18">
        <f t="shared" si="1"/>
        <v>204.204</v>
      </c>
    </row>
    <row r="5169" ht="15.75" customHeight="1">
      <c r="A5169" s="19" t="s">
        <v>254</v>
      </c>
      <c r="B5169" s="19" t="s">
        <v>61</v>
      </c>
      <c r="C5169" s="20" t="s">
        <v>72</v>
      </c>
      <c r="D5169" s="14" t="str">
        <f>VLOOKUP(C5169,'State Key'!$A$2:$B$210,2,False)</f>
        <v>Haryana</v>
      </c>
      <c r="E5169" s="21">
        <v>1500.0</v>
      </c>
      <c r="F5169" s="22">
        <v>338.91</v>
      </c>
      <c r="G5169" s="22">
        <v>0.0</v>
      </c>
      <c r="H5169" s="22">
        <v>0.0</v>
      </c>
      <c r="I5169" s="22">
        <v>0.0</v>
      </c>
      <c r="J5169" s="22">
        <v>0.0</v>
      </c>
      <c r="K5169" s="22">
        <v>0.0</v>
      </c>
      <c r="L5169" s="22">
        <v>338.91</v>
      </c>
      <c r="M5169" s="22">
        <v>487.296</v>
      </c>
      <c r="N5169" s="22">
        <v>608.54</v>
      </c>
      <c r="O5169" s="24">
        <v>37.5</v>
      </c>
      <c r="P5169" s="18">
        <f t="shared" si="1"/>
        <v>338.91</v>
      </c>
    </row>
    <row r="5170" ht="15.75" customHeight="1">
      <c r="A5170" s="13" t="s">
        <v>254</v>
      </c>
      <c r="B5170" s="13" t="s">
        <v>61</v>
      </c>
      <c r="C5170" s="14" t="s">
        <v>226</v>
      </c>
      <c r="D5170" s="14" t="str">
        <f>VLOOKUP(C5170,'State Key'!$A$2:$B$210,2,False)</f>
        <v>Uttar Pradesh</v>
      </c>
      <c r="E5170" s="15">
        <v>1320.0</v>
      </c>
      <c r="F5170" s="16">
        <v>167.677</v>
      </c>
      <c r="G5170" s="16">
        <v>0.0</v>
      </c>
      <c r="H5170" s="16">
        <v>0.0</v>
      </c>
      <c r="I5170" s="16">
        <v>0.0</v>
      </c>
      <c r="J5170" s="16">
        <v>0.0</v>
      </c>
      <c r="K5170" s="16">
        <v>0.0</v>
      </c>
      <c r="L5170" s="16">
        <v>167.677</v>
      </c>
      <c r="M5170" s="16">
        <v>152.85</v>
      </c>
      <c r="N5170" s="16">
        <v>440.96</v>
      </c>
      <c r="O5170" s="24">
        <v>86.5</v>
      </c>
      <c r="P5170" s="18">
        <f t="shared" si="1"/>
        <v>167.677</v>
      </c>
    </row>
    <row r="5171" ht="15.75" customHeight="1">
      <c r="A5171" s="19" t="s">
        <v>254</v>
      </c>
      <c r="B5171" s="19" t="s">
        <v>61</v>
      </c>
      <c r="C5171" s="20" t="s">
        <v>73</v>
      </c>
      <c r="D5171" s="14" t="str">
        <f>VLOOKUP(C5171,'State Key'!$A$2:$B$210,2,False)</f>
        <v>Rajasthan</v>
      </c>
      <c r="E5171" s="21">
        <v>1200.0</v>
      </c>
      <c r="F5171" s="22">
        <v>15.73634</v>
      </c>
      <c r="G5171" s="22">
        <v>0.0</v>
      </c>
      <c r="H5171" s="22">
        <v>264.68669</v>
      </c>
      <c r="I5171" s="22">
        <v>0.0</v>
      </c>
      <c r="J5171" s="22">
        <v>0.0</v>
      </c>
      <c r="K5171" s="22">
        <v>0.0</v>
      </c>
      <c r="L5171" s="22">
        <v>280.42303</v>
      </c>
      <c r="M5171" s="22">
        <v>226.075</v>
      </c>
      <c r="N5171" s="22">
        <v>380.69</v>
      </c>
      <c r="O5171" s="24">
        <v>50.5</v>
      </c>
      <c r="P5171" s="18">
        <f t="shared" si="1"/>
        <v>280.42303</v>
      </c>
    </row>
    <row r="5172" ht="15.75" customHeight="1">
      <c r="A5172" s="13" t="s">
        <v>254</v>
      </c>
      <c r="B5172" s="13" t="s">
        <v>61</v>
      </c>
      <c r="C5172" s="14" t="s">
        <v>75</v>
      </c>
      <c r="D5172" s="14" t="str">
        <f>VLOOKUP(C5172,'State Key'!$A$2:$B$210,2,False)</f>
        <v>Uttar Pradesh</v>
      </c>
      <c r="E5172" s="15">
        <v>90.0</v>
      </c>
      <c r="F5172" s="16">
        <v>20.068</v>
      </c>
      <c r="G5172" s="16">
        <v>0.0</v>
      </c>
      <c r="H5172" s="16">
        <v>0.0</v>
      </c>
      <c r="I5172" s="16">
        <v>0.0</v>
      </c>
      <c r="J5172" s="16">
        <v>0.0</v>
      </c>
      <c r="K5172" s="16">
        <v>0.0</v>
      </c>
      <c r="L5172" s="16">
        <v>20.068</v>
      </c>
      <c r="M5172" s="16">
        <v>28.527</v>
      </c>
      <c r="N5172" s="16">
        <v>42.23</v>
      </c>
      <c r="O5172" s="24">
        <v>44.4</v>
      </c>
      <c r="P5172" s="18">
        <f t="shared" si="1"/>
        <v>20.068</v>
      </c>
    </row>
    <row r="5173" ht="15.75" customHeight="1">
      <c r="A5173" s="19" t="s">
        <v>254</v>
      </c>
      <c r="B5173" s="19" t="s">
        <v>61</v>
      </c>
      <c r="C5173" s="20" t="s">
        <v>246</v>
      </c>
      <c r="D5173" s="14" t="str">
        <f>VLOOKUP(C5173,'State Key'!$A$2:$B$210,2,False)</f>
        <v>Uttar Pradesh</v>
      </c>
      <c r="E5173" s="21">
        <v>660.0</v>
      </c>
      <c r="F5173" s="22">
        <v>0.0</v>
      </c>
      <c r="G5173" s="22">
        <v>0.0</v>
      </c>
      <c r="H5173" s="22">
        <v>258.035</v>
      </c>
      <c r="I5173" s="22">
        <v>0.0</v>
      </c>
      <c r="J5173" s="22">
        <v>0.0</v>
      </c>
      <c r="K5173" s="22">
        <v>0.0</v>
      </c>
      <c r="L5173" s="22">
        <v>258.035</v>
      </c>
      <c r="M5173" s="22">
        <v>243.54</v>
      </c>
      <c r="N5173" s="22">
        <v>203.93</v>
      </c>
      <c r="O5173" s="24">
        <v>25.1</v>
      </c>
      <c r="P5173" s="18">
        <f t="shared" si="1"/>
        <v>258.035</v>
      </c>
    </row>
    <row r="5174" ht="15.75" customHeight="1">
      <c r="A5174" s="13" t="s">
        <v>254</v>
      </c>
      <c r="B5174" s="13" t="s">
        <v>61</v>
      </c>
      <c r="C5174" s="14" t="s">
        <v>76</v>
      </c>
      <c r="D5174" s="14" t="str">
        <f>VLOOKUP(C5174,'State Key'!$A$2:$B$210,2,False)</f>
        <v>Rajasthan</v>
      </c>
      <c r="E5174" s="15">
        <v>1240.0</v>
      </c>
      <c r="F5174" s="16">
        <v>469.297</v>
      </c>
      <c r="G5174" s="16">
        <v>0.0</v>
      </c>
      <c r="H5174" s="16">
        <v>0.0</v>
      </c>
      <c r="I5174" s="16">
        <v>0.0</v>
      </c>
      <c r="J5174" s="16">
        <v>0.0</v>
      </c>
      <c r="K5174" s="16">
        <v>25.163</v>
      </c>
      <c r="L5174" s="16">
        <v>494.46</v>
      </c>
      <c r="M5174" s="16">
        <v>496.547</v>
      </c>
      <c r="N5174" s="16">
        <v>376.16</v>
      </c>
      <c r="O5174" s="24">
        <v>22.7</v>
      </c>
      <c r="P5174" s="18">
        <f t="shared" si="1"/>
        <v>494.46</v>
      </c>
    </row>
    <row r="5175" ht="15.75" customHeight="1">
      <c r="A5175" s="19" t="s">
        <v>254</v>
      </c>
      <c r="B5175" s="19" t="s">
        <v>61</v>
      </c>
      <c r="C5175" s="20" t="s">
        <v>77</v>
      </c>
      <c r="D5175" s="14" t="str">
        <f>VLOOKUP(C5175,'State Key'!$A$2:$B$210,2,False)</f>
        <v>Uttar Pradesh</v>
      </c>
      <c r="E5175" s="21">
        <v>90.0</v>
      </c>
      <c r="F5175" s="22">
        <v>24.422</v>
      </c>
      <c r="G5175" s="22">
        <v>0.0</v>
      </c>
      <c r="H5175" s="22">
        <v>0.0</v>
      </c>
      <c r="I5175" s="22">
        <v>0.0</v>
      </c>
      <c r="J5175" s="22">
        <v>0.0</v>
      </c>
      <c r="K5175" s="22">
        <v>0.0</v>
      </c>
      <c r="L5175" s="22">
        <v>24.422</v>
      </c>
      <c r="M5175" s="22">
        <v>24.805</v>
      </c>
      <c r="N5175" s="22">
        <v>48.52</v>
      </c>
      <c r="O5175" s="24">
        <v>58.7</v>
      </c>
      <c r="P5175" s="18">
        <f t="shared" si="1"/>
        <v>24.422</v>
      </c>
    </row>
    <row r="5176" ht="15.75" customHeight="1">
      <c r="A5176" s="13" t="s">
        <v>254</v>
      </c>
      <c r="B5176" s="13" t="s">
        <v>61</v>
      </c>
      <c r="C5176" s="14" t="s">
        <v>78</v>
      </c>
      <c r="D5176" s="14" t="str">
        <f>VLOOKUP(C5176,'State Key'!$A$2:$B$210,2,False)</f>
        <v>Uttar Pradesh</v>
      </c>
      <c r="E5176" s="15">
        <v>1980.0</v>
      </c>
      <c r="F5176" s="16">
        <v>695.76</v>
      </c>
      <c r="G5176" s="16">
        <v>0.0</v>
      </c>
      <c r="H5176" s="16">
        <v>0.0</v>
      </c>
      <c r="I5176" s="16">
        <v>0.0</v>
      </c>
      <c r="J5176" s="16">
        <v>0.0</v>
      </c>
      <c r="K5176" s="16">
        <v>0.0</v>
      </c>
      <c r="L5176" s="16">
        <v>695.76</v>
      </c>
      <c r="M5176" s="16">
        <v>688.032</v>
      </c>
      <c r="N5176" s="16">
        <v>399.4</v>
      </c>
      <c r="O5176" s="24">
        <v>17.4</v>
      </c>
      <c r="P5176" s="18">
        <f t="shared" si="1"/>
        <v>695.76</v>
      </c>
    </row>
    <row r="5177" ht="15.75" customHeight="1">
      <c r="A5177" s="19" t="s">
        <v>254</v>
      </c>
      <c r="B5177" s="19" t="s">
        <v>61</v>
      </c>
      <c r="C5177" s="20" t="s">
        <v>79</v>
      </c>
      <c r="D5177" s="14" t="str">
        <f>VLOOKUP(C5177,'State Key'!$A$2:$B$210,2,False)</f>
        <v>Haryana</v>
      </c>
      <c r="E5177" s="21">
        <v>1320.0</v>
      </c>
      <c r="F5177" s="22">
        <v>308.491</v>
      </c>
      <c r="G5177" s="22">
        <v>0.0</v>
      </c>
      <c r="H5177" s="22">
        <v>0.0</v>
      </c>
      <c r="I5177" s="22">
        <v>0.0</v>
      </c>
      <c r="J5177" s="22">
        <v>0.0</v>
      </c>
      <c r="K5177" s="22">
        <v>0.0</v>
      </c>
      <c r="L5177" s="22">
        <v>308.491</v>
      </c>
      <c r="M5177" s="22">
        <v>399.814</v>
      </c>
      <c r="N5177" s="22">
        <v>294.69</v>
      </c>
      <c r="O5177" s="24">
        <v>22.1</v>
      </c>
      <c r="P5177" s="18">
        <f t="shared" si="1"/>
        <v>308.491</v>
      </c>
    </row>
    <row r="5178" ht="15.75" customHeight="1">
      <c r="A5178" s="13" t="s">
        <v>254</v>
      </c>
      <c r="B5178" s="13" t="s">
        <v>61</v>
      </c>
      <c r="C5178" s="14" t="s">
        <v>80</v>
      </c>
      <c r="D5178" s="14" t="str">
        <f>VLOOKUP(C5178,'State Key'!$A$2:$B$210,2,False)</f>
        <v>Uttar Pradesh</v>
      </c>
      <c r="E5178" s="15">
        <v>90.0</v>
      </c>
      <c r="F5178" s="16">
        <v>24.191</v>
      </c>
      <c r="G5178" s="16">
        <v>0.0</v>
      </c>
      <c r="H5178" s="16">
        <v>0.0</v>
      </c>
      <c r="I5178" s="16">
        <v>0.0</v>
      </c>
      <c r="J5178" s="16">
        <v>0.0</v>
      </c>
      <c r="K5178" s="16">
        <v>0.0</v>
      </c>
      <c r="L5178" s="16">
        <v>24.191</v>
      </c>
      <c r="M5178" s="16">
        <v>25.551</v>
      </c>
      <c r="N5178" s="16">
        <v>57.58</v>
      </c>
      <c r="O5178" s="24">
        <v>67.6</v>
      </c>
      <c r="P5178" s="18">
        <f t="shared" si="1"/>
        <v>24.191</v>
      </c>
    </row>
    <row r="5179" ht="15.75" customHeight="1">
      <c r="A5179" s="19" t="s">
        <v>254</v>
      </c>
      <c r="B5179" s="19" t="s">
        <v>61</v>
      </c>
      <c r="C5179" s="20" t="s">
        <v>81</v>
      </c>
      <c r="D5179" s="14" t="str">
        <f>VLOOKUP(C5179,'State Key'!$A$2:$B$210,2,False)</f>
        <v>Uttar Pradesh</v>
      </c>
      <c r="E5179" s="21">
        <v>1320.0</v>
      </c>
      <c r="F5179" s="22">
        <v>426.593</v>
      </c>
      <c r="G5179" s="22">
        <v>0.0</v>
      </c>
      <c r="H5179" s="22">
        <v>3.7948</v>
      </c>
      <c r="I5179" s="22">
        <v>0.0</v>
      </c>
      <c r="J5179" s="22">
        <v>0.0</v>
      </c>
      <c r="K5179" s="22">
        <v>0.0</v>
      </c>
      <c r="L5179" s="22">
        <v>430.3878</v>
      </c>
      <c r="M5179" s="22">
        <v>482.477</v>
      </c>
      <c r="N5179" s="22">
        <v>302.49</v>
      </c>
      <c r="O5179" s="24">
        <v>18.8</v>
      </c>
      <c r="P5179" s="18">
        <f t="shared" si="1"/>
        <v>430.3878</v>
      </c>
    </row>
    <row r="5180" ht="15.75" customHeight="1">
      <c r="A5180" s="13" t="s">
        <v>254</v>
      </c>
      <c r="B5180" s="13" t="s">
        <v>61</v>
      </c>
      <c r="C5180" s="14" t="s">
        <v>82</v>
      </c>
      <c r="D5180" s="14" t="str">
        <f>VLOOKUP(C5180,'State Key'!$A$2:$B$210,2,False)</f>
        <v>Uttar Pradesh</v>
      </c>
      <c r="E5180" s="15">
        <v>2320.0</v>
      </c>
      <c r="F5180" s="16">
        <v>418.013</v>
      </c>
      <c r="G5180" s="16">
        <v>0.0</v>
      </c>
      <c r="H5180" s="16">
        <v>0.0</v>
      </c>
      <c r="I5180" s="16">
        <v>0.0</v>
      </c>
      <c r="J5180" s="16">
        <v>0.0</v>
      </c>
      <c r="K5180" s="16">
        <v>0.0</v>
      </c>
      <c r="L5180" s="16">
        <v>418.013</v>
      </c>
      <c r="M5180" s="16">
        <v>609.837</v>
      </c>
      <c r="N5180" s="16">
        <v>268.68</v>
      </c>
      <c r="O5180" s="23">
        <v>13.2</v>
      </c>
      <c r="P5180" s="18">
        <f t="shared" si="1"/>
        <v>418.013</v>
      </c>
    </row>
    <row r="5181" ht="15.75" customHeight="1">
      <c r="A5181" s="19" t="s">
        <v>254</v>
      </c>
      <c r="B5181" s="19" t="s">
        <v>61</v>
      </c>
      <c r="C5181" s="20" t="s">
        <v>83</v>
      </c>
      <c r="D5181" s="14" t="str">
        <f>VLOOKUP(C5181,'State Key'!$A$2:$B$210,2,False)</f>
        <v>Haryana</v>
      </c>
      <c r="E5181" s="21">
        <v>710.0</v>
      </c>
      <c r="F5181" s="22">
        <v>230.143</v>
      </c>
      <c r="G5181" s="22">
        <v>0.0</v>
      </c>
      <c r="H5181" s="22">
        <v>0.0</v>
      </c>
      <c r="I5181" s="22">
        <v>0.0</v>
      </c>
      <c r="J5181" s="22">
        <v>0.0</v>
      </c>
      <c r="K5181" s="22">
        <v>0.0</v>
      </c>
      <c r="L5181" s="22">
        <v>230.143</v>
      </c>
      <c r="M5181" s="22">
        <v>266.715</v>
      </c>
      <c r="N5181" s="22">
        <v>362.401</v>
      </c>
      <c r="O5181" s="24">
        <v>40.8</v>
      </c>
      <c r="P5181" s="18">
        <f t="shared" si="1"/>
        <v>230.143</v>
      </c>
    </row>
    <row r="5182" ht="15.75" customHeight="1">
      <c r="A5182" s="13" t="s">
        <v>254</v>
      </c>
      <c r="B5182" s="13" t="s">
        <v>61</v>
      </c>
      <c r="C5182" s="14" t="s">
        <v>248</v>
      </c>
      <c r="D5182" s="14" t="str">
        <f>VLOOKUP(C5182,'State Key'!$A$2:$B$210,2,False)</f>
        <v>Uttar Pradesh</v>
      </c>
      <c r="E5182" s="15">
        <v>660.0</v>
      </c>
      <c r="F5182" s="16">
        <v>55.47245</v>
      </c>
      <c r="G5182" s="16">
        <v>0.0</v>
      </c>
      <c r="H5182" s="16">
        <v>0.0</v>
      </c>
      <c r="I5182" s="16">
        <v>0.0</v>
      </c>
      <c r="J5182" s="16">
        <v>0.0</v>
      </c>
      <c r="K5182" s="16">
        <v>0.0</v>
      </c>
      <c r="L5182" s="16">
        <v>55.47245</v>
      </c>
      <c r="M5182" s="16">
        <v>80.198</v>
      </c>
      <c r="N5182" s="16">
        <v>77.86</v>
      </c>
      <c r="O5182" s="24">
        <v>29.1</v>
      </c>
      <c r="P5182" s="18">
        <f t="shared" si="1"/>
        <v>55.47245</v>
      </c>
    </row>
    <row r="5183" ht="15.75" customHeight="1">
      <c r="A5183" s="19" t="s">
        <v>254</v>
      </c>
      <c r="B5183" s="19" t="s">
        <v>61</v>
      </c>
      <c r="C5183" s="20" t="s">
        <v>84</v>
      </c>
      <c r="D5183" s="14" t="str">
        <f>VLOOKUP(C5183,'State Key'!$A$2:$B$210,2,False)</f>
        <v>Uttar Pradesh</v>
      </c>
      <c r="E5183" s="21">
        <v>920.0</v>
      </c>
      <c r="F5183" s="22">
        <v>328.673</v>
      </c>
      <c r="G5183" s="22">
        <v>0.0</v>
      </c>
      <c r="H5183" s="22">
        <v>0.0</v>
      </c>
      <c r="I5183" s="22">
        <v>0.0</v>
      </c>
      <c r="J5183" s="22">
        <v>0.0</v>
      </c>
      <c r="K5183" s="22">
        <v>0.0</v>
      </c>
      <c r="L5183" s="22">
        <v>328.673</v>
      </c>
      <c r="M5183" s="22">
        <v>335.688</v>
      </c>
      <c r="N5183" s="22">
        <v>212.744</v>
      </c>
      <c r="O5183" s="24">
        <v>19.0</v>
      </c>
      <c r="P5183" s="18">
        <f t="shared" si="1"/>
        <v>328.673</v>
      </c>
    </row>
    <row r="5184" ht="15.75" customHeight="1">
      <c r="A5184" s="13" t="s">
        <v>254</v>
      </c>
      <c r="B5184" s="13" t="s">
        <v>61</v>
      </c>
      <c r="C5184" s="14" t="s">
        <v>85</v>
      </c>
      <c r="D5184" s="14" t="str">
        <f>VLOOKUP(C5184,'State Key'!$A$2:$B$210,2,False)</f>
        <v>Uttar Pradesh</v>
      </c>
      <c r="E5184" s="15">
        <v>1980.0</v>
      </c>
      <c r="F5184" s="16">
        <v>594.3593</v>
      </c>
      <c r="G5184" s="16">
        <v>0.0</v>
      </c>
      <c r="H5184" s="16">
        <v>0.0</v>
      </c>
      <c r="I5184" s="16">
        <v>0.0</v>
      </c>
      <c r="J5184" s="16">
        <v>0.0</v>
      </c>
      <c r="K5184" s="16">
        <v>0.0</v>
      </c>
      <c r="L5184" s="16">
        <v>594.3593</v>
      </c>
      <c r="M5184" s="16">
        <v>647.963</v>
      </c>
      <c r="N5184" s="16">
        <v>494.28</v>
      </c>
      <c r="O5184" s="24">
        <v>22.9</v>
      </c>
      <c r="P5184" s="18">
        <f t="shared" si="1"/>
        <v>594.3593</v>
      </c>
    </row>
    <row r="5185" ht="15.75" customHeight="1">
      <c r="A5185" s="19" t="s">
        <v>254</v>
      </c>
      <c r="B5185" s="19" t="s">
        <v>61</v>
      </c>
      <c r="C5185" s="20" t="s">
        <v>86</v>
      </c>
      <c r="D5185" s="14" t="str">
        <f>VLOOKUP(C5185,'State Key'!$A$2:$B$210,2,False)</f>
        <v>Haryana</v>
      </c>
      <c r="E5185" s="21">
        <v>1200.0</v>
      </c>
      <c r="F5185" s="22">
        <v>264.933</v>
      </c>
      <c r="G5185" s="22">
        <v>0.0</v>
      </c>
      <c r="H5185" s="22">
        <v>0.0</v>
      </c>
      <c r="I5185" s="22">
        <v>0.0</v>
      </c>
      <c r="J5185" s="22">
        <v>0.0</v>
      </c>
      <c r="K5185" s="22">
        <v>0.0</v>
      </c>
      <c r="L5185" s="22">
        <v>264.933</v>
      </c>
      <c r="M5185" s="22">
        <v>320.069</v>
      </c>
      <c r="N5185" s="22">
        <v>557.626</v>
      </c>
      <c r="O5185" s="24">
        <v>52.3</v>
      </c>
      <c r="P5185" s="18">
        <f t="shared" si="1"/>
        <v>264.933</v>
      </c>
    </row>
    <row r="5186" ht="15.75" customHeight="1">
      <c r="A5186" s="13" t="s">
        <v>254</v>
      </c>
      <c r="B5186" s="13" t="s">
        <v>61</v>
      </c>
      <c r="C5186" s="14" t="s">
        <v>87</v>
      </c>
      <c r="D5186" s="14" t="str">
        <f>VLOOKUP(C5186,'State Key'!$A$2:$B$210,2,False)</f>
        <v>Punjab</v>
      </c>
      <c r="E5186" s="15">
        <v>1400.0</v>
      </c>
      <c r="F5186" s="16">
        <v>553.413</v>
      </c>
      <c r="G5186" s="16">
        <v>0.0</v>
      </c>
      <c r="H5186" s="16">
        <v>0.0</v>
      </c>
      <c r="I5186" s="16">
        <v>0.0</v>
      </c>
      <c r="J5186" s="16">
        <v>0.0</v>
      </c>
      <c r="K5186" s="16">
        <v>0.0</v>
      </c>
      <c r="L5186" s="16">
        <v>553.413</v>
      </c>
      <c r="M5186" s="16">
        <v>514.1</v>
      </c>
      <c r="N5186" s="16">
        <v>254.48</v>
      </c>
      <c r="O5186" s="24">
        <v>14.9</v>
      </c>
      <c r="P5186" s="18">
        <f t="shared" si="1"/>
        <v>553.413</v>
      </c>
    </row>
    <row r="5187" ht="15.75" customHeight="1">
      <c r="A5187" s="19" t="s">
        <v>254</v>
      </c>
      <c r="B5187" s="19" t="s">
        <v>61</v>
      </c>
      <c r="C5187" s="20" t="s">
        <v>88</v>
      </c>
      <c r="D5187" s="14" t="str">
        <f>VLOOKUP(C5187,'State Key'!$A$2:$B$210,2,False)</f>
        <v>Uttar Pradesh</v>
      </c>
      <c r="E5187" s="21">
        <v>3000.0</v>
      </c>
      <c r="F5187" s="22">
        <v>1149.53</v>
      </c>
      <c r="G5187" s="22">
        <v>0.0</v>
      </c>
      <c r="H5187" s="22">
        <v>0.0</v>
      </c>
      <c r="I5187" s="22">
        <v>0.0</v>
      </c>
      <c r="J5187" s="22">
        <v>0.0</v>
      </c>
      <c r="K5187" s="22">
        <v>0.0</v>
      </c>
      <c r="L5187" s="22">
        <v>1149.53</v>
      </c>
      <c r="M5187" s="22">
        <v>1129.497</v>
      </c>
      <c r="N5187" s="22">
        <v>771.94</v>
      </c>
      <c r="O5187" s="24">
        <v>20.5</v>
      </c>
      <c r="P5187" s="18">
        <f t="shared" si="1"/>
        <v>1149.53</v>
      </c>
    </row>
    <row r="5188" ht="15.75" customHeight="1">
      <c r="A5188" s="13" t="s">
        <v>254</v>
      </c>
      <c r="B5188" s="13" t="s">
        <v>61</v>
      </c>
      <c r="C5188" s="14" t="s">
        <v>89</v>
      </c>
      <c r="D5188" s="14" t="str">
        <f>VLOOKUP(C5188,'State Key'!$A$2:$B$210,2,False)</f>
        <v>Punjab</v>
      </c>
      <c r="E5188" s="15">
        <v>840.0</v>
      </c>
      <c r="F5188" s="16">
        <v>91.49</v>
      </c>
      <c r="G5188" s="16">
        <v>0.0</v>
      </c>
      <c r="H5188" s="16">
        <v>24.096</v>
      </c>
      <c r="I5188" s="16">
        <v>0.0</v>
      </c>
      <c r="J5188" s="16">
        <v>0.0</v>
      </c>
      <c r="K5188" s="16">
        <v>0.0</v>
      </c>
      <c r="L5188" s="16">
        <v>115.586</v>
      </c>
      <c r="M5188" s="16">
        <v>145.294</v>
      </c>
      <c r="N5188" s="16">
        <v>300.09</v>
      </c>
      <c r="O5188" s="24">
        <v>62.0</v>
      </c>
      <c r="P5188" s="18">
        <f t="shared" si="1"/>
        <v>115.586</v>
      </c>
    </row>
    <row r="5189" ht="15.75" customHeight="1">
      <c r="A5189" s="19" t="s">
        <v>254</v>
      </c>
      <c r="B5189" s="19" t="s">
        <v>61</v>
      </c>
      <c r="C5189" s="20" t="s">
        <v>90</v>
      </c>
      <c r="D5189" s="14" t="str">
        <f>VLOOKUP(C5189,'State Key'!$A$2:$B$210,2,False)</f>
        <v>Uttar Pradesh</v>
      </c>
      <c r="E5189" s="21">
        <v>1200.0</v>
      </c>
      <c r="F5189" s="22">
        <v>268.333</v>
      </c>
      <c r="G5189" s="22">
        <v>0.0</v>
      </c>
      <c r="H5189" s="22">
        <v>0.0</v>
      </c>
      <c r="I5189" s="22">
        <v>0.0</v>
      </c>
      <c r="J5189" s="22">
        <v>0.0</v>
      </c>
      <c r="K5189" s="22">
        <v>0.0</v>
      </c>
      <c r="L5189" s="22">
        <v>268.333</v>
      </c>
      <c r="M5189" s="22">
        <v>377.424</v>
      </c>
      <c r="N5189" s="22">
        <v>260.39</v>
      </c>
      <c r="O5189" s="24">
        <v>20.7</v>
      </c>
      <c r="P5189" s="18">
        <f t="shared" si="1"/>
        <v>268.333</v>
      </c>
    </row>
    <row r="5190" ht="15.75" customHeight="1">
      <c r="A5190" s="13" t="s">
        <v>254</v>
      </c>
      <c r="B5190" s="13" t="s">
        <v>61</v>
      </c>
      <c r="C5190" s="14" t="s">
        <v>219</v>
      </c>
      <c r="D5190" s="14" t="str">
        <f>VLOOKUP(C5190,'State Key'!$A$2:$B$210,2,False)</f>
        <v>Rajasthan</v>
      </c>
      <c r="E5190" s="15">
        <v>300.0</v>
      </c>
      <c r="F5190" s="16">
        <v>0.0</v>
      </c>
      <c r="G5190" s="16">
        <v>0.0</v>
      </c>
      <c r="H5190" s="16">
        <v>0.0</v>
      </c>
      <c r="I5190" s="16">
        <v>0.0</v>
      </c>
      <c r="J5190" s="16">
        <v>48.43</v>
      </c>
      <c r="K5190" s="16">
        <v>0.0</v>
      </c>
      <c r="L5190" s="16">
        <v>48.43</v>
      </c>
      <c r="M5190" s="16">
        <v>48.43</v>
      </c>
      <c r="N5190" s="16">
        <v>0.0</v>
      </c>
      <c r="O5190" s="17">
        <v>0.0</v>
      </c>
      <c r="P5190" s="18">
        <f t="shared" si="1"/>
        <v>48.43</v>
      </c>
    </row>
    <row r="5191" ht="15.75" customHeight="1">
      <c r="A5191" s="19" t="s">
        <v>254</v>
      </c>
      <c r="B5191" s="19" t="s">
        <v>61</v>
      </c>
      <c r="C5191" s="20" t="s">
        <v>91</v>
      </c>
      <c r="D5191" s="14" t="str">
        <f>VLOOKUP(C5191,'State Key'!$A$2:$B$210,2,False)</f>
        <v>Uttar Pradesh</v>
      </c>
      <c r="E5191" s="21">
        <v>2000.0</v>
      </c>
      <c r="F5191" s="22">
        <v>772.23</v>
      </c>
      <c r="G5191" s="22">
        <v>0.0</v>
      </c>
      <c r="H5191" s="22">
        <v>0.0</v>
      </c>
      <c r="I5191" s="22">
        <v>0.0</v>
      </c>
      <c r="J5191" s="22">
        <v>0.0</v>
      </c>
      <c r="K5191" s="22">
        <v>0.0</v>
      </c>
      <c r="L5191" s="22">
        <v>772.23</v>
      </c>
      <c r="M5191" s="22">
        <v>656.769</v>
      </c>
      <c r="N5191" s="22">
        <v>496.8</v>
      </c>
      <c r="O5191" s="24">
        <v>22.7</v>
      </c>
      <c r="P5191" s="18">
        <f t="shared" si="1"/>
        <v>772.23</v>
      </c>
    </row>
    <row r="5192" ht="15.75" customHeight="1">
      <c r="A5192" s="13" t="s">
        <v>254</v>
      </c>
      <c r="B5192" s="13" t="s">
        <v>61</v>
      </c>
      <c r="C5192" s="14" t="s">
        <v>92</v>
      </c>
      <c r="D5192" s="14" t="str">
        <f>VLOOKUP(C5192,'State Key'!$A$2:$B$210,2,False)</f>
        <v>Rajasthan</v>
      </c>
      <c r="E5192" s="15">
        <v>1320.0</v>
      </c>
      <c r="F5192" s="16">
        <v>11.7674</v>
      </c>
      <c r="G5192" s="16">
        <v>0.0</v>
      </c>
      <c r="H5192" s="16">
        <v>290.6894</v>
      </c>
      <c r="I5192" s="16">
        <v>0.0</v>
      </c>
      <c r="J5192" s="16">
        <v>0.0</v>
      </c>
      <c r="K5192" s="16">
        <v>0.0</v>
      </c>
      <c r="L5192" s="16">
        <v>302.4568</v>
      </c>
      <c r="M5192" s="16">
        <v>262.986</v>
      </c>
      <c r="N5192" s="16">
        <v>618.81</v>
      </c>
      <c r="O5192" s="24">
        <v>70.6</v>
      </c>
      <c r="P5192" s="18">
        <f t="shared" si="1"/>
        <v>302.4568</v>
      </c>
    </row>
    <row r="5193" ht="15.75" customHeight="1">
      <c r="A5193" s="19" t="s">
        <v>254</v>
      </c>
      <c r="B5193" s="19" t="s">
        <v>61</v>
      </c>
      <c r="C5193" s="20" t="s">
        <v>93</v>
      </c>
      <c r="D5193" s="14" t="str">
        <f>VLOOKUP(C5193,'State Key'!$A$2:$B$210,2,False)</f>
        <v>Rajasthan</v>
      </c>
      <c r="E5193" s="21">
        <v>1500.0</v>
      </c>
      <c r="F5193" s="22">
        <v>204.676</v>
      </c>
      <c r="G5193" s="22">
        <v>0.0</v>
      </c>
      <c r="H5193" s="22">
        <v>0.0</v>
      </c>
      <c r="I5193" s="22">
        <v>0.0</v>
      </c>
      <c r="J5193" s="22">
        <v>0.0</v>
      </c>
      <c r="K5193" s="22">
        <v>0.0</v>
      </c>
      <c r="L5193" s="22">
        <v>204.676</v>
      </c>
      <c r="M5193" s="22">
        <v>300.397</v>
      </c>
      <c r="N5193" s="22">
        <v>517.74</v>
      </c>
      <c r="O5193" s="24">
        <v>51.7</v>
      </c>
      <c r="P5193" s="18">
        <f t="shared" si="1"/>
        <v>204.676</v>
      </c>
    </row>
    <row r="5194" ht="15.75" customHeight="1">
      <c r="A5194" s="13" t="s">
        <v>254</v>
      </c>
      <c r="B5194" s="13" t="s">
        <v>61</v>
      </c>
      <c r="C5194" s="14" t="s">
        <v>94</v>
      </c>
      <c r="D5194" s="14" t="str">
        <f>VLOOKUP(C5194,'State Key'!$A$2:$B$210,2,False)</f>
        <v>Punjab</v>
      </c>
      <c r="E5194" s="15">
        <v>1980.0</v>
      </c>
      <c r="F5194" s="16">
        <v>562.39176</v>
      </c>
      <c r="G5194" s="16">
        <v>0.0</v>
      </c>
      <c r="H5194" s="16">
        <v>0.0</v>
      </c>
      <c r="I5194" s="16">
        <v>0.0</v>
      </c>
      <c r="J5194" s="16">
        <v>0.0</v>
      </c>
      <c r="K5194" s="16">
        <v>0.0</v>
      </c>
      <c r="L5194" s="16">
        <v>562.39176</v>
      </c>
      <c r="M5194" s="16">
        <v>602.008</v>
      </c>
      <c r="N5194" s="16">
        <v>438.049</v>
      </c>
      <c r="O5194" s="24">
        <v>21.8</v>
      </c>
      <c r="P5194" s="18">
        <f t="shared" si="1"/>
        <v>562.39176</v>
      </c>
    </row>
    <row r="5195" ht="15.75" customHeight="1">
      <c r="A5195" s="19" t="s">
        <v>254</v>
      </c>
      <c r="B5195" s="19" t="s">
        <v>61</v>
      </c>
      <c r="C5195" s="20" t="s">
        <v>95</v>
      </c>
      <c r="D5195" s="14" t="str">
        <f>VLOOKUP(C5195,'State Key'!$A$2:$B$210,2,False)</f>
        <v>Uttar Pradesh</v>
      </c>
      <c r="E5195" s="21">
        <v>1760.0</v>
      </c>
      <c r="F5195" s="22">
        <v>303.38</v>
      </c>
      <c r="G5195" s="22">
        <v>0.0</v>
      </c>
      <c r="H5195" s="22">
        <v>216.63</v>
      </c>
      <c r="I5195" s="22">
        <v>0.0</v>
      </c>
      <c r="J5195" s="22">
        <v>0.0</v>
      </c>
      <c r="K5195" s="22">
        <v>0.0</v>
      </c>
      <c r="L5195" s="22">
        <v>520.01</v>
      </c>
      <c r="M5195" s="22">
        <v>563.823</v>
      </c>
      <c r="N5195" s="22">
        <v>635.58</v>
      </c>
      <c r="O5195" s="24">
        <v>33.8</v>
      </c>
      <c r="P5195" s="18">
        <f t="shared" si="1"/>
        <v>520.01</v>
      </c>
    </row>
    <row r="5196" ht="15.75" customHeight="1">
      <c r="A5196" s="13" t="s">
        <v>254</v>
      </c>
      <c r="B5196" s="13" t="s">
        <v>61</v>
      </c>
      <c r="C5196" s="14" t="s">
        <v>96</v>
      </c>
      <c r="D5196" s="14" t="str">
        <f>VLOOKUP(C5196,'State Key'!$A$2:$B$210,2,False)</f>
        <v>Uttar Pradesh</v>
      </c>
      <c r="E5196" s="15">
        <v>1550.0</v>
      </c>
      <c r="F5196" s="16">
        <v>399.1</v>
      </c>
      <c r="G5196" s="16">
        <v>0.0</v>
      </c>
      <c r="H5196" s="16">
        <v>88.29</v>
      </c>
      <c r="I5196" s="16">
        <v>0.0</v>
      </c>
      <c r="J5196" s="16">
        <v>0.0</v>
      </c>
      <c r="K5196" s="16">
        <v>89.48</v>
      </c>
      <c r="L5196" s="16">
        <v>576.87</v>
      </c>
      <c r="M5196" s="16">
        <v>599.551</v>
      </c>
      <c r="N5196" s="16">
        <v>426.63</v>
      </c>
      <c r="O5196" s="24">
        <v>21.3</v>
      </c>
      <c r="P5196" s="18">
        <f t="shared" si="1"/>
        <v>576.87</v>
      </c>
    </row>
    <row r="5197" ht="15.75" customHeight="1">
      <c r="A5197" s="19" t="s">
        <v>254</v>
      </c>
      <c r="B5197" s="19" t="s">
        <v>61</v>
      </c>
      <c r="C5197" s="20" t="s">
        <v>97</v>
      </c>
      <c r="D5197" s="14" t="str">
        <f>VLOOKUP(C5197,'State Key'!$A$2:$B$210,2,False)</f>
        <v>Uttar Pradesh</v>
      </c>
      <c r="E5197" s="21">
        <v>90.0</v>
      </c>
      <c r="F5197" s="22">
        <v>24.002</v>
      </c>
      <c r="G5197" s="22">
        <v>0.0</v>
      </c>
      <c r="H5197" s="22">
        <v>0.0</v>
      </c>
      <c r="I5197" s="22">
        <v>0.0</v>
      </c>
      <c r="J5197" s="22">
        <v>0.0</v>
      </c>
      <c r="K5197" s="22">
        <v>0.0</v>
      </c>
      <c r="L5197" s="22">
        <v>24.002</v>
      </c>
      <c r="M5197" s="22">
        <v>25.967</v>
      </c>
      <c r="N5197" s="22">
        <v>45.553</v>
      </c>
      <c r="O5197" s="24">
        <v>52.6</v>
      </c>
      <c r="P5197" s="18">
        <f t="shared" si="1"/>
        <v>24.002</v>
      </c>
    </row>
    <row r="5198" ht="15.75" customHeight="1">
      <c r="A5198" s="13" t="s">
        <v>254</v>
      </c>
      <c r="B5198" s="13" t="s">
        <v>61</v>
      </c>
      <c r="C5198" s="14" t="s">
        <v>98</v>
      </c>
      <c r="D5198" s="14" t="str">
        <f>VLOOKUP(C5198,'State Key'!$A$2:$B$210,2,False)</f>
        <v>Haryana</v>
      </c>
      <c r="E5198" s="15">
        <v>600.0</v>
      </c>
      <c r="F5198" s="16">
        <v>214.728</v>
      </c>
      <c r="G5198" s="16">
        <v>0.0</v>
      </c>
      <c r="H5198" s="16">
        <v>0.0</v>
      </c>
      <c r="I5198" s="16">
        <v>0.0</v>
      </c>
      <c r="J5198" s="16">
        <v>0.0</v>
      </c>
      <c r="K5198" s="16">
        <v>0.0</v>
      </c>
      <c r="L5198" s="16">
        <v>214.728</v>
      </c>
      <c r="M5198" s="16">
        <v>209.57</v>
      </c>
      <c r="N5198" s="16">
        <v>291.11</v>
      </c>
      <c r="O5198" s="24">
        <v>41.7</v>
      </c>
      <c r="P5198" s="18">
        <f t="shared" si="1"/>
        <v>214.728</v>
      </c>
    </row>
    <row r="5199" ht="15.75" customHeight="1">
      <c r="A5199" s="19" t="s">
        <v>254</v>
      </c>
      <c r="B5199" s="19" t="s">
        <v>99</v>
      </c>
      <c r="C5199" s="20" t="s">
        <v>210</v>
      </c>
      <c r="D5199" s="14" t="str">
        <f>VLOOKUP(C5199,'State Key'!$A$2:$B$210,2,False)</f>
        <v>Karnataka</v>
      </c>
      <c r="E5199" s="21">
        <v>1200.0</v>
      </c>
      <c r="F5199" s="22">
        <v>0.0</v>
      </c>
      <c r="G5199" s="22">
        <v>0.0</v>
      </c>
      <c r="H5199" s="22">
        <v>0.0</v>
      </c>
      <c r="I5199" s="22">
        <v>0.0</v>
      </c>
      <c r="J5199" s="22">
        <v>0.0</v>
      </c>
      <c r="K5199" s="22">
        <v>0.0</v>
      </c>
      <c r="L5199" s="22">
        <v>0.0</v>
      </c>
      <c r="M5199" s="22">
        <v>166.535</v>
      </c>
      <c r="N5199" s="22">
        <v>154.324</v>
      </c>
      <c r="O5199" s="24">
        <v>27.8</v>
      </c>
      <c r="P5199" s="18">
        <f t="shared" si="1"/>
        <v>0</v>
      </c>
    </row>
    <row r="5200" ht="15.75" customHeight="1">
      <c r="A5200" s="13" t="s">
        <v>254</v>
      </c>
      <c r="B5200" s="13" t="s">
        <v>99</v>
      </c>
      <c r="C5200" s="14" t="s">
        <v>100</v>
      </c>
      <c r="D5200" s="14" t="str">
        <f>VLOOKUP(C5200,'State Key'!$A$2:$B$210,2,False)</f>
        <v>Karnataka</v>
      </c>
      <c r="E5200" s="15">
        <v>1700.0</v>
      </c>
      <c r="F5200" s="16">
        <v>26.57093</v>
      </c>
      <c r="G5200" s="16">
        <v>7.87244</v>
      </c>
      <c r="H5200" s="16">
        <v>367.71189</v>
      </c>
      <c r="I5200" s="16">
        <v>0.0</v>
      </c>
      <c r="J5200" s="16">
        <v>0.0</v>
      </c>
      <c r="K5200" s="16">
        <v>0.0</v>
      </c>
      <c r="L5200" s="16">
        <v>402.15526</v>
      </c>
      <c r="M5200" s="16">
        <v>375.252</v>
      </c>
      <c r="N5200" s="16">
        <v>337.2802</v>
      </c>
      <c r="O5200" s="24">
        <v>27.0</v>
      </c>
      <c r="P5200" s="18">
        <f t="shared" si="1"/>
        <v>402.15526</v>
      </c>
    </row>
    <row r="5201" ht="15.75" customHeight="1">
      <c r="A5201" s="19" t="s">
        <v>254</v>
      </c>
      <c r="B5201" s="19" t="s">
        <v>99</v>
      </c>
      <c r="C5201" s="20" t="s">
        <v>101</v>
      </c>
      <c r="D5201" s="14" t="str">
        <f>VLOOKUP(C5201,'State Key'!$A$2:$B$210,2,False)</f>
        <v>Telangana</v>
      </c>
      <c r="E5201" s="21">
        <v>1080.0</v>
      </c>
      <c r="F5201" s="22">
        <v>0.0</v>
      </c>
      <c r="G5201" s="22">
        <v>300.213</v>
      </c>
      <c r="H5201" s="22">
        <v>0.0</v>
      </c>
      <c r="I5201" s="22">
        <v>0.0</v>
      </c>
      <c r="J5201" s="22">
        <v>0.0</v>
      </c>
      <c r="K5201" s="22">
        <v>0.0</v>
      </c>
      <c r="L5201" s="22">
        <v>300.213</v>
      </c>
      <c r="M5201" s="22">
        <v>380.388</v>
      </c>
      <c r="N5201" s="22">
        <v>107.472</v>
      </c>
      <c r="O5201" s="23">
        <v>8.5</v>
      </c>
      <c r="P5201" s="18">
        <f t="shared" si="1"/>
        <v>300.213</v>
      </c>
    </row>
    <row r="5202" ht="15.75" customHeight="1">
      <c r="A5202" s="13" t="s">
        <v>254</v>
      </c>
      <c r="B5202" s="13" t="s">
        <v>99</v>
      </c>
      <c r="C5202" s="14" t="s">
        <v>102</v>
      </c>
      <c r="D5202" s="14" t="str">
        <f>VLOOKUP(C5202,'State Key'!$A$2:$B$210,2,False)</f>
        <v>Andhra Pradesh</v>
      </c>
      <c r="E5202" s="15">
        <v>2400.0</v>
      </c>
      <c r="F5202" s="16">
        <v>670.40266</v>
      </c>
      <c r="G5202" s="16">
        <v>0.0</v>
      </c>
      <c r="H5202" s="16">
        <v>0.0</v>
      </c>
      <c r="I5202" s="16">
        <v>0.0</v>
      </c>
      <c r="J5202" s="16">
        <v>0.0</v>
      </c>
      <c r="K5202" s="16">
        <v>0.0</v>
      </c>
      <c r="L5202" s="16">
        <v>670.40266</v>
      </c>
      <c r="M5202" s="16">
        <v>671.706</v>
      </c>
      <c r="N5202" s="16">
        <v>74.26</v>
      </c>
      <c r="O5202" s="17">
        <v>3.3</v>
      </c>
      <c r="P5202" s="18">
        <f t="shared" si="1"/>
        <v>670.40266</v>
      </c>
    </row>
    <row r="5203" ht="15.75" customHeight="1">
      <c r="A5203" s="19" t="s">
        <v>254</v>
      </c>
      <c r="B5203" s="19" t="s">
        <v>99</v>
      </c>
      <c r="C5203" s="20" t="s">
        <v>103</v>
      </c>
      <c r="D5203" s="14" t="str">
        <f>VLOOKUP(C5203,'State Key'!$A$2:$B$210,2,False)</f>
        <v>Andhra Pradesh</v>
      </c>
      <c r="E5203" s="21">
        <v>2560.0</v>
      </c>
      <c r="F5203" s="22">
        <v>753.766</v>
      </c>
      <c r="G5203" s="22">
        <v>109.008</v>
      </c>
      <c r="H5203" s="22">
        <v>0.0</v>
      </c>
      <c r="I5203" s="22">
        <v>0.0</v>
      </c>
      <c r="J5203" s="22">
        <v>0.0</v>
      </c>
      <c r="K5203" s="22">
        <v>0.0</v>
      </c>
      <c r="L5203" s="22">
        <v>862.774</v>
      </c>
      <c r="M5203" s="22">
        <v>925.302</v>
      </c>
      <c r="N5203" s="22">
        <v>451.82</v>
      </c>
      <c r="O5203" s="24">
        <v>14.6</v>
      </c>
      <c r="P5203" s="18">
        <f t="shared" si="1"/>
        <v>862.774</v>
      </c>
    </row>
    <row r="5204" ht="15.75" customHeight="1">
      <c r="A5204" s="13" t="s">
        <v>254</v>
      </c>
      <c r="B5204" s="13" t="s">
        <v>99</v>
      </c>
      <c r="C5204" s="14" t="s">
        <v>104</v>
      </c>
      <c r="D5204" s="14" t="str">
        <f>VLOOKUP(C5204,'State Key'!$A$2:$B$210,2,False)</f>
        <v>Tamil Nadu</v>
      </c>
      <c r="E5204" s="15">
        <v>1200.0</v>
      </c>
      <c r="F5204" s="16">
        <v>0.0</v>
      </c>
      <c r="G5204" s="16">
        <v>0.0</v>
      </c>
      <c r="H5204" s="16">
        <v>0.0</v>
      </c>
      <c r="I5204" s="16">
        <v>0.0</v>
      </c>
      <c r="J5204" s="16">
        <v>266.201</v>
      </c>
      <c r="K5204" s="16">
        <v>0.0</v>
      </c>
      <c r="L5204" s="16">
        <v>266.201</v>
      </c>
      <c r="M5204" s="16">
        <v>195.0</v>
      </c>
      <c r="N5204" s="16">
        <v>496.12</v>
      </c>
      <c r="O5204" s="24">
        <v>76.3</v>
      </c>
      <c r="P5204" s="18">
        <f t="shared" si="1"/>
        <v>266.201</v>
      </c>
    </row>
    <row r="5205" ht="15.75" customHeight="1">
      <c r="A5205" s="19" t="s">
        <v>254</v>
      </c>
      <c r="B5205" s="19" t="s">
        <v>99</v>
      </c>
      <c r="C5205" s="20" t="s">
        <v>105</v>
      </c>
      <c r="D5205" s="14" t="str">
        <f>VLOOKUP(C5205,'State Key'!$A$2:$B$210,2,False)</f>
        <v>Telangana</v>
      </c>
      <c r="E5205" s="21">
        <v>1100.0</v>
      </c>
      <c r="F5205" s="22">
        <v>0.0</v>
      </c>
      <c r="G5205" s="22">
        <v>153.41</v>
      </c>
      <c r="H5205" s="22">
        <v>183.018</v>
      </c>
      <c r="I5205" s="22">
        <v>0.0</v>
      </c>
      <c r="J5205" s="22">
        <v>0.0</v>
      </c>
      <c r="K5205" s="22">
        <v>0.0</v>
      </c>
      <c r="L5205" s="22">
        <v>336.428</v>
      </c>
      <c r="M5205" s="22">
        <v>368.057</v>
      </c>
      <c r="N5205" s="22">
        <v>199.881</v>
      </c>
      <c r="O5205" s="24">
        <v>16.3</v>
      </c>
      <c r="P5205" s="18">
        <f t="shared" si="1"/>
        <v>336.428</v>
      </c>
    </row>
    <row r="5206" ht="15.75" customHeight="1">
      <c r="A5206" s="13" t="s">
        <v>254</v>
      </c>
      <c r="B5206" s="13" t="s">
        <v>99</v>
      </c>
      <c r="C5206" s="14" t="s">
        <v>106</v>
      </c>
      <c r="D5206" s="14" t="str">
        <f>VLOOKUP(C5206,'State Key'!$A$2:$B$210,2,False)</f>
        <v>Telangana</v>
      </c>
      <c r="E5206" s="15">
        <v>1000.0</v>
      </c>
      <c r="F5206" s="16">
        <v>0.0</v>
      </c>
      <c r="G5206" s="16">
        <v>132.244</v>
      </c>
      <c r="H5206" s="16">
        <v>0.0</v>
      </c>
      <c r="I5206" s="16">
        <v>0.0</v>
      </c>
      <c r="J5206" s="16">
        <v>0.0</v>
      </c>
      <c r="K5206" s="16">
        <v>0.0</v>
      </c>
      <c r="L5206" s="16">
        <v>132.244</v>
      </c>
      <c r="M5206" s="16">
        <v>236.74</v>
      </c>
      <c r="N5206" s="16">
        <v>393.264</v>
      </c>
      <c r="O5206" s="24">
        <v>49.8</v>
      </c>
      <c r="P5206" s="18">
        <f t="shared" si="1"/>
        <v>132.244</v>
      </c>
    </row>
    <row r="5207" ht="15.75" customHeight="1">
      <c r="A5207" s="19" t="s">
        <v>254</v>
      </c>
      <c r="B5207" s="19" t="s">
        <v>99</v>
      </c>
      <c r="C5207" s="20" t="s">
        <v>107</v>
      </c>
      <c r="D5207" s="14" t="str">
        <f>VLOOKUP(C5207,'State Key'!$A$2:$B$210,2,False)</f>
        <v>Telangana</v>
      </c>
      <c r="E5207" s="21">
        <v>800.0</v>
      </c>
      <c r="F5207" s="22">
        <v>0.0</v>
      </c>
      <c r="G5207" s="22">
        <v>109.159</v>
      </c>
      <c r="H5207" s="22">
        <v>0.0</v>
      </c>
      <c r="I5207" s="22">
        <v>0.0</v>
      </c>
      <c r="J5207" s="22">
        <v>0.0</v>
      </c>
      <c r="K5207" s="22">
        <v>0.0</v>
      </c>
      <c r="L5207" s="22">
        <v>109.159</v>
      </c>
      <c r="M5207" s="22">
        <v>214.513</v>
      </c>
      <c r="N5207" s="22">
        <v>137.719</v>
      </c>
      <c r="O5207" s="24">
        <v>19.3</v>
      </c>
      <c r="P5207" s="18">
        <f t="shared" si="1"/>
        <v>109.159</v>
      </c>
    </row>
    <row r="5208" ht="15.75" customHeight="1">
      <c r="A5208" s="13" t="s">
        <v>254</v>
      </c>
      <c r="B5208" s="13" t="s">
        <v>99</v>
      </c>
      <c r="C5208" s="14" t="s">
        <v>108</v>
      </c>
      <c r="D5208" s="14" t="str">
        <f>VLOOKUP(C5208,'State Key'!$A$2:$B$210,2,False)</f>
        <v>Karnataka</v>
      </c>
      <c r="E5208" s="15">
        <v>2400.0</v>
      </c>
      <c r="F5208" s="16">
        <v>220.37</v>
      </c>
      <c r="G5208" s="16">
        <v>60.65</v>
      </c>
      <c r="H5208" s="16">
        <v>19.81</v>
      </c>
      <c r="I5208" s="16">
        <v>0.0</v>
      </c>
      <c r="J5208" s="16">
        <v>0.0</v>
      </c>
      <c r="K5208" s="16">
        <v>0.13</v>
      </c>
      <c r="L5208" s="16">
        <v>300.96</v>
      </c>
      <c r="M5208" s="16">
        <v>228.693</v>
      </c>
      <c r="N5208" s="16">
        <v>818.628</v>
      </c>
      <c r="O5208" s="24">
        <v>107.4</v>
      </c>
      <c r="P5208" s="18">
        <f t="shared" si="1"/>
        <v>300.96</v>
      </c>
    </row>
    <row r="5209" ht="15.75" customHeight="1">
      <c r="A5209" s="19" t="s">
        <v>254</v>
      </c>
      <c r="B5209" s="19" t="s">
        <v>99</v>
      </c>
      <c r="C5209" s="20" t="s">
        <v>109</v>
      </c>
      <c r="D5209" s="14" t="str">
        <f>VLOOKUP(C5209,'State Key'!$A$2:$B$210,2,False)</f>
        <v>Tamil Nadu</v>
      </c>
      <c r="E5209" s="21">
        <v>840.0</v>
      </c>
      <c r="F5209" s="22">
        <v>323.0262</v>
      </c>
      <c r="G5209" s="22">
        <v>0.0</v>
      </c>
      <c r="H5209" s="22">
        <v>0.0</v>
      </c>
      <c r="I5209" s="22">
        <v>0.0</v>
      </c>
      <c r="J5209" s="22">
        <v>0.0</v>
      </c>
      <c r="K5209" s="22">
        <v>0.0</v>
      </c>
      <c r="L5209" s="22">
        <v>323.0262</v>
      </c>
      <c r="M5209" s="22">
        <v>346.839</v>
      </c>
      <c r="N5209" s="22">
        <v>170.68</v>
      </c>
      <c r="O5209" s="24">
        <v>14.8</v>
      </c>
      <c r="P5209" s="18">
        <f t="shared" si="1"/>
        <v>323.0262</v>
      </c>
    </row>
    <row r="5210" ht="15.75" customHeight="1">
      <c r="A5210" s="13" t="s">
        <v>254</v>
      </c>
      <c r="B5210" s="13" t="s">
        <v>99</v>
      </c>
      <c r="C5210" s="14" t="s">
        <v>110</v>
      </c>
      <c r="D5210" s="14" t="str">
        <f>VLOOKUP(C5210,'State Key'!$A$2:$B$210,2,False)</f>
        <v>Tamil Nadu</v>
      </c>
      <c r="E5210" s="15">
        <v>600.0</v>
      </c>
      <c r="F5210" s="16">
        <v>200.82</v>
      </c>
      <c r="G5210" s="16">
        <v>0.0</v>
      </c>
      <c r="H5210" s="16">
        <v>0.0</v>
      </c>
      <c r="I5210" s="16">
        <v>0.0</v>
      </c>
      <c r="J5210" s="16">
        <v>49.15</v>
      </c>
      <c r="K5210" s="16">
        <v>0.0</v>
      </c>
      <c r="L5210" s="16">
        <v>249.97</v>
      </c>
      <c r="M5210" s="16">
        <v>240.104</v>
      </c>
      <c r="N5210" s="16">
        <v>161.37</v>
      </c>
      <c r="O5210" s="24">
        <v>20.2</v>
      </c>
      <c r="P5210" s="18">
        <f t="shared" si="1"/>
        <v>249.97</v>
      </c>
    </row>
    <row r="5211" ht="15.75" customHeight="1">
      <c r="A5211" s="19" t="s">
        <v>254</v>
      </c>
      <c r="B5211" s="19" t="s">
        <v>99</v>
      </c>
      <c r="C5211" s="20" t="s">
        <v>111</v>
      </c>
      <c r="D5211" s="14" t="str">
        <f>VLOOKUP(C5211,'State Key'!$A$2:$B$210,2,False)</f>
        <v>Tamil Nadu</v>
      </c>
      <c r="E5211" s="21">
        <v>1200.0</v>
      </c>
      <c r="F5211" s="22">
        <v>9.897</v>
      </c>
      <c r="G5211" s="22">
        <v>0.0</v>
      </c>
      <c r="H5211" s="22">
        <v>0.0</v>
      </c>
      <c r="I5211" s="22">
        <v>0.0</v>
      </c>
      <c r="J5211" s="22">
        <v>159.221</v>
      </c>
      <c r="K5211" s="22">
        <v>0.0</v>
      </c>
      <c r="L5211" s="22">
        <v>169.118</v>
      </c>
      <c r="M5211" s="22">
        <v>124.458</v>
      </c>
      <c r="N5211" s="22">
        <v>204.4</v>
      </c>
      <c r="O5211" s="24">
        <v>49.3</v>
      </c>
      <c r="P5211" s="18">
        <f t="shared" si="1"/>
        <v>169.118</v>
      </c>
    </row>
    <row r="5212" ht="15.75" customHeight="1">
      <c r="A5212" s="13" t="s">
        <v>254</v>
      </c>
      <c r="B5212" s="13" t="s">
        <v>99</v>
      </c>
      <c r="C5212" s="14" t="s">
        <v>112</v>
      </c>
      <c r="D5212" s="14" t="str">
        <f>VLOOKUP(C5212,'State Key'!$A$2:$B$210,2,False)</f>
        <v>Tamil Nadu</v>
      </c>
      <c r="E5212" s="15">
        <v>1830.0</v>
      </c>
      <c r="F5212" s="16">
        <v>700.308</v>
      </c>
      <c r="G5212" s="16">
        <v>0.0</v>
      </c>
      <c r="H5212" s="16">
        <v>0.0</v>
      </c>
      <c r="I5212" s="16">
        <v>0.0</v>
      </c>
      <c r="J5212" s="16">
        <v>30.0</v>
      </c>
      <c r="K5212" s="16">
        <v>0.0</v>
      </c>
      <c r="L5212" s="16">
        <v>730.308</v>
      </c>
      <c r="M5212" s="16">
        <v>748.203</v>
      </c>
      <c r="N5212" s="16">
        <v>258.451</v>
      </c>
      <c r="O5212" s="23">
        <v>10.4</v>
      </c>
      <c r="P5212" s="18">
        <f t="shared" si="1"/>
        <v>730.308</v>
      </c>
    </row>
    <row r="5213" ht="15.75" customHeight="1">
      <c r="A5213" s="19" t="s">
        <v>254</v>
      </c>
      <c r="B5213" s="19" t="s">
        <v>99</v>
      </c>
      <c r="C5213" s="20" t="s">
        <v>113</v>
      </c>
      <c r="D5213" s="14" t="str">
        <f>VLOOKUP(C5213,'State Key'!$A$2:$B$210,2,False)</f>
        <v>Tamil Nadu</v>
      </c>
      <c r="E5213" s="21">
        <v>1000.0</v>
      </c>
      <c r="F5213" s="22">
        <v>0.0</v>
      </c>
      <c r="G5213" s="22">
        <v>0.0</v>
      </c>
      <c r="H5213" s="22">
        <v>308.022</v>
      </c>
      <c r="I5213" s="22">
        <v>0.0</v>
      </c>
      <c r="J5213" s="22">
        <v>0.0</v>
      </c>
      <c r="K5213" s="22">
        <v>0.0</v>
      </c>
      <c r="L5213" s="22">
        <v>308.022</v>
      </c>
      <c r="M5213" s="22">
        <v>369.684</v>
      </c>
      <c r="N5213" s="22">
        <v>261.96</v>
      </c>
      <c r="O5213" s="24">
        <v>21.3</v>
      </c>
      <c r="P5213" s="18">
        <f t="shared" si="1"/>
        <v>308.022</v>
      </c>
    </row>
    <row r="5214" ht="15.75" customHeight="1">
      <c r="A5214" s="13" t="s">
        <v>254</v>
      </c>
      <c r="B5214" s="13" t="s">
        <v>99</v>
      </c>
      <c r="C5214" s="14" t="s">
        <v>228</v>
      </c>
      <c r="D5214" s="14" t="str">
        <f>VLOOKUP(C5214,'State Key'!$A$2:$B$210,2,False)</f>
        <v>Tamil Nadu</v>
      </c>
      <c r="E5214" s="15">
        <v>414.0</v>
      </c>
      <c r="F5214" s="16">
        <v>38.616</v>
      </c>
      <c r="G5214" s="16">
        <v>0.0</v>
      </c>
      <c r="H5214" s="16">
        <v>0.0</v>
      </c>
      <c r="I5214" s="16">
        <v>0.0</v>
      </c>
      <c r="J5214" s="16">
        <v>70.903</v>
      </c>
      <c r="K5214" s="16">
        <v>0.0</v>
      </c>
      <c r="L5214" s="16">
        <v>109.519</v>
      </c>
      <c r="M5214" s="16">
        <v>125.538</v>
      </c>
      <c r="N5214" s="16">
        <v>94.53</v>
      </c>
      <c r="O5214" s="24">
        <v>22.6</v>
      </c>
      <c r="P5214" s="18">
        <f t="shared" si="1"/>
        <v>109.519</v>
      </c>
    </row>
    <row r="5215" ht="15.75" customHeight="1">
      <c r="A5215" s="19" t="s">
        <v>254</v>
      </c>
      <c r="B5215" s="19" t="s">
        <v>99</v>
      </c>
      <c r="C5215" s="20" t="s">
        <v>114</v>
      </c>
      <c r="D5215" s="14" t="str">
        <f>VLOOKUP(C5215,'State Key'!$A$2:$B$210,2,False)</f>
        <v>Andhra Pradesh</v>
      </c>
      <c r="E5215" s="21">
        <v>1320.0</v>
      </c>
      <c r="F5215" s="22">
        <v>537.05</v>
      </c>
      <c r="G5215" s="22">
        <v>0.0</v>
      </c>
      <c r="H5215" s="22">
        <v>0.0</v>
      </c>
      <c r="I5215" s="22">
        <v>0.0</v>
      </c>
      <c r="J5215" s="22">
        <v>0.0</v>
      </c>
      <c r="K5215" s="22">
        <v>0.0</v>
      </c>
      <c r="L5215" s="22">
        <v>537.05</v>
      </c>
      <c r="M5215" s="22">
        <v>398.472</v>
      </c>
      <c r="N5215" s="22">
        <v>495.54</v>
      </c>
      <c r="O5215" s="24">
        <v>37.3</v>
      </c>
      <c r="P5215" s="18">
        <f t="shared" si="1"/>
        <v>537.05</v>
      </c>
    </row>
    <row r="5216" ht="15.75" customHeight="1">
      <c r="A5216" s="13" t="s">
        <v>254</v>
      </c>
      <c r="B5216" s="13" t="s">
        <v>99</v>
      </c>
      <c r="C5216" s="14" t="s">
        <v>115</v>
      </c>
      <c r="D5216" s="14" t="str">
        <f>VLOOKUP(C5216,'State Key'!$A$2:$B$210,2,False)</f>
        <v>Karnataka</v>
      </c>
      <c r="E5216" s="15">
        <v>1720.0</v>
      </c>
      <c r="F5216" s="16">
        <v>110.1657</v>
      </c>
      <c r="G5216" s="16">
        <v>65.786</v>
      </c>
      <c r="H5216" s="16">
        <v>0.0</v>
      </c>
      <c r="I5216" s="16">
        <v>0.0</v>
      </c>
      <c r="J5216" s="16">
        <v>0.0</v>
      </c>
      <c r="K5216" s="16">
        <v>0.0</v>
      </c>
      <c r="L5216" s="16">
        <v>175.9517</v>
      </c>
      <c r="M5216" s="16">
        <v>428.7092</v>
      </c>
      <c r="N5216" s="16">
        <v>421.58</v>
      </c>
      <c r="O5216" s="24">
        <v>29.5</v>
      </c>
      <c r="P5216" s="18">
        <f t="shared" si="1"/>
        <v>175.9517</v>
      </c>
    </row>
    <row r="5217" ht="15.75" customHeight="1">
      <c r="A5217" s="19" t="s">
        <v>254</v>
      </c>
      <c r="B5217" s="19" t="s">
        <v>99</v>
      </c>
      <c r="C5217" s="20" t="s">
        <v>116</v>
      </c>
      <c r="D5217" s="14" t="str">
        <f>VLOOKUP(C5217,'State Key'!$A$2:$B$210,2,False)</f>
        <v>Telangana</v>
      </c>
      <c r="E5217" s="21">
        <v>2600.0</v>
      </c>
      <c r="F5217" s="22">
        <v>0.0</v>
      </c>
      <c r="G5217" s="22">
        <v>664.73</v>
      </c>
      <c r="H5217" s="22">
        <v>0.0</v>
      </c>
      <c r="I5217" s="22">
        <v>0.0</v>
      </c>
      <c r="J5217" s="22">
        <v>0.0</v>
      </c>
      <c r="K5217" s="22">
        <v>0.0</v>
      </c>
      <c r="L5217" s="22">
        <v>664.73</v>
      </c>
      <c r="M5217" s="22">
        <v>645.619</v>
      </c>
      <c r="N5217" s="22">
        <v>770.89</v>
      </c>
      <c r="O5217" s="24">
        <v>35.8</v>
      </c>
      <c r="P5217" s="18">
        <f t="shared" si="1"/>
        <v>664.73</v>
      </c>
    </row>
    <row r="5218" ht="15.75" customHeight="1">
      <c r="A5218" s="13" t="s">
        <v>254</v>
      </c>
      <c r="B5218" s="13" t="s">
        <v>99</v>
      </c>
      <c r="C5218" s="14" t="s">
        <v>117</v>
      </c>
      <c r="D5218" s="14" t="str">
        <f>VLOOKUP(C5218,'State Key'!$A$2:$B$210,2,False)</f>
        <v>Telangana</v>
      </c>
      <c r="E5218" s="15">
        <v>62.5</v>
      </c>
      <c r="F5218" s="16">
        <v>0.0</v>
      </c>
      <c r="G5218" s="16">
        <v>0.0</v>
      </c>
      <c r="H5218" s="16">
        <v>0.0</v>
      </c>
      <c r="I5218" s="16">
        <v>0.0</v>
      </c>
      <c r="J5218" s="16">
        <v>0.0</v>
      </c>
      <c r="K5218" s="16">
        <v>0.0</v>
      </c>
      <c r="L5218" s="16">
        <v>0.0</v>
      </c>
      <c r="M5218" s="16">
        <v>0.0</v>
      </c>
      <c r="N5218" s="16">
        <v>3.72</v>
      </c>
      <c r="O5218" s="13" t="s">
        <v>58</v>
      </c>
      <c r="P5218" s="18">
        <f t="shared" si="1"/>
        <v>0</v>
      </c>
    </row>
    <row r="5219" ht="15.75" customHeight="1">
      <c r="A5219" s="19" t="s">
        <v>254</v>
      </c>
      <c r="B5219" s="19" t="s">
        <v>99</v>
      </c>
      <c r="C5219" s="20" t="s">
        <v>118</v>
      </c>
      <c r="D5219" s="14" t="str">
        <f>VLOOKUP(C5219,'State Key'!$A$2:$B$210,2,False)</f>
        <v>Andhra Pradesh</v>
      </c>
      <c r="E5219" s="21">
        <v>1650.0</v>
      </c>
      <c r="F5219" s="22">
        <v>476.026</v>
      </c>
      <c r="G5219" s="22">
        <v>189.29</v>
      </c>
      <c r="H5219" s="22">
        <v>0.0</v>
      </c>
      <c r="I5219" s="22">
        <v>0.0</v>
      </c>
      <c r="J5219" s="22">
        <v>0.0</v>
      </c>
      <c r="K5219" s="22">
        <v>0.0</v>
      </c>
      <c r="L5219" s="22">
        <v>665.316</v>
      </c>
      <c r="M5219" s="22">
        <v>564.773</v>
      </c>
      <c r="N5219" s="22">
        <v>281.95</v>
      </c>
      <c r="O5219" s="24">
        <v>15.0</v>
      </c>
      <c r="P5219" s="18">
        <f t="shared" si="1"/>
        <v>665.316</v>
      </c>
    </row>
    <row r="5220" ht="15.75" customHeight="1">
      <c r="A5220" s="13" t="s">
        <v>254</v>
      </c>
      <c r="B5220" s="13" t="s">
        <v>99</v>
      </c>
      <c r="C5220" s="14" t="s">
        <v>119</v>
      </c>
      <c r="D5220" s="14" t="str">
        <f>VLOOKUP(C5220,'State Key'!$A$2:$B$210,2,False)</f>
        <v>Andhra Pradesh</v>
      </c>
      <c r="E5220" s="15">
        <v>1320.0</v>
      </c>
      <c r="F5220" s="16">
        <v>459.188</v>
      </c>
      <c r="G5220" s="16">
        <v>0.0</v>
      </c>
      <c r="H5220" s="16">
        <v>0.0</v>
      </c>
      <c r="I5220" s="16">
        <v>0.0</v>
      </c>
      <c r="J5220" s="16">
        <v>156.055</v>
      </c>
      <c r="K5220" s="16">
        <v>0.0</v>
      </c>
      <c r="L5220" s="16">
        <v>615.243</v>
      </c>
      <c r="M5220" s="16">
        <v>523.249</v>
      </c>
      <c r="N5220" s="16">
        <v>532.61</v>
      </c>
      <c r="O5220" s="24">
        <v>30.5</v>
      </c>
      <c r="P5220" s="18">
        <f t="shared" si="1"/>
        <v>615.243</v>
      </c>
    </row>
    <row r="5221" ht="15.75" customHeight="1">
      <c r="A5221" s="19" t="s">
        <v>254</v>
      </c>
      <c r="B5221" s="19" t="s">
        <v>99</v>
      </c>
      <c r="C5221" s="20" t="s">
        <v>120</v>
      </c>
      <c r="D5221" s="14" t="str">
        <f>VLOOKUP(C5221,'State Key'!$A$2:$B$210,2,False)</f>
        <v>Andhra Pradesh</v>
      </c>
      <c r="E5221" s="21">
        <v>2000.0</v>
      </c>
      <c r="F5221" s="22">
        <v>704.64</v>
      </c>
      <c r="G5221" s="22">
        <v>0.0</v>
      </c>
      <c r="H5221" s="22">
        <v>103.01</v>
      </c>
      <c r="I5221" s="22">
        <v>0.0</v>
      </c>
      <c r="J5221" s="22">
        <v>0.0</v>
      </c>
      <c r="K5221" s="22">
        <v>28.1</v>
      </c>
      <c r="L5221" s="22">
        <v>835.75</v>
      </c>
      <c r="M5221" s="22">
        <v>803.817</v>
      </c>
      <c r="N5221" s="22">
        <v>604.906</v>
      </c>
      <c r="O5221" s="24">
        <v>22.6</v>
      </c>
      <c r="P5221" s="18">
        <f t="shared" si="1"/>
        <v>835.75</v>
      </c>
    </row>
    <row r="5222" ht="15.75" customHeight="1">
      <c r="A5222" s="13" t="s">
        <v>254</v>
      </c>
      <c r="B5222" s="13" t="s">
        <v>99</v>
      </c>
      <c r="C5222" s="14" t="s">
        <v>121</v>
      </c>
      <c r="D5222" s="14" t="str">
        <f>VLOOKUP(C5222,'State Key'!$A$2:$B$210,2,False)</f>
        <v>Andhra Pradesh</v>
      </c>
      <c r="E5222" s="15">
        <v>600.0</v>
      </c>
      <c r="F5222" s="16">
        <v>0.481</v>
      </c>
      <c r="G5222" s="16">
        <v>0.0</v>
      </c>
      <c r="H5222" s="16">
        <v>0.0</v>
      </c>
      <c r="I5222" s="16">
        <v>0.0</v>
      </c>
      <c r="J5222" s="16">
        <v>83.679</v>
      </c>
      <c r="K5222" s="16">
        <v>0.0</v>
      </c>
      <c r="L5222" s="16">
        <v>84.16</v>
      </c>
      <c r="M5222" s="16">
        <v>116.3732</v>
      </c>
      <c r="N5222" s="16">
        <v>232.22</v>
      </c>
      <c r="O5222" s="24">
        <v>59.9</v>
      </c>
      <c r="P5222" s="18">
        <f t="shared" si="1"/>
        <v>84.16</v>
      </c>
    </row>
    <row r="5223" ht="15.75" customHeight="1">
      <c r="A5223" s="19" t="s">
        <v>254</v>
      </c>
      <c r="B5223" s="19" t="s">
        <v>99</v>
      </c>
      <c r="C5223" s="20" t="s">
        <v>122</v>
      </c>
      <c r="D5223" s="14" t="str">
        <f>VLOOKUP(C5223,'State Key'!$A$2:$B$210,2,False)</f>
        <v>Telangana</v>
      </c>
      <c r="E5223" s="21">
        <v>1200.0</v>
      </c>
      <c r="F5223" s="22">
        <v>0.0</v>
      </c>
      <c r="G5223" s="22">
        <v>285.421</v>
      </c>
      <c r="H5223" s="22">
        <v>0.0</v>
      </c>
      <c r="I5223" s="22">
        <v>0.0</v>
      </c>
      <c r="J5223" s="22">
        <v>0.0</v>
      </c>
      <c r="K5223" s="22">
        <v>0.0</v>
      </c>
      <c r="L5223" s="22">
        <v>285.421</v>
      </c>
      <c r="M5223" s="22">
        <v>471.466</v>
      </c>
      <c r="N5223" s="22">
        <v>70.66</v>
      </c>
      <c r="O5223" s="17">
        <v>4.5</v>
      </c>
      <c r="P5223" s="18">
        <f t="shared" si="1"/>
        <v>285.421</v>
      </c>
    </row>
    <row r="5224" ht="15.75" customHeight="1">
      <c r="A5224" s="13" t="s">
        <v>254</v>
      </c>
      <c r="B5224" s="13" t="s">
        <v>99</v>
      </c>
      <c r="C5224" s="14" t="s">
        <v>243</v>
      </c>
      <c r="D5224" s="14" t="str">
        <f>VLOOKUP(C5224,'State Key'!$A$2:$B$210,2,False)</f>
        <v>Tamil Nadu</v>
      </c>
      <c r="E5224" s="15">
        <v>63.5</v>
      </c>
      <c r="F5224" s="16">
        <v>0.0</v>
      </c>
      <c r="G5224" s="16">
        <v>0.0</v>
      </c>
      <c r="H5224" s="16">
        <v>0.0</v>
      </c>
      <c r="I5224" s="16">
        <v>0.0</v>
      </c>
      <c r="J5224" s="16">
        <v>0.0</v>
      </c>
      <c r="K5224" s="16">
        <v>0.0</v>
      </c>
      <c r="L5224" s="16">
        <v>0.0</v>
      </c>
      <c r="M5224" s="16">
        <v>0.0</v>
      </c>
      <c r="N5224" s="16">
        <v>0.0</v>
      </c>
      <c r="O5224" s="13" t="s">
        <v>58</v>
      </c>
      <c r="P5224" s="18">
        <f t="shared" si="1"/>
        <v>0</v>
      </c>
    </row>
    <row r="5225" ht="15.75" customHeight="1">
      <c r="A5225" s="19" t="s">
        <v>254</v>
      </c>
      <c r="B5225" s="19" t="s">
        <v>99</v>
      </c>
      <c r="C5225" s="20" t="s">
        <v>220</v>
      </c>
      <c r="D5225" s="14" t="str">
        <f>VLOOKUP(C5225,'State Key'!$A$2:$B$210,2,False)</f>
        <v>Telangana</v>
      </c>
      <c r="E5225" s="21">
        <v>1600.0</v>
      </c>
      <c r="F5225" s="22">
        <v>42.48</v>
      </c>
      <c r="G5225" s="22">
        <v>283.78</v>
      </c>
      <c r="H5225" s="22">
        <v>0.0</v>
      </c>
      <c r="I5225" s="22">
        <v>0.0</v>
      </c>
      <c r="J5225" s="22">
        <v>0.0</v>
      </c>
      <c r="K5225" s="22">
        <v>33.28</v>
      </c>
      <c r="L5225" s="22">
        <v>359.54</v>
      </c>
      <c r="M5225" s="22">
        <v>394.261</v>
      </c>
      <c r="N5225" s="22">
        <v>511.21</v>
      </c>
      <c r="O5225" s="24">
        <v>38.9</v>
      </c>
      <c r="P5225" s="18">
        <f t="shared" si="1"/>
        <v>359.54</v>
      </c>
    </row>
    <row r="5226" ht="15.75" customHeight="1">
      <c r="A5226" s="13" t="s">
        <v>254</v>
      </c>
      <c r="B5226" s="13" t="s">
        <v>99</v>
      </c>
      <c r="C5226" s="14" t="s">
        <v>123</v>
      </c>
      <c r="D5226" s="14" t="str">
        <f>VLOOKUP(C5226,'State Key'!$A$2:$B$210,2,False)</f>
        <v>Andhra Pradesh</v>
      </c>
      <c r="E5226" s="15">
        <v>1000.0</v>
      </c>
      <c r="F5226" s="16">
        <v>0.0</v>
      </c>
      <c r="G5226" s="16">
        <v>0.0</v>
      </c>
      <c r="H5226" s="16">
        <v>0.0</v>
      </c>
      <c r="I5226" s="16">
        <v>0.0</v>
      </c>
      <c r="J5226" s="16">
        <v>132.726</v>
      </c>
      <c r="K5226" s="16">
        <v>0.0</v>
      </c>
      <c r="L5226" s="16">
        <v>132.726</v>
      </c>
      <c r="M5226" s="16">
        <v>139.291</v>
      </c>
      <c r="N5226" s="16">
        <v>90.69</v>
      </c>
      <c r="O5226" s="24">
        <v>19.5</v>
      </c>
      <c r="P5226" s="18">
        <f t="shared" si="1"/>
        <v>132.726</v>
      </c>
    </row>
    <row r="5227" ht="15.75" customHeight="1">
      <c r="A5227" s="19" t="s">
        <v>254</v>
      </c>
      <c r="B5227" s="19" t="s">
        <v>99</v>
      </c>
      <c r="C5227" s="20" t="s">
        <v>124</v>
      </c>
      <c r="D5227" s="14" t="str">
        <f>VLOOKUP(C5227,'State Key'!$A$2:$B$210,2,False)</f>
        <v>Karnataka</v>
      </c>
      <c r="E5227" s="21">
        <v>260.0</v>
      </c>
      <c r="F5227" s="22">
        <v>0.0</v>
      </c>
      <c r="G5227" s="22">
        <v>0.0</v>
      </c>
      <c r="H5227" s="22">
        <v>0.0</v>
      </c>
      <c r="I5227" s="22">
        <v>0.0</v>
      </c>
      <c r="J5227" s="22">
        <v>28.62</v>
      </c>
      <c r="K5227" s="22">
        <v>0.0</v>
      </c>
      <c r="L5227" s="22">
        <v>28.62</v>
      </c>
      <c r="M5227" s="22">
        <v>28.62</v>
      </c>
      <c r="N5227" s="22">
        <v>0.0</v>
      </c>
      <c r="O5227" s="17">
        <v>0.0</v>
      </c>
      <c r="P5227" s="18">
        <f t="shared" si="1"/>
        <v>28.62</v>
      </c>
    </row>
    <row r="5228" ht="15.75" customHeight="1">
      <c r="A5228" s="13" t="s">
        <v>254</v>
      </c>
      <c r="B5228" s="13" t="s">
        <v>99</v>
      </c>
      <c r="C5228" s="14" t="s">
        <v>125</v>
      </c>
      <c r="D5228" s="14" t="str">
        <f>VLOOKUP(C5228,'State Key'!$A$2:$B$210,2,False)</f>
        <v>Karnataka</v>
      </c>
      <c r="E5228" s="15">
        <v>600.0</v>
      </c>
      <c r="F5228" s="16">
        <v>0.0</v>
      </c>
      <c r="G5228" s="16">
        <v>0.0</v>
      </c>
      <c r="H5228" s="16">
        <v>0.0</v>
      </c>
      <c r="I5228" s="16">
        <v>0.0</v>
      </c>
      <c r="J5228" s="16">
        <v>79.11</v>
      </c>
      <c r="K5228" s="16">
        <v>0.0</v>
      </c>
      <c r="L5228" s="16">
        <v>79.11</v>
      </c>
      <c r="M5228" s="16">
        <v>78.57</v>
      </c>
      <c r="N5228" s="16">
        <v>2.62</v>
      </c>
      <c r="O5228" s="17">
        <v>1.0</v>
      </c>
      <c r="P5228" s="18">
        <f t="shared" si="1"/>
        <v>79.11</v>
      </c>
    </row>
    <row r="5229" ht="15.75" customHeight="1">
      <c r="A5229" s="19" t="s">
        <v>254</v>
      </c>
      <c r="B5229" s="19" t="s">
        <v>99</v>
      </c>
      <c r="C5229" s="20" t="s">
        <v>126</v>
      </c>
      <c r="D5229" s="14" t="str">
        <f>VLOOKUP(C5229,'State Key'!$A$2:$B$210,2,False)</f>
        <v>Tamil Nadu</v>
      </c>
      <c r="E5229" s="21">
        <v>300.0</v>
      </c>
      <c r="F5229" s="22">
        <v>0.0</v>
      </c>
      <c r="G5229" s="22">
        <v>0.0</v>
      </c>
      <c r="H5229" s="22">
        <v>0.0</v>
      </c>
      <c r="I5229" s="22">
        <v>0.0</v>
      </c>
      <c r="J5229" s="22">
        <v>0.0</v>
      </c>
      <c r="K5229" s="22">
        <v>0.0</v>
      </c>
      <c r="L5229" s="22">
        <v>0.0</v>
      </c>
      <c r="M5229" s="22">
        <v>0.0</v>
      </c>
      <c r="N5229" s="22">
        <v>0.0</v>
      </c>
      <c r="O5229" s="19" t="s">
        <v>58</v>
      </c>
      <c r="P5229" s="18">
        <f t="shared" si="1"/>
        <v>0</v>
      </c>
    </row>
    <row r="5230" ht="15.75" customHeight="1">
      <c r="A5230" s="13" t="s">
        <v>254</v>
      </c>
      <c r="B5230" s="13" t="s">
        <v>99</v>
      </c>
      <c r="C5230" s="14" t="s">
        <v>127</v>
      </c>
      <c r="D5230" s="14" t="str">
        <f>VLOOKUP(C5230,'State Key'!$A$2:$B$210,2,False)</f>
        <v>Tamil Nadu</v>
      </c>
      <c r="E5230" s="15">
        <v>525.0</v>
      </c>
      <c r="F5230" s="16">
        <v>0.0</v>
      </c>
      <c r="G5230" s="16">
        <v>0.0</v>
      </c>
      <c r="H5230" s="16">
        <v>0.0</v>
      </c>
      <c r="I5230" s="16">
        <v>0.0</v>
      </c>
      <c r="J5230" s="16">
        <v>26.816</v>
      </c>
      <c r="K5230" s="16">
        <v>0.0</v>
      </c>
      <c r="L5230" s="16">
        <v>26.816</v>
      </c>
      <c r="M5230" s="16">
        <v>126.813</v>
      </c>
      <c r="N5230" s="16">
        <v>17.64</v>
      </c>
      <c r="O5230" s="17">
        <v>4.2</v>
      </c>
      <c r="P5230" s="18">
        <f t="shared" si="1"/>
        <v>26.816</v>
      </c>
    </row>
    <row r="5231" ht="15.75" customHeight="1">
      <c r="A5231" s="19" t="s">
        <v>254</v>
      </c>
      <c r="B5231" s="19" t="s">
        <v>99</v>
      </c>
      <c r="C5231" s="20" t="s">
        <v>128</v>
      </c>
      <c r="D5231" s="14" t="str">
        <f>VLOOKUP(C5231,'State Key'!$A$2:$B$210,2,False)</f>
        <v>Tamil Nadu</v>
      </c>
      <c r="E5231" s="21">
        <v>1050.0</v>
      </c>
      <c r="F5231" s="22">
        <v>263.846</v>
      </c>
      <c r="G5231" s="22">
        <v>0.0</v>
      </c>
      <c r="H5231" s="22">
        <v>0.0</v>
      </c>
      <c r="I5231" s="22">
        <v>0.0</v>
      </c>
      <c r="J5231" s="22">
        <v>0.0</v>
      </c>
      <c r="K5231" s="22">
        <v>0.0</v>
      </c>
      <c r="L5231" s="22">
        <v>263.846</v>
      </c>
      <c r="M5231" s="22">
        <v>326.669</v>
      </c>
      <c r="N5231" s="22">
        <v>317.629</v>
      </c>
      <c r="O5231" s="24">
        <v>29.2</v>
      </c>
      <c r="P5231" s="18">
        <f t="shared" si="1"/>
        <v>263.846</v>
      </c>
    </row>
    <row r="5232" ht="15.75" customHeight="1">
      <c r="A5232" s="13" t="s">
        <v>254</v>
      </c>
      <c r="B5232" s="13" t="s">
        <v>99</v>
      </c>
      <c r="C5232" s="14" t="s">
        <v>130</v>
      </c>
      <c r="D5232" s="14" t="str">
        <f>VLOOKUP(C5232,'State Key'!$A$2:$B$210,2,False)</f>
        <v>Tamil Nadu</v>
      </c>
      <c r="E5232" s="15">
        <v>1500.0</v>
      </c>
      <c r="F5232" s="16">
        <v>422.797</v>
      </c>
      <c r="G5232" s="16">
        <v>0.0</v>
      </c>
      <c r="H5232" s="16">
        <v>0.0</v>
      </c>
      <c r="I5232" s="16">
        <v>0.0</v>
      </c>
      <c r="J5232" s="16">
        <v>0.0</v>
      </c>
      <c r="K5232" s="16">
        <v>0.0</v>
      </c>
      <c r="L5232" s="16">
        <v>422.797</v>
      </c>
      <c r="M5232" s="16">
        <v>571.834</v>
      </c>
      <c r="N5232" s="16">
        <v>594.16</v>
      </c>
      <c r="O5232" s="24">
        <v>31.2</v>
      </c>
      <c r="P5232" s="18">
        <f t="shared" si="1"/>
        <v>422.797</v>
      </c>
    </row>
    <row r="5233" ht="15.75" customHeight="1">
      <c r="A5233" s="19" t="s">
        <v>254</v>
      </c>
      <c r="B5233" s="19" t="s">
        <v>99</v>
      </c>
      <c r="C5233" s="20" t="s">
        <v>131</v>
      </c>
      <c r="D5233" s="14" t="str">
        <f>VLOOKUP(C5233,'State Key'!$A$2:$B$210,2,False)</f>
        <v>Andhra Pradesh</v>
      </c>
      <c r="E5233" s="21">
        <v>1040.0</v>
      </c>
      <c r="F5233" s="22">
        <v>433.92369</v>
      </c>
      <c r="G5233" s="22">
        <v>0.0</v>
      </c>
      <c r="H5233" s="22">
        <v>0.0</v>
      </c>
      <c r="I5233" s="22">
        <v>0.0</v>
      </c>
      <c r="J5233" s="22">
        <v>0.0</v>
      </c>
      <c r="K5233" s="22">
        <v>0.0</v>
      </c>
      <c r="L5233" s="22">
        <v>433.92369</v>
      </c>
      <c r="M5233" s="22">
        <v>477.579</v>
      </c>
      <c r="N5233" s="22">
        <v>135.1107</v>
      </c>
      <c r="O5233" s="23">
        <v>8.5</v>
      </c>
      <c r="P5233" s="18">
        <f t="shared" si="1"/>
        <v>433.92369</v>
      </c>
    </row>
    <row r="5234" ht="15.75" customHeight="1">
      <c r="A5234" s="13" t="s">
        <v>254</v>
      </c>
      <c r="B5234" s="13" t="s">
        <v>99</v>
      </c>
      <c r="C5234" s="14" t="s">
        <v>249</v>
      </c>
      <c r="D5234" s="14" t="str">
        <f>VLOOKUP(C5234,'State Key'!$A$2:$B$210,2,False)</f>
        <v>Telangana</v>
      </c>
      <c r="E5234" s="15">
        <v>1600.0</v>
      </c>
      <c r="F5234" s="16">
        <v>0.0</v>
      </c>
      <c r="G5234" s="16">
        <v>362.847</v>
      </c>
      <c r="H5234" s="16">
        <v>0.0</v>
      </c>
      <c r="I5234" s="16">
        <v>0.0</v>
      </c>
      <c r="J5234" s="16">
        <v>0.0</v>
      </c>
      <c r="K5234" s="16">
        <v>0.0</v>
      </c>
      <c r="L5234" s="16">
        <v>362.847</v>
      </c>
      <c r="M5234" s="16">
        <v>343.437</v>
      </c>
      <c r="N5234" s="16">
        <v>368.216</v>
      </c>
      <c r="O5234" s="24">
        <v>32.2</v>
      </c>
      <c r="P5234" s="18">
        <f t="shared" si="1"/>
        <v>362.847</v>
      </c>
    </row>
    <row r="5235" ht="15.75" customHeight="1">
      <c r="A5235" s="19" t="s">
        <v>254</v>
      </c>
      <c r="B5235" s="19" t="s">
        <v>99</v>
      </c>
      <c r="C5235" s="20" t="s">
        <v>132</v>
      </c>
      <c r="D5235" s="14" t="str">
        <f>VLOOKUP(C5235,'State Key'!$A$2:$B$210,2,False)</f>
        <v>Karnataka</v>
      </c>
      <c r="E5235" s="21">
        <v>1600.0</v>
      </c>
      <c r="F5235" s="22">
        <v>0.0</v>
      </c>
      <c r="G5235" s="22">
        <v>358.56007</v>
      </c>
      <c r="H5235" s="22">
        <v>0.0</v>
      </c>
      <c r="I5235" s="22">
        <v>0.0</v>
      </c>
      <c r="J5235" s="22">
        <v>0.0</v>
      </c>
      <c r="K5235" s="22">
        <v>0.0</v>
      </c>
      <c r="L5235" s="22">
        <v>358.56007</v>
      </c>
      <c r="M5235" s="22">
        <v>227.072</v>
      </c>
      <c r="N5235" s="22">
        <v>391.936</v>
      </c>
      <c r="O5235" s="24">
        <v>51.8</v>
      </c>
      <c r="P5235" s="18">
        <f t="shared" si="1"/>
        <v>358.56007</v>
      </c>
    </row>
    <row r="5236" ht="15.75" customHeight="1">
      <c r="A5236" s="13" t="s">
        <v>254</v>
      </c>
      <c r="B5236" s="13" t="s">
        <v>133</v>
      </c>
      <c r="C5236" s="14" t="s">
        <v>211</v>
      </c>
      <c r="D5236" s="14" t="str">
        <f>VLOOKUP(C5236,'State Key'!$A$2:$B$210,2,False)</f>
        <v>Gujarat</v>
      </c>
      <c r="E5236" s="15">
        <v>2640.0</v>
      </c>
      <c r="F5236" s="16">
        <v>0.0</v>
      </c>
      <c r="G5236" s="16">
        <v>0.0</v>
      </c>
      <c r="H5236" s="16">
        <v>0.0</v>
      </c>
      <c r="I5236" s="16">
        <v>0.0</v>
      </c>
      <c r="J5236" s="16">
        <v>612.862</v>
      </c>
      <c r="K5236" s="16">
        <v>0.0</v>
      </c>
      <c r="L5236" s="16">
        <v>612.862</v>
      </c>
      <c r="M5236" s="16">
        <v>668.181</v>
      </c>
      <c r="N5236" s="16">
        <v>41.726</v>
      </c>
      <c r="O5236" s="17">
        <v>1.9</v>
      </c>
      <c r="P5236" s="18">
        <f t="shared" si="1"/>
        <v>612.862</v>
      </c>
    </row>
    <row r="5237" ht="15.75" customHeight="1">
      <c r="A5237" s="19" t="s">
        <v>254</v>
      </c>
      <c r="B5237" s="19" t="s">
        <v>133</v>
      </c>
      <c r="C5237" s="20" t="s">
        <v>212</v>
      </c>
      <c r="D5237" s="14" t="str">
        <f>VLOOKUP(C5237,'State Key'!$A$2:$B$210,2,False)</f>
        <v>Gujarat</v>
      </c>
      <c r="E5237" s="21">
        <v>1980.0</v>
      </c>
      <c r="F5237" s="22">
        <v>0.0</v>
      </c>
      <c r="G5237" s="22">
        <v>0.0</v>
      </c>
      <c r="H5237" s="22">
        <v>0.0</v>
      </c>
      <c r="I5237" s="22">
        <v>0.0</v>
      </c>
      <c r="J5237" s="22">
        <v>558.086</v>
      </c>
      <c r="K5237" s="22">
        <v>0.0</v>
      </c>
      <c r="L5237" s="22">
        <v>558.086</v>
      </c>
      <c r="M5237" s="22">
        <v>591.601</v>
      </c>
      <c r="N5237" s="22">
        <v>76.022</v>
      </c>
      <c r="O5237" s="17">
        <v>3.9</v>
      </c>
      <c r="P5237" s="18">
        <f t="shared" si="1"/>
        <v>558.086</v>
      </c>
    </row>
    <row r="5238" ht="15.75" customHeight="1">
      <c r="A5238" s="13" t="s">
        <v>254</v>
      </c>
      <c r="B5238" s="13" t="s">
        <v>133</v>
      </c>
      <c r="C5238" s="14" t="s">
        <v>213</v>
      </c>
      <c r="D5238" s="14" t="str">
        <f>VLOOKUP(C5238,'State Key'!$A$2:$B$210,2,False)</f>
        <v>Chhattisgarh</v>
      </c>
      <c r="E5238" s="15">
        <v>600.0</v>
      </c>
      <c r="F5238" s="16">
        <v>147.885</v>
      </c>
      <c r="G5238" s="16">
        <v>0.0</v>
      </c>
      <c r="H5238" s="16">
        <v>0.0</v>
      </c>
      <c r="I5238" s="16">
        <v>175.891</v>
      </c>
      <c r="J5238" s="16">
        <v>0.0</v>
      </c>
      <c r="K5238" s="16">
        <v>0.0</v>
      </c>
      <c r="L5238" s="16">
        <v>323.776</v>
      </c>
      <c r="M5238" s="16">
        <v>230.089</v>
      </c>
      <c r="N5238" s="16">
        <v>136.08</v>
      </c>
      <c r="O5238" s="24">
        <v>17.7</v>
      </c>
      <c r="P5238" s="18">
        <f t="shared" si="1"/>
        <v>323.776</v>
      </c>
    </row>
    <row r="5239" ht="15.75" customHeight="1">
      <c r="A5239" s="19" t="s">
        <v>254</v>
      </c>
      <c r="B5239" s="19" t="s">
        <v>133</v>
      </c>
      <c r="C5239" s="20" t="s">
        <v>214</v>
      </c>
      <c r="D5239" s="14" t="str">
        <f>VLOOKUP(C5239,'State Key'!$A$2:$B$210,2,False)</f>
        <v>Chhattisgarh</v>
      </c>
      <c r="E5239" s="21">
        <v>1370.0</v>
      </c>
      <c r="F5239" s="22">
        <v>251.678</v>
      </c>
      <c r="G5239" s="22">
        <v>0.0</v>
      </c>
      <c r="H5239" s="22">
        <v>0.0</v>
      </c>
      <c r="I5239" s="22">
        <v>118.547</v>
      </c>
      <c r="J5239" s="22">
        <v>23.951</v>
      </c>
      <c r="K5239" s="22">
        <v>134.973</v>
      </c>
      <c r="L5239" s="22">
        <v>529.149</v>
      </c>
      <c r="M5239" s="22">
        <v>488.156</v>
      </c>
      <c r="N5239" s="22">
        <v>158.53</v>
      </c>
      <c r="O5239" s="23">
        <v>9.7</v>
      </c>
      <c r="P5239" s="18">
        <f t="shared" si="1"/>
        <v>529.149</v>
      </c>
    </row>
    <row r="5240" ht="15.75" customHeight="1">
      <c r="A5240" s="13" t="s">
        <v>254</v>
      </c>
      <c r="B5240" s="13" t="s">
        <v>133</v>
      </c>
      <c r="C5240" s="14" t="s">
        <v>215</v>
      </c>
      <c r="D5240" s="14" t="str">
        <f>VLOOKUP(C5240,'State Key'!$A$2:$B$210,2,False)</f>
        <v>Maharashtra</v>
      </c>
      <c r="E5240" s="15">
        <v>3300.0</v>
      </c>
      <c r="F5240" s="16">
        <v>993.363</v>
      </c>
      <c r="G5240" s="16">
        <v>0.0</v>
      </c>
      <c r="H5240" s="16">
        <v>0.0</v>
      </c>
      <c r="I5240" s="16">
        <v>0.0</v>
      </c>
      <c r="J5240" s="16">
        <v>74.63</v>
      </c>
      <c r="K5240" s="16">
        <v>0.0</v>
      </c>
      <c r="L5240" s="16">
        <v>1067.993</v>
      </c>
      <c r="M5240" s="16">
        <v>1058.656</v>
      </c>
      <c r="N5240" s="16">
        <v>13.38</v>
      </c>
      <c r="O5240" s="17">
        <v>0.4</v>
      </c>
      <c r="P5240" s="18">
        <f t="shared" si="1"/>
        <v>1067.993</v>
      </c>
    </row>
    <row r="5241" ht="15.75" customHeight="1">
      <c r="A5241" s="19" t="s">
        <v>254</v>
      </c>
      <c r="B5241" s="19" t="s">
        <v>133</v>
      </c>
      <c r="C5241" s="20" t="s">
        <v>134</v>
      </c>
      <c r="D5241" s="14" t="str">
        <f>VLOOKUP(C5241,'State Key'!$A$2:$B$210,2,False)</f>
        <v>Chhattisgarh</v>
      </c>
      <c r="E5241" s="21">
        <v>1800.0</v>
      </c>
      <c r="F5241" s="22">
        <v>669.859</v>
      </c>
      <c r="G5241" s="22">
        <v>0.0</v>
      </c>
      <c r="H5241" s="22">
        <v>0.0</v>
      </c>
      <c r="I5241" s="22">
        <v>90.655</v>
      </c>
      <c r="J5241" s="22">
        <v>0.0</v>
      </c>
      <c r="K5241" s="22">
        <v>0.0</v>
      </c>
      <c r="L5241" s="22">
        <v>760.514</v>
      </c>
      <c r="M5241" s="22">
        <v>667.576</v>
      </c>
      <c r="N5241" s="22">
        <v>809.46</v>
      </c>
      <c r="O5241" s="24">
        <v>36.4</v>
      </c>
      <c r="P5241" s="18">
        <f t="shared" si="1"/>
        <v>760.514</v>
      </c>
    </row>
    <row r="5242" ht="15.75" customHeight="1">
      <c r="A5242" s="13" t="s">
        <v>254</v>
      </c>
      <c r="B5242" s="13" t="s">
        <v>133</v>
      </c>
      <c r="C5242" s="14" t="s">
        <v>135</v>
      </c>
      <c r="D5242" s="14" t="str">
        <f>VLOOKUP(C5242,'State Key'!$A$2:$B$210,2,False)</f>
        <v>Madhya Pradesh</v>
      </c>
      <c r="E5242" s="15">
        <v>210.0</v>
      </c>
      <c r="F5242" s="16">
        <v>84.47</v>
      </c>
      <c r="G5242" s="16">
        <v>0.0</v>
      </c>
      <c r="H5242" s="16">
        <v>0.0</v>
      </c>
      <c r="I5242" s="16">
        <v>0.0</v>
      </c>
      <c r="J5242" s="16">
        <v>0.0</v>
      </c>
      <c r="K5242" s="16">
        <v>0.0</v>
      </c>
      <c r="L5242" s="16">
        <v>84.47</v>
      </c>
      <c r="M5242" s="16">
        <v>103.712</v>
      </c>
      <c r="N5242" s="16">
        <v>59.083</v>
      </c>
      <c r="O5242" s="24">
        <v>17.1</v>
      </c>
      <c r="P5242" s="18">
        <f t="shared" si="1"/>
        <v>84.47</v>
      </c>
    </row>
    <row r="5243" ht="15.75" customHeight="1">
      <c r="A5243" s="19" t="s">
        <v>254</v>
      </c>
      <c r="B5243" s="19" t="s">
        <v>133</v>
      </c>
      <c r="C5243" s="20" t="s">
        <v>136</v>
      </c>
      <c r="D5243" s="14" t="str">
        <f>VLOOKUP(C5243,'State Key'!$A$2:$B$210,2,False)</f>
        <v>Maharashtra</v>
      </c>
      <c r="E5243" s="21">
        <v>1350.0</v>
      </c>
      <c r="F5243" s="22">
        <v>454.015</v>
      </c>
      <c r="G5243" s="22">
        <v>0.0</v>
      </c>
      <c r="H5243" s="22">
        <v>0.0</v>
      </c>
      <c r="I5243" s="22">
        <v>0.0</v>
      </c>
      <c r="J5243" s="22">
        <v>0.0</v>
      </c>
      <c r="K5243" s="22">
        <v>0.0</v>
      </c>
      <c r="L5243" s="22">
        <v>454.015</v>
      </c>
      <c r="M5243" s="22">
        <v>365.968</v>
      </c>
      <c r="N5243" s="22">
        <v>373.62</v>
      </c>
      <c r="O5243" s="24">
        <v>30.6</v>
      </c>
      <c r="P5243" s="18">
        <f t="shared" si="1"/>
        <v>454.015</v>
      </c>
    </row>
    <row r="5244" ht="15.75" customHeight="1">
      <c r="A5244" s="13" t="s">
        <v>254</v>
      </c>
      <c r="B5244" s="13" t="s">
        <v>133</v>
      </c>
      <c r="C5244" s="14" t="s">
        <v>137</v>
      </c>
      <c r="D5244" s="14" t="str">
        <f>VLOOKUP(C5244,'State Key'!$A$2:$B$210,2,False)</f>
        <v>Madhya Pradesh</v>
      </c>
      <c r="E5244" s="15">
        <v>1250.0</v>
      </c>
      <c r="F5244" s="16">
        <v>276.98</v>
      </c>
      <c r="G5244" s="16">
        <v>0.0</v>
      </c>
      <c r="H5244" s="16">
        <v>0.0</v>
      </c>
      <c r="I5244" s="16">
        <v>143.93</v>
      </c>
      <c r="J5244" s="16">
        <v>0.0</v>
      </c>
      <c r="K5244" s="16">
        <v>0.0</v>
      </c>
      <c r="L5244" s="16">
        <v>420.91</v>
      </c>
      <c r="M5244" s="16">
        <v>475.16</v>
      </c>
      <c r="N5244" s="16">
        <v>100.56</v>
      </c>
      <c r="O5244" s="17">
        <v>6.3</v>
      </c>
      <c r="P5244" s="18">
        <f t="shared" si="1"/>
        <v>420.91</v>
      </c>
    </row>
    <row r="5245" ht="15.75" customHeight="1">
      <c r="A5245" s="19" t="s">
        <v>254</v>
      </c>
      <c r="B5245" s="19" t="s">
        <v>133</v>
      </c>
      <c r="C5245" s="20" t="s">
        <v>139</v>
      </c>
      <c r="D5245" s="14" t="str">
        <f>VLOOKUP(C5245,'State Key'!$A$2:$B$210,2,False)</f>
        <v>Chhattisgarh</v>
      </c>
      <c r="E5245" s="21">
        <v>600.0</v>
      </c>
      <c r="F5245" s="22">
        <v>64.32</v>
      </c>
      <c r="G5245" s="22">
        <v>0.0</v>
      </c>
      <c r="H5245" s="22">
        <v>0.0</v>
      </c>
      <c r="I5245" s="22">
        <v>0.0</v>
      </c>
      <c r="J5245" s="22">
        <v>0.0</v>
      </c>
      <c r="K5245" s="22">
        <v>0.0</v>
      </c>
      <c r="L5245" s="22">
        <v>64.32</v>
      </c>
      <c r="M5245" s="22">
        <v>63.65</v>
      </c>
      <c r="N5245" s="22">
        <v>16.28</v>
      </c>
      <c r="O5245" s="23">
        <v>7.7</v>
      </c>
      <c r="P5245" s="18">
        <f t="shared" si="1"/>
        <v>64.32</v>
      </c>
    </row>
    <row r="5246" ht="15.75" customHeight="1">
      <c r="A5246" s="13" t="s">
        <v>254</v>
      </c>
      <c r="B5246" s="13" t="s">
        <v>133</v>
      </c>
      <c r="C5246" s="14" t="s">
        <v>140</v>
      </c>
      <c r="D5246" s="14" t="str">
        <f>VLOOKUP(C5246,'State Key'!$A$2:$B$210,2,False)</f>
        <v>Chhattisgarh</v>
      </c>
      <c r="E5246" s="15">
        <v>300.0</v>
      </c>
      <c r="F5246" s="16">
        <v>103.559</v>
      </c>
      <c r="G5246" s="16">
        <v>0.0</v>
      </c>
      <c r="H5246" s="16">
        <v>0.0</v>
      </c>
      <c r="I5246" s="16">
        <v>2.838</v>
      </c>
      <c r="J5246" s="16">
        <v>0.0</v>
      </c>
      <c r="K5246" s="16">
        <v>0.0</v>
      </c>
      <c r="L5246" s="16">
        <v>106.397</v>
      </c>
      <c r="M5246" s="16">
        <v>151.185</v>
      </c>
      <c r="N5246" s="16">
        <v>121.59</v>
      </c>
      <c r="O5246" s="24">
        <v>24.1</v>
      </c>
      <c r="P5246" s="18">
        <f t="shared" si="1"/>
        <v>106.397</v>
      </c>
    </row>
    <row r="5247" ht="15.75" customHeight="1">
      <c r="A5247" s="19" t="s">
        <v>254</v>
      </c>
      <c r="B5247" s="19" t="s">
        <v>133</v>
      </c>
      <c r="C5247" s="20" t="s">
        <v>141</v>
      </c>
      <c r="D5247" s="14" t="str">
        <f>VLOOKUP(C5247,'State Key'!$A$2:$B$210,2,False)</f>
        <v>Chhattisgarh</v>
      </c>
      <c r="E5247" s="21">
        <v>1200.0</v>
      </c>
      <c r="F5247" s="22">
        <v>380.131</v>
      </c>
      <c r="G5247" s="22">
        <v>0.0</v>
      </c>
      <c r="H5247" s="22">
        <v>0.0</v>
      </c>
      <c r="I5247" s="22">
        <v>0.0</v>
      </c>
      <c r="J5247" s="22">
        <v>0.0</v>
      </c>
      <c r="K5247" s="22">
        <v>0.0</v>
      </c>
      <c r="L5247" s="22">
        <v>380.131</v>
      </c>
      <c r="M5247" s="22">
        <v>505.483</v>
      </c>
      <c r="N5247" s="22">
        <v>167.36</v>
      </c>
      <c r="O5247" s="23">
        <v>9.9</v>
      </c>
      <c r="P5247" s="18">
        <f t="shared" si="1"/>
        <v>380.131</v>
      </c>
    </row>
    <row r="5248" ht="15.75" customHeight="1">
      <c r="A5248" s="13" t="s">
        <v>254</v>
      </c>
      <c r="B5248" s="13" t="s">
        <v>133</v>
      </c>
      <c r="C5248" s="14" t="s">
        <v>142</v>
      </c>
      <c r="D5248" s="14" t="str">
        <f>VLOOKUP(C5248,'State Key'!$A$2:$B$210,2,False)</f>
        <v>Maharashtra</v>
      </c>
      <c r="E5248" s="15">
        <v>270.0</v>
      </c>
      <c r="F5248" s="16">
        <v>83.455</v>
      </c>
      <c r="G5248" s="16">
        <v>0.0</v>
      </c>
      <c r="H5248" s="16">
        <v>0.0</v>
      </c>
      <c r="I5248" s="16">
        <v>21.306</v>
      </c>
      <c r="J5248" s="16">
        <v>0.0</v>
      </c>
      <c r="K5248" s="16">
        <v>0.0</v>
      </c>
      <c r="L5248" s="16">
        <v>104.761</v>
      </c>
      <c r="M5248" s="16">
        <v>108.847</v>
      </c>
      <c r="N5248" s="16">
        <v>21.69</v>
      </c>
      <c r="O5248" s="17">
        <v>6.0</v>
      </c>
      <c r="P5248" s="18">
        <f t="shared" si="1"/>
        <v>104.761</v>
      </c>
    </row>
    <row r="5249" ht="15.75" customHeight="1">
      <c r="A5249" s="19" t="s">
        <v>254</v>
      </c>
      <c r="B5249" s="19" t="s">
        <v>133</v>
      </c>
      <c r="C5249" s="20" t="s">
        <v>143</v>
      </c>
      <c r="D5249" s="14" t="str">
        <f>VLOOKUP(C5249,'State Key'!$A$2:$B$210,2,False)</f>
        <v>Chhattisgarh</v>
      </c>
      <c r="E5249" s="21">
        <v>500.0</v>
      </c>
      <c r="F5249" s="22">
        <v>169.885</v>
      </c>
      <c r="G5249" s="22">
        <v>8.174</v>
      </c>
      <c r="H5249" s="22">
        <v>0.0</v>
      </c>
      <c r="I5249" s="22">
        <v>0.0</v>
      </c>
      <c r="J5249" s="22">
        <v>0.0</v>
      </c>
      <c r="K5249" s="22">
        <v>0.0</v>
      </c>
      <c r="L5249" s="22">
        <v>178.059</v>
      </c>
      <c r="M5249" s="22">
        <v>241.173</v>
      </c>
      <c r="N5249" s="22">
        <v>257.63</v>
      </c>
      <c r="O5249" s="24">
        <v>32.0</v>
      </c>
      <c r="P5249" s="18">
        <f t="shared" si="1"/>
        <v>178.059</v>
      </c>
    </row>
    <row r="5250" ht="15.75" customHeight="1">
      <c r="A5250" s="13" t="s">
        <v>254</v>
      </c>
      <c r="B5250" s="13" t="s">
        <v>133</v>
      </c>
      <c r="C5250" s="14" t="s">
        <v>144</v>
      </c>
      <c r="D5250" s="14" t="str">
        <f>VLOOKUP(C5250,'State Key'!$A$2:$B$210,2,False)</f>
        <v>Maharashtra</v>
      </c>
      <c r="E5250" s="15">
        <v>1870.0</v>
      </c>
      <c r="F5250" s="16">
        <v>633.222</v>
      </c>
      <c r="G5250" s="16">
        <v>116.871</v>
      </c>
      <c r="H5250" s="16">
        <v>0.0</v>
      </c>
      <c r="I5250" s="16">
        <v>0.0</v>
      </c>
      <c r="J5250" s="16">
        <v>0.0</v>
      </c>
      <c r="K5250" s="16">
        <v>0.0</v>
      </c>
      <c r="L5250" s="16">
        <v>750.093</v>
      </c>
      <c r="M5250" s="16">
        <v>755.95</v>
      </c>
      <c r="N5250" s="16">
        <v>397.02</v>
      </c>
      <c r="O5250" s="24">
        <v>15.8</v>
      </c>
      <c r="P5250" s="18">
        <f t="shared" si="1"/>
        <v>750.093</v>
      </c>
    </row>
    <row r="5251" ht="15.75" customHeight="1">
      <c r="A5251" s="19" t="s">
        <v>254</v>
      </c>
      <c r="B5251" s="19" t="s">
        <v>133</v>
      </c>
      <c r="C5251" s="20" t="s">
        <v>145</v>
      </c>
      <c r="D5251" s="14" t="str">
        <f>VLOOKUP(C5251,'State Key'!$A$2:$B$210,2,False)</f>
        <v>Madhya Pradesh</v>
      </c>
      <c r="E5251" s="21">
        <v>500.0</v>
      </c>
      <c r="F5251" s="22">
        <v>115.94985432896</v>
      </c>
      <c r="G5251" s="22">
        <v>0.0</v>
      </c>
      <c r="H5251" s="22">
        <v>0.0</v>
      </c>
      <c r="I5251" s="22">
        <v>46.93993326</v>
      </c>
      <c r="J5251" s="22">
        <v>0.0</v>
      </c>
      <c r="K5251" s="22">
        <v>0.0</v>
      </c>
      <c r="L5251" s="22">
        <v>162.88978758896</v>
      </c>
      <c r="M5251" s="22">
        <v>195.504</v>
      </c>
      <c r="N5251" s="22">
        <v>177.41</v>
      </c>
      <c r="O5251" s="24">
        <v>27.2</v>
      </c>
      <c r="P5251" s="18">
        <f t="shared" si="1"/>
        <v>162.8897876</v>
      </c>
    </row>
    <row r="5252" ht="15.75" customHeight="1">
      <c r="A5252" s="13" t="s">
        <v>254</v>
      </c>
      <c r="B5252" s="13" t="s">
        <v>133</v>
      </c>
      <c r="C5252" s="14" t="s">
        <v>146</v>
      </c>
      <c r="D5252" s="14" t="str">
        <f>VLOOKUP(C5252,'State Key'!$A$2:$B$210,2,False)</f>
        <v>Chhattisgarh</v>
      </c>
      <c r="E5252" s="15">
        <v>600.0</v>
      </c>
      <c r="F5252" s="16">
        <v>0.0</v>
      </c>
      <c r="G5252" s="16">
        <v>0.0</v>
      </c>
      <c r="H5252" s="16">
        <v>94.533</v>
      </c>
      <c r="I5252" s="16">
        <v>143.011</v>
      </c>
      <c r="J5252" s="16">
        <v>0.0</v>
      </c>
      <c r="K5252" s="16">
        <v>33.211</v>
      </c>
      <c r="L5252" s="16">
        <v>270.755</v>
      </c>
      <c r="M5252" s="16">
        <v>309.315</v>
      </c>
      <c r="N5252" s="16">
        <v>35.91</v>
      </c>
      <c r="O5252" s="17">
        <v>3.5</v>
      </c>
      <c r="P5252" s="18">
        <f t="shared" si="1"/>
        <v>270.755</v>
      </c>
    </row>
    <row r="5253" ht="15.75" customHeight="1">
      <c r="A5253" s="19" t="s">
        <v>254</v>
      </c>
      <c r="B5253" s="19" t="s">
        <v>133</v>
      </c>
      <c r="C5253" s="20" t="s">
        <v>147</v>
      </c>
      <c r="D5253" s="14" t="str">
        <f>VLOOKUP(C5253,'State Key'!$A$2:$B$210,2,False)</f>
        <v>Maharashtra</v>
      </c>
      <c r="E5253" s="21">
        <v>600.0</v>
      </c>
      <c r="F5253" s="22">
        <v>140.41</v>
      </c>
      <c r="G5253" s="22">
        <v>0.0</v>
      </c>
      <c r="H5253" s="22">
        <v>0.0</v>
      </c>
      <c r="I5253" s="22">
        <v>0.0</v>
      </c>
      <c r="J5253" s="22">
        <v>0.0</v>
      </c>
      <c r="K5253" s="22">
        <v>48.192</v>
      </c>
      <c r="L5253" s="22">
        <v>188.602</v>
      </c>
      <c r="M5253" s="22">
        <v>153.958</v>
      </c>
      <c r="N5253" s="22">
        <v>44.93</v>
      </c>
      <c r="O5253" s="23">
        <v>8.8</v>
      </c>
      <c r="P5253" s="18">
        <f t="shared" si="1"/>
        <v>188.602</v>
      </c>
    </row>
    <row r="5254" ht="15.75" customHeight="1">
      <c r="A5254" s="13" t="s">
        <v>254</v>
      </c>
      <c r="B5254" s="13" t="s">
        <v>133</v>
      </c>
      <c r="C5254" s="14" t="s">
        <v>148</v>
      </c>
      <c r="D5254" s="14" t="str">
        <f>VLOOKUP(C5254,'State Key'!$A$2:$B$210,2,False)</f>
        <v>Chhattisgarh</v>
      </c>
      <c r="E5254" s="15">
        <v>30.0</v>
      </c>
      <c r="F5254" s="16">
        <v>5.0</v>
      </c>
      <c r="G5254" s="16">
        <v>0.0</v>
      </c>
      <c r="H5254" s="16">
        <v>0.0</v>
      </c>
      <c r="I5254" s="16">
        <v>0.0</v>
      </c>
      <c r="J5254" s="16">
        <v>0.0</v>
      </c>
      <c r="K5254" s="16">
        <v>57.925</v>
      </c>
      <c r="L5254" s="16">
        <v>62.925</v>
      </c>
      <c r="M5254" s="16">
        <v>58.603</v>
      </c>
      <c r="N5254" s="16">
        <v>14.98</v>
      </c>
      <c r="O5254" s="23">
        <v>7.7</v>
      </c>
      <c r="P5254" s="18">
        <f t="shared" si="1"/>
        <v>62.925</v>
      </c>
    </row>
    <row r="5255" ht="15.75" customHeight="1">
      <c r="A5255" s="19" t="s">
        <v>254</v>
      </c>
      <c r="B5255" s="19" t="s">
        <v>133</v>
      </c>
      <c r="C5255" s="20" t="s">
        <v>149</v>
      </c>
      <c r="D5255" s="14" t="str">
        <f>VLOOKUP(C5255,'State Key'!$A$2:$B$210,2,False)</f>
        <v>Maharashtra</v>
      </c>
      <c r="E5255" s="21">
        <v>2920.0</v>
      </c>
      <c r="F5255" s="22">
        <v>679.458</v>
      </c>
      <c r="G5255" s="22">
        <v>228.646</v>
      </c>
      <c r="H5255" s="22">
        <v>0.0</v>
      </c>
      <c r="I5255" s="22">
        <v>0.0</v>
      </c>
      <c r="J5255" s="22">
        <v>0.0</v>
      </c>
      <c r="K5255" s="22">
        <v>0.0</v>
      </c>
      <c r="L5255" s="22">
        <v>908.104</v>
      </c>
      <c r="M5255" s="22">
        <v>1130.962</v>
      </c>
      <c r="N5255" s="22">
        <v>218.362</v>
      </c>
      <c r="O5255" s="17">
        <v>5.8</v>
      </c>
      <c r="P5255" s="18">
        <f t="shared" si="1"/>
        <v>908.104</v>
      </c>
    </row>
    <row r="5256" ht="15.75" customHeight="1">
      <c r="A5256" s="13" t="s">
        <v>254</v>
      </c>
      <c r="B5256" s="13" t="s">
        <v>133</v>
      </c>
      <c r="C5256" s="14" t="s">
        <v>150</v>
      </c>
      <c r="D5256" s="14" t="str">
        <f>VLOOKUP(C5256,'State Key'!$A$2:$B$210,2,False)</f>
        <v>Maharashtra</v>
      </c>
      <c r="E5256" s="15">
        <v>500.0</v>
      </c>
      <c r="F5256" s="16">
        <v>128.882</v>
      </c>
      <c r="G5256" s="16">
        <v>0.0</v>
      </c>
      <c r="H5256" s="16">
        <v>0.0</v>
      </c>
      <c r="I5256" s="16">
        <v>0.0</v>
      </c>
      <c r="J5256" s="16">
        <v>0.0</v>
      </c>
      <c r="K5256" s="16">
        <v>0.0</v>
      </c>
      <c r="L5256" s="16">
        <v>128.882</v>
      </c>
      <c r="M5256" s="16">
        <v>128.855</v>
      </c>
      <c r="N5256" s="16">
        <v>65.03</v>
      </c>
      <c r="O5256" s="24">
        <v>15.1</v>
      </c>
      <c r="P5256" s="18">
        <f t="shared" si="1"/>
        <v>128.882</v>
      </c>
    </row>
    <row r="5257" ht="15.75" customHeight="1">
      <c r="A5257" s="19" t="s">
        <v>254</v>
      </c>
      <c r="B5257" s="19" t="s">
        <v>133</v>
      </c>
      <c r="C5257" s="20" t="s">
        <v>151</v>
      </c>
      <c r="D5257" s="14" t="str">
        <f>VLOOKUP(C5257,'State Key'!$A$2:$B$210,2,False)</f>
        <v>Maharashtra</v>
      </c>
      <c r="E5257" s="21">
        <v>600.0</v>
      </c>
      <c r="F5257" s="22">
        <v>142.837</v>
      </c>
      <c r="G5257" s="22">
        <v>0.0</v>
      </c>
      <c r="H5257" s="22">
        <v>0.0</v>
      </c>
      <c r="I5257" s="22">
        <v>102.6445</v>
      </c>
      <c r="J5257" s="22">
        <v>0.0</v>
      </c>
      <c r="K5257" s="22">
        <v>0.0</v>
      </c>
      <c r="L5257" s="22">
        <v>245.4815</v>
      </c>
      <c r="M5257" s="22">
        <v>250.735</v>
      </c>
      <c r="N5257" s="22">
        <v>132.19</v>
      </c>
      <c r="O5257" s="24">
        <v>15.8</v>
      </c>
      <c r="P5257" s="18">
        <f t="shared" si="1"/>
        <v>245.4815</v>
      </c>
    </row>
    <row r="5258" ht="15.75" customHeight="1">
      <c r="A5258" s="13" t="s">
        <v>254</v>
      </c>
      <c r="B5258" s="13" t="s">
        <v>133</v>
      </c>
      <c r="C5258" s="14" t="s">
        <v>152</v>
      </c>
      <c r="D5258" s="14" t="str">
        <f>VLOOKUP(C5258,'State Key'!$A$2:$B$210,2,False)</f>
        <v>Chhattisgarh</v>
      </c>
      <c r="E5258" s="15">
        <v>500.0</v>
      </c>
      <c r="F5258" s="16">
        <v>162.525</v>
      </c>
      <c r="G5258" s="16">
        <v>0.0</v>
      </c>
      <c r="H5258" s="16">
        <v>0.0</v>
      </c>
      <c r="I5258" s="16">
        <v>0.0</v>
      </c>
      <c r="J5258" s="16">
        <v>0.0</v>
      </c>
      <c r="K5258" s="16">
        <v>0.0</v>
      </c>
      <c r="L5258" s="16">
        <v>162.525</v>
      </c>
      <c r="M5258" s="16">
        <v>249.243</v>
      </c>
      <c r="N5258" s="16">
        <v>131.191</v>
      </c>
      <c r="O5258" s="24">
        <v>15.8</v>
      </c>
      <c r="P5258" s="18">
        <f t="shared" si="1"/>
        <v>162.525</v>
      </c>
    </row>
    <row r="5259" ht="15.75" customHeight="1">
      <c r="A5259" s="19" t="s">
        <v>254</v>
      </c>
      <c r="B5259" s="19" t="s">
        <v>133</v>
      </c>
      <c r="C5259" s="20" t="s">
        <v>153</v>
      </c>
      <c r="D5259" s="14" t="str">
        <f>VLOOKUP(C5259,'State Key'!$A$2:$B$210,2,False)</f>
        <v>Madhya Pradesh</v>
      </c>
      <c r="E5259" s="21">
        <v>1600.0</v>
      </c>
      <c r="F5259" s="22">
        <v>478.24</v>
      </c>
      <c r="G5259" s="22">
        <v>0.0</v>
      </c>
      <c r="H5259" s="22">
        <v>50.35</v>
      </c>
      <c r="I5259" s="22">
        <v>0.0</v>
      </c>
      <c r="J5259" s="22">
        <v>0.0</v>
      </c>
      <c r="K5259" s="22">
        <v>0.0</v>
      </c>
      <c r="L5259" s="22">
        <v>528.59</v>
      </c>
      <c r="M5259" s="22">
        <v>597.765</v>
      </c>
      <c r="N5259" s="22">
        <v>174.09</v>
      </c>
      <c r="O5259" s="23">
        <v>8.7</v>
      </c>
      <c r="P5259" s="18">
        <f t="shared" si="1"/>
        <v>528.59</v>
      </c>
    </row>
    <row r="5260" ht="15.75" customHeight="1">
      <c r="A5260" s="13" t="s">
        <v>254</v>
      </c>
      <c r="B5260" s="13" t="s">
        <v>133</v>
      </c>
      <c r="C5260" s="14" t="s">
        <v>154</v>
      </c>
      <c r="D5260" s="14" t="str">
        <f>VLOOKUP(C5260,'State Key'!$A$2:$B$210,2,False)</f>
        <v>Gujarat</v>
      </c>
      <c r="E5260" s="15">
        <v>630.0</v>
      </c>
      <c r="F5260" s="16">
        <v>204.23</v>
      </c>
      <c r="G5260" s="16">
        <v>0.0</v>
      </c>
      <c r="H5260" s="16">
        <v>0.0</v>
      </c>
      <c r="I5260" s="16">
        <v>0.0</v>
      </c>
      <c r="J5260" s="16">
        <v>0.0</v>
      </c>
      <c r="K5260" s="16">
        <v>0.0</v>
      </c>
      <c r="L5260" s="16">
        <v>204.23</v>
      </c>
      <c r="M5260" s="16">
        <v>143.189</v>
      </c>
      <c r="N5260" s="16">
        <v>311.71</v>
      </c>
      <c r="O5260" s="24">
        <v>65.3</v>
      </c>
      <c r="P5260" s="18">
        <f t="shared" si="1"/>
        <v>204.23</v>
      </c>
    </row>
    <row r="5261" ht="15.75" customHeight="1">
      <c r="A5261" s="19" t="s">
        <v>254</v>
      </c>
      <c r="B5261" s="19" t="s">
        <v>133</v>
      </c>
      <c r="C5261" s="20" t="s">
        <v>155</v>
      </c>
      <c r="D5261" s="14" t="str">
        <f>VLOOKUP(C5261,'State Key'!$A$2:$B$210,2,False)</f>
        <v>Maharashtra</v>
      </c>
      <c r="E5261" s="21">
        <v>120.0</v>
      </c>
      <c r="F5261" s="22">
        <v>0.0</v>
      </c>
      <c r="G5261" s="22">
        <v>0.0</v>
      </c>
      <c r="H5261" s="22">
        <v>0.0</v>
      </c>
      <c r="I5261" s="22">
        <v>0.0</v>
      </c>
      <c r="J5261" s="22">
        <v>0.0</v>
      </c>
      <c r="K5261" s="22">
        <v>0.0</v>
      </c>
      <c r="L5261" s="22">
        <v>0.0</v>
      </c>
      <c r="M5261" s="22">
        <v>0.0</v>
      </c>
      <c r="N5261" s="22">
        <v>0.0</v>
      </c>
      <c r="O5261" s="19" t="s">
        <v>58</v>
      </c>
      <c r="P5261" s="18">
        <f t="shared" si="1"/>
        <v>0</v>
      </c>
    </row>
    <row r="5262" ht="15.75" customHeight="1">
      <c r="A5262" s="13" t="s">
        <v>254</v>
      </c>
      <c r="B5262" s="13" t="s">
        <v>133</v>
      </c>
      <c r="C5262" s="14" t="s">
        <v>156</v>
      </c>
      <c r="D5262" s="14" t="str">
        <f>VLOOKUP(C5262,'State Key'!$A$2:$B$210,2,False)</f>
        <v>Maharashtra</v>
      </c>
      <c r="E5262" s="15">
        <v>600.0</v>
      </c>
      <c r="F5262" s="16">
        <v>190.649</v>
      </c>
      <c r="G5262" s="16">
        <v>0.0</v>
      </c>
      <c r="H5262" s="16">
        <v>0.0</v>
      </c>
      <c r="I5262" s="16">
        <v>7.036</v>
      </c>
      <c r="J5262" s="16">
        <v>0.0</v>
      </c>
      <c r="K5262" s="16">
        <v>0.0</v>
      </c>
      <c r="L5262" s="16">
        <v>197.685</v>
      </c>
      <c r="M5262" s="16">
        <v>242.001</v>
      </c>
      <c r="N5262" s="16">
        <v>194.744</v>
      </c>
      <c r="O5262" s="24">
        <v>24.1</v>
      </c>
      <c r="P5262" s="18">
        <f t="shared" si="1"/>
        <v>197.685</v>
      </c>
    </row>
    <row r="5263" ht="15.75" customHeight="1">
      <c r="A5263" s="19" t="s">
        <v>254</v>
      </c>
      <c r="B5263" s="19" t="s">
        <v>133</v>
      </c>
      <c r="C5263" s="20" t="s">
        <v>157</v>
      </c>
      <c r="D5263" s="14" t="str">
        <f>VLOOKUP(C5263,'State Key'!$A$2:$B$210,2,False)</f>
        <v>Maharashtra</v>
      </c>
      <c r="E5263" s="21">
        <v>300.0</v>
      </c>
      <c r="F5263" s="22">
        <v>0.0</v>
      </c>
      <c r="G5263" s="22">
        <v>0.0</v>
      </c>
      <c r="H5263" s="22">
        <v>0.0</v>
      </c>
      <c r="I5263" s="22">
        <v>0.0</v>
      </c>
      <c r="J5263" s="22">
        <v>75.0</v>
      </c>
      <c r="K5263" s="22">
        <v>0.0</v>
      </c>
      <c r="L5263" s="22">
        <v>75.0</v>
      </c>
      <c r="M5263" s="22">
        <v>68.24</v>
      </c>
      <c r="N5263" s="22">
        <v>65.12</v>
      </c>
      <c r="O5263" s="24">
        <v>28.6</v>
      </c>
      <c r="P5263" s="18">
        <f t="shared" si="1"/>
        <v>75</v>
      </c>
    </row>
    <row r="5264" ht="15.75" customHeight="1">
      <c r="A5264" s="13" t="s">
        <v>254</v>
      </c>
      <c r="B5264" s="13" t="s">
        <v>133</v>
      </c>
      <c r="C5264" s="14" t="s">
        <v>158</v>
      </c>
      <c r="D5264" s="14" t="str">
        <f>VLOOKUP(C5264,'State Key'!$A$2:$B$210,2,False)</f>
        <v>Chhattisgarh</v>
      </c>
      <c r="E5264" s="15">
        <v>270.0</v>
      </c>
      <c r="F5264" s="16">
        <v>57.7898</v>
      </c>
      <c r="G5264" s="16">
        <v>0.0</v>
      </c>
      <c r="H5264" s="16">
        <v>0.0</v>
      </c>
      <c r="I5264" s="16">
        <v>0.0</v>
      </c>
      <c r="J5264" s="16">
        <v>0.0</v>
      </c>
      <c r="K5264" s="16">
        <v>83.0635</v>
      </c>
      <c r="L5264" s="16">
        <v>140.8533</v>
      </c>
      <c r="M5264" s="16">
        <v>149.64</v>
      </c>
      <c r="N5264" s="16">
        <v>21.2</v>
      </c>
      <c r="O5264" s="17">
        <v>4.3</v>
      </c>
      <c r="P5264" s="18">
        <f t="shared" si="1"/>
        <v>140.8533</v>
      </c>
    </row>
    <row r="5265" ht="15.75" customHeight="1">
      <c r="A5265" s="19" t="s">
        <v>254</v>
      </c>
      <c r="B5265" s="19" t="s">
        <v>133</v>
      </c>
      <c r="C5265" s="20" t="s">
        <v>160</v>
      </c>
      <c r="D5265" s="14" t="str">
        <f>VLOOKUP(C5265,'State Key'!$A$2:$B$210,2,False)</f>
        <v>Maharashtra</v>
      </c>
      <c r="E5265" s="21">
        <v>1340.0</v>
      </c>
      <c r="F5265" s="22">
        <v>411.274</v>
      </c>
      <c r="G5265" s="22">
        <v>0.0</v>
      </c>
      <c r="H5265" s="22">
        <v>0.0</v>
      </c>
      <c r="I5265" s="22">
        <v>0.0</v>
      </c>
      <c r="J5265" s="22">
        <v>0.399</v>
      </c>
      <c r="K5265" s="22">
        <v>0.41</v>
      </c>
      <c r="L5265" s="22">
        <v>412.083</v>
      </c>
      <c r="M5265" s="22">
        <v>384.506</v>
      </c>
      <c r="N5265" s="22">
        <v>463.44</v>
      </c>
      <c r="O5265" s="24">
        <v>36.2</v>
      </c>
      <c r="P5265" s="18">
        <f t="shared" si="1"/>
        <v>412.083</v>
      </c>
    </row>
    <row r="5266" ht="15.75" customHeight="1">
      <c r="A5266" s="13" t="s">
        <v>254</v>
      </c>
      <c r="B5266" s="13" t="s">
        <v>133</v>
      </c>
      <c r="C5266" s="14" t="s">
        <v>161</v>
      </c>
      <c r="D5266" s="14" t="str">
        <f>VLOOKUP(C5266,'State Key'!$A$2:$B$210,2,False)</f>
        <v>Madhya Pradesh</v>
      </c>
      <c r="E5266" s="15">
        <v>1320.0</v>
      </c>
      <c r="F5266" s="16">
        <v>145.58</v>
      </c>
      <c r="G5266" s="16">
        <v>0.0</v>
      </c>
      <c r="H5266" s="16">
        <v>56.22</v>
      </c>
      <c r="I5266" s="16">
        <v>0.0</v>
      </c>
      <c r="J5266" s="16">
        <v>0.0</v>
      </c>
      <c r="K5266" s="16">
        <v>0.0</v>
      </c>
      <c r="L5266" s="16">
        <v>201.8</v>
      </c>
      <c r="M5266" s="16">
        <v>260.379</v>
      </c>
      <c r="N5266" s="16">
        <v>478.78</v>
      </c>
      <c r="O5266" s="24">
        <v>55.2</v>
      </c>
      <c r="P5266" s="18">
        <f t="shared" si="1"/>
        <v>201.8</v>
      </c>
    </row>
    <row r="5267" ht="15.75" customHeight="1">
      <c r="A5267" s="19" t="s">
        <v>254</v>
      </c>
      <c r="B5267" s="19" t="s">
        <v>133</v>
      </c>
      <c r="C5267" s="20" t="s">
        <v>162</v>
      </c>
      <c r="D5267" s="14" t="str">
        <f>VLOOKUP(C5267,'State Key'!$A$2:$B$210,2,False)</f>
        <v>Maharashtra</v>
      </c>
      <c r="E5267" s="21">
        <v>2190.0</v>
      </c>
      <c r="F5267" s="22">
        <v>614.304</v>
      </c>
      <c r="G5267" s="22">
        <v>38.28</v>
      </c>
      <c r="H5267" s="22">
        <v>0.0</v>
      </c>
      <c r="I5267" s="22">
        <v>0.0</v>
      </c>
      <c r="J5267" s="22">
        <v>0.0</v>
      </c>
      <c r="K5267" s="22">
        <v>0.0</v>
      </c>
      <c r="L5267" s="22">
        <v>652.584</v>
      </c>
      <c r="M5267" s="22">
        <v>616.729</v>
      </c>
      <c r="N5267" s="22">
        <v>520.302</v>
      </c>
      <c r="O5267" s="24">
        <v>25.3</v>
      </c>
      <c r="P5267" s="18">
        <f t="shared" si="1"/>
        <v>652.584</v>
      </c>
    </row>
    <row r="5268" ht="15.75" customHeight="1">
      <c r="A5268" s="13" t="s">
        <v>254</v>
      </c>
      <c r="B5268" s="13" t="s">
        <v>133</v>
      </c>
      <c r="C5268" s="14" t="s">
        <v>163</v>
      </c>
      <c r="D5268" s="14" t="str">
        <f>VLOOKUP(C5268,'State Key'!$A$2:$B$210,2,False)</f>
        <v>Chhattisgarh</v>
      </c>
      <c r="E5268" s="15">
        <v>2600.0</v>
      </c>
      <c r="F5268" s="16">
        <v>1180.32</v>
      </c>
      <c r="G5268" s="16">
        <v>0.0</v>
      </c>
      <c r="H5268" s="16">
        <v>0.0</v>
      </c>
      <c r="I5268" s="16">
        <v>0.0</v>
      </c>
      <c r="J5268" s="16">
        <v>0.0</v>
      </c>
      <c r="K5268" s="16">
        <v>0.0</v>
      </c>
      <c r="L5268" s="16">
        <v>1180.32</v>
      </c>
      <c r="M5268" s="16">
        <v>1074.295</v>
      </c>
      <c r="N5268" s="16">
        <v>364.27</v>
      </c>
      <c r="O5268" s="23">
        <v>10.2</v>
      </c>
      <c r="P5268" s="18">
        <f t="shared" si="1"/>
        <v>1180.32</v>
      </c>
    </row>
    <row r="5269" ht="15.75" customHeight="1">
      <c r="A5269" s="19" t="s">
        <v>254</v>
      </c>
      <c r="B5269" s="19" t="s">
        <v>133</v>
      </c>
      <c r="C5269" s="20" t="s">
        <v>164</v>
      </c>
      <c r="D5269" s="14" t="str">
        <f>VLOOKUP(C5269,'State Key'!$A$2:$B$210,2,False)</f>
        <v>Chhattisgarh</v>
      </c>
      <c r="E5269" s="21">
        <v>1340.0</v>
      </c>
      <c r="F5269" s="22">
        <v>460.064</v>
      </c>
      <c r="G5269" s="22">
        <v>0.0</v>
      </c>
      <c r="H5269" s="22">
        <v>0.0</v>
      </c>
      <c r="I5269" s="22">
        <v>0.0</v>
      </c>
      <c r="J5269" s="22">
        <v>0.0</v>
      </c>
      <c r="K5269" s="22">
        <v>0.0</v>
      </c>
      <c r="L5269" s="22">
        <v>460.064</v>
      </c>
      <c r="M5269" s="22">
        <v>497.428</v>
      </c>
      <c r="N5269" s="22">
        <v>206.74</v>
      </c>
      <c r="O5269" s="23">
        <v>12.5</v>
      </c>
      <c r="P5269" s="18">
        <f t="shared" si="1"/>
        <v>460.064</v>
      </c>
    </row>
    <row r="5270" ht="15.75" customHeight="1">
      <c r="A5270" s="13" t="s">
        <v>254</v>
      </c>
      <c r="B5270" s="13" t="s">
        <v>133</v>
      </c>
      <c r="C5270" s="14" t="s">
        <v>165</v>
      </c>
      <c r="D5270" s="14" t="str">
        <f>VLOOKUP(C5270,'State Key'!$A$2:$B$210,2,False)</f>
        <v>Chhattisgarh</v>
      </c>
      <c r="E5270" s="15">
        <v>1600.0</v>
      </c>
      <c r="F5270" s="16">
        <v>0.0</v>
      </c>
      <c r="G5270" s="16">
        <v>0.0</v>
      </c>
      <c r="H5270" s="16">
        <v>644.03</v>
      </c>
      <c r="I5270" s="16">
        <v>0.0</v>
      </c>
      <c r="J5270" s="16">
        <v>0.0</v>
      </c>
      <c r="K5270" s="16">
        <v>0.0</v>
      </c>
      <c r="L5270" s="16">
        <v>644.03</v>
      </c>
      <c r="M5270" s="16">
        <v>615.249</v>
      </c>
      <c r="N5270" s="16">
        <v>436.49</v>
      </c>
      <c r="O5270" s="24">
        <v>21.3</v>
      </c>
      <c r="P5270" s="18">
        <f t="shared" si="1"/>
        <v>644.03</v>
      </c>
    </row>
    <row r="5271" ht="15.75" customHeight="1">
      <c r="A5271" s="19" t="s">
        <v>254</v>
      </c>
      <c r="B5271" s="19" t="s">
        <v>133</v>
      </c>
      <c r="C5271" s="20" t="s">
        <v>166</v>
      </c>
      <c r="D5271" s="14" t="str">
        <f>VLOOKUP(C5271,'State Key'!$A$2:$B$210,2,False)</f>
        <v>Madhya Pradesh</v>
      </c>
      <c r="E5271" s="21">
        <v>1200.0</v>
      </c>
      <c r="F5271" s="22">
        <v>161.918</v>
      </c>
      <c r="G5271" s="22">
        <v>0.0</v>
      </c>
      <c r="H5271" s="22">
        <v>0.0</v>
      </c>
      <c r="I5271" s="22">
        <v>0.0</v>
      </c>
      <c r="J5271" s="22">
        <v>0.0</v>
      </c>
      <c r="K5271" s="22">
        <v>197.218</v>
      </c>
      <c r="L5271" s="22">
        <v>359.136</v>
      </c>
      <c r="M5271" s="22">
        <v>462.262</v>
      </c>
      <c r="N5271" s="22">
        <v>74.8</v>
      </c>
      <c r="O5271" s="17">
        <v>4.9</v>
      </c>
      <c r="P5271" s="18">
        <f t="shared" si="1"/>
        <v>359.136</v>
      </c>
    </row>
    <row r="5272" ht="15.75" customHeight="1">
      <c r="A5272" s="13" t="s">
        <v>254</v>
      </c>
      <c r="B5272" s="13" t="s">
        <v>133</v>
      </c>
      <c r="C5272" s="14" t="s">
        <v>167</v>
      </c>
      <c r="D5272" s="14" t="str">
        <f>VLOOKUP(C5272,'State Key'!$A$2:$B$210,2,False)</f>
        <v>Chhattisgarh</v>
      </c>
      <c r="E5272" s="15">
        <v>1000.0</v>
      </c>
      <c r="F5272" s="16">
        <v>114.265</v>
      </c>
      <c r="G5272" s="16">
        <v>0.0</v>
      </c>
      <c r="H5272" s="16">
        <v>324.769</v>
      </c>
      <c r="I5272" s="16">
        <v>0.0</v>
      </c>
      <c r="J5272" s="16">
        <v>0.0</v>
      </c>
      <c r="K5272" s="16">
        <v>0.0</v>
      </c>
      <c r="L5272" s="16">
        <v>439.034</v>
      </c>
      <c r="M5272" s="16">
        <v>427.118</v>
      </c>
      <c r="N5272" s="16">
        <v>552.87</v>
      </c>
      <c r="O5272" s="24">
        <v>38.8</v>
      </c>
      <c r="P5272" s="18">
        <f t="shared" si="1"/>
        <v>439.034</v>
      </c>
    </row>
    <row r="5273" ht="15.75" customHeight="1">
      <c r="A5273" s="19" t="s">
        <v>254</v>
      </c>
      <c r="B5273" s="19" t="s">
        <v>133</v>
      </c>
      <c r="C5273" s="20" t="s">
        <v>168</v>
      </c>
      <c r="D5273" s="14" t="str">
        <f>VLOOKUP(C5273,'State Key'!$A$2:$B$210,2,False)</f>
        <v>Maharashtra</v>
      </c>
      <c r="E5273" s="21">
        <v>2320.0</v>
      </c>
      <c r="F5273" s="22">
        <v>875.69</v>
      </c>
      <c r="G5273" s="22">
        <v>8.44</v>
      </c>
      <c r="H5273" s="22">
        <v>23.4</v>
      </c>
      <c r="I5273" s="22">
        <v>0.0</v>
      </c>
      <c r="J5273" s="22">
        <v>0.0</v>
      </c>
      <c r="K5273" s="22">
        <v>4.26</v>
      </c>
      <c r="L5273" s="22">
        <v>911.79</v>
      </c>
      <c r="M5273" s="22">
        <v>958.958</v>
      </c>
      <c r="N5273" s="22">
        <v>556.516</v>
      </c>
      <c r="O5273" s="24">
        <v>17.4</v>
      </c>
      <c r="P5273" s="18">
        <f t="shared" si="1"/>
        <v>911.79</v>
      </c>
    </row>
    <row r="5274" ht="15.75" customHeight="1">
      <c r="A5274" s="13" t="s">
        <v>254</v>
      </c>
      <c r="B5274" s="13" t="s">
        <v>133</v>
      </c>
      <c r="C5274" s="14" t="s">
        <v>169</v>
      </c>
      <c r="D5274" s="14" t="str">
        <f>VLOOKUP(C5274,'State Key'!$A$2:$B$210,2,False)</f>
        <v>Madhya Pradesh</v>
      </c>
      <c r="E5274" s="15">
        <v>246.01</v>
      </c>
      <c r="F5274" s="16">
        <v>0.0</v>
      </c>
      <c r="G5274" s="16">
        <v>0.0</v>
      </c>
      <c r="H5274" s="16">
        <v>0.0</v>
      </c>
      <c r="I5274" s="16">
        <v>0.0</v>
      </c>
      <c r="J5274" s="16">
        <v>0.0</v>
      </c>
      <c r="K5274" s="16">
        <v>0.0</v>
      </c>
      <c r="L5274" s="16">
        <v>0.0</v>
      </c>
      <c r="M5274" s="16">
        <v>0.0</v>
      </c>
      <c r="N5274" s="16">
        <v>0.0</v>
      </c>
      <c r="O5274" s="13" t="s">
        <v>58</v>
      </c>
      <c r="P5274" s="18">
        <f t="shared" si="1"/>
        <v>0</v>
      </c>
    </row>
    <row r="5275" ht="15.75" customHeight="1">
      <c r="A5275" s="19" t="s">
        <v>254</v>
      </c>
      <c r="B5275" s="19" t="s">
        <v>133</v>
      </c>
      <c r="C5275" s="20" t="s">
        <v>172</v>
      </c>
      <c r="D5275" s="14" t="str">
        <f>VLOOKUP(C5275,'State Key'!$A$2:$B$210,2,False)</f>
        <v>Gujarat</v>
      </c>
      <c r="E5275" s="21">
        <v>4000.0</v>
      </c>
      <c r="F5275" s="22">
        <v>0.0</v>
      </c>
      <c r="G5275" s="22">
        <v>0.0</v>
      </c>
      <c r="H5275" s="22">
        <v>0.0</v>
      </c>
      <c r="I5275" s="22">
        <v>0.0</v>
      </c>
      <c r="J5275" s="22">
        <v>732.952</v>
      </c>
      <c r="K5275" s="22">
        <v>0.0</v>
      </c>
      <c r="L5275" s="22">
        <v>732.952</v>
      </c>
      <c r="M5275" s="22">
        <v>0.0</v>
      </c>
      <c r="N5275" s="22">
        <v>1874.02</v>
      </c>
      <c r="O5275" s="19" t="s">
        <v>58</v>
      </c>
      <c r="P5275" s="18">
        <f t="shared" si="1"/>
        <v>732.952</v>
      </c>
    </row>
    <row r="5276" ht="15.75" customHeight="1">
      <c r="A5276" s="13" t="s">
        <v>254</v>
      </c>
      <c r="B5276" s="13" t="s">
        <v>133</v>
      </c>
      <c r="C5276" s="14" t="s">
        <v>174</v>
      </c>
      <c r="D5276" s="14" t="str">
        <f>VLOOKUP(C5276,'State Key'!$A$2:$B$210,2,False)</f>
        <v>Maharashtra</v>
      </c>
      <c r="E5276" s="15">
        <v>630.0</v>
      </c>
      <c r="F5276" s="16">
        <v>189.565</v>
      </c>
      <c r="G5276" s="16">
        <v>4.043</v>
      </c>
      <c r="H5276" s="16">
        <v>0.0</v>
      </c>
      <c r="I5276" s="16">
        <v>0.0</v>
      </c>
      <c r="J5276" s="16">
        <v>0.0</v>
      </c>
      <c r="K5276" s="16">
        <v>0.0</v>
      </c>
      <c r="L5276" s="16">
        <v>193.608</v>
      </c>
      <c r="M5276" s="16">
        <v>241.248</v>
      </c>
      <c r="N5276" s="16">
        <v>220.23</v>
      </c>
      <c r="O5276" s="24">
        <v>27.4</v>
      </c>
      <c r="P5276" s="18">
        <f t="shared" si="1"/>
        <v>193.608</v>
      </c>
    </row>
    <row r="5277" ht="15.75" customHeight="1">
      <c r="A5277" s="19" t="s">
        <v>254</v>
      </c>
      <c r="B5277" s="19" t="s">
        <v>133</v>
      </c>
      <c r="C5277" s="20" t="s">
        <v>175</v>
      </c>
      <c r="D5277" s="14" t="str">
        <f>VLOOKUP(C5277,'State Key'!$A$2:$B$210,2,False)</f>
        <v>Chhattisgarh</v>
      </c>
      <c r="E5277" s="21">
        <v>600.0</v>
      </c>
      <c r="F5277" s="22">
        <v>192.55</v>
      </c>
      <c r="G5277" s="22">
        <v>0.0</v>
      </c>
      <c r="H5277" s="22">
        <v>0.0</v>
      </c>
      <c r="I5277" s="22">
        <v>0.995</v>
      </c>
      <c r="J5277" s="22">
        <v>0.0</v>
      </c>
      <c r="K5277" s="22">
        <v>0.0</v>
      </c>
      <c r="L5277" s="22">
        <v>193.545</v>
      </c>
      <c r="M5277" s="22">
        <v>259.44</v>
      </c>
      <c r="N5277" s="22">
        <v>153.06</v>
      </c>
      <c r="O5277" s="24">
        <v>17.7</v>
      </c>
      <c r="P5277" s="18">
        <f t="shared" si="1"/>
        <v>193.545</v>
      </c>
    </row>
    <row r="5278" ht="15.75" customHeight="1">
      <c r="A5278" s="13" t="s">
        <v>254</v>
      </c>
      <c r="B5278" s="13" t="s">
        <v>133</v>
      </c>
      <c r="C5278" s="14" t="s">
        <v>176</v>
      </c>
      <c r="D5278" s="14" t="str">
        <f>VLOOKUP(C5278,'State Key'!$A$2:$B$210,2,False)</f>
        <v>Madhya Pradesh</v>
      </c>
      <c r="E5278" s="15">
        <v>1320.0</v>
      </c>
      <c r="F5278" s="16">
        <v>0.0</v>
      </c>
      <c r="G5278" s="16">
        <v>0.0</v>
      </c>
      <c r="H5278" s="16">
        <v>415.6992</v>
      </c>
      <c r="I5278" s="16">
        <v>60.361</v>
      </c>
      <c r="J5278" s="16">
        <v>0.0</v>
      </c>
      <c r="K5278" s="16">
        <v>0.0</v>
      </c>
      <c r="L5278" s="16">
        <v>476.0602</v>
      </c>
      <c r="M5278" s="16">
        <v>498.726</v>
      </c>
      <c r="N5278" s="16">
        <v>339.372</v>
      </c>
      <c r="O5278" s="24">
        <v>20.4</v>
      </c>
      <c r="P5278" s="18">
        <f t="shared" si="1"/>
        <v>476.0602</v>
      </c>
    </row>
    <row r="5279" ht="15.75" customHeight="1">
      <c r="A5279" s="19" t="s">
        <v>254</v>
      </c>
      <c r="B5279" s="19" t="s">
        <v>133</v>
      </c>
      <c r="C5279" s="20" t="s">
        <v>177</v>
      </c>
      <c r="D5279" s="14" t="str">
        <f>VLOOKUP(C5279,'State Key'!$A$2:$B$210,2,False)</f>
        <v>Madhya Pradesh</v>
      </c>
      <c r="E5279" s="21">
        <v>90.0</v>
      </c>
      <c r="F5279" s="22">
        <v>38.11</v>
      </c>
      <c r="G5279" s="22">
        <v>0.0</v>
      </c>
      <c r="H5279" s="22">
        <v>0.0</v>
      </c>
      <c r="I5279" s="22">
        <v>0.0</v>
      </c>
      <c r="J5279" s="22">
        <v>0.0</v>
      </c>
      <c r="K5279" s="22">
        <v>0.0</v>
      </c>
      <c r="L5279" s="22">
        <v>38.11</v>
      </c>
      <c r="M5279" s="22">
        <v>35.42</v>
      </c>
      <c r="N5279" s="22">
        <v>77.39</v>
      </c>
      <c r="O5279" s="24">
        <v>65.5</v>
      </c>
      <c r="P5279" s="18">
        <f t="shared" si="1"/>
        <v>38.11</v>
      </c>
    </row>
    <row r="5280" ht="15.75" customHeight="1">
      <c r="A5280" s="13" t="s">
        <v>254</v>
      </c>
      <c r="B5280" s="13" t="s">
        <v>133</v>
      </c>
      <c r="C5280" s="14" t="s">
        <v>178</v>
      </c>
      <c r="D5280" s="14" t="str">
        <f>VLOOKUP(C5280,'State Key'!$A$2:$B$210,2,False)</f>
        <v>Chhattisgarh</v>
      </c>
      <c r="E5280" s="15">
        <v>1000.0</v>
      </c>
      <c r="F5280" s="16">
        <v>70.533</v>
      </c>
      <c r="G5280" s="16">
        <v>0.0</v>
      </c>
      <c r="H5280" s="16">
        <v>553.323</v>
      </c>
      <c r="I5280" s="16">
        <v>0.0</v>
      </c>
      <c r="J5280" s="16">
        <v>0.0</v>
      </c>
      <c r="K5280" s="16">
        <v>236.165</v>
      </c>
      <c r="L5280" s="16">
        <v>860.021</v>
      </c>
      <c r="M5280" s="16">
        <v>537.737</v>
      </c>
      <c r="N5280" s="16">
        <v>540.04</v>
      </c>
      <c r="O5280" s="24">
        <v>30.1</v>
      </c>
      <c r="P5280" s="18">
        <f t="shared" si="1"/>
        <v>860.021</v>
      </c>
    </row>
    <row r="5281" ht="15.75" customHeight="1">
      <c r="A5281" s="19" t="s">
        <v>254</v>
      </c>
      <c r="B5281" s="19" t="s">
        <v>133</v>
      </c>
      <c r="C5281" s="20" t="s">
        <v>179</v>
      </c>
      <c r="D5281" s="14" t="str">
        <f>VLOOKUP(C5281,'State Key'!$A$2:$B$210,2,False)</f>
        <v>Maharashtra</v>
      </c>
      <c r="E5281" s="21">
        <v>500.0</v>
      </c>
      <c r="F5281" s="22">
        <v>130.144</v>
      </c>
      <c r="G5281" s="22">
        <v>64.595</v>
      </c>
      <c r="H5281" s="22">
        <v>0.0</v>
      </c>
      <c r="I5281" s="22">
        <v>0.0</v>
      </c>
      <c r="J5281" s="22">
        <v>0.0</v>
      </c>
      <c r="K5281" s="22">
        <v>0.0</v>
      </c>
      <c r="L5281" s="22">
        <v>194.739</v>
      </c>
      <c r="M5281" s="22">
        <v>177.645</v>
      </c>
      <c r="N5281" s="22">
        <v>99.42</v>
      </c>
      <c r="O5281" s="24">
        <v>16.8</v>
      </c>
      <c r="P5281" s="18">
        <f t="shared" si="1"/>
        <v>194.739</v>
      </c>
    </row>
    <row r="5282" ht="15.75" customHeight="1">
      <c r="A5282" s="13" t="s">
        <v>254</v>
      </c>
      <c r="B5282" s="13" t="s">
        <v>133</v>
      </c>
      <c r="C5282" s="14" t="s">
        <v>180</v>
      </c>
      <c r="D5282" s="14" t="str">
        <f>VLOOKUP(C5282,'State Key'!$A$2:$B$210,2,False)</f>
        <v>Maharashtra</v>
      </c>
      <c r="E5282" s="15">
        <v>750.0</v>
      </c>
      <c r="F5282" s="16">
        <v>36.123</v>
      </c>
      <c r="G5282" s="16">
        <v>173.291</v>
      </c>
      <c r="H5282" s="16">
        <v>0.0</v>
      </c>
      <c r="I5282" s="16">
        <v>0.0</v>
      </c>
      <c r="J5282" s="16">
        <v>0.0</v>
      </c>
      <c r="K5282" s="16">
        <v>0.0</v>
      </c>
      <c r="L5282" s="16">
        <v>209.414</v>
      </c>
      <c r="M5282" s="16">
        <v>203.678</v>
      </c>
      <c r="N5282" s="16">
        <v>184.15</v>
      </c>
      <c r="O5282" s="24">
        <v>27.1</v>
      </c>
      <c r="P5282" s="18">
        <f t="shared" si="1"/>
        <v>209.414</v>
      </c>
    </row>
    <row r="5283" ht="15.75" customHeight="1">
      <c r="A5283" s="19" t="s">
        <v>254</v>
      </c>
      <c r="B5283" s="19" t="s">
        <v>133</v>
      </c>
      <c r="C5283" s="20" t="s">
        <v>181</v>
      </c>
      <c r="D5283" s="14" t="str">
        <f>VLOOKUP(C5283,'State Key'!$A$2:$B$210,2,False)</f>
        <v>Chhattisgarh</v>
      </c>
      <c r="E5283" s="21">
        <v>600.0</v>
      </c>
      <c r="F5283" s="22">
        <v>219.748</v>
      </c>
      <c r="G5283" s="22">
        <v>0.0</v>
      </c>
      <c r="H5283" s="22">
        <v>0.0</v>
      </c>
      <c r="I5283" s="22">
        <v>0.0</v>
      </c>
      <c r="J5283" s="22">
        <v>0.0</v>
      </c>
      <c r="K5283" s="22">
        <v>12.286</v>
      </c>
      <c r="L5283" s="22">
        <v>232.034</v>
      </c>
      <c r="M5283" s="22">
        <v>255.507</v>
      </c>
      <c r="N5283" s="22">
        <v>83.98</v>
      </c>
      <c r="O5283" s="23">
        <v>9.9</v>
      </c>
      <c r="P5283" s="18">
        <f t="shared" si="1"/>
        <v>232.034</v>
      </c>
    </row>
    <row r="5284" ht="15.75" customHeight="1">
      <c r="A5284" s="13" t="s">
        <v>254</v>
      </c>
      <c r="B5284" s="13" t="s">
        <v>133</v>
      </c>
      <c r="C5284" s="14" t="s">
        <v>183</v>
      </c>
      <c r="D5284" s="14" t="str">
        <f>VLOOKUP(C5284,'State Key'!$A$2:$B$210,2,False)</f>
        <v>Chhattisgarh</v>
      </c>
      <c r="E5284" s="15">
        <v>100.0</v>
      </c>
      <c r="F5284" s="16">
        <v>5.353</v>
      </c>
      <c r="G5284" s="16">
        <v>0.0</v>
      </c>
      <c r="H5284" s="16">
        <v>0.0</v>
      </c>
      <c r="I5284" s="16">
        <v>0.0</v>
      </c>
      <c r="J5284" s="16">
        <v>0.0</v>
      </c>
      <c r="K5284" s="16">
        <v>42.984</v>
      </c>
      <c r="L5284" s="16">
        <v>48.337</v>
      </c>
      <c r="M5284" s="16">
        <v>73.37</v>
      </c>
      <c r="N5284" s="16">
        <v>4.8</v>
      </c>
      <c r="O5284" s="17">
        <v>2.0</v>
      </c>
      <c r="P5284" s="18">
        <f t="shared" si="1"/>
        <v>48.337</v>
      </c>
    </row>
    <row r="5285" ht="15.75" customHeight="1">
      <c r="A5285" s="19" t="s">
        <v>254</v>
      </c>
      <c r="B5285" s="19" t="s">
        <v>133</v>
      </c>
      <c r="C5285" s="20" t="s">
        <v>184</v>
      </c>
      <c r="D5285" s="14" t="str">
        <f>VLOOKUP(C5285,'State Key'!$A$2:$B$210,2,False)</f>
        <v>Gujarat</v>
      </c>
      <c r="E5285" s="21">
        <v>362.0</v>
      </c>
      <c r="F5285" s="22">
        <v>99.623</v>
      </c>
      <c r="G5285" s="22">
        <v>0.0</v>
      </c>
      <c r="H5285" s="22">
        <v>0.0</v>
      </c>
      <c r="I5285" s="22">
        <v>0.0</v>
      </c>
      <c r="J5285" s="22">
        <v>39.536</v>
      </c>
      <c r="K5285" s="22">
        <v>0.0</v>
      </c>
      <c r="L5285" s="22">
        <v>139.159</v>
      </c>
      <c r="M5285" s="22">
        <v>132.502</v>
      </c>
      <c r="N5285" s="22">
        <v>41.58</v>
      </c>
      <c r="O5285" s="23">
        <v>9.4</v>
      </c>
      <c r="P5285" s="18">
        <f t="shared" si="1"/>
        <v>139.159</v>
      </c>
    </row>
    <row r="5286" ht="15.75" customHeight="1">
      <c r="A5286" s="13" t="s">
        <v>254</v>
      </c>
      <c r="B5286" s="13" t="s">
        <v>133</v>
      </c>
      <c r="C5286" s="14" t="s">
        <v>185</v>
      </c>
      <c r="D5286" s="14" t="str">
        <f>VLOOKUP(C5286,'State Key'!$A$2:$B$210,2,False)</f>
        <v>Gujarat</v>
      </c>
      <c r="E5286" s="15">
        <v>1200.0</v>
      </c>
      <c r="F5286" s="16">
        <v>0.0</v>
      </c>
      <c r="G5286" s="16">
        <v>0.0</v>
      </c>
      <c r="H5286" s="16">
        <v>0.0</v>
      </c>
      <c r="I5286" s="16">
        <v>0.0</v>
      </c>
      <c r="J5286" s="16">
        <v>78.351</v>
      </c>
      <c r="K5286" s="16">
        <v>0.0</v>
      </c>
      <c r="L5286" s="16">
        <v>78.351</v>
      </c>
      <c r="M5286" s="16">
        <v>182.253</v>
      </c>
      <c r="N5286" s="16">
        <v>183.493</v>
      </c>
      <c r="O5286" s="24">
        <v>30.2</v>
      </c>
      <c r="P5286" s="18">
        <f t="shared" si="1"/>
        <v>78.351</v>
      </c>
    </row>
    <row r="5287" ht="15.75" customHeight="1">
      <c r="A5287" s="19" t="s">
        <v>254</v>
      </c>
      <c r="B5287" s="19" t="s">
        <v>133</v>
      </c>
      <c r="C5287" s="20" t="s">
        <v>187</v>
      </c>
      <c r="D5287" s="14" t="str">
        <f>VLOOKUP(C5287,'State Key'!$A$2:$B$210,2,False)</f>
        <v>Madhya Pradesh</v>
      </c>
      <c r="E5287" s="21">
        <v>1340.0</v>
      </c>
      <c r="F5287" s="22">
        <v>212.886</v>
      </c>
      <c r="G5287" s="22">
        <v>0.0</v>
      </c>
      <c r="H5287" s="22">
        <v>0.0</v>
      </c>
      <c r="I5287" s="22">
        <v>0.0</v>
      </c>
      <c r="J5287" s="22">
        <v>0.0</v>
      </c>
      <c r="K5287" s="22">
        <v>0.0</v>
      </c>
      <c r="L5287" s="22">
        <v>212.886</v>
      </c>
      <c r="M5287" s="22">
        <v>305.088</v>
      </c>
      <c r="N5287" s="22">
        <v>309.8</v>
      </c>
      <c r="O5287" s="24">
        <v>30.5</v>
      </c>
      <c r="P5287" s="18">
        <f t="shared" si="1"/>
        <v>212.886</v>
      </c>
    </row>
    <row r="5288" ht="15.75" customHeight="1">
      <c r="A5288" s="13" t="s">
        <v>254</v>
      </c>
      <c r="B5288" s="13" t="s">
        <v>133</v>
      </c>
      <c r="C5288" s="14" t="s">
        <v>188</v>
      </c>
      <c r="D5288" s="14" t="str">
        <f>VLOOKUP(C5288,'State Key'!$A$2:$B$210,2,False)</f>
        <v>Madhya Pradesh</v>
      </c>
      <c r="E5288" s="15">
        <v>3960.0</v>
      </c>
      <c r="F5288" s="16">
        <v>0.0</v>
      </c>
      <c r="G5288" s="16">
        <v>0.0</v>
      </c>
      <c r="H5288" s="16">
        <v>1451.99</v>
      </c>
      <c r="I5288" s="16">
        <v>0.0</v>
      </c>
      <c r="J5288" s="16">
        <v>0.0</v>
      </c>
      <c r="K5288" s="16">
        <v>0.0</v>
      </c>
      <c r="L5288" s="16">
        <v>1451.99</v>
      </c>
      <c r="M5288" s="16">
        <v>1398.733</v>
      </c>
      <c r="N5288" s="16">
        <v>234.31</v>
      </c>
      <c r="O5288" s="17">
        <v>5.0</v>
      </c>
      <c r="P5288" s="18">
        <f t="shared" si="1"/>
        <v>1451.99</v>
      </c>
    </row>
    <row r="5289" ht="15.75" customHeight="1">
      <c r="A5289" s="19" t="s">
        <v>254</v>
      </c>
      <c r="B5289" s="19" t="s">
        <v>133</v>
      </c>
      <c r="C5289" s="20" t="s">
        <v>189</v>
      </c>
      <c r="D5289" s="14" t="str">
        <f>VLOOKUP(C5289,'State Key'!$A$2:$B$210,2,False)</f>
        <v>Madhya Pradesh</v>
      </c>
      <c r="E5289" s="21">
        <v>500.0</v>
      </c>
      <c r="F5289" s="22">
        <v>147.66101</v>
      </c>
      <c r="G5289" s="22">
        <v>0.0</v>
      </c>
      <c r="H5289" s="22">
        <v>0.0</v>
      </c>
      <c r="I5289" s="22">
        <v>0.0</v>
      </c>
      <c r="J5289" s="22">
        <v>0.0</v>
      </c>
      <c r="K5289" s="22">
        <v>0.0</v>
      </c>
      <c r="L5289" s="22">
        <v>147.66101</v>
      </c>
      <c r="M5289" s="22">
        <v>107.865</v>
      </c>
      <c r="N5289" s="22">
        <v>237.2</v>
      </c>
      <c r="O5289" s="24">
        <v>66.0</v>
      </c>
      <c r="P5289" s="18">
        <f t="shared" si="1"/>
        <v>147.66101</v>
      </c>
    </row>
    <row r="5290" ht="15.75" customHeight="1">
      <c r="A5290" s="13" t="s">
        <v>254</v>
      </c>
      <c r="B5290" s="13" t="s">
        <v>133</v>
      </c>
      <c r="C5290" s="14" t="s">
        <v>190</v>
      </c>
      <c r="D5290" s="14" t="str">
        <f>VLOOKUP(C5290,'State Key'!$A$2:$B$210,2,False)</f>
        <v>Madhya Pradesh</v>
      </c>
      <c r="E5290" s="15">
        <v>600.0</v>
      </c>
      <c r="F5290" s="16">
        <v>122.453</v>
      </c>
      <c r="G5290" s="16">
        <v>0.0</v>
      </c>
      <c r="H5290" s="16">
        <v>0.0</v>
      </c>
      <c r="I5290" s="16">
        <v>104.766</v>
      </c>
      <c r="J5290" s="16">
        <v>0.0</v>
      </c>
      <c r="K5290" s="16">
        <v>0.0</v>
      </c>
      <c r="L5290" s="16">
        <v>227.219</v>
      </c>
      <c r="M5290" s="16">
        <v>257.487</v>
      </c>
      <c r="N5290" s="16">
        <v>98.38</v>
      </c>
      <c r="O5290" s="23">
        <v>11.5</v>
      </c>
      <c r="P5290" s="18">
        <f t="shared" si="1"/>
        <v>227.219</v>
      </c>
    </row>
    <row r="5291" ht="15.75" customHeight="1">
      <c r="A5291" s="19" t="s">
        <v>254</v>
      </c>
      <c r="B5291" s="19" t="s">
        <v>133</v>
      </c>
      <c r="C5291" s="20" t="s">
        <v>191</v>
      </c>
      <c r="D5291" s="14" t="str">
        <f>VLOOKUP(C5291,'State Key'!$A$2:$B$210,2,False)</f>
        <v>Maharashtra</v>
      </c>
      <c r="E5291" s="21">
        <v>300.0</v>
      </c>
      <c r="F5291" s="22">
        <v>0.0</v>
      </c>
      <c r="G5291" s="22">
        <v>0.0</v>
      </c>
      <c r="H5291" s="22">
        <v>0.0</v>
      </c>
      <c r="I5291" s="22">
        <v>0.0</v>
      </c>
      <c r="J5291" s="22">
        <v>0.0</v>
      </c>
      <c r="K5291" s="22">
        <v>100.751</v>
      </c>
      <c r="L5291" s="22">
        <v>100.751</v>
      </c>
      <c r="M5291" s="22">
        <v>98.804</v>
      </c>
      <c r="N5291" s="22">
        <v>95.36</v>
      </c>
      <c r="O5291" s="24">
        <v>29.0</v>
      </c>
      <c r="P5291" s="18">
        <f t="shared" si="1"/>
        <v>100.751</v>
      </c>
    </row>
    <row r="5292" ht="15.75" customHeight="1">
      <c r="A5292" s="13" t="s">
        <v>254</v>
      </c>
      <c r="B5292" s="13" t="s">
        <v>133</v>
      </c>
      <c r="C5292" s="14" t="s">
        <v>192</v>
      </c>
      <c r="D5292" s="14" t="str">
        <f>VLOOKUP(C5292,'State Key'!$A$2:$B$210,2,False)</f>
        <v>Madhya Pradesh</v>
      </c>
      <c r="E5292" s="15">
        <v>2520.0</v>
      </c>
      <c r="F5292" s="16">
        <v>811.641</v>
      </c>
      <c r="G5292" s="16">
        <v>0.0</v>
      </c>
      <c r="H5292" s="16">
        <v>0.0</v>
      </c>
      <c r="I5292" s="16">
        <v>0.0</v>
      </c>
      <c r="J5292" s="16">
        <v>0.0</v>
      </c>
      <c r="K5292" s="16">
        <v>0.0</v>
      </c>
      <c r="L5292" s="16">
        <v>811.641</v>
      </c>
      <c r="M5292" s="16">
        <v>752.075</v>
      </c>
      <c r="N5292" s="16">
        <v>555.39</v>
      </c>
      <c r="O5292" s="24">
        <v>22.2</v>
      </c>
      <c r="P5292" s="18">
        <f t="shared" si="1"/>
        <v>811.641</v>
      </c>
    </row>
    <row r="5293" ht="15.75" customHeight="1">
      <c r="A5293" s="19" t="s">
        <v>254</v>
      </c>
      <c r="B5293" s="19" t="s">
        <v>133</v>
      </c>
      <c r="C5293" s="20" t="s">
        <v>193</v>
      </c>
      <c r="D5293" s="14" t="str">
        <f>VLOOKUP(C5293,'State Key'!$A$2:$B$210,2,False)</f>
        <v>Gujarat</v>
      </c>
      <c r="E5293" s="21">
        <v>500.0</v>
      </c>
      <c r="F5293" s="22">
        <v>0.0</v>
      </c>
      <c r="G5293" s="22">
        <v>0.0</v>
      </c>
      <c r="H5293" s="22">
        <v>0.0</v>
      </c>
      <c r="I5293" s="22">
        <v>0.0</v>
      </c>
      <c r="J5293" s="22">
        <v>15.84</v>
      </c>
      <c r="K5293" s="22">
        <v>0.0</v>
      </c>
      <c r="L5293" s="22">
        <v>15.84</v>
      </c>
      <c r="M5293" s="22">
        <v>28.245</v>
      </c>
      <c r="N5293" s="22">
        <v>87.08</v>
      </c>
      <c r="O5293" s="24">
        <v>92.5</v>
      </c>
      <c r="P5293" s="18">
        <f t="shared" si="1"/>
        <v>15.84</v>
      </c>
    </row>
    <row r="5294" ht="15.75" customHeight="1">
      <c r="A5294" s="13" t="s">
        <v>254</v>
      </c>
      <c r="B5294" s="13" t="s">
        <v>133</v>
      </c>
      <c r="C5294" s="14" t="s">
        <v>194</v>
      </c>
      <c r="D5294" s="14" t="str">
        <f>VLOOKUP(C5294,'State Key'!$A$2:$B$210,2,False)</f>
        <v>Chhattisgarh</v>
      </c>
      <c r="E5294" s="15">
        <v>2980.0</v>
      </c>
      <c r="F5294" s="16">
        <v>1202.85</v>
      </c>
      <c r="G5294" s="16">
        <v>0.0</v>
      </c>
      <c r="H5294" s="16">
        <v>0.0</v>
      </c>
      <c r="I5294" s="16">
        <v>0.0</v>
      </c>
      <c r="J5294" s="16">
        <v>0.0</v>
      </c>
      <c r="K5294" s="16">
        <v>0.0</v>
      </c>
      <c r="L5294" s="16">
        <v>1202.85</v>
      </c>
      <c r="M5294" s="16">
        <v>1115.981</v>
      </c>
      <c r="N5294" s="16">
        <v>704.08</v>
      </c>
      <c r="O5294" s="24">
        <v>18.9</v>
      </c>
      <c r="P5294" s="18">
        <f t="shared" si="1"/>
        <v>1202.85</v>
      </c>
    </row>
    <row r="5295" ht="15.75" customHeight="1">
      <c r="A5295" s="19" t="s">
        <v>254</v>
      </c>
      <c r="B5295" s="19" t="s">
        <v>133</v>
      </c>
      <c r="C5295" s="20" t="s">
        <v>195</v>
      </c>
      <c r="D5295" s="14" t="str">
        <f>VLOOKUP(C5295,'State Key'!$A$2:$B$210,2,False)</f>
        <v>Maharashtra</v>
      </c>
      <c r="E5295" s="21">
        <v>1320.0</v>
      </c>
      <c r="F5295" s="22">
        <v>186.38</v>
      </c>
      <c r="G5295" s="22">
        <v>117.6</v>
      </c>
      <c r="H5295" s="22">
        <v>15.11</v>
      </c>
      <c r="I5295" s="22">
        <v>0.0</v>
      </c>
      <c r="J5295" s="22">
        <v>0.0</v>
      </c>
      <c r="K5295" s="22">
        <v>40.96</v>
      </c>
      <c r="L5295" s="22">
        <v>360.05</v>
      </c>
      <c r="M5295" s="22">
        <v>425.429</v>
      </c>
      <c r="N5295" s="22">
        <v>486.622</v>
      </c>
      <c r="O5295" s="24">
        <v>34.3</v>
      </c>
      <c r="P5295" s="18">
        <f t="shared" si="1"/>
        <v>360.05</v>
      </c>
    </row>
    <row r="5296" ht="15.75" customHeight="1">
      <c r="A5296" s="13" t="s">
        <v>254</v>
      </c>
      <c r="B5296" s="13" t="s">
        <v>133</v>
      </c>
      <c r="C5296" s="14" t="s">
        <v>196</v>
      </c>
      <c r="D5296" s="14" t="str">
        <f>VLOOKUP(C5296,'State Key'!$A$2:$B$210,2,False)</f>
        <v>Chhattisgarh</v>
      </c>
      <c r="E5296" s="15">
        <v>63.0</v>
      </c>
      <c r="F5296" s="16">
        <v>5.263</v>
      </c>
      <c r="G5296" s="16">
        <v>0.0</v>
      </c>
      <c r="H5296" s="16">
        <v>0.0</v>
      </c>
      <c r="I5296" s="16">
        <v>0.0</v>
      </c>
      <c r="J5296" s="16">
        <v>0.0</v>
      </c>
      <c r="K5296" s="16">
        <v>29.8102</v>
      </c>
      <c r="L5296" s="16">
        <v>35.0732</v>
      </c>
      <c r="M5296" s="16">
        <v>3.042</v>
      </c>
      <c r="N5296" s="16">
        <v>59.74</v>
      </c>
      <c r="O5296" s="24">
        <v>589.2</v>
      </c>
      <c r="P5296" s="18">
        <f t="shared" si="1"/>
        <v>35.0732</v>
      </c>
    </row>
    <row r="5297" ht="15.75" customHeight="1">
      <c r="A5297" s="19" t="s">
        <v>254</v>
      </c>
      <c r="B5297" s="19" t="s">
        <v>133</v>
      </c>
      <c r="C5297" s="20" t="s">
        <v>198</v>
      </c>
      <c r="D5297" s="14" t="str">
        <f>VLOOKUP(C5297,'State Key'!$A$2:$B$210,2,False)</f>
        <v>Chhattisgarh</v>
      </c>
      <c r="E5297" s="21">
        <v>2400.0</v>
      </c>
      <c r="F5297" s="22">
        <v>581.655</v>
      </c>
      <c r="G5297" s="22">
        <v>0.0</v>
      </c>
      <c r="H5297" s="22">
        <v>442.518</v>
      </c>
      <c r="I5297" s="22">
        <v>0.0</v>
      </c>
      <c r="J5297" s="22">
        <v>0.0</v>
      </c>
      <c r="K5297" s="22">
        <v>0.227</v>
      </c>
      <c r="L5297" s="22">
        <v>1024.4</v>
      </c>
      <c r="M5297" s="22">
        <v>1034.204</v>
      </c>
      <c r="N5297" s="22">
        <v>633.393</v>
      </c>
      <c r="O5297" s="24">
        <v>18.4</v>
      </c>
      <c r="P5297" s="18">
        <f t="shared" si="1"/>
        <v>1024.4</v>
      </c>
    </row>
    <row r="5298" ht="15.75" customHeight="1">
      <c r="A5298" s="13" t="s">
        <v>254</v>
      </c>
      <c r="B5298" s="13" t="s">
        <v>133</v>
      </c>
      <c r="C5298" s="14" t="s">
        <v>200</v>
      </c>
      <c r="D5298" s="14" t="str">
        <f>VLOOKUP(C5298,'State Key'!$A$2:$B$210,2,False)</f>
        <v>Maharashtra</v>
      </c>
      <c r="E5298" s="15">
        <v>750.0</v>
      </c>
      <c r="F5298" s="16">
        <v>0.0</v>
      </c>
      <c r="G5298" s="16">
        <v>0.0</v>
      </c>
      <c r="H5298" s="16">
        <v>0.0</v>
      </c>
      <c r="I5298" s="16">
        <v>0.0</v>
      </c>
      <c r="J5298" s="16">
        <v>145.113798</v>
      </c>
      <c r="K5298" s="16">
        <v>0.0</v>
      </c>
      <c r="L5298" s="16">
        <v>145.113798</v>
      </c>
      <c r="M5298" s="16">
        <v>221.607</v>
      </c>
      <c r="N5298" s="16">
        <v>97.71</v>
      </c>
      <c r="O5298" s="23">
        <v>13.2</v>
      </c>
      <c r="P5298" s="18">
        <f t="shared" si="1"/>
        <v>145.113798</v>
      </c>
    </row>
    <row r="5299" ht="15.75" customHeight="1">
      <c r="A5299" s="19" t="s">
        <v>254</v>
      </c>
      <c r="B5299" s="19" t="s">
        <v>133</v>
      </c>
      <c r="C5299" s="20" t="s">
        <v>201</v>
      </c>
      <c r="D5299" s="14" t="str">
        <f>VLOOKUP(C5299,'State Key'!$A$2:$B$210,2,False)</f>
        <v>Chhattisgarh</v>
      </c>
      <c r="E5299" s="21">
        <v>1440.0</v>
      </c>
      <c r="F5299" s="22">
        <v>471.627</v>
      </c>
      <c r="G5299" s="22">
        <v>0.0</v>
      </c>
      <c r="H5299" s="22">
        <v>0.0</v>
      </c>
      <c r="I5299" s="22">
        <v>0.0</v>
      </c>
      <c r="J5299" s="22">
        <v>0.0</v>
      </c>
      <c r="K5299" s="22">
        <v>0.0</v>
      </c>
      <c r="L5299" s="22">
        <v>471.627</v>
      </c>
      <c r="M5299" s="22">
        <v>503.216</v>
      </c>
      <c r="N5299" s="22">
        <v>1431.05</v>
      </c>
      <c r="O5299" s="24">
        <v>85.3</v>
      </c>
      <c r="P5299" s="18">
        <f t="shared" si="1"/>
        <v>471.627</v>
      </c>
    </row>
    <row r="5300" ht="15.75" customHeight="1">
      <c r="A5300" s="13" t="s">
        <v>254</v>
      </c>
      <c r="B5300" s="13" t="s">
        <v>133</v>
      </c>
      <c r="C5300" s="14" t="s">
        <v>202</v>
      </c>
      <c r="D5300" s="14" t="str">
        <f>VLOOKUP(C5300,'State Key'!$A$2:$B$210,2,False)</f>
        <v>Gujarat</v>
      </c>
      <c r="E5300" s="15">
        <v>1110.0</v>
      </c>
      <c r="F5300" s="16">
        <v>404.551</v>
      </c>
      <c r="G5300" s="16">
        <v>0.0</v>
      </c>
      <c r="H5300" s="16">
        <v>0.0</v>
      </c>
      <c r="I5300" s="16">
        <v>0.0</v>
      </c>
      <c r="J5300" s="16">
        <v>0.0</v>
      </c>
      <c r="K5300" s="16">
        <v>0.0</v>
      </c>
      <c r="L5300" s="16">
        <v>404.551</v>
      </c>
      <c r="M5300" s="16">
        <v>400.909</v>
      </c>
      <c r="N5300" s="16">
        <v>323.49</v>
      </c>
      <c r="O5300" s="24">
        <v>24.2</v>
      </c>
      <c r="P5300" s="18">
        <f t="shared" si="1"/>
        <v>404.551</v>
      </c>
    </row>
    <row r="5301" ht="15.75" customHeight="1">
      <c r="A5301" s="19" t="s">
        <v>254</v>
      </c>
      <c r="B5301" s="19" t="s">
        <v>133</v>
      </c>
      <c r="C5301" s="20" t="s">
        <v>203</v>
      </c>
      <c r="D5301" s="14" t="str">
        <f>VLOOKUP(C5301,'State Key'!$A$2:$B$210,2,False)</f>
        <v>Madhya Pradesh</v>
      </c>
      <c r="E5301" s="21">
        <v>4760.0</v>
      </c>
      <c r="F5301" s="22">
        <v>1973.27</v>
      </c>
      <c r="G5301" s="22">
        <v>0.0</v>
      </c>
      <c r="H5301" s="22">
        <v>0.0</v>
      </c>
      <c r="I5301" s="22">
        <v>0.0</v>
      </c>
      <c r="J5301" s="22">
        <v>0.0</v>
      </c>
      <c r="K5301" s="22">
        <v>0.0</v>
      </c>
      <c r="L5301" s="22">
        <v>1973.27</v>
      </c>
      <c r="M5301" s="22">
        <v>1882.393</v>
      </c>
      <c r="N5301" s="22">
        <v>735.61</v>
      </c>
      <c r="O5301" s="23">
        <v>11.7</v>
      </c>
      <c r="P5301" s="18">
        <f t="shared" si="1"/>
        <v>1973.27</v>
      </c>
    </row>
    <row r="5302" ht="15.75" customHeight="1">
      <c r="A5302" s="13" t="s">
        <v>254</v>
      </c>
      <c r="B5302" s="13" t="s">
        <v>133</v>
      </c>
      <c r="C5302" s="14" t="s">
        <v>255</v>
      </c>
      <c r="D5302" s="14" t="str">
        <f>VLOOKUP(C5302,'State Key'!$A$2:$B$210,2,False)</f>
        <v>Chhattisgarh</v>
      </c>
      <c r="E5302" s="15">
        <v>600.0</v>
      </c>
      <c r="F5302" s="16">
        <v>0.0</v>
      </c>
      <c r="G5302" s="16">
        <v>0.0</v>
      </c>
      <c r="H5302" s="16">
        <v>0.0</v>
      </c>
      <c r="I5302" s="16">
        <v>0.0</v>
      </c>
      <c r="J5302" s="16">
        <v>0.0</v>
      </c>
      <c r="K5302" s="16">
        <v>47.052</v>
      </c>
      <c r="L5302" s="16">
        <v>47.052</v>
      </c>
      <c r="M5302" s="16">
        <v>190.204</v>
      </c>
      <c r="N5302" s="16">
        <v>87.53</v>
      </c>
      <c r="O5302" s="23">
        <v>13.8</v>
      </c>
      <c r="P5302" s="18">
        <f t="shared" si="1"/>
        <v>47.052</v>
      </c>
    </row>
    <row r="5303" ht="15.75" customHeight="1">
      <c r="A5303" s="19" t="s">
        <v>254</v>
      </c>
      <c r="B5303" s="19" t="s">
        <v>133</v>
      </c>
      <c r="C5303" s="20" t="s">
        <v>204</v>
      </c>
      <c r="D5303" s="14" t="str">
        <f>VLOOKUP(C5303,'State Key'!$A$2:$B$210,2,False)</f>
        <v>Gujarat</v>
      </c>
      <c r="E5303" s="21">
        <v>2270.0</v>
      </c>
      <c r="F5303" s="22">
        <v>602.479</v>
      </c>
      <c r="G5303" s="22">
        <v>0.0</v>
      </c>
      <c r="H5303" s="22">
        <v>0.0</v>
      </c>
      <c r="I5303" s="22">
        <v>0.0</v>
      </c>
      <c r="J5303" s="22">
        <v>0.0</v>
      </c>
      <c r="K5303" s="22">
        <v>0.0</v>
      </c>
      <c r="L5303" s="22">
        <v>602.479</v>
      </c>
      <c r="M5303" s="22">
        <v>564.579</v>
      </c>
      <c r="N5303" s="22">
        <v>666.68</v>
      </c>
      <c r="O5303" s="24">
        <v>35.4</v>
      </c>
      <c r="P5303" s="18">
        <f t="shared" si="1"/>
        <v>602.479</v>
      </c>
    </row>
    <row r="5304" ht="15.75" customHeight="1">
      <c r="A5304" s="13" t="s">
        <v>254</v>
      </c>
      <c r="B5304" s="13" t="s">
        <v>133</v>
      </c>
      <c r="C5304" s="14" t="s">
        <v>205</v>
      </c>
      <c r="D5304" s="14" t="str">
        <f>VLOOKUP(C5304,'State Key'!$A$2:$B$210,2,False)</f>
        <v>Maharashtra</v>
      </c>
      <c r="E5304" s="15">
        <v>540.0</v>
      </c>
      <c r="F5304" s="16">
        <v>176.2</v>
      </c>
      <c r="G5304" s="16">
        <v>0.0</v>
      </c>
      <c r="H5304" s="16">
        <v>0.0</v>
      </c>
      <c r="I5304" s="16">
        <v>0.0</v>
      </c>
      <c r="J5304" s="16">
        <v>0.0</v>
      </c>
      <c r="K5304" s="16">
        <v>6.01</v>
      </c>
      <c r="L5304" s="16">
        <v>182.21</v>
      </c>
      <c r="M5304" s="16">
        <v>213.78</v>
      </c>
      <c r="N5304" s="16">
        <v>258.94</v>
      </c>
      <c r="O5304" s="24">
        <v>36.3</v>
      </c>
      <c r="P5304" s="18">
        <f t="shared" si="1"/>
        <v>182.21</v>
      </c>
    </row>
    <row r="5305" ht="15.75" customHeight="1">
      <c r="A5305" s="19" t="s">
        <v>256</v>
      </c>
      <c r="B5305" s="19" t="s">
        <v>22</v>
      </c>
      <c r="C5305" s="20" t="s">
        <v>23</v>
      </c>
      <c r="D5305" s="14" t="str">
        <f>VLOOKUP(C5305,'State Key'!$A$2:$B$210,2,False)</f>
        <v>West Bengal</v>
      </c>
      <c r="E5305" s="21">
        <v>1050.0</v>
      </c>
      <c r="F5305" s="22">
        <v>0.0</v>
      </c>
      <c r="G5305" s="22">
        <v>0.0</v>
      </c>
      <c r="H5305" s="22">
        <v>417.29</v>
      </c>
      <c r="I5305" s="22">
        <v>0.0</v>
      </c>
      <c r="J5305" s="22">
        <v>0.0</v>
      </c>
      <c r="K5305" s="22">
        <v>0.0</v>
      </c>
      <c r="L5305" s="22">
        <v>417.29</v>
      </c>
      <c r="M5305" s="22">
        <v>409.234</v>
      </c>
      <c r="N5305" s="22">
        <v>78.578</v>
      </c>
      <c r="O5305" s="17">
        <v>5.8</v>
      </c>
      <c r="P5305" s="18">
        <f t="shared" si="1"/>
        <v>417.29</v>
      </c>
    </row>
    <row r="5306" ht="15.75" customHeight="1">
      <c r="A5306" s="13" t="s">
        <v>256</v>
      </c>
      <c r="B5306" s="13" t="s">
        <v>22</v>
      </c>
      <c r="C5306" s="14" t="s">
        <v>24</v>
      </c>
      <c r="D5306" s="14" t="str">
        <f>VLOOKUP(C5306,'State Key'!$A$2:$B$210,2,False)</f>
        <v>West Bengal</v>
      </c>
      <c r="E5306" s="15">
        <v>270.0</v>
      </c>
      <c r="F5306" s="16">
        <v>0.0</v>
      </c>
      <c r="G5306" s="16">
        <v>0.0</v>
      </c>
      <c r="H5306" s="16">
        <v>127.565</v>
      </c>
      <c r="I5306" s="16">
        <v>0.0</v>
      </c>
      <c r="J5306" s="16">
        <v>0.0</v>
      </c>
      <c r="K5306" s="16">
        <v>0.0</v>
      </c>
      <c r="L5306" s="16">
        <v>127.565</v>
      </c>
      <c r="M5306" s="16">
        <v>103.161</v>
      </c>
      <c r="N5306" s="16">
        <v>68.958</v>
      </c>
      <c r="O5306" s="24">
        <v>20.1</v>
      </c>
      <c r="P5306" s="18">
        <f t="shared" si="1"/>
        <v>127.565</v>
      </c>
    </row>
    <row r="5307" ht="15.75" customHeight="1">
      <c r="A5307" s="19" t="s">
        <v>256</v>
      </c>
      <c r="B5307" s="19" t="s">
        <v>22</v>
      </c>
      <c r="C5307" s="20" t="s">
        <v>25</v>
      </c>
      <c r="D5307" s="14" t="str">
        <f>VLOOKUP(C5307,'State Key'!$A$2:$B$210,2,False)</f>
        <v>Bihar</v>
      </c>
      <c r="E5307" s="21">
        <v>500.0</v>
      </c>
      <c r="F5307" s="22">
        <v>85.89</v>
      </c>
      <c r="G5307" s="22">
        <v>0.0</v>
      </c>
      <c r="H5307" s="22">
        <v>155.33</v>
      </c>
      <c r="I5307" s="22">
        <v>0.0</v>
      </c>
      <c r="J5307" s="22">
        <v>0.0</v>
      </c>
      <c r="K5307" s="22">
        <v>3.83</v>
      </c>
      <c r="L5307" s="22">
        <v>245.05</v>
      </c>
      <c r="M5307" s="22">
        <v>217.086</v>
      </c>
      <c r="N5307" s="22">
        <v>109.52</v>
      </c>
      <c r="O5307" s="24">
        <v>15.1</v>
      </c>
      <c r="P5307" s="18">
        <f t="shared" si="1"/>
        <v>245.05</v>
      </c>
    </row>
    <row r="5308" ht="15.75" customHeight="1">
      <c r="A5308" s="13" t="s">
        <v>256</v>
      </c>
      <c r="B5308" s="13" t="s">
        <v>22</v>
      </c>
      <c r="C5308" s="14" t="s">
        <v>26</v>
      </c>
      <c r="D5308" s="14" t="str">
        <f>VLOOKUP(C5308,'State Key'!$A$2:$B$210,2,False)</f>
        <v>Bihar</v>
      </c>
      <c r="E5308" s="15">
        <v>3300.0</v>
      </c>
      <c r="F5308" s="16">
        <v>397.11</v>
      </c>
      <c r="G5308" s="16">
        <v>0.0</v>
      </c>
      <c r="H5308" s="16">
        <v>437.26</v>
      </c>
      <c r="I5308" s="16">
        <v>0.0</v>
      </c>
      <c r="J5308" s="16">
        <v>0.0</v>
      </c>
      <c r="K5308" s="16">
        <v>4.21</v>
      </c>
      <c r="L5308" s="16">
        <v>838.58</v>
      </c>
      <c r="M5308" s="16">
        <v>1115.92</v>
      </c>
      <c r="N5308" s="16">
        <v>556.64</v>
      </c>
      <c r="O5308" s="24">
        <v>15.0</v>
      </c>
      <c r="P5308" s="18">
        <f t="shared" si="1"/>
        <v>838.58</v>
      </c>
    </row>
    <row r="5309" ht="15.75" customHeight="1">
      <c r="A5309" s="19" t="s">
        <v>256</v>
      </c>
      <c r="B5309" s="19" t="s">
        <v>22</v>
      </c>
      <c r="C5309" s="20" t="s">
        <v>27</v>
      </c>
      <c r="D5309" s="14" t="str">
        <f>VLOOKUP(C5309,'State Key'!$A$2:$B$210,2,False)</f>
        <v>Jharkhand</v>
      </c>
      <c r="E5309" s="21">
        <v>500.0</v>
      </c>
      <c r="F5309" s="22">
        <v>146.81</v>
      </c>
      <c r="G5309" s="22">
        <v>0.0</v>
      </c>
      <c r="H5309" s="22">
        <v>21.664</v>
      </c>
      <c r="I5309" s="22">
        <v>0.0</v>
      </c>
      <c r="J5309" s="22">
        <v>0.0</v>
      </c>
      <c r="K5309" s="22">
        <v>0.0</v>
      </c>
      <c r="L5309" s="22">
        <v>168.474</v>
      </c>
      <c r="M5309" s="22">
        <v>175.811</v>
      </c>
      <c r="N5309" s="22">
        <v>82.16</v>
      </c>
      <c r="O5309" s="24">
        <v>14.0</v>
      </c>
      <c r="P5309" s="18">
        <f t="shared" si="1"/>
        <v>168.474</v>
      </c>
    </row>
    <row r="5310" ht="15.75" customHeight="1">
      <c r="A5310" s="13" t="s">
        <v>256</v>
      </c>
      <c r="B5310" s="13" t="s">
        <v>22</v>
      </c>
      <c r="C5310" s="14" t="s">
        <v>28</v>
      </c>
      <c r="D5310" s="14" t="str">
        <f>VLOOKUP(C5310,'State Key'!$A$2:$B$210,2,False)</f>
        <v>West Bengal</v>
      </c>
      <c r="E5310" s="15">
        <v>750.0</v>
      </c>
      <c r="F5310" s="16">
        <v>105.985</v>
      </c>
      <c r="G5310" s="16">
        <v>0.0</v>
      </c>
      <c r="H5310" s="16">
        <v>105.687</v>
      </c>
      <c r="I5310" s="16">
        <v>54.345</v>
      </c>
      <c r="J5310" s="16">
        <v>0.0</v>
      </c>
      <c r="K5310" s="16">
        <v>0.0</v>
      </c>
      <c r="L5310" s="16">
        <v>266.017</v>
      </c>
      <c r="M5310" s="16">
        <v>289.133</v>
      </c>
      <c r="N5310" s="16">
        <v>102.01</v>
      </c>
      <c r="O5310" s="23">
        <v>10.6</v>
      </c>
      <c r="P5310" s="18">
        <f t="shared" si="1"/>
        <v>266.017</v>
      </c>
    </row>
    <row r="5311" ht="15.75" customHeight="1">
      <c r="A5311" s="19" t="s">
        <v>256</v>
      </c>
      <c r="B5311" s="19" t="s">
        <v>22</v>
      </c>
      <c r="C5311" s="20" t="s">
        <v>29</v>
      </c>
      <c r="D5311" s="14" t="str">
        <f>VLOOKUP(C5311,'State Key'!$A$2:$B$210,2,False)</f>
        <v>Jharkhand</v>
      </c>
      <c r="E5311" s="21">
        <v>500.0</v>
      </c>
      <c r="F5311" s="22">
        <v>92.673</v>
      </c>
      <c r="G5311" s="22">
        <v>0.0</v>
      </c>
      <c r="H5311" s="22">
        <v>38.859</v>
      </c>
      <c r="I5311" s="22">
        <v>0.0</v>
      </c>
      <c r="J5311" s="22">
        <v>0.0</v>
      </c>
      <c r="K5311" s="22">
        <v>0.0</v>
      </c>
      <c r="L5311" s="22">
        <v>131.532</v>
      </c>
      <c r="M5311" s="22">
        <v>177.485</v>
      </c>
      <c r="N5311" s="22">
        <v>157.23</v>
      </c>
      <c r="O5311" s="24">
        <v>26.6</v>
      </c>
      <c r="P5311" s="18">
        <f t="shared" si="1"/>
        <v>131.532</v>
      </c>
    </row>
    <row r="5312" ht="15.75" customHeight="1">
      <c r="A5312" s="13" t="s">
        <v>256</v>
      </c>
      <c r="B5312" s="13" t="s">
        <v>22</v>
      </c>
      <c r="C5312" s="14" t="s">
        <v>30</v>
      </c>
      <c r="D5312" s="14" t="str">
        <f>VLOOKUP(C5312,'State Key'!$A$2:$B$210,2,False)</f>
        <v>West Bengal</v>
      </c>
      <c r="E5312" s="15">
        <v>550.0</v>
      </c>
      <c r="F5312" s="16">
        <v>199.371</v>
      </c>
      <c r="G5312" s="16">
        <v>0.0</v>
      </c>
      <c r="H5312" s="16">
        <v>3.591</v>
      </c>
      <c r="I5312" s="16">
        <v>0.0</v>
      </c>
      <c r="J5312" s="16">
        <v>0.0</v>
      </c>
      <c r="K5312" s="16">
        <v>0.0</v>
      </c>
      <c r="L5312" s="16">
        <v>202.962</v>
      </c>
      <c r="M5312" s="16">
        <v>169.373</v>
      </c>
      <c r="N5312" s="16">
        <v>96.697</v>
      </c>
      <c r="O5312" s="24">
        <v>17.1</v>
      </c>
      <c r="P5312" s="18">
        <f t="shared" si="1"/>
        <v>202.962</v>
      </c>
    </row>
    <row r="5313" ht="15.75" customHeight="1">
      <c r="A5313" s="19" t="s">
        <v>256</v>
      </c>
      <c r="B5313" s="19" t="s">
        <v>22</v>
      </c>
      <c r="C5313" s="20" t="s">
        <v>31</v>
      </c>
      <c r="D5313" s="14" t="str">
        <f>VLOOKUP(C5313,'State Key'!$A$2:$B$210,2,False)</f>
        <v>Odisha</v>
      </c>
      <c r="E5313" s="21">
        <v>1600.0</v>
      </c>
      <c r="F5313" s="22">
        <v>0.0</v>
      </c>
      <c r="G5313" s="22">
        <v>0.0</v>
      </c>
      <c r="H5313" s="22">
        <v>597.62</v>
      </c>
      <c r="I5313" s="22">
        <v>0.0</v>
      </c>
      <c r="J5313" s="22">
        <v>0.0</v>
      </c>
      <c r="K5313" s="22">
        <v>0.0</v>
      </c>
      <c r="L5313" s="22">
        <v>597.62</v>
      </c>
      <c r="M5313" s="22">
        <v>669.705</v>
      </c>
      <c r="N5313" s="22">
        <v>453.89</v>
      </c>
      <c r="O5313" s="24">
        <v>20.3</v>
      </c>
      <c r="P5313" s="18">
        <f t="shared" si="1"/>
        <v>597.62</v>
      </c>
    </row>
    <row r="5314" ht="15.75" customHeight="1">
      <c r="A5314" s="13" t="s">
        <v>256</v>
      </c>
      <c r="B5314" s="13" t="s">
        <v>22</v>
      </c>
      <c r="C5314" s="14" t="s">
        <v>32</v>
      </c>
      <c r="D5314" s="14" t="str">
        <f>VLOOKUP(C5314,'State Key'!$A$2:$B$210,2,False)</f>
        <v>Odisha</v>
      </c>
      <c r="E5314" s="15">
        <v>1200.0</v>
      </c>
      <c r="F5314" s="16">
        <v>526.131</v>
      </c>
      <c r="G5314" s="16">
        <v>0.0</v>
      </c>
      <c r="H5314" s="16">
        <v>0.0</v>
      </c>
      <c r="I5314" s="16">
        <v>15.135</v>
      </c>
      <c r="J5314" s="16">
        <v>0.0</v>
      </c>
      <c r="K5314" s="16">
        <v>0.0</v>
      </c>
      <c r="L5314" s="16">
        <v>541.266</v>
      </c>
      <c r="M5314" s="16">
        <v>529.522</v>
      </c>
      <c r="N5314" s="16">
        <v>1015.68</v>
      </c>
      <c r="O5314" s="24">
        <v>57.5</v>
      </c>
      <c r="P5314" s="18">
        <f t="shared" si="1"/>
        <v>541.266</v>
      </c>
    </row>
    <row r="5315" ht="15.75" customHeight="1">
      <c r="A5315" s="19" t="s">
        <v>256</v>
      </c>
      <c r="B5315" s="19" t="s">
        <v>22</v>
      </c>
      <c r="C5315" s="20" t="s">
        <v>34</v>
      </c>
      <c r="D5315" s="14" t="str">
        <f>VLOOKUP(C5315,'State Key'!$A$2:$B$210,2,False)</f>
        <v>West Bengal</v>
      </c>
      <c r="E5315" s="21">
        <v>1000.0</v>
      </c>
      <c r="F5315" s="22">
        <v>195.725</v>
      </c>
      <c r="G5315" s="22">
        <v>0.0</v>
      </c>
      <c r="H5315" s="22">
        <v>7.459</v>
      </c>
      <c r="I5315" s="22">
        <v>0.0</v>
      </c>
      <c r="J5315" s="22">
        <v>0.0</v>
      </c>
      <c r="K5315" s="22">
        <v>0.0</v>
      </c>
      <c r="L5315" s="22">
        <v>203.184</v>
      </c>
      <c r="M5315" s="22">
        <v>298.878</v>
      </c>
      <c r="N5315" s="22">
        <v>131.27</v>
      </c>
      <c r="O5315" s="23">
        <v>13.2</v>
      </c>
      <c r="P5315" s="18">
        <f t="shared" si="1"/>
        <v>203.184</v>
      </c>
    </row>
    <row r="5316" ht="15.75" customHeight="1">
      <c r="A5316" s="13" t="s">
        <v>256</v>
      </c>
      <c r="B5316" s="13" t="s">
        <v>22</v>
      </c>
      <c r="C5316" s="14" t="s">
        <v>35</v>
      </c>
      <c r="D5316" s="14" t="str">
        <f>VLOOKUP(C5316,'State Key'!$A$2:$B$210,2,False)</f>
        <v>West Bengal</v>
      </c>
      <c r="E5316" s="15">
        <v>2100.0</v>
      </c>
      <c r="F5316" s="16">
        <v>560.26</v>
      </c>
      <c r="G5316" s="16">
        <v>0.0</v>
      </c>
      <c r="H5316" s="16">
        <v>88.08</v>
      </c>
      <c r="I5316" s="16">
        <v>0.0</v>
      </c>
      <c r="J5316" s="16">
        <v>0.0</v>
      </c>
      <c r="K5316" s="16">
        <v>0.0</v>
      </c>
      <c r="L5316" s="16">
        <v>648.34</v>
      </c>
      <c r="M5316" s="16">
        <v>703.229</v>
      </c>
      <c r="N5316" s="16">
        <v>207.89</v>
      </c>
      <c r="O5316" s="23">
        <v>8.9</v>
      </c>
      <c r="P5316" s="18">
        <f t="shared" si="1"/>
        <v>648.34</v>
      </c>
    </row>
    <row r="5317" ht="15.75" customHeight="1">
      <c r="A5317" s="19" t="s">
        <v>256</v>
      </c>
      <c r="B5317" s="19" t="s">
        <v>22</v>
      </c>
      <c r="C5317" s="20" t="s">
        <v>36</v>
      </c>
      <c r="D5317" s="14" t="str">
        <f>VLOOKUP(C5317,'State Key'!$A$2:$B$210,2,False)</f>
        <v>West Bengal</v>
      </c>
      <c r="E5317" s="21">
        <v>600.0</v>
      </c>
      <c r="F5317" s="22">
        <v>272.933</v>
      </c>
      <c r="G5317" s="22">
        <v>0.0</v>
      </c>
      <c r="H5317" s="22">
        <v>0.0</v>
      </c>
      <c r="I5317" s="22">
        <v>0.0</v>
      </c>
      <c r="J5317" s="22">
        <v>0.0</v>
      </c>
      <c r="K5317" s="22">
        <v>0.0</v>
      </c>
      <c r="L5317" s="22">
        <v>272.933</v>
      </c>
      <c r="M5317" s="22">
        <v>280.934</v>
      </c>
      <c r="N5317" s="22">
        <v>109.69</v>
      </c>
      <c r="O5317" s="23">
        <v>11.7</v>
      </c>
      <c r="P5317" s="18">
        <f t="shared" si="1"/>
        <v>272.933</v>
      </c>
    </row>
    <row r="5318" ht="15.75" customHeight="1">
      <c r="A5318" s="13" t="s">
        <v>256</v>
      </c>
      <c r="B5318" s="13" t="s">
        <v>22</v>
      </c>
      <c r="C5318" s="14" t="s">
        <v>37</v>
      </c>
      <c r="D5318" s="14" t="str">
        <f>VLOOKUP(C5318,'State Key'!$A$2:$B$210,2,False)</f>
        <v>West Bengal</v>
      </c>
      <c r="E5318" s="15">
        <v>300.0</v>
      </c>
      <c r="F5318" s="16">
        <v>117.057</v>
      </c>
      <c r="G5318" s="16">
        <v>0.0</v>
      </c>
      <c r="H5318" s="16">
        <v>0.0</v>
      </c>
      <c r="I5318" s="16">
        <v>0.0</v>
      </c>
      <c r="J5318" s="16">
        <v>0.0</v>
      </c>
      <c r="K5318" s="16">
        <v>0.0</v>
      </c>
      <c r="L5318" s="16">
        <v>117.057</v>
      </c>
      <c r="M5318" s="16">
        <v>115.266</v>
      </c>
      <c r="N5318" s="16">
        <v>232.63</v>
      </c>
      <c r="O5318" s="24">
        <v>60.5</v>
      </c>
      <c r="P5318" s="18">
        <f t="shared" si="1"/>
        <v>117.057</v>
      </c>
    </row>
    <row r="5319" ht="15.75" customHeight="1">
      <c r="A5319" s="19" t="s">
        <v>256</v>
      </c>
      <c r="B5319" s="19" t="s">
        <v>22</v>
      </c>
      <c r="C5319" s="20" t="s">
        <v>38</v>
      </c>
      <c r="D5319" s="14" t="str">
        <f>VLOOKUP(C5319,'State Key'!$A$2:$B$210,2,False)</f>
        <v>Odisha</v>
      </c>
      <c r="E5319" s="21">
        <v>1740.0</v>
      </c>
      <c r="F5319" s="22">
        <v>65.247</v>
      </c>
      <c r="G5319" s="22">
        <v>0.0</v>
      </c>
      <c r="H5319" s="22">
        <v>428.03</v>
      </c>
      <c r="I5319" s="22">
        <v>0.0</v>
      </c>
      <c r="J5319" s="22">
        <v>0.0</v>
      </c>
      <c r="K5319" s="22">
        <v>0.0</v>
      </c>
      <c r="L5319" s="22">
        <v>493.277</v>
      </c>
      <c r="M5319" s="22">
        <v>372.06</v>
      </c>
      <c r="N5319" s="22">
        <v>477.4</v>
      </c>
      <c r="O5319" s="24">
        <v>38.5</v>
      </c>
      <c r="P5319" s="18">
        <f t="shared" si="1"/>
        <v>493.277</v>
      </c>
    </row>
    <row r="5320" ht="15.75" customHeight="1">
      <c r="A5320" s="13" t="s">
        <v>256</v>
      </c>
      <c r="B5320" s="13" t="s">
        <v>22</v>
      </c>
      <c r="C5320" s="14" t="s">
        <v>39</v>
      </c>
      <c r="D5320" s="14" t="str">
        <f>VLOOKUP(C5320,'State Key'!$A$2:$B$210,2,False)</f>
        <v>Jharkhand</v>
      </c>
      <c r="E5320" s="15">
        <v>240.0</v>
      </c>
      <c r="F5320" s="16">
        <v>80.0046</v>
      </c>
      <c r="G5320" s="16">
        <v>0.0</v>
      </c>
      <c r="H5320" s="16">
        <v>0.0</v>
      </c>
      <c r="I5320" s="16">
        <v>0.0</v>
      </c>
      <c r="J5320" s="16">
        <v>0.0</v>
      </c>
      <c r="K5320" s="16">
        <v>0.0</v>
      </c>
      <c r="L5320" s="16">
        <v>80.0046</v>
      </c>
      <c r="M5320" s="16">
        <v>105.1205</v>
      </c>
      <c r="N5320" s="16">
        <v>125.36</v>
      </c>
      <c r="O5320" s="24">
        <v>35.8</v>
      </c>
      <c r="P5320" s="18">
        <f t="shared" si="1"/>
        <v>80.0046</v>
      </c>
    </row>
    <row r="5321" ht="15.75" customHeight="1">
      <c r="A5321" s="19" t="s">
        <v>256</v>
      </c>
      <c r="B5321" s="19" t="s">
        <v>22</v>
      </c>
      <c r="C5321" s="20" t="s">
        <v>245</v>
      </c>
      <c r="D5321" s="14" t="str">
        <f>VLOOKUP(C5321,'State Key'!$A$2:$B$210,2,False)</f>
        <v>Odisha</v>
      </c>
      <c r="E5321" s="21">
        <v>700.0</v>
      </c>
      <c r="F5321" s="22">
        <v>0.0</v>
      </c>
      <c r="G5321" s="22">
        <v>0.0</v>
      </c>
      <c r="H5321" s="22">
        <v>0.0</v>
      </c>
      <c r="I5321" s="22">
        <v>246.614</v>
      </c>
      <c r="J5321" s="22">
        <v>0.0</v>
      </c>
      <c r="K5321" s="22">
        <v>0.0</v>
      </c>
      <c r="L5321" s="22">
        <v>246.614</v>
      </c>
      <c r="M5321" s="22">
        <v>176.187</v>
      </c>
      <c r="N5321" s="22">
        <v>182.62</v>
      </c>
      <c r="O5321" s="24">
        <v>31.1</v>
      </c>
      <c r="P5321" s="18">
        <f t="shared" si="1"/>
        <v>246.614</v>
      </c>
    </row>
    <row r="5322" ht="15.75" customHeight="1">
      <c r="A5322" s="13" t="s">
        <v>256</v>
      </c>
      <c r="B5322" s="13" t="s">
        <v>22</v>
      </c>
      <c r="C5322" s="14" t="s">
        <v>40</v>
      </c>
      <c r="D5322" s="14" t="str">
        <f>VLOOKUP(C5322,'State Key'!$A$2:$B$210,2,False)</f>
        <v>Bihar</v>
      </c>
      <c r="E5322" s="15">
        <v>2340.0</v>
      </c>
      <c r="F5322" s="16">
        <v>984.94</v>
      </c>
      <c r="G5322" s="16">
        <v>0.0</v>
      </c>
      <c r="H5322" s="16">
        <v>22.44</v>
      </c>
      <c r="I5322" s="16">
        <v>0.0</v>
      </c>
      <c r="J5322" s="16">
        <v>0.0</v>
      </c>
      <c r="K5322" s="16">
        <v>0.0</v>
      </c>
      <c r="L5322" s="16">
        <v>1007.38</v>
      </c>
      <c r="M5322" s="16">
        <v>986.169</v>
      </c>
      <c r="N5322" s="16">
        <v>615.98</v>
      </c>
      <c r="O5322" s="24">
        <v>18.7</v>
      </c>
      <c r="P5322" s="18">
        <f t="shared" si="1"/>
        <v>1007.38</v>
      </c>
    </row>
    <row r="5323" ht="15.75" customHeight="1">
      <c r="A5323" s="19" t="s">
        <v>256</v>
      </c>
      <c r="B5323" s="19" t="s">
        <v>22</v>
      </c>
      <c r="C5323" s="20" t="s">
        <v>41</v>
      </c>
      <c r="D5323" s="14" t="str">
        <f>VLOOKUP(C5323,'State Key'!$A$2:$B$210,2,False)</f>
        <v>Odisha</v>
      </c>
      <c r="E5323" s="21">
        <v>1050.0</v>
      </c>
      <c r="F5323" s="22">
        <v>279.043</v>
      </c>
      <c r="G5323" s="22">
        <v>0.0</v>
      </c>
      <c r="H5323" s="22">
        <v>0.0</v>
      </c>
      <c r="I5323" s="22">
        <v>136.864</v>
      </c>
      <c r="J5323" s="22">
        <v>0.0</v>
      </c>
      <c r="K5323" s="22">
        <v>0.0</v>
      </c>
      <c r="L5323" s="22">
        <v>415.907</v>
      </c>
      <c r="M5323" s="22">
        <v>532.342</v>
      </c>
      <c r="N5323" s="22">
        <v>222.24</v>
      </c>
      <c r="O5323" s="23">
        <v>12.5</v>
      </c>
      <c r="P5323" s="18">
        <f t="shared" si="1"/>
        <v>415.907</v>
      </c>
    </row>
    <row r="5324" ht="15.75" customHeight="1">
      <c r="A5324" s="13" t="s">
        <v>256</v>
      </c>
      <c r="B5324" s="13" t="s">
        <v>22</v>
      </c>
      <c r="C5324" s="14" t="s">
        <v>42</v>
      </c>
      <c r="D5324" s="14" t="str">
        <f>VLOOKUP(C5324,'State Key'!$A$2:$B$210,2,False)</f>
        <v>Jharkhand</v>
      </c>
      <c r="E5324" s="15">
        <v>1000.0</v>
      </c>
      <c r="F5324" s="16">
        <v>262.139</v>
      </c>
      <c r="G5324" s="16">
        <v>0.0</v>
      </c>
      <c r="H5324" s="16">
        <v>88.32</v>
      </c>
      <c r="I5324" s="16">
        <v>0.0</v>
      </c>
      <c r="J5324" s="16">
        <v>0.0</v>
      </c>
      <c r="K5324" s="16">
        <v>0.0</v>
      </c>
      <c r="L5324" s="16">
        <v>350.459</v>
      </c>
      <c r="M5324" s="16">
        <v>360.882</v>
      </c>
      <c r="N5324" s="16">
        <v>165.22</v>
      </c>
      <c r="O5324" s="23">
        <v>13.7</v>
      </c>
      <c r="P5324" s="18">
        <f t="shared" si="1"/>
        <v>350.459</v>
      </c>
    </row>
    <row r="5325" ht="15.75" customHeight="1">
      <c r="A5325" s="19" t="s">
        <v>256</v>
      </c>
      <c r="B5325" s="19" t="s">
        <v>22</v>
      </c>
      <c r="C5325" s="20" t="s">
        <v>43</v>
      </c>
      <c r="D5325" s="14" t="str">
        <f>VLOOKUP(C5325,'State Key'!$A$2:$B$210,2,False)</f>
        <v>West Bengal</v>
      </c>
      <c r="E5325" s="21">
        <v>840.0</v>
      </c>
      <c r="F5325" s="22">
        <v>0.0</v>
      </c>
      <c r="G5325" s="22">
        <v>0.0</v>
      </c>
      <c r="H5325" s="22">
        <v>366.135</v>
      </c>
      <c r="I5325" s="22">
        <v>0.0</v>
      </c>
      <c r="J5325" s="22">
        <v>0.0</v>
      </c>
      <c r="K5325" s="22">
        <v>0.0</v>
      </c>
      <c r="L5325" s="22">
        <v>366.135</v>
      </c>
      <c r="M5325" s="22">
        <v>348.034</v>
      </c>
      <c r="N5325" s="22">
        <v>97.446</v>
      </c>
      <c r="O5325" s="23">
        <v>8.4</v>
      </c>
      <c r="P5325" s="18">
        <f t="shared" si="1"/>
        <v>366.135</v>
      </c>
    </row>
    <row r="5326" ht="15.75" customHeight="1">
      <c r="A5326" s="13" t="s">
        <v>256</v>
      </c>
      <c r="B5326" s="13" t="s">
        <v>22</v>
      </c>
      <c r="C5326" s="14" t="s">
        <v>44</v>
      </c>
      <c r="D5326" s="14" t="str">
        <f>VLOOKUP(C5326,'State Key'!$A$2:$B$210,2,False)</f>
        <v>Jharkhand</v>
      </c>
      <c r="E5326" s="15">
        <v>540.0</v>
      </c>
      <c r="F5326" s="16">
        <v>178.648</v>
      </c>
      <c r="G5326" s="16">
        <v>0.0</v>
      </c>
      <c r="H5326" s="16">
        <v>0.0</v>
      </c>
      <c r="I5326" s="16">
        <v>0.0</v>
      </c>
      <c r="J5326" s="16">
        <v>0.0</v>
      </c>
      <c r="K5326" s="16">
        <v>42.972</v>
      </c>
      <c r="L5326" s="16">
        <v>221.62</v>
      </c>
      <c r="M5326" s="16">
        <v>229.455</v>
      </c>
      <c r="N5326" s="16">
        <v>48.97</v>
      </c>
      <c r="O5326" s="17">
        <v>6.4</v>
      </c>
      <c r="P5326" s="18">
        <f t="shared" si="1"/>
        <v>221.62</v>
      </c>
    </row>
    <row r="5327" ht="15.75" customHeight="1">
      <c r="A5327" s="19" t="s">
        <v>256</v>
      </c>
      <c r="B5327" s="19" t="s">
        <v>22</v>
      </c>
      <c r="C5327" s="20" t="s">
        <v>45</v>
      </c>
      <c r="D5327" s="14" t="str">
        <f>VLOOKUP(C5327,'State Key'!$A$2:$B$210,2,False)</f>
        <v>Jharkhand</v>
      </c>
      <c r="E5327" s="21">
        <v>1050.0</v>
      </c>
      <c r="F5327" s="22">
        <v>306.224</v>
      </c>
      <c r="G5327" s="22">
        <v>0.0</v>
      </c>
      <c r="H5327" s="22">
        <v>0.0</v>
      </c>
      <c r="I5327" s="22">
        <v>0.0</v>
      </c>
      <c r="J5327" s="22">
        <v>0.0</v>
      </c>
      <c r="K5327" s="22">
        <v>0.0</v>
      </c>
      <c r="L5327" s="22">
        <v>306.224</v>
      </c>
      <c r="M5327" s="22">
        <v>365.02</v>
      </c>
      <c r="N5327" s="22">
        <v>324.08</v>
      </c>
      <c r="O5327" s="24">
        <v>26.6</v>
      </c>
      <c r="P5327" s="18">
        <f t="shared" si="1"/>
        <v>306.224</v>
      </c>
    </row>
    <row r="5328" ht="15.75" customHeight="1">
      <c r="A5328" s="13" t="s">
        <v>256</v>
      </c>
      <c r="B5328" s="13" t="s">
        <v>22</v>
      </c>
      <c r="C5328" s="14" t="s">
        <v>46</v>
      </c>
      <c r="D5328" s="14" t="str">
        <f>VLOOKUP(C5328,'State Key'!$A$2:$B$210,2,False)</f>
        <v>West Bengal</v>
      </c>
      <c r="E5328" s="15">
        <v>2340.0</v>
      </c>
      <c r="F5328" s="16">
        <v>552.103</v>
      </c>
      <c r="G5328" s="16">
        <v>0.0</v>
      </c>
      <c r="H5328" s="16">
        <v>90.29</v>
      </c>
      <c r="I5328" s="16">
        <v>0.0</v>
      </c>
      <c r="J5328" s="16">
        <v>0.0</v>
      </c>
      <c r="K5328" s="16">
        <v>90.797</v>
      </c>
      <c r="L5328" s="16">
        <v>733.19</v>
      </c>
      <c r="M5328" s="16">
        <v>843.705</v>
      </c>
      <c r="N5328" s="16">
        <v>386.97</v>
      </c>
      <c r="O5328" s="23">
        <v>13.8</v>
      </c>
      <c r="P5328" s="18">
        <f t="shared" si="1"/>
        <v>733.19</v>
      </c>
    </row>
    <row r="5329" ht="15.75" customHeight="1">
      <c r="A5329" s="19" t="s">
        <v>256</v>
      </c>
      <c r="B5329" s="19" t="s">
        <v>22</v>
      </c>
      <c r="C5329" s="20" t="s">
        <v>47</v>
      </c>
      <c r="D5329" s="14" t="str">
        <f>VLOOKUP(C5329,'State Key'!$A$2:$B$210,2,False)</f>
        <v>Bihar</v>
      </c>
      <c r="E5329" s="21">
        <v>390.0</v>
      </c>
      <c r="F5329" s="22">
        <v>3.997</v>
      </c>
      <c r="G5329" s="22">
        <v>0.0</v>
      </c>
      <c r="H5329" s="22">
        <v>107.321</v>
      </c>
      <c r="I5329" s="22">
        <v>32.069</v>
      </c>
      <c r="J5329" s="22">
        <v>0.0</v>
      </c>
      <c r="K5329" s="22">
        <v>0.0</v>
      </c>
      <c r="L5329" s="22">
        <v>143.387</v>
      </c>
      <c r="M5329" s="22">
        <v>120.683</v>
      </c>
      <c r="N5329" s="22">
        <v>177.26</v>
      </c>
      <c r="O5329" s="24">
        <v>44.1</v>
      </c>
      <c r="P5329" s="18">
        <f t="shared" si="1"/>
        <v>143.387</v>
      </c>
    </row>
    <row r="5330" ht="15.75" customHeight="1">
      <c r="A5330" s="13" t="s">
        <v>256</v>
      </c>
      <c r="B5330" s="13" t="s">
        <v>22</v>
      </c>
      <c r="C5330" s="14" t="s">
        <v>241</v>
      </c>
      <c r="D5330" s="14" t="str">
        <f>VLOOKUP(C5330,'State Key'!$A$2:$B$210,2,False)</f>
        <v>Odisha</v>
      </c>
      <c r="E5330" s="15">
        <v>60.0</v>
      </c>
      <c r="F5330" s="16">
        <v>18.72</v>
      </c>
      <c r="G5330" s="16">
        <v>0.0</v>
      </c>
      <c r="H5330" s="16">
        <v>0.0</v>
      </c>
      <c r="I5330" s="16">
        <v>0.0</v>
      </c>
      <c r="J5330" s="16">
        <v>0.0</v>
      </c>
      <c r="K5330" s="16">
        <v>3.8</v>
      </c>
      <c r="L5330" s="16">
        <v>22.52</v>
      </c>
      <c r="M5330" s="16">
        <v>24.96</v>
      </c>
      <c r="N5330" s="16">
        <v>14.64</v>
      </c>
      <c r="O5330" s="24">
        <v>17.6</v>
      </c>
      <c r="P5330" s="18">
        <f t="shared" si="1"/>
        <v>22.52</v>
      </c>
    </row>
    <row r="5331" ht="15.75" customHeight="1">
      <c r="A5331" s="19" t="s">
        <v>256</v>
      </c>
      <c r="B5331" s="19" t="s">
        <v>22</v>
      </c>
      <c r="C5331" s="20" t="s">
        <v>48</v>
      </c>
      <c r="D5331" s="14" t="str">
        <f>VLOOKUP(C5331,'State Key'!$A$2:$B$210,2,False)</f>
        <v>Bihar</v>
      </c>
      <c r="E5331" s="21">
        <v>1980.0</v>
      </c>
      <c r="F5331" s="22">
        <v>525.568</v>
      </c>
      <c r="G5331" s="22">
        <v>0.0</v>
      </c>
      <c r="H5331" s="22">
        <v>160.253</v>
      </c>
      <c r="I5331" s="22">
        <v>12.14</v>
      </c>
      <c r="J5331" s="22">
        <v>0.0</v>
      </c>
      <c r="K5331" s="22">
        <v>0.0</v>
      </c>
      <c r="L5331" s="22">
        <v>697.961</v>
      </c>
      <c r="M5331" s="22">
        <v>773.814</v>
      </c>
      <c r="N5331" s="22">
        <v>172.48</v>
      </c>
      <c r="O5331" s="17">
        <v>6.7</v>
      </c>
      <c r="P5331" s="18">
        <f t="shared" si="1"/>
        <v>697.961</v>
      </c>
    </row>
    <row r="5332" ht="15.75" customHeight="1">
      <c r="A5332" s="13" t="s">
        <v>256</v>
      </c>
      <c r="B5332" s="13" t="s">
        <v>22</v>
      </c>
      <c r="C5332" s="14" t="s">
        <v>49</v>
      </c>
      <c r="D5332" s="14" t="str">
        <f>VLOOKUP(C5332,'State Key'!$A$2:$B$210,2,False)</f>
        <v>Bihar</v>
      </c>
      <c r="E5332" s="15">
        <v>1000.0</v>
      </c>
      <c r="F5332" s="16">
        <v>224.1028</v>
      </c>
      <c r="G5332" s="16">
        <v>0.0</v>
      </c>
      <c r="H5332" s="16">
        <v>0.0</v>
      </c>
      <c r="I5332" s="16">
        <v>0.0</v>
      </c>
      <c r="J5332" s="16">
        <v>0.0</v>
      </c>
      <c r="K5332" s="16">
        <v>89.1734</v>
      </c>
      <c r="L5332" s="16">
        <v>313.2762</v>
      </c>
      <c r="M5332" s="16">
        <v>322.417</v>
      </c>
      <c r="N5332" s="16">
        <v>167.44</v>
      </c>
      <c r="O5332" s="24">
        <v>15.6</v>
      </c>
      <c r="P5332" s="18">
        <f t="shared" si="1"/>
        <v>313.2762</v>
      </c>
    </row>
    <row r="5333" ht="15.75" customHeight="1">
      <c r="A5333" s="19" t="s">
        <v>256</v>
      </c>
      <c r="B5333" s="19" t="s">
        <v>22</v>
      </c>
      <c r="C5333" s="20" t="s">
        <v>50</v>
      </c>
      <c r="D5333" s="14" t="str">
        <f>VLOOKUP(C5333,'State Key'!$A$2:$B$210,2,False)</f>
        <v>Jharkhand</v>
      </c>
      <c r="E5333" s="21">
        <v>1980.0</v>
      </c>
      <c r="F5333" s="22">
        <v>374.7</v>
      </c>
      <c r="G5333" s="22">
        <v>0.0</v>
      </c>
      <c r="H5333" s="22">
        <v>297.98</v>
      </c>
      <c r="I5333" s="22">
        <v>0.0</v>
      </c>
      <c r="J5333" s="22">
        <v>0.0</v>
      </c>
      <c r="K5333" s="22">
        <v>0.0</v>
      </c>
      <c r="L5333" s="22">
        <v>672.68</v>
      </c>
      <c r="M5333" s="22">
        <v>699.749</v>
      </c>
      <c r="N5333" s="22">
        <v>65.75</v>
      </c>
      <c r="O5333" s="17">
        <v>2.8</v>
      </c>
      <c r="P5333" s="18">
        <f t="shared" si="1"/>
        <v>672.68</v>
      </c>
    </row>
    <row r="5334" ht="15.75" customHeight="1">
      <c r="A5334" s="13" t="s">
        <v>256</v>
      </c>
      <c r="B5334" s="13" t="s">
        <v>22</v>
      </c>
      <c r="C5334" s="14" t="s">
        <v>51</v>
      </c>
      <c r="D5334" s="14" t="str">
        <f>VLOOKUP(C5334,'State Key'!$A$2:$B$210,2,False)</f>
        <v>West Bengal</v>
      </c>
      <c r="E5334" s="15">
        <v>1200.0</v>
      </c>
      <c r="F5334" s="16">
        <v>366.78</v>
      </c>
      <c r="G5334" s="16">
        <v>0.0</v>
      </c>
      <c r="H5334" s="16">
        <v>4.059</v>
      </c>
      <c r="I5334" s="16">
        <v>0.0</v>
      </c>
      <c r="J5334" s="16">
        <v>0.0</v>
      </c>
      <c r="K5334" s="16">
        <v>0.0</v>
      </c>
      <c r="L5334" s="16">
        <v>370.839</v>
      </c>
      <c r="M5334" s="16">
        <v>298.46</v>
      </c>
      <c r="N5334" s="16">
        <v>281.69</v>
      </c>
      <c r="O5334" s="24">
        <v>28.3</v>
      </c>
      <c r="P5334" s="18">
        <f t="shared" si="1"/>
        <v>370.839</v>
      </c>
    </row>
    <row r="5335" ht="15.75" customHeight="1">
      <c r="A5335" s="19" t="s">
        <v>256</v>
      </c>
      <c r="B5335" s="19" t="s">
        <v>22</v>
      </c>
      <c r="C5335" s="20" t="s">
        <v>52</v>
      </c>
      <c r="D5335" s="14" t="str">
        <f>VLOOKUP(C5335,'State Key'!$A$2:$B$210,2,False)</f>
        <v>West Bengal</v>
      </c>
      <c r="E5335" s="21">
        <v>1600.0</v>
      </c>
      <c r="F5335" s="22">
        <v>0.0</v>
      </c>
      <c r="G5335" s="22">
        <v>0.0</v>
      </c>
      <c r="H5335" s="22">
        <v>625.032</v>
      </c>
      <c r="I5335" s="22">
        <v>132.201</v>
      </c>
      <c r="J5335" s="22">
        <v>0.0</v>
      </c>
      <c r="K5335" s="22">
        <v>0.0</v>
      </c>
      <c r="L5335" s="22">
        <v>757.233</v>
      </c>
      <c r="M5335" s="22">
        <v>702.833</v>
      </c>
      <c r="N5335" s="22">
        <v>121.787</v>
      </c>
      <c r="O5335" s="17">
        <v>5.2</v>
      </c>
      <c r="P5335" s="18">
        <f t="shared" si="1"/>
        <v>757.233</v>
      </c>
    </row>
    <row r="5336" ht="15.75" customHeight="1">
      <c r="A5336" s="13" t="s">
        <v>256</v>
      </c>
      <c r="B5336" s="13" t="s">
        <v>22</v>
      </c>
      <c r="C5336" s="14" t="s">
        <v>53</v>
      </c>
      <c r="D5336" s="14" t="str">
        <f>VLOOKUP(C5336,'State Key'!$A$2:$B$210,2,False)</f>
        <v>West Bengal</v>
      </c>
      <c r="E5336" s="15">
        <v>500.0</v>
      </c>
      <c r="F5336" s="16">
        <v>0.0</v>
      </c>
      <c r="G5336" s="16">
        <v>0.0</v>
      </c>
      <c r="H5336" s="16">
        <v>260.212</v>
      </c>
      <c r="I5336" s="16">
        <v>0.0</v>
      </c>
      <c r="J5336" s="16">
        <v>0.0</v>
      </c>
      <c r="K5336" s="16">
        <v>0.0</v>
      </c>
      <c r="L5336" s="16">
        <v>260.212</v>
      </c>
      <c r="M5336" s="16">
        <v>228.865</v>
      </c>
      <c r="N5336" s="16">
        <v>57.943</v>
      </c>
      <c r="O5336" s="23">
        <v>7.6</v>
      </c>
      <c r="P5336" s="18">
        <f t="shared" si="1"/>
        <v>260.212</v>
      </c>
    </row>
    <row r="5337" ht="15.75" customHeight="1">
      <c r="A5337" s="19" t="s">
        <v>256</v>
      </c>
      <c r="B5337" s="19" t="s">
        <v>22</v>
      </c>
      <c r="C5337" s="20" t="s">
        <v>54</v>
      </c>
      <c r="D5337" s="14" t="str">
        <f>VLOOKUP(C5337,'State Key'!$A$2:$B$210,2,False)</f>
        <v>West Bengal</v>
      </c>
      <c r="E5337" s="21">
        <v>135.0</v>
      </c>
      <c r="F5337" s="22">
        <v>37.61</v>
      </c>
      <c r="G5337" s="22">
        <v>0.0</v>
      </c>
      <c r="H5337" s="22">
        <v>0.0</v>
      </c>
      <c r="I5337" s="22">
        <v>4.104</v>
      </c>
      <c r="J5337" s="22">
        <v>0.0</v>
      </c>
      <c r="K5337" s="22">
        <v>0.0</v>
      </c>
      <c r="L5337" s="22">
        <v>41.714</v>
      </c>
      <c r="M5337" s="22">
        <v>29.698</v>
      </c>
      <c r="N5337" s="22">
        <v>26.28</v>
      </c>
      <c r="O5337" s="24">
        <v>26.5</v>
      </c>
      <c r="P5337" s="18">
        <f t="shared" si="1"/>
        <v>41.714</v>
      </c>
    </row>
    <row r="5338" ht="15.75" customHeight="1">
      <c r="A5338" s="13" t="s">
        <v>256</v>
      </c>
      <c r="B5338" s="13" t="s">
        <v>22</v>
      </c>
      <c r="C5338" s="14" t="s">
        <v>55</v>
      </c>
      <c r="D5338" s="14" t="str">
        <f>VLOOKUP(C5338,'State Key'!$A$2:$B$210,2,False)</f>
        <v>Odisha</v>
      </c>
      <c r="E5338" s="15">
        <v>3000.0</v>
      </c>
      <c r="F5338" s="16">
        <v>1162.4</v>
      </c>
      <c r="G5338" s="16">
        <v>0.0</v>
      </c>
      <c r="H5338" s="16">
        <v>71.59</v>
      </c>
      <c r="I5338" s="16">
        <v>0.0</v>
      </c>
      <c r="J5338" s="16">
        <v>0.0</v>
      </c>
      <c r="K5338" s="16">
        <v>0.98</v>
      </c>
      <c r="L5338" s="16">
        <v>1234.97</v>
      </c>
      <c r="M5338" s="16">
        <v>1126.462</v>
      </c>
      <c r="N5338" s="16">
        <v>633.13</v>
      </c>
      <c r="O5338" s="24">
        <v>16.9</v>
      </c>
      <c r="P5338" s="18">
        <f t="shared" si="1"/>
        <v>1234.97</v>
      </c>
    </row>
    <row r="5339" ht="15.75" customHeight="1">
      <c r="A5339" s="19" t="s">
        <v>256</v>
      </c>
      <c r="B5339" s="19" t="s">
        <v>22</v>
      </c>
      <c r="C5339" s="20" t="s">
        <v>56</v>
      </c>
      <c r="D5339" s="14" t="str">
        <f>VLOOKUP(C5339,'State Key'!$A$2:$B$210,2,False)</f>
        <v>Jharkhand</v>
      </c>
      <c r="E5339" s="21">
        <v>420.0</v>
      </c>
      <c r="F5339" s="22">
        <v>78.66</v>
      </c>
      <c r="G5339" s="22">
        <v>0.0</v>
      </c>
      <c r="H5339" s="22">
        <v>0.0</v>
      </c>
      <c r="I5339" s="22">
        <v>0.0</v>
      </c>
      <c r="J5339" s="22">
        <v>0.0</v>
      </c>
      <c r="K5339" s="22">
        <v>0.0</v>
      </c>
      <c r="L5339" s="22">
        <v>78.66</v>
      </c>
      <c r="M5339" s="22">
        <v>153.1</v>
      </c>
      <c r="N5339" s="22">
        <v>137.26</v>
      </c>
      <c r="O5339" s="24">
        <v>26.9</v>
      </c>
      <c r="P5339" s="18">
        <f t="shared" si="1"/>
        <v>78.66</v>
      </c>
    </row>
    <row r="5340" ht="15.75" customHeight="1">
      <c r="A5340" s="13" t="s">
        <v>256</v>
      </c>
      <c r="B5340" s="13" t="s">
        <v>22</v>
      </c>
      <c r="C5340" s="14" t="s">
        <v>60</v>
      </c>
      <c r="D5340" s="14" t="str">
        <f>VLOOKUP(C5340,'State Key'!$A$2:$B$210,2,False)</f>
        <v>Odisha</v>
      </c>
      <c r="E5340" s="15">
        <v>600.0</v>
      </c>
      <c r="F5340" s="16">
        <v>183.2326</v>
      </c>
      <c r="G5340" s="16">
        <v>0.0</v>
      </c>
      <c r="H5340" s="16">
        <v>0.0</v>
      </c>
      <c r="I5340" s="16">
        <v>0.0</v>
      </c>
      <c r="J5340" s="16">
        <v>0.0</v>
      </c>
      <c r="K5340" s="16">
        <v>0.0</v>
      </c>
      <c r="L5340" s="16">
        <v>183.2326</v>
      </c>
      <c r="M5340" s="16">
        <v>166.1657</v>
      </c>
      <c r="N5340" s="16">
        <v>90.92</v>
      </c>
      <c r="O5340" s="24">
        <v>16.4</v>
      </c>
      <c r="P5340" s="18">
        <f t="shared" si="1"/>
        <v>183.2326</v>
      </c>
    </row>
    <row r="5341" ht="15.75" customHeight="1">
      <c r="A5341" s="19" t="s">
        <v>256</v>
      </c>
      <c r="B5341" s="19" t="s">
        <v>61</v>
      </c>
      <c r="C5341" s="20" t="s">
        <v>209</v>
      </c>
      <c r="D5341" s="14" t="str">
        <f>VLOOKUP(C5341,'State Key'!$A$2:$B$210,2,False)</f>
        <v>Rajasthan</v>
      </c>
      <c r="E5341" s="21">
        <v>1320.0</v>
      </c>
      <c r="F5341" s="22">
        <v>275.415</v>
      </c>
      <c r="G5341" s="22">
        <v>0.0</v>
      </c>
      <c r="H5341" s="22">
        <v>0.0</v>
      </c>
      <c r="I5341" s="22">
        <v>0.0</v>
      </c>
      <c r="J5341" s="22">
        <v>52.209</v>
      </c>
      <c r="K5341" s="22">
        <v>0.0</v>
      </c>
      <c r="L5341" s="22">
        <v>327.624</v>
      </c>
      <c r="M5341" s="22">
        <v>151.097</v>
      </c>
      <c r="N5341" s="22">
        <v>430.79</v>
      </c>
      <c r="O5341" s="24">
        <v>85.5</v>
      </c>
      <c r="P5341" s="18">
        <f t="shared" si="1"/>
        <v>327.624</v>
      </c>
    </row>
    <row r="5342" ht="15.75" customHeight="1">
      <c r="A5342" s="13" t="s">
        <v>256</v>
      </c>
      <c r="B5342" s="13" t="s">
        <v>61</v>
      </c>
      <c r="C5342" s="14" t="s">
        <v>62</v>
      </c>
      <c r="D5342" s="14" t="str">
        <f>VLOOKUP(C5342,'State Key'!$A$2:$B$210,2,False)</f>
        <v>Uttar Pradesh</v>
      </c>
      <c r="E5342" s="15">
        <v>1200.0</v>
      </c>
      <c r="F5342" s="16">
        <v>446.984</v>
      </c>
      <c r="G5342" s="16">
        <v>0.0</v>
      </c>
      <c r="H5342" s="16">
        <v>0.0</v>
      </c>
      <c r="I5342" s="16">
        <v>0.0</v>
      </c>
      <c r="J5342" s="16">
        <v>0.0</v>
      </c>
      <c r="K5342" s="16">
        <v>0.0</v>
      </c>
      <c r="L5342" s="16">
        <v>446.984</v>
      </c>
      <c r="M5342" s="16">
        <v>478.179</v>
      </c>
      <c r="N5342" s="16">
        <v>88.34</v>
      </c>
      <c r="O5342" s="17">
        <v>5.5</v>
      </c>
      <c r="P5342" s="18">
        <f t="shared" si="1"/>
        <v>446.984</v>
      </c>
    </row>
    <row r="5343" ht="15.75" customHeight="1">
      <c r="A5343" s="19" t="s">
        <v>256</v>
      </c>
      <c r="B5343" s="19" t="s">
        <v>61</v>
      </c>
      <c r="C5343" s="20" t="s">
        <v>63</v>
      </c>
      <c r="D5343" s="14" t="str">
        <f>VLOOKUP(C5343,'State Key'!$A$2:$B$210,2,False)</f>
        <v>Uttar Pradesh</v>
      </c>
      <c r="E5343" s="21">
        <v>2630.0</v>
      </c>
      <c r="F5343" s="22">
        <v>1002.997</v>
      </c>
      <c r="G5343" s="22">
        <v>0.0</v>
      </c>
      <c r="H5343" s="22">
        <v>0.0</v>
      </c>
      <c r="I5343" s="22">
        <v>0.0</v>
      </c>
      <c r="J5343" s="22">
        <v>0.0</v>
      </c>
      <c r="K5343" s="22">
        <v>0.0</v>
      </c>
      <c r="L5343" s="22">
        <v>1002.997</v>
      </c>
      <c r="M5343" s="22">
        <v>1063.21</v>
      </c>
      <c r="N5343" s="22">
        <v>464.83</v>
      </c>
      <c r="O5343" s="23">
        <v>13.1</v>
      </c>
      <c r="P5343" s="18">
        <f t="shared" si="1"/>
        <v>1002.997</v>
      </c>
    </row>
    <row r="5344" ht="15.75" customHeight="1">
      <c r="A5344" s="13" t="s">
        <v>256</v>
      </c>
      <c r="B5344" s="13" t="s">
        <v>61</v>
      </c>
      <c r="C5344" s="14" t="s">
        <v>64</v>
      </c>
      <c r="D5344" s="14" t="str">
        <f>VLOOKUP(C5344,'State Key'!$A$2:$B$210,2,False)</f>
        <v>Uttar Pradesh</v>
      </c>
      <c r="E5344" s="15">
        <v>90.0</v>
      </c>
      <c r="F5344" s="16">
        <v>27.799</v>
      </c>
      <c r="G5344" s="16">
        <v>0.0</v>
      </c>
      <c r="H5344" s="16">
        <v>0.0</v>
      </c>
      <c r="I5344" s="16">
        <v>0.0</v>
      </c>
      <c r="J5344" s="16">
        <v>0.0</v>
      </c>
      <c r="K5344" s="16">
        <v>0.0</v>
      </c>
      <c r="L5344" s="16">
        <v>27.799</v>
      </c>
      <c r="M5344" s="16">
        <v>23.079</v>
      </c>
      <c r="N5344" s="16">
        <v>44.61</v>
      </c>
      <c r="O5344" s="24">
        <v>58.0</v>
      </c>
      <c r="P5344" s="18">
        <f t="shared" si="1"/>
        <v>27.799</v>
      </c>
    </row>
    <row r="5345" ht="15.75" customHeight="1">
      <c r="A5345" s="19" t="s">
        <v>256</v>
      </c>
      <c r="B5345" s="19" t="s">
        <v>61</v>
      </c>
      <c r="C5345" s="20" t="s">
        <v>65</v>
      </c>
      <c r="D5345" s="14" t="str">
        <f>VLOOKUP(C5345,'State Key'!$A$2:$B$210,2,False)</f>
        <v>Rajasthan</v>
      </c>
      <c r="E5345" s="21">
        <v>500.0</v>
      </c>
      <c r="F5345" s="22">
        <v>16.0844</v>
      </c>
      <c r="G5345" s="22">
        <v>0.0</v>
      </c>
      <c r="H5345" s="22">
        <v>0.0</v>
      </c>
      <c r="I5345" s="22">
        <v>0.0</v>
      </c>
      <c r="J5345" s="22">
        <v>0.0</v>
      </c>
      <c r="K5345" s="22">
        <v>0.0</v>
      </c>
      <c r="L5345" s="22">
        <v>16.0844</v>
      </c>
      <c r="M5345" s="22">
        <v>106.6352</v>
      </c>
      <c r="N5345" s="22">
        <v>244.7266</v>
      </c>
      <c r="O5345" s="24">
        <v>68.8</v>
      </c>
      <c r="P5345" s="18">
        <f t="shared" si="1"/>
        <v>16.0844</v>
      </c>
    </row>
    <row r="5346" ht="15.75" customHeight="1">
      <c r="A5346" s="13" t="s">
        <v>256</v>
      </c>
      <c r="B5346" s="13" t="s">
        <v>61</v>
      </c>
      <c r="C5346" s="14" t="s">
        <v>66</v>
      </c>
      <c r="D5346" s="14" t="str">
        <f>VLOOKUP(C5346,'State Key'!$A$2:$B$210,2,False)</f>
        <v>Rajasthan</v>
      </c>
      <c r="E5346" s="15">
        <v>500.0</v>
      </c>
      <c r="F5346" s="16">
        <v>0.0</v>
      </c>
      <c r="G5346" s="16">
        <v>0.0</v>
      </c>
      <c r="H5346" s="16">
        <v>381.4567</v>
      </c>
      <c r="I5346" s="16">
        <v>0.0</v>
      </c>
      <c r="J5346" s="16">
        <v>0.0</v>
      </c>
      <c r="K5346" s="16">
        <v>0.0</v>
      </c>
      <c r="L5346" s="16">
        <v>381.4567</v>
      </c>
      <c r="M5346" s="16">
        <v>191.2658</v>
      </c>
      <c r="N5346" s="16">
        <v>302.2134</v>
      </c>
      <c r="O5346" s="24">
        <v>47.4</v>
      </c>
      <c r="P5346" s="18">
        <f t="shared" si="1"/>
        <v>381.4567</v>
      </c>
    </row>
    <row r="5347" ht="15.75" customHeight="1">
      <c r="A5347" s="19" t="s">
        <v>256</v>
      </c>
      <c r="B5347" s="19" t="s">
        <v>61</v>
      </c>
      <c r="C5347" s="20" t="s">
        <v>67</v>
      </c>
      <c r="D5347" s="14" t="str">
        <f>VLOOKUP(C5347,'State Key'!$A$2:$B$210,2,False)</f>
        <v>Rajasthan</v>
      </c>
      <c r="E5347" s="21">
        <v>1320.0</v>
      </c>
      <c r="F5347" s="22">
        <v>0.0</v>
      </c>
      <c r="G5347" s="22">
        <v>0.0</v>
      </c>
      <c r="H5347" s="22">
        <v>458.1375</v>
      </c>
      <c r="I5347" s="22">
        <v>0.0</v>
      </c>
      <c r="J5347" s="22">
        <v>0.0</v>
      </c>
      <c r="K5347" s="22">
        <v>0.0</v>
      </c>
      <c r="L5347" s="22">
        <v>458.1375</v>
      </c>
      <c r="M5347" s="22">
        <v>450.5047</v>
      </c>
      <c r="N5347" s="22">
        <v>444.253</v>
      </c>
      <c r="O5347" s="24">
        <v>29.6</v>
      </c>
      <c r="P5347" s="18">
        <f t="shared" si="1"/>
        <v>458.1375</v>
      </c>
    </row>
    <row r="5348" ht="15.75" customHeight="1">
      <c r="A5348" s="13" t="s">
        <v>256</v>
      </c>
      <c r="B5348" s="13" t="s">
        <v>61</v>
      </c>
      <c r="C5348" s="14" t="s">
        <v>68</v>
      </c>
      <c r="D5348" s="14" t="str">
        <f>VLOOKUP(C5348,'State Key'!$A$2:$B$210,2,False)</f>
        <v>Uttar Pradesh</v>
      </c>
      <c r="E5348" s="15">
        <v>1820.0</v>
      </c>
      <c r="F5348" s="16">
        <v>405.85</v>
      </c>
      <c r="G5348" s="16">
        <v>0.0</v>
      </c>
      <c r="H5348" s="16">
        <v>11.17</v>
      </c>
      <c r="I5348" s="16">
        <v>0.0</v>
      </c>
      <c r="J5348" s="16">
        <v>0.0</v>
      </c>
      <c r="K5348" s="16">
        <v>100.86</v>
      </c>
      <c r="L5348" s="16">
        <v>517.88</v>
      </c>
      <c r="M5348" s="16">
        <v>524.742</v>
      </c>
      <c r="N5348" s="16">
        <v>447.8</v>
      </c>
      <c r="O5348" s="24">
        <v>25.6</v>
      </c>
      <c r="P5348" s="18">
        <f t="shared" si="1"/>
        <v>517.88</v>
      </c>
    </row>
    <row r="5349" ht="15.75" customHeight="1">
      <c r="A5349" s="19" t="s">
        <v>256</v>
      </c>
      <c r="B5349" s="19" t="s">
        <v>61</v>
      </c>
      <c r="C5349" s="20" t="s">
        <v>69</v>
      </c>
      <c r="D5349" s="14" t="str">
        <f>VLOOKUP(C5349,'State Key'!$A$2:$B$210,2,False)</f>
        <v>Punjab</v>
      </c>
      <c r="E5349" s="21">
        <v>920.0</v>
      </c>
      <c r="F5349" s="22">
        <v>72.66011</v>
      </c>
      <c r="G5349" s="22">
        <v>0.0</v>
      </c>
      <c r="H5349" s="22">
        <v>205.70626</v>
      </c>
      <c r="I5349" s="22">
        <v>0.0</v>
      </c>
      <c r="J5349" s="22">
        <v>0.0</v>
      </c>
      <c r="K5349" s="22">
        <v>0.33167</v>
      </c>
      <c r="L5349" s="22">
        <v>278.69804</v>
      </c>
      <c r="M5349" s="22">
        <v>291.364</v>
      </c>
      <c r="N5349" s="22">
        <v>188.86</v>
      </c>
      <c r="O5349" s="24">
        <v>19.4</v>
      </c>
      <c r="P5349" s="18">
        <f t="shared" si="1"/>
        <v>278.69804</v>
      </c>
    </row>
    <row r="5350" ht="15.75" customHeight="1">
      <c r="A5350" s="13" t="s">
        <v>256</v>
      </c>
      <c r="B5350" s="13" t="s">
        <v>61</v>
      </c>
      <c r="C5350" s="14" t="s">
        <v>242</v>
      </c>
      <c r="D5350" s="14" t="str">
        <f>VLOOKUP(C5350,'State Key'!$A$2:$B$210,2,False)</f>
        <v>Uttar Pradesh</v>
      </c>
      <c r="E5350" s="15">
        <v>660.0</v>
      </c>
      <c r="F5350" s="16">
        <v>227.145</v>
      </c>
      <c r="G5350" s="16">
        <v>0.0</v>
      </c>
      <c r="H5350" s="16">
        <v>0.0</v>
      </c>
      <c r="I5350" s="16">
        <v>0.0</v>
      </c>
      <c r="J5350" s="16">
        <v>0.0</v>
      </c>
      <c r="K5350" s="16">
        <v>0.0</v>
      </c>
      <c r="L5350" s="16">
        <v>227.145</v>
      </c>
      <c r="M5350" s="16">
        <v>172.0</v>
      </c>
      <c r="N5350" s="16">
        <v>125.12</v>
      </c>
      <c r="O5350" s="24">
        <v>21.8</v>
      </c>
      <c r="P5350" s="18">
        <f t="shared" si="1"/>
        <v>227.145</v>
      </c>
    </row>
    <row r="5351" ht="15.75" customHeight="1">
      <c r="A5351" s="19" t="s">
        <v>256</v>
      </c>
      <c r="B5351" s="19" t="s">
        <v>61</v>
      </c>
      <c r="C5351" s="20" t="s">
        <v>70</v>
      </c>
      <c r="D5351" s="14" t="str">
        <f>VLOOKUP(C5351,'State Key'!$A$2:$B$210,2,False)</f>
        <v>Punjab</v>
      </c>
      <c r="E5351" s="21">
        <v>540.0</v>
      </c>
      <c r="F5351" s="22">
        <v>0.0</v>
      </c>
      <c r="G5351" s="22">
        <v>0.0</v>
      </c>
      <c r="H5351" s="22">
        <v>131.53</v>
      </c>
      <c r="I5351" s="22">
        <v>0.0</v>
      </c>
      <c r="J5351" s="22">
        <v>0.0</v>
      </c>
      <c r="K5351" s="22">
        <v>0.0</v>
      </c>
      <c r="L5351" s="22">
        <v>131.53</v>
      </c>
      <c r="M5351" s="22">
        <v>119.562</v>
      </c>
      <c r="N5351" s="22">
        <v>121.41</v>
      </c>
      <c r="O5351" s="24">
        <v>30.5</v>
      </c>
      <c r="P5351" s="18">
        <f t="shared" si="1"/>
        <v>131.53</v>
      </c>
    </row>
    <row r="5352" ht="15.75" customHeight="1">
      <c r="A5352" s="13" t="s">
        <v>256</v>
      </c>
      <c r="B5352" s="13" t="s">
        <v>61</v>
      </c>
      <c r="C5352" s="14" t="s">
        <v>71</v>
      </c>
      <c r="D5352" s="14" t="str">
        <f>VLOOKUP(C5352,'State Key'!$A$2:$B$210,2,False)</f>
        <v>Uttar Pradesh</v>
      </c>
      <c r="E5352" s="15">
        <v>1265.0</v>
      </c>
      <c r="F5352" s="16">
        <v>144.902</v>
      </c>
      <c r="G5352" s="16">
        <v>0.0</v>
      </c>
      <c r="H5352" s="16">
        <v>0.0</v>
      </c>
      <c r="I5352" s="16">
        <v>0.0</v>
      </c>
      <c r="J5352" s="16">
        <v>0.0</v>
      </c>
      <c r="K5352" s="16">
        <v>0.0</v>
      </c>
      <c r="L5352" s="16">
        <v>144.902</v>
      </c>
      <c r="M5352" s="16">
        <v>299.038</v>
      </c>
      <c r="N5352" s="16">
        <v>247.07</v>
      </c>
      <c r="O5352" s="24">
        <v>24.8</v>
      </c>
      <c r="P5352" s="18">
        <f t="shared" si="1"/>
        <v>144.902</v>
      </c>
    </row>
    <row r="5353" ht="15.75" customHeight="1">
      <c r="A5353" s="19" t="s">
        <v>256</v>
      </c>
      <c r="B5353" s="19" t="s">
        <v>61</v>
      </c>
      <c r="C5353" s="20" t="s">
        <v>72</v>
      </c>
      <c r="D5353" s="14" t="str">
        <f>VLOOKUP(C5353,'State Key'!$A$2:$B$210,2,False)</f>
        <v>Haryana</v>
      </c>
      <c r="E5353" s="21">
        <v>1500.0</v>
      </c>
      <c r="F5353" s="22">
        <v>344.355</v>
      </c>
      <c r="G5353" s="22">
        <v>0.0</v>
      </c>
      <c r="H5353" s="22">
        <v>0.0</v>
      </c>
      <c r="I5353" s="22">
        <v>0.0</v>
      </c>
      <c r="J5353" s="22">
        <v>0.0</v>
      </c>
      <c r="K5353" s="22">
        <v>0.14</v>
      </c>
      <c r="L5353" s="22">
        <v>344.495</v>
      </c>
      <c r="M5353" s="22">
        <v>473.342</v>
      </c>
      <c r="N5353" s="22">
        <v>477.242</v>
      </c>
      <c r="O5353" s="24">
        <v>30.2</v>
      </c>
      <c r="P5353" s="18">
        <f t="shared" si="1"/>
        <v>344.495</v>
      </c>
    </row>
    <row r="5354" ht="15.75" customHeight="1">
      <c r="A5354" s="13" t="s">
        <v>256</v>
      </c>
      <c r="B5354" s="13" t="s">
        <v>61</v>
      </c>
      <c r="C5354" s="14" t="s">
        <v>226</v>
      </c>
      <c r="D5354" s="14" t="str">
        <f>VLOOKUP(C5354,'State Key'!$A$2:$B$210,2,False)</f>
        <v>Uttar Pradesh</v>
      </c>
      <c r="E5354" s="15">
        <v>1320.0</v>
      </c>
      <c r="F5354" s="16">
        <v>154.75</v>
      </c>
      <c r="G5354" s="16">
        <v>0.0</v>
      </c>
      <c r="H5354" s="16">
        <v>0.0</v>
      </c>
      <c r="I5354" s="16">
        <v>0.0</v>
      </c>
      <c r="J5354" s="16">
        <v>0.0</v>
      </c>
      <c r="K5354" s="16">
        <v>0.0</v>
      </c>
      <c r="L5354" s="16">
        <v>154.75</v>
      </c>
      <c r="M5354" s="16">
        <v>216.55</v>
      </c>
      <c r="N5354" s="16">
        <v>379.16</v>
      </c>
      <c r="O5354" s="24">
        <v>52.5</v>
      </c>
      <c r="P5354" s="18">
        <f t="shared" si="1"/>
        <v>154.75</v>
      </c>
    </row>
    <row r="5355" ht="15.75" customHeight="1">
      <c r="A5355" s="19" t="s">
        <v>256</v>
      </c>
      <c r="B5355" s="19" t="s">
        <v>61</v>
      </c>
      <c r="C5355" s="20" t="s">
        <v>73</v>
      </c>
      <c r="D5355" s="14" t="str">
        <f>VLOOKUP(C5355,'State Key'!$A$2:$B$210,2,False)</f>
        <v>Rajasthan</v>
      </c>
      <c r="E5355" s="21">
        <v>1200.0</v>
      </c>
      <c r="F5355" s="22">
        <v>0.0</v>
      </c>
      <c r="G5355" s="22">
        <v>0.0</v>
      </c>
      <c r="H5355" s="22">
        <v>342.33461</v>
      </c>
      <c r="I5355" s="22">
        <v>0.0</v>
      </c>
      <c r="J5355" s="22">
        <v>0.0</v>
      </c>
      <c r="K5355" s="22">
        <v>0.0</v>
      </c>
      <c r="L5355" s="22">
        <v>342.33461</v>
      </c>
      <c r="M5355" s="22">
        <v>373.693</v>
      </c>
      <c r="N5355" s="22">
        <v>349.33</v>
      </c>
      <c r="O5355" s="24">
        <v>28.0</v>
      </c>
      <c r="P5355" s="18">
        <f t="shared" si="1"/>
        <v>342.33461</v>
      </c>
    </row>
    <row r="5356" ht="15.75" customHeight="1">
      <c r="A5356" s="13" t="s">
        <v>256</v>
      </c>
      <c r="B5356" s="13" t="s">
        <v>61</v>
      </c>
      <c r="C5356" s="14" t="s">
        <v>75</v>
      </c>
      <c r="D5356" s="14" t="str">
        <f>VLOOKUP(C5356,'State Key'!$A$2:$B$210,2,False)</f>
        <v>Uttar Pradesh</v>
      </c>
      <c r="E5356" s="15">
        <v>90.0</v>
      </c>
      <c r="F5356" s="16">
        <v>27.808</v>
      </c>
      <c r="G5356" s="16">
        <v>0.0</v>
      </c>
      <c r="H5356" s="16">
        <v>0.0</v>
      </c>
      <c r="I5356" s="16">
        <v>0.0</v>
      </c>
      <c r="J5356" s="16">
        <v>0.0</v>
      </c>
      <c r="K5356" s="16">
        <v>0.0</v>
      </c>
      <c r="L5356" s="16">
        <v>27.808</v>
      </c>
      <c r="M5356" s="16">
        <v>16.113</v>
      </c>
      <c r="N5356" s="16">
        <v>53.66</v>
      </c>
      <c r="O5356" s="24">
        <v>99.9</v>
      </c>
      <c r="P5356" s="18">
        <f t="shared" si="1"/>
        <v>27.808</v>
      </c>
    </row>
    <row r="5357" ht="15.75" customHeight="1">
      <c r="A5357" s="19" t="s">
        <v>256</v>
      </c>
      <c r="B5357" s="19" t="s">
        <v>61</v>
      </c>
      <c r="C5357" s="20" t="s">
        <v>246</v>
      </c>
      <c r="D5357" s="14" t="str">
        <f>VLOOKUP(C5357,'State Key'!$A$2:$B$210,2,False)</f>
        <v>Uttar Pradesh</v>
      </c>
      <c r="E5357" s="21">
        <v>1320.0</v>
      </c>
      <c r="F5357" s="22">
        <v>0.0</v>
      </c>
      <c r="G5357" s="22">
        <v>0.0</v>
      </c>
      <c r="H5357" s="22">
        <v>336.153</v>
      </c>
      <c r="I5357" s="22">
        <v>0.0</v>
      </c>
      <c r="J5357" s="22">
        <v>0.0</v>
      </c>
      <c r="K5357" s="22">
        <v>0.0</v>
      </c>
      <c r="L5357" s="22">
        <v>336.153</v>
      </c>
      <c r="M5357" s="22">
        <v>227.922</v>
      </c>
      <c r="N5357" s="22">
        <v>312.16</v>
      </c>
      <c r="O5357" s="24">
        <v>41.1</v>
      </c>
      <c r="P5357" s="18">
        <f t="shared" si="1"/>
        <v>336.153</v>
      </c>
    </row>
    <row r="5358" ht="15.75" customHeight="1">
      <c r="A5358" s="13" t="s">
        <v>256</v>
      </c>
      <c r="B5358" s="13" t="s">
        <v>61</v>
      </c>
      <c r="C5358" s="14" t="s">
        <v>76</v>
      </c>
      <c r="D5358" s="14" t="str">
        <f>VLOOKUP(C5358,'State Key'!$A$2:$B$210,2,False)</f>
        <v>Rajasthan</v>
      </c>
      <c r="E5358" s="15">
        <v>1240.0</v>
      </c>
      <c r="F5358" s="16">
        <v>459.243</v>
      </c>
      <c r="G5358" s="16">
        <v>0.0</v>
      </c>
      <c r="H5358" s="16">
        <v>0.0</v>
      </c>
      <c r="I5358" s="16">
        <v>0.0</v>
      </c>
      <c r="J5358" s="16">
        <v>0.0</v>
      </c>
      <c r="K5358" s="16">
        <v>4.235</v>
      </c>
      <c r="L5358" s="16">
        <v>463.478</v>
      </c>
      <c r="M5358" s="16">
        <v>413.605</v>
      </c>
      <c r="N5358" s="16">
        <v>425.97</v>
      </c>
      <c r="O5358" s="24">
        <v>30.9</v>
      </c>
      <c r="P5358" s="18">
        <f t="shared" si="1"/>
        <v>463.478</v>
      </c>
    </row>
    <row r="5359" ht="15.75" customHeight="1">
      <c r="A5359" s="19" t="s">
        <v>256</v>
      </c>
      <c r="B5359" s="19" t="s">
        <v>61</v>
      </c>
      <c r="C5359" s="20" t="s">
        <v>77</v>
      </c>
      <c r="D5359" s="14" t="str">
        <f>VLOOKUP(C5359,'State Key'!$A$2:$B$210,2,False)</f>
        <v>Uttar Pradesh</v>
      </c>
      <c r="E5359" s="21">
        <v>90.0</v>
      </c>
      <c r="F5359" s="22">
        <v>19.961</v>
      </c>
      <c r="G5359" s="22">
        <v>0.0</v>
      </c>
      <c r="H5359" s="22">
        <v>0.0</v>
      </c>
      <c r="I5359" s="22">
        <v>0.0</v>
      </c>
      <c r="J5359" s="22">
        <v>0.0</v>
      </c>
      <c r="K5359" s="22">
        <v>0.0</v>
      </c>
      <c r="L5359" s="22">
        <v>19.961</v>
      </c>
      <c r="M5359" s="22">
        <v>23.322</v>
      </c>
      <c r="N5359" s="22">
        <v>44.92</v>
      </c>
      <c r="O5359" s="24">
        <v>57.8</v>
      </c>
      <c r="P5359" s="18">
        <f t="shared" si="1"/>
        <v>19.961</v>
      </c>
    </row>
    <row r="5360" ht="15.75" customHeight="1">
      <c r="A5360" s="13" t="s">
        <v>256</v>
      </c>
      <c r="B5360" s="13" t="s">
        <v>61</v>
      </c>
      <c r="C5360" s="14" t="s">
        <v>78</v>
      </c>
      <c r="D5360" s="14" t="str">
        <f>VLOOKUP(C5360,'State Key'!$A$2:$B$210,2,False)</f>
        <v>Uttar Pradesh</v>
      </c>
      <c r="E5360" s="15">
        <v>1980.0</v>
      </c>
      <c r="F5360" s="16">
        <v>658.728</v>
      </c>
      <c r="G5360" s="16">
        <v>0.0</v>
      </c>
      <c r="H5360" s="16">
        <v>0.0</v>
      </c>
      <c r="I5360" s="16">
        <v>0.0</v>
      </c>
      <c r="J5360" s="16">
        <v>0.0</v>
      </c>
      <c r="K5360" s="16">
        <v>0.0</v>
      </c>
      <c r="L5360" s="16">
        <v>658.728</v>
      </c>
      <c r="M5360" s="16">
        <v>702.305</v>
      </c>
      <c r="N5360" s="16">
        <v>349.79</v>
      </c>
      <c r="O5360" s="24">
        <v>14.9</v>
      </c>
      <c r="P5360" s="18">
        <f t="shared" si="1"/>
        <v>658.728</v>
      </c>
    </row>
    <row r="5361" ht="15.75" customHeight="1">
      <c r="A5361" s="19" t="s">
        <v>256</v>
      </c>
      <c r="B5361" s="19" t="s">
        <v>61</v>
      </c>
      <c r="C5361" s="20" t="s">
        <v>79</v>
      </c>
      <c r="D5361" s="14" t="str">
        <f>VLOOKUP(C5361,'State Key'!$A$2:$B$210,2,False)</f>
        <v>Haryana</v>
      </c>
      <c r="E5361" s="21">
        <v>1320.0</v>
      </c>
      <c r="F5361" s="22">
        <v>365.697</v>
      </c>
      <c r="G5361" s="22">
        <v>0.0</v>
      </c>
      <c r="H5361" s="22">
        <v>0.0</v>
      </c>
      <c r="I5361" s="22">
        <v>0.0</v>
      </c>
      <c r="J5361" s="22">
        <v>0.0</v>
      </c>
      <c r="K5361" s="22">
        <v>0.0</v>
      </c>
      <c r="L5361" s="22">
        <v>365.697</v>
      </c>
      <c r="M5361" s="22">
        <v>389.667</v>
      </c>
      <c r="N5361" s="22">
        <v>270.72</v>
      </c>
      <c r="O5361" s="24">
        <v>20.8</v>
      </c>
      <c r="P5361" s="18">
        <f t="shared" si="1"/>
        <v>365.697</v>
      </c>
    </row>
    <row r="5362" ht="15.75" customHeight="1">
      <c r="A5362" s="13" t="s">
        <v>256</v>
      </c>
      <c r="B5362" s="13" t="s">
        <v>61</v>
      </c>
      <c r="C5362" s="14" t="s">
        <v>80</v>
      </c>
      <c r="D5362" s="14" t="str">
        <f>VLOOKUP(C5362,'State Key'!$A$2:$B$210,2,False)</f>
        <v>Uttar Pradesh</v>
      </c>
      <c r="E5362" s="15">
        <v>90.0</v>
      </c>
      <c r="F5362" s="16">
        <v>15.792</v>
      </c>
      <c r="G5362" s="16">
        <v>0.0</v>
      </c>
      <c r="H5362" s="16">
        <v>0.0</v>
      </c>
      <c r="I5362" s="16">
        <v>0.0</v>
      </c>
      <c r="J5362" s="16">
        <v>0.0</v>
      </c>
      <c r="K5362" s="16">
        <v>0.0</v>
      </c>
      <c r="L5362" s="16">
        <v>15.792</v>
      </c>
      <c r="M5362" s="16">
        <v>24.275</v>
      </c>
      <c r="N5362" s="16">
        <v>48.94</v>
      </c>
      <c r="O5362" s="24">
        <v>60.5</v>
      </c>
      <c r="P5362" s="18">
        <f t="shared" si="1"/>
        <v>15.792</v>
      </c>
    </row>
    <row r="5363" ht="15.75" customHeight="1">
      <c r="A5363" s="19" t="s">
        <v>256</v>
      </c>
      <c r="B5363" s="19" t="s">
        <v>61</v>
      </c>
      <c r="C5363" s="20" t="s">
        <v>81</v>
      </c>
      <c r="D5363" s="14" t="str">
        <f>VLOOKUP(C5363,'State Key'!$A$2:$B$210,2,False)</f>
        <v>Uttar Pradesh</v>
      </c>
      <c r="E5363" s="21">
        <v>1320.0</v>
      </c>
      <c r="F5363" s="22">
        <v>420.8223</v>
      </c>
      <c r="G5363" s="22">
        <v>0.0</v>
      </c>
      <c r="H5363" s="22">
        <v>7.4635</v>
      </c>
      <c r="I5363" s="22">
        <v>0.0</v>
      </c>
      <c r="J5363" s="22">
        <v>0.0</v>
      </c>
      <c r="K5363" s="22">
        <v>0.0</v>
      </c>
      <c r="L5363" s="22">
        <v>428.2858</v>
      </c>
      <c r="M5363" s="22">
        <v>486.349</v>
      </c>
      <c r="N5363" s="22">
        <v>238.37</v>
      </c>
      <c r="O5363" s="24">
        <v>14.7</v>
      </c>
      <c r="P5363" s="18">
        <f t="shared" si="1"/>
        <v>428.2858</v>
      </c>
    </row>
    <row r="5364" ht="15.75" customHeight="1">
      <c r="A5364" s="13" t="s">
        <v>256</v>
      </c>
      <c r="B5364" s="13" t="s">
        <v>61</v>
      </c>
      <c r="C5364" s="14" t="s">
        <v>82</v>
      </c>
      <c r="D5364" s="14" t="str">
        <f>VLOOKUP(C5364,'State Key'!$A$2:$B$210,2,False)</f>
        <v>Uttar Pradesh</v>
      </c>
      <c r="E5364" s="15">
        <v>2320.0</v>
      </c>
      <c r="F5364" s="16">
        <v>587.188</v>
      </c>
      <c r="G5364" s="16">
        <v>0.0</v>
      </c>
      <c r="H5364" s="16">
        <v>0.0</v>
      </c>
      <c r="I5364" s="16">
        <v>0.0</v>
      </c>
      <c r="J5364" s="16">
        <v>0.0</v>
      </c>
      <c r="K5364" s="16">
        <v>0.0</v>
      </c>
      <c r="L5364" s="16">
        <v>587.188</v>
      </c>
      <c r="M5364" s="16">
        <v>594.433</v>
      </c>
      <c r="N5364" s="16">
        <v>251.43</v>
      </c>
      <c r="O5364" s="23">
        <v>12.7</v>
      </c>
      <c r="P5364" s="18">
        <f t="shared" si="1"/>
        <v>587.188</v>
      </c>
    </row>
    <row r="5365" ht="15.75" customHeight="1">
      <c r="A5365" s="19" t="s">
        <v>256</v>
      </c>
      <c r="B5365" s="19" t="s">
        <v>61</v>
      </c>
      <c r="C5365" s="20" t="s">
        <v>83</v>
      </c>
      <c r="D5365" s="14" t="str">
        <f>VLOOKUP(C5365,'State Key'!$A$2:$B$210,2,False)</f>
        <v>Haryana</v>
      </c>
      <c r="E5365" s="21">
        <v>710.0</v>
      </c>
      <c r="F5365" s="22">
        <v>261.433</v>
      </c>
      <c r="G5365" s="22">
        <v>0.0</v>
      </c>
      <c r="H5365" s="22">
        <v>0.0</v>
      </c>
      <c r="I5365" s="22">
        <v>0.0</v>
      </c>
      <c r="J5365" s="22">
        <v>0.0</v>
      </c>
      <c r="K5365" s="22">
        <v>0.0</v>
      </c>
      <c r="L5365" s="22">
        <v>261.433</v>
      </c>
      <c r="M5365" s="22">
        <v>199.168</v>
      </c>
      <c r="N5365" s="22">
        <v>424.665</v>
      </c>
      <c r="O5365" s="24">
        <v>64.0</v>
      </c>
      <c r="P5365" s="18">
        <f t="shared" si="1"/>
        <v>261.433</v>
      </c>
    </row>
    <row r="5366" ht="15.75" customHeight="1">
      <c r="A5366" s="13" t="s">
        <v>256</v>
      </c>
      <c r="B5366" s="13" t="s">
        <v>61</v>
      </c>
      <c r="C5366" s="14" t="s">
        <v>248</v>
      </c>
      <c r="D5366" s="14" t="str">
        <f>VLOOKUP(C5366,'State Key'!$A$2:$B$210,2,False)</f>
        <v>Uttar Pradesh</v>
      </c>
      <c r="E5366" s="15">
        <v>660.0</v>
      </c>
      <c r="F5366" s="16">
        <v>116.5778</v>
      </c>
      <c r="G5366" s="16">
        <v>0.0</v>
      </c>
      <c r="H5366" s="16">
        <v>0.0</v>
      </c>
      <c r="I5366" s="16">
        <v>0.0</v>
      </c>
      <c r="J5366" s="16">
        <v>0.0</v>
      </c>
      <c r="K5366" s="16">
        <v>0.0</v>
      </c>
      <c r="L5366" s="16">
        <v>116.5778</v>
      </c>
      <c r="M5366" s="16">
        <v>109.2051</v>
      </c>
      <c r="N5366" s="16">
        <v>90.624</v>
      </c>
      <c r="O5366" s="24">
        <v>24.9</v>
      </c>
      <c r="P5366" s="18">
        <f t="shared" si="1"/>
        <v>116.5778</v>
      </c>
    </row>
    <row r="5367" ht="15.75" customHeight="1">
      <c r="A5367" s="19" t="s">
        <v>256</v>
      </c>
      <c r="B5367" s="19" t="s">
        <v>61</v>
      </c>
      <c r="C5367" s="20" t="s">
        <v>84</v>
      </c>
      <c r="D5367" s="14" t="str">
        <f>VLOOKUP(C5367,'State Key'!$A$2:$B$210,2,False)</f>
        <v>Uttar Pradesh</v>
      </c>
      <c r="E5367" s="21">
        <v>920.0</v>
      </c>
      <c r="F5367" s="22">
        <v>314.733</v>
      </c>
      <c r="G5367" s="22">
        <v>0.0</v>
      </c>
      <c r="H5367" s="22">
        <v>0.0</v>
      </c>
      <c r="I5367" s="22">
        <v>0.0</v>
      </c>
      <c r="J5367" s="22">
        <v>0.0</v>
      </c>
      <c r="K5367" s="22">
        <v>0.0</v>
      </c>
      <c r="L5367" s="22">
        <v>314.733</v>
      </c>
      <c r="M5367" s="22">
        <v>319.243</v>
      </c>
      <c r="N5367" s="22">
        <v>208.234</v>
      </c>
      <c r="O5367" s="24">
        <v>19.6</v>
      </c>
      <c r="P5367" s="18">
        <f t="shared" si="1"/>
        <v>314.733</v>
      </c>
    </row>
    <row r="5368" ht="15.75" customHeight="1">
      <c r="A5368" s="13" t="s">
        <v>256</v>
      </c>
      <c r="B5368" s="13" t="s">
        <v>61</v>
      </c>
      <c r="C5368" s="14" t="s">
        <v>85</v>
      </c>
      <c r="D5368" s="14" t="str">
        <f>VLOOKUP(C5368,'State Key'!$A$2:$B$210,2,False)</f>
        <v>Uttar Pradesh</v>
      </c>
      <c r="E5368" s="15">
        <v>1980.0</v>
      </c>
      <c r="F5368" s="16">
        <v>633.41</v>
      </c>
      <c r="G5368" s="16">
        <v>0.0</v>
      </c>
      <c r="H5368" s="16">
        <v>0.0</v>
      </c>
      <c r="I5368" s="16">
        <v>0.0</v>
      </c>
      <c r="J5368" s="16">
        <v>0.0</v>
      </c>
      <c r="K5368" s="16">
        <v>0.0</v>
      </c>
      <c r="L5368" s="16">
        <v>633.41</v>
      </c>
      <c r="M5368" s="16">
        <v>642.098</v>
      </c>
      <c r="N5368" s="16">
        <v>485.59</v>
      </c>
      <c r="O5368" s="24">
        <v>22.7</v>
      </c>
      <c r="P5368" s="18">
        <f t="shared" si="1"/>
        <v>633.41</v>
      </c>
    </row>
    <row r="5369" ht="15.75" customHeight="1">
      <c r="A5369" s="19" t="s">
        <v>256</v>
      </c>
      <c r="B5369" s="19" t="s">
        <v>61</v>
      </c>
      <c r="C5369" s="20" t="s">
        <v>86</v>
      </c>
      <c r="D5369" s="14" t="str">
        <f>VLOOKUP(C5369,'State Key'!$A$2:$B$210,2,False)</f>
        <v>Haryana</v>
      </c>
      <c r="E5369" s="21">
        <v>1200.0</v>
      </c>
      <c r="F5369" s="22">
        <v>323.119</v>
      </c>
      <c r="G5369" s="22">
        <v>0.0</v>
      </c>
      <c r="H5369" s="22">
        <v>0.0</v>
      </c>
      <c r="I5369" s="22">
        <v>0.0</v>
      </c>
      <c r="J5369" s="22">
        <v>0.0</v>
      </c>
      <c r="K5369" s="22">
        <v>0.0</v>
      </c>
      <c r="L5369" s="22">
        <v>323.119</v>
      </c>
      <c r="M5369" s="22">
        <v>358.766</v>
      </c>
      <c r="N5369" s="22">
        <v>521.979</v>
      </c>
      <c r="O5369" s="24">
        <v>43.6</v>
      </c>
      <c r="P5369" s="18">
        <f t="shared" si="1"/>
        <v>323.119</v>
      </c>
    </row>
    <row r="5370" ht="15.75" customHeight="1">
      <c r="A5370" s="13" t="s">
        <v>256</v>
      </c>
      <c r="B5370" s="13" t="s">
        <v>61</v>
      </c>
      <c r="C5370" s="14" t="s">
        <v>87</v>
      </c>
      <c r="D5370" s="14" t="str">
        <f>VLOOKUP(C5370,'State Key'!$A$2:$B$210,2,False)</f>
        <v>Punjab</v>
      </c>
      <c r="E5370" s="15">
        <v>1400.0</v>
      </c>
      <c r="F5370" s="16">
        <v>476.7</v>
      </c>
      <c r="G5370" s="16">
        <v>0.0</v>
      </c>
      <c r="H5370" s="16">
        <v>0.0</v>
      </c>
      <c r="I5370" s="16">
        <v>0.0</v>
      </c>
      <c r="J5370" s="16">
        <v>0.0</v>
      </c>
      <c r="K5370" s="16">
        <v>0.0</v>
      </c>
      <c r="L5370" s="16">
        <v>476.7</v>
      </c>
      <c r="M5370" s="16">
        <v>448.32</v>
      </c>
      <c r="N5370" s="16">
        <v>282.86</v>
      </c>
      <c r="O5370" s="24">
        <v>18.9</v>
      </c>
      <c r="P5370" s="18">
        <f t="shared" si="1"/>
        <v>476.7</v>
      </c>
    </row>
    <row r="5371" ht="15.75" customHeight="1">
      <c r="A5371" s="19" t="s">
        <v>256</v>
      </c>
      <c r="B5371" s="19" t="s">
        <v>61</v>
      </c>
      <c r="C5371" s="20" t="s">
        <v>88</v>
      </c>
      <c r="D5371" s="14" t="str">
        <f>VLOOKUP(C5371,'State Key'!$A$2:$B$210,2,False)</f>
        <v>Uttar Pradesh</v>
      </c>
      <c r="E5371" s="21">
        <v>3000.0</v>
      </c>
      <c r="F5371" s="22">
        <v>1037.73</v>
      </c>
      <c r="G5371" s="22">
        <v>0.0</v>
      </c>
      <c r="H5371" s="22">
        <v>0.0</v>
      </c>
      <c r="I5371" s="22">
        <v>0.0</v>
      </c>
      <c r="J5371" s="22">
        <v>0.0</v>
      </c>
      <c r="K5371" s="22">
        <v>0.0</v>
      </c>
      <c r="L5371" s="22">
        <v>1037.73</v>
      </c>
      <c r="M5371" s="22">
        <v>998.659</v>
      </c>
      <c r="N5371" s="22">
        <v>809.32</v>
      </c>
      <c r="O5371" s="24">
        <v>24.3</v>
      </c>
      <c r="P5371" s="18">
        <f t="shared" si="1"/>
        <v>1037.73</v>
      </c>
    </row>
    <row r="5372" ht="15.75" customHeight="1">
      <c r="A5372" s="13" t="s">
        <v>256</v>
      </c>
      <c r="B5372" s="13" t="s">
        <v>61</v>
      </c>
      <c r="C5372" s="14" t="s">
        <v>89</v>
      </c>
      <c r="D5372" s="14" t="str">
        <f>VLOOKUP(C5372,'State Key'!$A$2:$B$210,2,False)</f>
        <v>Punjab</v>
      </c>
      <c r="E5372" s="15">
        <v>840.0</v>
      </c>
      <c r="F5372" s="16">
        <v>39.733</v>
      </c>
      <c r="G5372" s="16">
        <v>0.0</v>
      </c>
      <c r="H5372" s="16">
        <v>84.473</v>
      </c>
      <c r="I5372" s="16">
        <v>0.0</v>
      </c>
      <c r="J5372" s="16">
        <v>0.0</v>
      </c>
      <c r="K5372" s="16">
        <v>0.0</v>
      </c>
      <c r="L5372" s="16">
        <v>124.206</v>
      </c>
      <c r="M5372" s="16">
        <v>136.92</v>
      </c>
      <c r="N5372" s="16">
        <v>280.0</v>
      </c>
      <c r="O5372" s="24">
        <v>61.3</v>
      </c>
      <c r="P5372" s="18">
        <f t="shared" si="1"/>
        <v>124.206</v>
      </c>
    </row>
    <row r="5373" ht="15.75" customHeight="1">
      <c r="A5373" s="19" t="s">
        <v>256</v>
      </c>
      <c r="B5373" s="19" t="s">
        <v>61</v>
      </c>
      <c r="C5373" s="20" t="s">
        <v>90</v>
      </c>
      <c r="D5373" s="14" t="str">
        <f>VLOOKUP(C5373,'State Key'!$A$2:$B$210,2,False)</f>
        <v>Uttar Pradesh</v>
      </c>
      <c r="E5373" s="21">
        <v>1200.0</v>
      </c>
      <c r="F5373" s="22">
        <v>302.034</v>
      </c>
      <c r="G5373" s="22">
        <v>0.0</v>
      </c>
      <c r="H5373" s="22">
        <v>0.0</v>
      </c>
      <c r="I5373" s="22">
        <v>0.0</v>
      </c>
      <c r="J5373" s="22">
        <v>0.0</v>
      </c>
      <c r="K5373" s="22">
        <v>0.0</v>
      </c>
      <c r="L5373" s="22">
        <v>302.034</v>
      </c>
      <c r="M5373" s="22">
        <v>383.22</v>
      </c>
      <c r="N5373" s="22">
        <v>175.75</v>
      </c>
      <c r="O5373" s="23">
        <v>13.8</v>
      </c>
      <c r="P5373" s="18">
        <f t="shared" si="1"/>
        <v>302.034</v>
      </c>
    </row>
    <row r="5374" ht="15.75" customHeight="1">
      <c r="A5374" s="13" t="s">
        <v>256</v>
      </c>
      <c r="B5374" s="13" t="s">
        <v>61</v>
      </c>
      <c r="C5374" s="14" t="s">
        <v>219</v>
      </c>
      <c r="D5374" s="14" t="str">
        <f>VLOOKUP(C5374,'State Key'!$A$2:$B$210,2,False)</f>
        <v>Rajasthan</v>
      </c>
      <c r="E5374" s="15">
        <v>300.0</v>
      </c>
      <c r="F5374" s="16">
        <v>0.0</v>
      </c>
      <c r="G5374" s="16">
        <v>0.0</v>
      </c>
      <c r="H5374" s="16">
        <v>0.0</v>
      </c>
      <c r="I5374" s="16">
        <v>0.0</v>
      </c>
      <c r="J5374" s="16">
        <v>48.22</v>
      </c>
      <c r="K5374" s="16">
        <v>0.0</v>
      </c>
      <c r="L5374" s="16">
        <v>48.22</v>
      </c>
      <c r="M5374" s="16">
        <v>48.22</v>
      </c>
      <c r="N5374" s="16">
        <v>0.0</v>
      </c>
      <c r="O5374" s="17">
        <v>0.0</v>
      </c>
      <c r="P5374" s="18">
        <f t="shared" si="1"/>
        <v>48.22</v>
      </c>
    </row>
    <row r="5375" ht="15.75" customHeight="1">
      <c r="A5375" s="19" t="s">
        <v>256</v>
      </c>
      <c r="B5375" s="19" t="s">
        <v>61</v>
      </c>
      <c r="C5375" s="20" t="s">
        <v>91</v>
      </c>
      <c r="D5375" s="14" t="str">
        <f>VLOOKUP(C5375,'State Key'!$A$2:$B$210,2,False)</f>
        <v>Uttar Pradesh</v>
      </c>
      <c r="E5375" s="21">
        <v>2000.0</v>
      </c>
      <c r="F5375" s="22">
        <v>718.09</v>
      </c>
      <c r="G5375" s="22">
        <v>0.0</v>
      </c>
      <c r="H5375" s="22">
        <v>0.0</v>
      </c>
      <c r="I5375" s="22">
        <v>0.0</v>
      </c>
      <c r="J5375" s="22">
        <v>0.0</v>
      </c>
      <c r="K5375" s="22">
        <v>0.0</v>
      </c>
      <c r="L5375" s="22">
        <v>718.09</v>
      </c>
      <c r="M5375" s="22">
        <v>707.863</v>
      </c>
      <c r="N5375" s="22">
        <v>504.92</v>
      </c>
      <c r="O5375" s="24">
        <v>21.4</v>
      </c>
      <c r="P5375" s="18">
        <f t="shared" si="1"/>
        <v>718.09</v>
      </c>
    </row>
    <row r="5376" ht="15.75" customHeight="1">
      <c r="A5376" s="13" t="s">
        <v>256</v>
      </c>
      <c r="B5376" s="13" t="s">
        <v>61</v>
      </c>
      <c r="C5376" s="14" t="s">
        <v>92</v>
      </c>
      <c r="D5376" s="14" t="str">
        <f>VLOOKUP(C5376,'State Key'!$A$2:$B$210,2,False)</f>
        <v>Rajasthan</v>
      </c>
      <c r="E5376" s="15">
        <v>1320.0</v>
      </c>
      <c r="F5376" s="16">
        <v>26.7374</v>
      </c>
      <c r="G5376" s="16">
        <v>0.0</v>
      </c>
      <c r="H5376" s="16">
        <v>260.05203</v>
      </c>
      <c r="I5376" s="16">
        <v>0.0</v>
      </c>
      <c r="J5376" s="16">
        <v>0.0</v>
      </c>
      <c r="K5376" s="16">
        <v>0.0</v>
      </c>
      <c r="L5376" s="16">
        <v>286.78943</v>
      </c>
      <c r="M5376" s="16">
        <v>387.926</v>
      </c>
      <c r="N5376" s="16">
        <v>517.67</v>
      </c>
      <c r="O5376" s="24">
        <v>40.0</v>
      </c>
      <c r="P5376" s="18">
        <f t="shared" si="1"/>
        <v>286.78943</v>
      </c>
    </row>
    <row r="5377" ht="15.75" customHeight="1">
      <c r="A5377" s="19" t="s">
        <v>256</v>
      </c>
      <c r="B5377" s="19" t="s">
        <v>61</v>
      </c>
      <c r="C5377" s="20" t="s">
        <v>93</v>
      </c>
      <c r="D5377" s="14" t="str">
        <f>VLOOKUP(C5377,'State Key'!$A$2:$B$210,2,False)</f>
        <v>Rajasthan</v>
      </c>
      <c r="E5377" s="21">
        <v>1500.0</v>
      </c>
      <c r="F5377" s="22">
        <v>180.221</v>
      </c>
      <c r="G5377" s="22">
        <v>0.0</v>
      </c>
      <c r="H5377" s="22">
        <v>0.0</v>
      </c>
      <c r="I5377" s="22">
        <v>0.0</v>
      </c>
      <c r="J5377" s="22">
        <v>0.0</v>
      </c>
      <c r="K5377" s="22">
        <v>0.0</v>
      </c>
      <c r="L5377" s="22">
        <v>180.221</v>
      </c>
      <c r="M5377" s="22">
        <v>256.6</v>
      </c>
      <c r="N5377" s="22">
        <v>441.36</v>
      </c>
      <c r="O5377" s="24">
        <v>51.6</v>
      </c>
      <c r="P5377" s="18">
        <f t="shared" si="1"/>
        <v>180.221</v>
      </c>
    </row>
    <row r="5378" ht="15.75" customHeight="1">
      <c r="A5378" s="13" t="s">
        <v>256</v>
      </c>
      <c r="B5378" s="13" t="s">
        <v>61</v>
      </c>
      <c r="C5378" s="14" t="s">
        <v>94</v>
      </c>
      <c r="D5378" s="14" t="str">
        <f>VLOOKUP(C5378,'State Key'!$A$2:$B$210,2,False)</f>
        <v>Punjab</v>
      </c>
      <c r="E5378" s="15">
        <v>1980.0</v>
      </c>
      <c r="F5378" s="16">
        <v>584.26464</v>
      </c>
      <c r="G5378" s="16">
        <v>0.0</v>
      </c>
      <c r="H5378" s="16">
        <v>0.0</v>
      </c>
      <c r="I5378" s="16">
        <v>0.0</v>
      </c>
      <c r="J5378" s="16">
        <v>0.0</v>
      </c>
      <c r="K5378" s="16">
        <v>0.0</v>
      </c>
      <c r="L5378" s="16">
        <v>584.26464</v>
      </c>
      <c r="M5378" s="16">
        <v>626.589</v>
      </c>
      <c r="N5378" s="16">
        <v>395.72</v>
      </c>
      <c r="O5378" s="24">
        <v>18.9</v>
      </c>
      <c r="P5378" s="18">
        <f t="shared" si="1"/>
        <v>584.26464</v>
      </c>
    </row>
    <row r="5379" ht="15.75" customHeight="1">
      <c r="A5379" s="19" t="s">
        <v>256</v>
      </c>
      <c r="B5379" s="19" t="s">
        <v>61</v>
      </c>
      <c r="C5379" s="20" t="s">
        <v>95</v>
      </c>
      <c r="D5379" s="14" t="str">
        <f>VLOOKUP(C5379,'State Key'!$A$2:$B$210,2,False)</f>
        <v>Uttar Pradesh</v>
      </c>
      <c r="E5379" s="21">
        <v>1760.0</v>
      </c>
      <c r="F5379" s="22">
        <v>59.21</v>
      </c>
      <c r="G5379" s="22">
        <v>0.0</v>
      </c>
      <c r="H5379" s="22">
        <v>277.18</v>
      </c>
      <c r="I5379" s="22">
        <v>0.0</v>
      </c>
      <c r="J5379" s="22">
        <v>0.0</v>
      </c>
      <c r="K5379" s="22">
        <v>0.0</v>
      </c>
      <c r="L5379" s="22">
        <v>336.39</v>
      </c>
      <c r="M5379" s="22">
        <v>376.476</v>
      </c>
      <c r="N5379" s="22">
        <v>595.86</v>
      </c>
      <c r="O5379" s="24">
        <v>47.5</v>
      </c>
      <c r="P5379" s="18">
        <f t="shared" si="1"/>
        <v>336.39</v>
      </c>
    </row>
    <row r="5380" ht="15.75" customHeight="1">
      <c r="A5380" s="13" t="s">
        <v>256</v>
      </c>
      <c r="B5380" s="13" t="s">
        <v>61</v>
      </c>
      <c r="C5380" s="14" t="s">
        <v>96</v>
      </c>
      <c r="D5380" s="14" t="str">
        <f>VLOOKUP(C5380,'State Key'!$A$2:$B$210,2,False)</f>
        <v>Uttar Pradesh</v>
      </c>
      <c r="E5380" s="15">
        <v>1550.0</v>
      </c>
      <c r="F5380" s="16">
        <v>302.07</v>
      </c>
      <c r="G5380" s="16">
        <v>0.0</v>
      </c>
      <c r="H5380" s="16">
        <v>23.28</v>
      </c>
      <c r="I5380" s="16">
        <v>0.0</v>
      </c>
      <c r="J5380" s="16">
        <v>0.0</v>
      </c>
      <c r="K5380" s="16">
        <v>82.69</v>
      </c>
      <c r="L5380" s="16">
        <v>408.04</v>
      </c>
      <c r="M5380" s="16">
        <v>478.172</v>
      </c>
      <c r="N5380" s="16">
        <v>349.77</v>
      </c>
      <c r="O5380" s="24">
        <v>21.9</v>
      </c>
      <c r="P5380" s="18">
        <f t="shared" si="1"/>
        <v>408.04</v>
      </c>
    </row>
    <row r="5381" ht="15.75" customHeight="1">
      <c r="A5381" s="19" t="s">
        <v>256</v>
      </c>
      <c r="B5381" s="19" t="s">
        <v>61</v>
      </c>
      <c r="C5381" s="20" t="s">
        <v>97</v>
      </c>
      <c r="D5381" s="14" t="str">
        <f>VLOOKUP(C5381,'State Key'!$A$2:$B$210,2,False)</f>
        <v>Uttar Pradesh</v>
      </c>
      <c r="E5381" s="21">
        <v>90.0</v>
      </c>
      <c r="F5381" s="22">
        <v>27.643</v>
      </c>
      <c r="G5381" s="22">
        <v>0.0</v>
      </c>
      <c r="H5381" s="22">
        <v>0.0</v>
      </c>
      <c r="I5381" s="22">
        <v>0.0</v>
      </c>
      <c r="J5381" s="22">
        <v>0.0</v>
      </c>
      <c r="K5381" s="22">
        <v>0.0</v>
      </c>
      <c r="L5381" s="22">
        <v>27.643</v>
      </c>
      <c r="M5381" s="22">
        <v>23.889</v>
      </c>
      <c r="N5381" s="22">
        <v>49.03</v>
      </c>
      <c r="O5381" s="24">
        <v>61.6</v>
      </c>
      <c r="P5381" s="18">
        <f t="shared" si="1"/>
        <v>27.643</v>
      </c>
    </row>
    <row r="5382" ht="15.75" customHeight="1">
      <c r="A5382" s="13" t="s">
        <v>256</v>
      </c>
      <c r="B5382" s="13" t="s">
        <v>61</v>
      </c>
      <c r="C5382" s="14" t="s">
        <v>98</v>
      </c>
      <c r="D5382" s="14" t="str">
        <f>VLOOKUP(C5382,'State Key'!$A$2:$B$210,2,False)</f>
        <v>Haryana</v>
      </c>
      <c r="E5382" s="15">
        <v>600.0</v>
      </c>
      <c r="F5382" s="16">
        <v>223.636</v>
      </c>
      <c r="G5382" s="16">
        <v>0.0</v>
      </c>
      <c r="H5382" s="16">
        <v>0.0</v>
      </c>
      <c r="I5382" s="16">
        <v>0.0</v>
      </c>
      <c r="J5382" s="16">
        <v>0.0</v>
      </c>
      <c r="K5382" s="16">
        <v>0.0</v>
      </c>
      <c r="L5382" s="16">
        <v>223.636</v>
      </c>
      <c r="M5382" s="16">
        <v>213.709</v>
      </c>
      <c r="N5382" s="16">
        <v>311.04</v>
      </c>
      <c r="O5382" s="24">
        <v>43.7</v>
      </c>
      <c r="P5382" s="18">
        <f t="shared" si="1"/>
        <v>223.636</v>
      </c>
    </row>
    <row r="5383" ht="15.75" customHeight="1">
      <c r="A5383" s="19" t="s">
        <v>256</v>
      </c>
      <c r="B5383" s="19" t="s">
        <v>99</v>
      </c>
      <c r="C5383" s="20" t="s">
        <v>210</v>
      </c>
      <c r="D5383" s="14" t="str">
        <f>VLOOKUP(C5383,'State Key'!$A$2:$B$210,2,False)</f>
        <v>Karnataka</v>
      </c>
      <c r="E5383" s="21">
        <v>1200.0</v>
      </c>
      <c r="F5383" s="22">
        <v>0.0</v>
      </c>
      <c r="G5383" s="22">
        <v>0.0</v>
      </c>
      <c r="H5383" s="22">
        <v>0.0</v>
      </c>
      <c r="I5383" s="22">
        <v>0.0</v>
      </c>
      <c r="J5383" s="22">
        <v>120.129</v>
      </c>
      <c r="K5383" s="22">
        <v>0.0</v>
      </c>
      <c r="L5383" s="22">
        <v>120.129</v>
      </c>
      <c r="M5383" s="22">
        <v>199.868</v>
      </c>
      <c r="N5383" s="22">
        <v>74.59</v>
      </c>
      <c r="O5383" s="23">
        <v>11.2</v>
      </c>
      <c r="P5383" s="18">
        <f t="shared" si="1"/>
        <v>120.129</v>
      </c>
    </row>
    <row r="5384" ht="15.75" customHeight="1">
      <c r="A5384" s="13" t="s">
        <v>256</v>
      </c>
      <c r="B5384" s="13" t="s">
        <v>99</v>
      </c>
      <c r="C5384" s="14" t="s">
        <v>100</v>
      </c>
      <c r="D5384" s="14" t="str">
        <f>VLOOKUP(C5384,'State Key'!$A$2:$B$210,2,False)</f>
        <v>Karnataka</v>
      </c>
      <c r="E5384" s="15">
        <v>1700.0</v>
      </c>
      <c r="F5384" s="16">
        <v>0.0</v>
      </c>
      <c r="G5384" s="16">
        <v>0.0</v>
      </c>
      <c r="H5384" s="16">
        <v>297.20141</v>
      </c>
      <c r="I5384" s="16">
        <v>0.0</v>
      </c>
      <c r="J5384" s="16">
        <v>31.90696</v>
      </c>
      <c r="K5384" s="16">
        <v>0.0</v>
      </c>
      <c r="L5384" s="16">
        <v>329.10837</v>
      </c>
      <c r="M5384" s="16">
        <v>384.239</v>
      </c>
      <c r="N5384" s="16">
        <v>279.5167</v>
      </c>
      <c r="O5384" s="24">
        <v>21.8</v>
      </c>
      <c r="P5384" s="18">
        <f t="shared" si="1"/>
        <v>329.10837</v>
      </c>
    </row>
    <row r="5385" ht="15.75" customHeight="1">
      <c r="A5385" s="19" t="s">
        <v>256</v>
      </c>
      <c r="B5385" s="19" t="s">
        <v>99</v>
      </c>
      <c r="C5385" s="20" t="s">
        <v>101</v>
      </c>
      <c r="D5385" s="14" t="str">
        <f>VLOOKUP(C5385,'State Key'!$A$2:$B$210,2,False)</f>
        <v>Telangana</v>
      </c>
      <c r="E5385" s="21">
        <v>1080.0</v>
      </c>
      <c r="F5385" s="22">
        <v>0.0</v>
      </c>
      <c r="G5385" s="22">
        <v>363.267</v>
      </c>
      <c r="H5385" s="22">
        <v>0.0</v>
      </c>
      <c r="I5385" s="22">
        <v>0.0</v>
      </c>
      <c r="J5385" s="22">
        <v>0.0</v>
      </c>
      <c r="K5385" s="22">
        <v>0.0</v>
      </c>
      <c r="L5385" s="22">
        <v>363.267</v>
      </c>
      <c r="M5385" s="22">
        <v>285.612</v>
      </c>
      <c r="N5385" s="22">
        <v>185.127</v>
      </c>
      <c r="O5385" s="24">
        <v>19.4</v>
      </c>
      <c r="P5385" s="18">
        <f t="shared" si="1"/>
        <v>363.267</v>
      </c>
    </row>
    <row r="5386" ht="15.75" customHeight="1">
      <c r="A5386" s="13" t="s">
        <v>256</v>
      </c>
      <c r="B5386" s="13" t="s">
        <v>99</v>
      </c>
      <c r="C5386" s="14" t="s">
        <v>102</v>
      </c>
      <c r="D5386" s="14" t="str">
        <f>VLOOKUP(C5386,'State Key'!$A$2:$B$210,2,False)</f>
        <v>Andhra Pradesh</v>
      </c>
      <c r="E5386" s="15">
        <v>2400.0</v>
      </c>
      <c r="F5386" s="16">
        <v>704.20195</v>
      </c>
      <c r="G5386" s="16">
        <v>0.0</v>
      </c>
      <c r="H5386" s="16">
        <v>0.0</v>
      </c>
      <c r="I5386" s="16">
        <v>0.0</v>
      </c>
      <c r="J5386" s="16">
        <v>0.0</v>
      </c>
      <c r="K5386" s="16">
        <v>0.0</v>
      </c>
      <c r="L5386" s="16">
        <v>704.20195</v>
      </c>
      <c r="M5386" s="16">
        <v>712.35</v>
      </c>
      <c r="N5386" s="16">
        <v>63.32</v>
      </c>
      <c r="O5386" s="17">
        <v>2.7</v>
      </c>
      <c r="P5386" s="18">
        <f t="shared" si="1"/>
        <v>704.20195</v>
      </c>
    </row>
    <row r="5387" ht="15.75" customHeight="1">
      <c r="A5387" s="19" t="s">
        <v>256</v>
      </c>
      <c r="B5387" s="19" t="s">
        <v>99</v>
      </c>
      <c r="C5387" s="20" t="s">
        <v>103</v>
      </c>
      <c r="D5387" s="14" t="str">
        <f>VLOOKUP(C5387,'State Key'!$A$2:$B$210,2,False)</f>
        <v>Andhra Pradesh</v>
      </c>
      <c r="E5387" s="21">
        <v>2560.0</v>
      </c>
      <c r="F5387" s="22">
        <v>732.461</v>
      </c>
      <c r="G5387" s="22">
        <v>87.756</v>
      </c>
      <c r="H5387" s="22">
        <v>0.0</v>
      </c>
      <c r="I5387" s="22">
        <v>0.0</v>
      </c>
      <c r="J5387" s="22">
        <v>0.0</v>
      </c>
      <c r="K5387" s="22">
        <v>0.0</v>
      </c>
      <c r="L5387" s="22">
        <v>820.217</v>
      </c>
      <c r="M5387" s="22">
        <v>852.298</v>
      </c>
      <c r="N5387" s="22">
        <v>420.62</v>
      </c>
      <c r="O5387" s="24">
        <v>14.8</v>
      </c>
      <c r="P5387" s="18">
        <f t="shared" si="1"/>
        <v>820.217</v>
      </c>
    </row>
    <row r="5388" ht="15.75" customHeight="1">
      <c r="A5388" s="13" t="s">
        <v>256</v>
      </c>
      <c r="B5388" s="13" t="s">
        <v>99</v>
      </c>
      <c r="C5388" s="14" t="s">
        <v>104</v>
      </c>
      <c r="D5388" s="14" t="str">
        <f>VLOOKUP(C5388,'State Key'!$A$2:$B$210,2,False)</f>
        <v>Tamil Nadu</v>
      </c>
      <c r="E5388" s="15">
        <v>1200.0</v>
      </c>
      <c r="F5388" s="16">
        <v>0.0</v>
      </c>
      <c r="G5388" s="16">
        <v>0.0</v>
      </c>
      <c r="H5388" s="16">
        <v>0.0</v>
      </c>
      <c r="I5388" s="16">
        <v>0.0</v>
      </c>
      <c r="J5388" s="16">
        <v>28.5429</v>
      </c>
      <c r="K5388" s="16">
        <v>0.0</v>
      </c>
      <c r="L5388" s="16">
        <v>28.5429</v>
      </c>
      <c r="M5388" s="16">
        <v>211.066</v>
      </c>
      <c r="N5388" s="16">
        <v>313.61</v>
      </c>
      <c r="O5388" s="24">
        <v>44.6</v>
      </c>
      <c r="P5388" s="18">
        <f t="shared" si="1"/>
        <v>28.5429</v>
      </c>
    </row>
    <row r="5389" ht="15.75" customHeight="1">
      <c r="A5389" s="19" t="s">
        <v>256</v>
      </c>
      <c r="B5389" s="19" t="s">
        <v>99</v>
      </c>
      <c r="C5389" s="20" t="s">
        <v>105</v>
      </c>
      <c r="D5389" s="14" t="str">
        <f>VLOOKUP(C5389,'State Key'!$A$2:$B$210,2,False)</f>
        <v>Telangana</v>
      </c>
      <c r="E5389" s="21">
        <v>1100.0</v>
      </c>
      <c r="F5389" s="22">
        <v>0.0</v>
      </c>
      <c r="G5389" s="22">
        <v>135.077</v>
      </c>
      <c r="H5389" s="22">
        <v>184.182</v>
      </c>
      <c r="I5389" s="22">
        <v>0.0</v>
      </c>
      <c r="J5389" s="22">
        <v>0.0</v>
      </c>
      <c r="K5389" s="22">
        <v>0.0</v>
      </c>
      <c r="L5389" s="22">
        <v>319.259</v>
      </c>
      <c r="M5389" s="22">
        <v>357.004</v>
      </c>
      <c r="N5389" s="22">
        <v>162.127</v>
      </c>
      <c r="O5389" s="23">
        <v>13.6</v>
      </c>
      <c r="P5389" s="18">
        <f t="shared" si="1"/>
        <v>319.259</v>
      </c>
    </row>
    <row r="5390" ht="15.75" customHeight="1">
      <c r="A5390" s="13" t="s">
        <v>256</v>
      </c>
      <c r="B5390" s="13" t="s">
        <v>99</v>
      </c>
      <c r="C5390" s="14" t="s">
        <v>106</v>
      </c>
      <c r="D5390" s="14" t="str">
        <f>VLOOKUP(C5390,'State Key'!$A$2:$B$210,2,False)</f>
        <v>Telangana</v>
      </c>
      <c r="E5390" s="15">
        <v>1000.0</v>
      </c>
      <c r="F5390" s="16">
        <v>0.0</v>
      </c>
      <c r="G5390" s="16">
        <v>177.568</v>
      </c>
      <c r="H5390" s="16">
        <v>0.0</v>
      </c>
      <c r="I5390" s="16">
        <v>0.0</v>
      </c>
      <c r="J5390" s="16">
        <v>0.0</v>
      </c>
      <c r="K5390" s="16">
        <v>0.0</v>
      </c>
      <c r="L5390" s="16">
        <v>177.568</v>
      </c>
      <c r="M5390" s="16">
        <v>304.56</v>
      </c>
      <c r="N5390" s="16">
        <v>266.272</v>
      </c>
      <c r="O5390" s="24">
        <v>26.2</v>
      </c>
      <c r="P5390" s="18">
        <f t="shared" si="1"/>
        <v>177.568</v>
      </c>
    </row>
    <row r="5391" ht="15.75" customHeight="1">
      <c r="A5391" s="19" t="s">
        <v>256</v>
      </c>
      <c r="B5391" s="19" t="s">
        <v>99</v>
      </c>
      <c r="C5391" s="20" t="s">
        <v>107</v>
      </c>
      <c r="D5391" s="14" t="str">
        <f>VLOOKUP(C5391,'State Key'!$A$2:$B$210,2,False)</f>
        <v>Telangana</v>
      </c>
      <c r="E5391" s="21">
        <v>800.0</v>
      </c>
      <c r="F5391" s="22">
        <v>0.0</v>
      </c>
      <c r="G5391" s="22">
        <v>184.667</v>
      </c>
      <c r="H5391" s="22">
        <v>0.0</v>
      </c>
      <c r="I5391" s="22">
        <v>0.0</v>
      </c>
      <c r="J5391" s="22">
        <v>0.0</v>
      </c>
      <c r="K5391" s="22">
        <v>0.0</v>
      </c>
      <c r="L5391" s="22">
        <v>184.667</v>
      </c>
      <c r="M5391" s="22">
        <v>236.432</v>
      </c>
      <c r="N5391" s="22">
        <v>85.955</v>
      </c>
      <c r="O5391" s="23">
        <v>10.9</v>
      </c>
      <c r="P5391" s="18">
        <f t="shared" si="1"/>
        <v>184.667</v>
      </c>
    </row>
    <row r="5392" ht="15.75" customHeight="1">
      <c r="A5392" s="13" t="s">
        <v>256</v>
      </c>
      <c r="B5392" s="13" t="s">
        <v>99</v>
      </c>
      <c r="C5392" s="14" t="s">
        <v>108</v>
      </c>
      <c r="D5392" s="14" t="str">
        <f>VLOOKUP(C5392,'State Key'!$A$2:$B$210,2,False)</f>
        <v>Karnataka</v>
      </c>
      <c r="E5392" s="15">
        <v>2400.0</v>
      </c>
      <c r="F5392" s="16">
        <v>161.47</v>
      </c>
      <c r="G5392" s="16">
        <v>12.44</v>
      </c>
      <c r="H5392" s="16">
        <v>7.09</v>
      </c>
      <c r="I5392" s="16">
        <v>0.0</v>
      </c>
      <c r="J5392" s="16">
        <v>0.0</v>
      </c>
      <c r="K5392" s="16">
        <v>8.31</v>
      </c>
      <c r="L5392" s="16">
        <v>189.31</v>
      </c>
      <c r="M5392" s="16">
        <v>432.284</v>
      </c>
      <c r="N5392" s="16">
        <v>574.12</v>
      </c>
      <c r="O5392" s="24">
        <v>39.8</v>
      </c>
      <c r="P5392" s="18">
        <f t="shared" si="1"/>
        <v>189.31</v>
      </c>
    </row>
    <row r="5393" ht="15.75" customHeight="1">
      <c r="A5393" s="19" t="s">
        <v>256</v>
      </c>
      <c r="B5393" s="19" t="s">
        <v>99</v>
      </c>
      <c r="C5393" s="20" t="s">
        <v>109</v>
      </c>
      <c r="D5393" s="14" t="str">
        <f>VLOOKUP(C5393,'State Key'!$A$2:$B$210,2,False)</f>
        <v>Tamil Nadu</v>
      </c>
      <c r="E5393" s="21">
        <v>840.0</v>
      </c>
      <c r="F5393" s="22">
        <v>365.3567</v>
      </c>
      <c r="G5393" s="22">
        <v>0.0</v>
      </c>
      <c r="H5393" s="22">
        <v>0.0</v>
      </c>
      <c r="I5393" s="22">
        <v>0.0</v>
      </c>
      <c r="J5393" s="22">
        <v>0.0</v>
      </c>
      <c r="K5393" s="22">
        <v>0.0</v>
      </c>
      <c r="L5393" s="22">
        <v>365.3567</v>
      </c>
      <c r="M5393" s="22">
        <v>328.222</v>
      </c>
      <c r="N5393" s="22">
        <v>207.745</v>
      </c>
      <c r="O5393" s="24">
        <v>19.0</v>
      </c>
      <c r="P5393" s="18">
        <f t="shared" si="1"/>
        <v>365.3567</v>
      </c>
    </row>
    <row r="5394" ht="15.75" customHeight="1">
      <c r="A5394" s="13" t="s">
        <v>256</v>
      </c>
      <c r="B5394" s="13" t="s">
        <v>99</v>
      </c>
      <c r="C5394" s="14" t="s">
        <v>110</v>
      </c>
      <c r="D5394" s="14" t="str">
        <f>VLOOKUP(C5394,'State Key'!$A$2:$B$210,2,False)</f>
        <v>Tamil Nadu</v>
      </c>
      <c r="E5394" s="15">
        <v>600.0</v>
      </c>
      <c r="F5394" s="16">
        <v>206.15</v>
      </c>
      <c r="G5394" s="16">
        <v>0.0</v>
      </c>
      <c r="H5394" s="16">
        <v>0.0</v>
      </c>
      <c r="I5394" s="16">
        <v>0.0</v>
      </c>
      <c r="J5394" s="16">
        <v>24.992</v>
      </c>
      <c r="K5394" s="16">
        <v>0.0</v>
      </c>
      <c r="L5394" s="16">
        <v>231.142</v>
      </c>
      <c r="M5394" s="16">
        <v>262.92</v>
      </c>
      <c r="N5394" s="16">
        <v>129.59</v>
      </c>
      <c r="O5394" s="24">
        <v>14.8</v>
      </c>
      <c r="P5394" s="18">
        <f t="shared" si="1"/>
        <v>231.142</v>
      </c>
    </row>
    <row r="5395" ht="15.75" customHeight="1">
      <c r="A5395" s="19" t="s">
        <v>256</v>
      </c>
      <c r="B5395" s="19" t="s">
        <v>99</v>
      </c>
      <c r="C5395" s="20" t="s">
        <v>111</v>
      </c>
      <c r="D5395" s="14" t="str">
        <f>VLOOKUP(C5395,'State Key'!$A$2:$B$210,2,False)</f>
        <v>Tamil Nadu</v>
      </c>
      <c r="E5395" s="21">
        <v>1200.0</v>
      </c>
      <c r="F5395" s="22">
        <v>71.351</v>
      </c>
      <c r="G5395" s="22">
        <v>0.0</v>
      </c>
      <c r="H5395" s="22">
        <v>0.0</v>
      </c>
      <c r="I5395" s="22">
        <v>0.0</v>
      </c>
      <c r="J5395" s="22">
        <v>219.473</v>
      </c>
      <c r="K5395" s="22">
        <v>0.0</v>
      </c>
      <c r="L5395" s="22">
        <v>290.824</v>
      </c>
      <c r="M5395" s="22">
        <v>274.382</v>
      </c>
      <c r="N5395" s="22">
        <v>220.79</v>
      </c>
      <c r="O5395" s="24">
        <v>24.1</v>
      </c>
      <c r="P5395" s="18">
        <f t="shared" si="1"/>
        <v>290.824</v>
      </c>
    </row>
    <row r="5396" ht="15.75" customHeight="1">
      <c r="A5396" s="13" t="s">
        <v>256</v>
      </c>
      <c r="B5396" s="13" t="s">
        <v>99</v>
      </c>
      <c r="C5396" s="14" t="s">
        <v>112</v>
      </c>
      <c r="D5396" s="14" t="str">
        <f>VLOOKUP(C5396,'State Key'!$A$2:$B$210,2,False)</f>
        <v>Tamil Nadu</v>
      </c>
      <c r="E5396" s="15">
        <v>1830.0</v>
      </c>
      <c r="F5396" s="16">
        <v>691.016</v>
      </c>
      <c r="G5396" s="16">
        <v>0.0</v>
      </c>
      <c r="H5396" s="16">
        <v>0.0</v>
      </c>
      <c r="I5396" s="16">
        <v>0.0</v>
      </c>
      <c r="J5396" s="16">
        <v>4.292</v>
      </c>
      <c r="K5396" s="16">
        <v>0.0</v>
      </c>
      <c r="L5396" s="16">
        <v>695.308</v>
      </c>
      <c r="M5396" s="16">
        <v>680.663</v>
      </c>
      <c r="N5396" s="16">
        <v>265.923</v>
      </c>
      <c r="O5396" s="23">
        <v>11.7</v>
      </c>
      <c r="P5396" s="18">
        <f t="shared" si="1"/>
        <v>695.308</v>
      </c>
    </row>
    <row r="5397" ht="15.75" customHeight="1">
      <c r="A5397" s="19" t="s">
        <v>256</v>
      </c>
      <c r="B5397" s="19" t="s">
        <v>99</v>
      </c>
      <c r="C5397" s="20" t="s">
        <v>113</v>
      </c>
      <c r="D5397" s="14" t="str">
        <f>VLOOKUP(C5397,'State Key'!$A$2:$B$210,2,False)</f>
        <v>Tamil Nadu</v>
      </c>
      <c r="E5397" s="21">
        <v>1000.0</v>
      </c>
      <c r="F5397" s="22">
        <v>0.0</v>
      </c>
      <c r="G5397" s="22">
        <v>0.0</v>
      </c>
      <c r="H5397" s="22">
        <v>344.877</v>
      </c>
      <c r="I5397" s="22">
        <v>0.0</v>
      </c>
      <c r="J5397" s="22">
        <v>81.668</v>
      </c>
      <c r="K5397" s="22">
        <v>0.0</v>
      </c>
      <c r="L5397" s="22">
        <v>426.545</v>
      </c>
      <c r="M5397" s="22">
        <v>388.525</v>
      </c>
      <c r="N5397" s="22">
        <v>315.31</v>
      </c>
      <c r="O5397" s="24">
        <v>24.3</v>
      </c>
      <c r="P5397" s="18">
        <f t="shared" si="1"/>
        <v>426.545</v>
      </c>
    </row>
    <row r="5398" ht="15.75" customHeight="1">
      <c r="A5398" s="13" t="s">
        <v>256</v>
      </c>
      <c r="B5398" s="13" t="s">
        <v>99</v>
      </c>
      <c r="C5398" s="14" t="s">
        <v>228</v>
      </c>
      <c r="D5398" s="14" t="str">
        <f>VLOOKUP(C5398,'State Key'!$A$2:$B$210,2,False)</f>
        <v>Tamil Nadu</v>
      </c>
      <c r="E5398" s="15">
        <v>414.0</v>
      </c>
      <c r="F5398" s="16">
        <v>61.175</v>
      </c>
      <c r="G5398" s="16">
        <v>0.0</v>
      </c>
      <c r="H5398" s="16">
        <v>0.0</v>
      </c>
      <c r="I5398" s="16">
        <v>0.0</v>
      </c>
      <c r="J5398" s="16">
        <v>71.094</v>
      </c>
      <c r="K5398" s="16">
        <v>0.0</v>
      </c>
      <c r="L5398" s="16">
        <v>132.269</v>
      </c>
      <c r="M5398" s="16">
        <v>132.552</v>
      </c>
      <c r="N5398" s="16">
        <v>94.24</v>
      </c>
      <c r="O5398" s="24">
        <v>21.3</v>
      </c>
      <c r="P5398" s="18">
        <f t="shared" si="1"/>
        <v>132.269</v>
      </c>
    </row>
    <row r="5399" ht="15.75" customHeight="1">
      <c r="A5399" s="19" t="s">
        <v>256</v>
      </c>
      <c r="B5399" s="19" t="s">
        <v>99</v>
      </c>
      <c r="C5399" s="20" t="s">
        <v>114</v>
      </c>
      <c r="D5399" s="14" t="str">
        <f>VLOOKUP(C5399,'State Key'!$A$2:$B$210,2,False)</f>
        <v>Andhra Pradesh</v>
      </c>
      <c r="E5399" s="21">
        <v>1320.0</v>
      </c>
      <c r="F5399" s="22">
        <v>343.808</v>
      </c>
      <c r="G5399" s="22">
        <v>0.0</v>
      </c>
      <c r="H5399" s="22">
        <v>0.0</v>
      </c>
      <c r="I5399" s="22">
        <v>0.0</v>
      </c>
      <c r="J5399" s="22">
        <v>45.223</v>
      </c>
      <c r="K5399" s="22">
        <v>0.0</v>
      </c>
      <c r="L5399" s="22">
        <v>389.031</v>
      </c>
      <c r="M5399" s="22">
        <v>516.998</v>
      </c>
      <c r="N5399" s="22">
        <v>356.724</v>
      </c>
      <c r="O5399" s="24">
        <v>20.7</v>
      </c>
      <c r="P5399" s="18">
        <f t="shared" si="1"/>
        <v>389.031</v>
      </c>
    </row>
    <row r="5400" ht="15.75" customHeight="1">
      <c r="A5400" s="13" t="s">
        <v>256</v>
      </c>
      <c r="B5400" s="13" t="s">
        <v>99</v>
      </c>
      <c r="C5400" s="14" t="s">
        <v>115</v>
      </c>
      <c r="D5400" s="14" t="str">
        <f>VLOOKUP(C5400,'State Key'!$A$2:$B$210,2,False)</f>
        <v>Karnataka</v>
      </c>
      <c r="E5400" s="15">
        <v>1720.0</v>
      </c>
      <c r="F5400" s="16">
        <v>287.29947</v>
      </c>
      <c r="G5400" s="16">
        <v>152.396</v>
      </c>
      <c r="H5400" s="16">
        <v>0.0</v>
      </c>
      <c r="I5400" s="16">
        <v>0.0</v>
      </c>
      <c r="J5400" s="16">
        <v>0.0</v>
      </c>
      <c r="K5400" s="16">
        <v>0.0</v>
      </c>
      <c r="L5400" s="16">
        <v>439.69547</v>
      </c>
      <c r="M5400" s="16">
        <v>512.164</v>
      </c>
      <c r="N5400" s="16">
        <v>347.2</v>
      </c>
      <c r="O5400" s="24">
        <v>20.3</v>
      </c>
      <c r="P5400" s="18">
        <f t="shared" si="1"/>
        <v>439.69547</v>
      </c>
    </row>
    <row r="5401" ht="15.75" customHeight="1">
      <c r="A5401" s="19" t="s">
        <v>256</v>
      </c>
      <c r="B5401" s="19" t="s">
        <v>99</v>
      </c>
      <c r="C5401" s="20" t="s">
        <v>116</v>
      </c>
      <c r="D5401" s="14" t="str">
        <f>VLOOKUP(C5401,'State Key'!$A$2:$B$210,2,False)</f>
        <v>Telangana</v>
      </c>
      <c r="E5401" s="21">
        <v>2600.0</v>
      </c>
      <c r="F5401" s="22">
        <v>3.95</v>
      </c>
      <c r="G5401" s="22">
        <v>413.82</v>
      </c>
      <c r="H5401" s="22">
        <v>0.0</v>
      </c>
      <c r="I5401" s="22">
        <v>0.0</v>
      </c>
      <c r="J5401" s="22">
        <v>0.0</v>
      </c>
      <c r="K5401" s="22">
        <v>4.13</v>
      </c>
      <c r="L5401" s="22">
        <v>421.9</v>
      </c>
      <c r="M5401" s="22">
        <v>549.522</v>
      </c>
      <c r="N5401" s="22">
        <v>643.28</v>
      </c>
      <c r="O5401" s="24">
        <v>35.1</v>
      </c>
      <c r="P5401" s="18">
        <f t="shared" si="1"/>
        <v>421.9</v>
      </c>
    </row>
    <row r="5402" ht="15.75" customHeight="1">
      <c r="A5402" s="13" t="s">
        <v>256</v>
      </c>
      <c r="B5402" s="13" t="s">
        <v>99</v>
      </c>
      <c r="C5402" s="14" t="s">
        <v>117</v>
      </c>
      <c r="D5402" s="14" t="str">
        <f>VLOOKUP(C5402,'State Key'!$A$2:$B$210,2,False)</f>
        <v>Telangana</v>
      </c>
      <c r="E5402" s="15">
        <v>62.5</v>
      </c>
      <c r="F5402" s="16">
        <v>0.0</v>
      </c>
      <c r="G5402" s="16">
        <v>0.0</v>
      </c>
      <c r="H5402" s="16">
        <v>0.0</v>
      </c>
      <c r="I5402" s="16">
        <v>0.0</v>
      </c>
      <c r="J5402" s="16">
        <v>0.0</v>
      </c>
      <c r="K5402" s="16">
        <v>0.0</v>
      </c>
      <c r="L5402" s="16">
        <v>0.0</v>
      </c>
      <c r="M5402" s="16">
        <v>0.0</v>
      </c>
      <c r="N5402" s="16">
        <v>3.72</v>
      </c>
      <c r="O5402" s="13" t="s">
        <v>58</v>
      </c>
      <c r="P5402" s="18">
        <f t="shared" si="1"/>
        <v>0</v>
      </c>
    </row>
    <row r="5403" ht="15.75" customHeight="1">
      <c r="A5403" s="19" t="s">
        <v>256</v>
      </c>
      <c r="B5403" s="19" t="s">
        <v>99</v>
      </c>
      <c r="C5403" s="20" t="s">
        <v>118</v>
      </c>
      <c r="D5403" s="14" t="str">
        <f>VLOOKUP(C5403,'State Key'!$A$2:$B$210,2,False)</f>
        <v>Andhra Pradesh</v>
      </c>
      <c r="E5403" s="21">
        <v>1650.0</v>
      </c>
      <c r="F5403" s="22">
        <v>416.999</v>
      </c>
      <c r="G5403" s="22">
        <v>107.317</v>
      </c>
      <c r="H5403" s="22">
        <v>0.0</v>
      </c>
      <c r="I5403" s="22">
        <v>0.0</v>
      </c>
      <c r="J5403" s="22">
        <v>0.0</v>
      </c>
      <c r="K5403" s="22">
        <v>0.0</v>
      </c>
      <c r="L5403" s="22">
        <v>524.316</v>
      </c>
      <c r="M5403" s="22">
        <v>611.862</v>
      </c>
      <c r="N5403" s="22">
        <v>194.41</v>
      </c>
      <c r="O5403" s="23">
        <v>9.5</v>
      </c>
      <c r="P5403" s="18">
        <f t="shared" si="1"/>
        <v>524.316</v>
      </c>
    </row>
    <row r="5404" ht="15.75" customHeight="1">
      <c r="A5404" s="13" t="s">
        <v>256</v>
      </c>
      <c r="B5404" s="13" t="s">
        <v>99</v>
      </c>
      <c r="C5404" s="14" t="s">
        <v>119</v>
      </c>
      <c r="D5404" s="14" t="str">
        <f>VLOOKUP(C5404,'State Key'!$A$2:$B$210,2,False)</f>
        <v>Andhra Pradesh</v>
      </c>
      <c r="E5404" s="15">
        <v>1320.0</v>
      </c>
      <c r="F5404" s="16">
        <v>337.844</v>
      </c>
      <c r="G5404" s="16">
        <v>0.0</v>
      </c>
      <c r="H5404" s="16">
        <v>0.0</v>
      </c>
      <c r="I5404" s="16">
        <v>0.0</v>
      </c>
      <c r="J5404" s="16">
        <v>110.782</v>
      </c>
      <c r="K5404" s="16">
        <v>0.0</v>
      </c>
      <c r="L5404" s="16">
        <v>448.626</v>
      </c>
      <c r="M5404" s="16">
        <v>533.542</v>
      </c>
      <c r="N5404" s="16">
        <v>435.813</v>
      </c>
      <c r="O5404" s="24">
        <v>24.5</v>
      </c>
      <c r="P5404" s="18">
        <f t="shared" si="1"/>
        <v>448.626</v>
      </c>
    </row>
    <row r="5405" ht="15.75" customHeight="1">
      <c r="A5405" s="19" t="s">
        <v>256</v>
      </c>
      <c r="B5405" s="19" t="s">
        <v>99</v>
      </c>
      <c r="C5405" s="20" t="s">
        <v>120</v>
      </c>
      <c r="D5405" s="14" t="str">
        <f>VLOOKUP(C5405,'State Key'!$A$2:$B$210,2,False)</f>
        <v>Andhra Pradesh</v>
      </c>
      <c r="E5405" s="21">
        <v>2000.0</v>
      </c>
      <c r="F5405" s="22">
        <v>717.2</v>
      </c>
      <c r="G5405" s="22">
        <v>0.0</v>
      </c>
      <c r="H5405" s="22">
        <v>23.12</v>
      </c>
      <c r="I5405" s="22">
        <v>0.0</v>
      </c>
      <c r="J5405" s="22">
        <v>0.0</v>
      </c>
      <c r="K5405" s="22">
        <v>0.13</v>
      </c>
      <c r="L5405" s="22">
        <v>740.45</v>
      </c>
      <c r="M5405" s="22">
        <v>733.057</v>
      </c>
      <c r="N5405" s="22">
        <v>605.71</v>
      </c>
      <c r="O5405" s="24">
        <v>24.8</v>
      </c>
      <c r="P5405" s="18">
        <f t="shared" si="1"/>
        <v>740.45</v>
      </c>
    </row>
    <row r="5406" ht="15.75" customHeight="1">
      <c r="A5406" s="13" t="s">
        <v>256</v>
      </c>
      <c r="B5406" s="13" t="s">
        <v>99</v>
      </c>
      <c r="C5406" s="14" t="s">
        <v>121</v>
      </c>
      <c r="D5406" s="14" t="str">
        <f>VLOOKUP(C5406,'State Key'!$A$2:$B$210,2,False)</f>
        <v>Andhra Pradesh</v>
      </c>
      <c r="E5406" s="15">
        <v>600.0</v>
      </c>
      <c r="F5406" s="16">
        <v>0.0</v>
      </c>
      <c r="G5406" s="16">
        <v>0.0</v>
      </c>
      <c r="H5406" s="16">
        <v>0.0</v>
      </c>
      <c r="I5406" s="16">
        <v>0.0</v>
      </c>
      <c r="J5406" s="16">
        <v>108.51</v>
      </c>
      <c r="K5406" s="16">
        <v>0.0</v>
      </c>
      <c r="L5406" s="16">
        <v>108.51</v>
      </c>
      <c r="M5406" s="16">
        <v>138.1</v>
      </c>
      <c r="N5406" s="16">
        <v>202.631</v>
      </c>
      <c r="O5406" s="24">
        <v>44.0</v>
      </c>
      <c r="P5406" s="18">
        <f t="shared" si="1"/>
        <v>108.51</v>
      </c>
    </row>
    <row r="5407" ht="15.75" customHeight="1">
      <c r="A5407" s="19" t="s">
        <v>256</v>
      </c>
      <c r="B5407" s="19" t="s">
        <v>99</v>
      </c>
      <c r="C5407" s="20" t="s">
        <v>122</v>
      </c>
      <c r="D5407" s="14" t="str">
        <f>VLOOKUP(C5407,'State Key'!$A$2:$B$210,2,False)</f>
        <v>Telangana</v>
      </c>
      <c r="E5407" s="21">
        <v>1200.0</v>
      </c>
      <c r="F5407" s="22">
        <v>0.0</v>
      </c>
      <c r="G5407" s="22">
        <v>461.883</v>
      </c>
      <c r="H5407" s="22">
        <v>0.0</v>
      </c>
      <c r="I5407" s="22">
        <v>0.0</v>
      </c>
      <c r="J5407" s="22">
        <v>0.0</v>
      </c>
      <c r="K5407" s="22">
        <v>0.0</v>
      </c>
      <c r="L5407" s="22">
        <v>461.883</v>
      </c>
      <c r="M5407" s="22">
        <v>445.503</v>
      </c>
      <c r="N5407" s="22">
        <v>87.04</v>
      </c>
      <c r="O5407" s="17">
        <v>5.9</v>
      </c>
      <c r="P5407" s="18">
        <f t="shared" si="1"/>
        <v>461.883</v>
      </c>
    </row>
    <row r="5408" ht="15.75" customHeight="1">
      <c r="A5408" s="13" t="s">
        <v>256</v>
      </c>
      <c r="B5408" s="13" t="s">
        <v>99</v>
      </c>
      <c r="C5408" s="14" t="s">
        <v>243</v>
      </c>
      <c r="D5408" s="14" t="str">
        <f>VLOOKUP(C5408,'State Key'!$A$2:$B$210,2,False)</f>
        <v>Tamil Nadu</v>
      </c>
      <c r="E5408" s="15">
        <v>63.5</v>
      </c>
      <c r="F5408" s="16">
        <v>0.0</v>
      </c>
      <c r="G5408" s="16">
        <v>0.0</v>
      </c>
      <c r="H5408" s="16">
        <v>0.0</v>
      </c>
      <c r="I5408" s="16">
        <v>0.0</v>
      </c>
      <c r="J5408" s="16">
        <v>0.0</v>
      </c>
      <c r="K5408" s="16">
        <v>0.0</v>
      </c>
      <c r="L5408" s="16">
        <v>0.0</v>
      </c>
      <c r="M5408" s="16">
        <v>0.0</v>
      </c>
      <c r="N5408" s="16">
        <v>0.0</v>
      </c>
      <c r="O5408" s="13" t="s">
        <v>58</v>
      </c>
      <c r="P5408" s="18">
        <f t="shared" si="1"/>
        <v>0</v>
      </c>
    </row>
    <row r="5409" ht="15.75" customHeight="1">
      <c r="A5409" s="19" t="s">
        <v>256</v>
      </c>
      <c r="B5409" s="19" t="s">
        <v>99</v>
      </c>
      <c r="C5409" s="20" t="s">
        <v>220</v>
      </c>
      <c r="D5409" s="14" t="str">
        <f>VLOOKUP(C5409,'State Key'!$A$2:$B$210,2,False)</f>
        <v>Telangana</v>
      </c>
      <c r="E5409" s="21">
        <v>1600.0</v>
      </c>
      <c r="F5409" s="22">
        <v>34.51</v>
      </c>
      <c r="G5409" s="22">
        <v>158.98</v>
      </c>
      <c r="H5409" s="22">
        <v>79.8</v>
      </c>
      <c r="I5409" s="22">
        <v>0.0</v>
      </c>
      <c r="J5409" s="22">
        <v>0.0</v>
      </c>
      <c r="K5409" s="22">
        <v>3.88</v>
      </c>
      <c r="L5409" s="22">
        <v>277.17</v>
      </c>
      <c r="M5409" s="22">
        <v>410.892</v>
      </c>
      <c r="N5409" s="22">
        <v>377.55</v>
      </c>
      <c r="O5409" s="24">
        <v>27.6</v>
      </c>
      <c r="P5409" s="18">
        <f t="shared" si="1"/>
        <v>277.17</v>
      </c>
    </row>
    <row r="5410" ht="15.75" customHeight="1">
      <c r="A5410" s="13" t="s">
        <v>256</v>
      </c>
      <c r="B5410" s="13" t="s">
        <v>99</v>
      </c>
      <c r="C5410" s="14" t="s">
        <v>123</v>
      </c>
      <c r="D5410" s="14" t="str">
        <f>VLOOKUP(C5410,'State Key'!$A$2:$B$210,2,False)</f>
        <v>Andhra Pradesh</v>
      </c>
      <c r="E5410" s="15">
        <v>1000.0</v>
      </c>
      <c r="F5410" s="16">
        <v>20.3854</v>
      </c>
      <c r="G5410" s="16">
        <v>0.0</v>
      </c>
      <c r="H5410" s="16">
        <v>0.0</v>
      </c>
      <c r="I5410" s="16">
        <v>0.0</v>
      </c>
      <c r="J5410" s="16">
        <v>92.30342</v>
      </c>
      <c r="K5410" s="16">
        <v>0.0</v>
      </c>
      <c r="L5410" s="16">
        <v>112.68882</v>
      </c>
      <c r="M5410" s="16">
        <v>133.3899</v>
      </c>
      <c r="N5410" s="16">
        <v>69.99</v>
      </c>
      <c r="O5410" s="24">
        <v>15.7</v>
      </c>
      <c r="P5410" s="18">
        <f t="shared" si="1"/>
        <v>112.68882</v>
      </c>
    </row>
    <row r="5411" ht="15.75" customHeight="1">
      <c r="A5411" s="19" t="s">
        <v>256</v>
      </c>
      <c r="B5411" s="19" t="s">
        <v>99</v>
      </c>
      <c r="C5411" s="20" t="s">
        <v>124</v>
      </c>
      <c r="D5411" s="14" t="str">
        <f>VLOOKUP(C5411,'State Key'!$A$2:$B$210,2,False)</f>
        <v>Karnataka</v>
      </c>
      <c r="E5411" s="21">
        <v>260.0</v>
      </c>
      <c r="F5411" s="22">
        <v>0.0</v>
      </c>
      <c r="G5411" s="22">
        <v>0.0</v>
      </c>
      <c r="H5411" s="22">
        <v>0.0</v>
      </c>
      <c r="I5411" s="22">
        <v>0.0</v>
      </c>
      <c r="J5411" s="22">
        <v>36.98</v>
      </c>
      <c r="K5411" s="22">
        <v>0.0</v>
      </c>
      <c r="L5411" s="22">
        <v>36.98</v>
      </c>
      <c r="M5411" s="22">
        <v>36.98</v>
      </c>
      <c r="N5411" s="22">
        <v>0.0</v>
      </c>
      <c r="O5411" s="17">
        <v>0.0</v>
      </c>
      <c r="P5411" s="18">
        <f t="shared" si="1"/>
        <v>36.98</v>
      </c>
    </row>
    <row r="5412" ht="15.75" customHeight="1">
      <c r="A5412" s="13" t="s">
        <v>256</v>
      </c>
      <c r="B5412" s="13" t="s">
        <v>99</v>
      </c>
      <c r="C5412" s="14" t="s">
        <v>125</v>
      </c>
      <c r="D5412" s="14" t="str">
        <f>VLOOKUP(C5412,'State Key'!$A$2:$B$210,2,False)</f>
        <v>Karnataka</v>
      </c>
      <c r="E5412" s="15">
        <v>600.0</v>
      </c>
      <c r="F5412" s="16">
        <v>0.0</v>
      </c>
      <c r="G5412" s="16">
        <v>0.0</v>
      </c>
      <c r="H5412" s="16">
        <v>0.0</v>
      </c>
      <c r="I5412" s="16">
        <v>0.0</v>
      </c>
      <c r="J5412" s="16">
        <v>54.35</v>
      </c>
      <c r="K5412" s="16">
        <v>0.0</v>
      </c>
      <c r="L5412" s="16">
        <v>54.35</v>
      </c>
      <c r="M5412" s="16">
        <v>53.99</v>
      </c>
      <c r="N5412" s="16">
        <v>2.98</v>
      </c>
      <c r="O5412" s="17">
        <v>1.7</v>
      </c>
      <c r="P5412" s="18">
        <f t="shared" si="1"/>
        <v>54.35</v>
      </c>
    </row>
    <row r="5413" ht="15.75" customHeight="1">
      <c r="A5413" s="19" t="s">
        <v>256</v>
      </c>
      <c r="B5413" s="19" t="s">
        <v>99</v>
      </c>
      <c r="C5413" s="20" t="s">
        <v>126</v>
      </c>
      <c r="D5413" s="14" t="str">
        <f>VLOOKUP(C5413,'State Key'!$A$2:$B$210,2,False)</f>
        <v>Tamil Nadu</v>
      </c>
      <c r="E5413" s="21">
        <v>300.0</v>
      </c>
      <c r="F5413" s="22">
        <v>0.0</v>
      </c>
      <c r="G5413" s="22">
        <v>0.0</v>
      </c>
      <c r="H5413" s="22">
        <v>0.0</v>
      </c>
      <c r="I5413" s="22">
        <v>0.0</v>
      </c>
      <c r="J5413" s="22">
        <v>0.0</v>
      </c>
      <c r="K5413" s="22">
        <v>0.0</v>
      </c>
      <c r="L5413" s="22">
        <v>0.0</v>
      </c>
      <c r="M5413" s="22">
        <v>0.0</v>
      </c>
      <c r="N5413" s="22">
        <v>0.0</v>
      </c>
      <c r="O5413" s="19" t="s">
        <v>58</v>
      </c>
      <c r="P5413" s="18">
        <f t="shared" si="1"/>
        <v>0</v>
      </c>
    </row>
    <row r="5414" ht="15.75" customHeight="1">
      <c r="A5414" s="13" t="s">
        <v>256</v>
      </c>
      <c r="B5414" s="13" t="s">
        <v>99</v>
      </c>
      <c r="C5414" s="14" t="s">
        <v>127</v>
      </c>
      <c r="D5414" s="14" t="str">
        <f>VLOOKUP(C5414,'State Key'!$A$2:$B$210,2,False)</f>
        <v>Tamil Nadu</v>
      </c>
      <c r="E5414" s="15">
        <v>525.0</v>
      </c>
      <c r="F5414" s="16">
        <v>0.0</v>
      </c>
      <c r="G5414" s="16">
        <v>0.0</v>
      </c>
      <c r="H5414" s="16">
        <v>0.0</v>
      </c>
      <c r="I5414" s="16">
        <v>0.0</v>
      </c>
      <c r="J5414" s="16">
        <v>121.541</v>
      </c>
      <c r="K5414" s="16">
        <v>0.0</v>
      </c>
      <c r="L5414" s="16">
        <v>121.541</v>
      </c>
      <c r="M5414" s="16">
        <v>135.713</v>
      </c>
      <c r="N5414" s="16">
        <v>3.47</v>
      </c>
      <c r="O5414" s="17">
        <v>0.8</v>
      </c>
      <c r="P5414" s="18">
        <f t="shared" si="1"/>
        <v>121.541</v>
      </c>
    </row>
    <row r="5415" ht="15.75" customHeight="1">
      <c r="A5415" s="19" t="s">
        <v>256</v>
      </c>
      <c r="B5415" s="19" t="s">
        <v>99</v>
      </c>
      <c r="C5415" s="20" t="s">
        <v>128</v>
      </c>
      <c r="D5415" s="14" t="str">
        <f>VLOOKUP(C5415,'State Key'!$A$2:$B$210,2,False)</f>
        <v>Tamil Nadu</v>
      </c>
      <c r="E5415" s="21">
        <v>1050.0</v>
      </c>
      <c r="F5415" s="22">
        <v>244.929</v>
      </c>
      <c r="G5415" s="22">
        <v>0.0</v>
      </c>
      <c r="H5415" s="22">
        <v>0.0</v>
      </c>
      <c r="I5415" s="22">
        <v>0.0</v>
      </c>
      <c r="J5415" s="22">
        <v>0.0</v>
      </c>
      <c r="K5415" s="22">
        <v>0.0</v>
      </c>
      <c r="L5415" s="22">
        <v>244.929</v>
      </c>
      <c r="M5415" s="22">
        <v>242.093</v>
      </c>
      <c r="N5415" s="22">
        <v>317.69</v>
      </c>
      <c r="O5415" s="24">
        <v>39.4</v>
      </c>
      <c r="P5415" s="18">
        <f t="shared" si="1"/>
        <v>244.929</v>
      </c>
    </row>
    <row r="5416" ht="15.75" customHeight="1">
      <c r="A5416" s="13" t="s">
        <v>256</v>
      </c>
      <c r="B5416" s="13" t="s">
        <v>99</v>
      </c>
      <c r="C5416" s="14" t="s">
        <v>130</v>
      </c>
      <c r="D5416" s="14" t="str">
        <f>VLOOKUP(C5416,'State Key'!$A$2:$B$210,2,False)</f>
        <v>Tamil Nadu</v>
      </c>
      <c r="E5416" s="15">
        <v>1500.0</v>
      </c>
      <c r="F5416" s="16">
        <v>504.309</v>
      </c>
      <c r="G5416" s="16">
        <v>0.0</v>
      </c>
      <c r="H5416" s="16">
        <v>0.0</v>
      </c>
      <c r="I5416" s="16">
        <v>0.0</v>
      </c>
      <c r="J5416" s="16">
        <v>0.0</v>
      </c>
      <c r="K5416" s="16">
        <v>0.0</v>
      </c>
      <c r="L5416" s="16">
        <v>504.309</v>
      </c>
      <c r="M5416" s="16">
        <v>621.08</v>
      </c>
      <c r="N5416" s="16">
        <v>477.39</v>
      </c>
      <c r="O5416" s="24">
        <v>23.1</v>
      </c>
      <c r="P5416" s="18">
        <f t="shared" si="1"/>
        <v>504.309</v>
      </c>
    </row>
    <row r="5417" ht="15.75" customHeight="1">
      <c r="A5417" s="19" t="s">
        <v>256</v>
      </c>
      <c r="B5417" s="19" t="s">
        <v>99</v>
      </c>
      <c r="C5417" s="20" t="s">
        <v>131</v>
      </c>
      <c r="D5417" s="14" t="str">
        <f>VLOOKUP(C5417,'State Key'!$A$2:$B$210,2,False)</f>
        <v>Andhra Pradesh</v>
      </c>
      <c r="E5417" s="21">
        <v>1040.0</v>
      </c>
      <c r="F5417" s="22">
        <v>341.96075</v>
      </c>
      <c r="G5417" s="22">
        <v>0.0</v>
      </c>
      <c r="H5417" s="22">
        <v>0.0</v>
      </c>
      <c r="I5417" s="22">
        <v>0.0</v>
      </c>
      <c r="J5417" s="22">
        <v>0.0</v>
      </c>
      <c r="K5417" s="22">
        <v>0.0</v>
      </c>
      <c r="L5417" s="22">
        <v>341.96075</v>
      </c>
      <c r="M5417" s="22">
        <v>321.843</v>
      </c>
      <c r="N5417" s="22">
        <v>156.8907</v>
      </c>
      <c r="O5417" s="24">
        <v>14.6</v>
      </c>
      <c r="P5417" s="18">
        <f t="shared" si="1"/>
        <v>341.96075</v>
      </c>
    </row>
    <row r="5418" ht="15.75" customHeight="1">
      <c r="A5418" s="13" t="s">
        <v>256</v>
      </c>
      <c r="B5418" s="13" t="s">
        <v>99</v>
      </c>
      <c r="C5418" s="14" t="s">
        <v>249</v>
      </c>
      <c r="D5418" s="14" t="str">
        <f>VLOOKUP(C5418,'State Key'!$A$2:$B$210,2,False)</f>
        <v>Telangana</v>
      </c>
      <c r="E5418" s="15">
        <v>1600.0</v>
      </c>
      <c r="F5418" s="16">
        <v>0.0</v>
      </c>
      <c r="G5418" s="16">
        <v>380.395</v>
      </c>
      <c r="H5418" s="16">
        <v>0.0</v>
      </c>
      <c r="I5418" s="16">
        <v>0.0</v>
      </c>
      <c r="J5418" s="16">
        <v>0.0</v>
      </c>
      <c r="K5418" s="16">
        <v>0.0</v>
      </c>
      <c r="L5418" s="16">
        <v>380.395</v>
      </c>
      <c r="M5418" s="16">
        <v>429.236</v>
      </c>
      <c r="N5418" s="16">
        <v>319.373</v>
      </c>
      <c r="O5418" s="24">
        <v>22.3</v>
      </c>
      <c r="P5418" s="18">
        <f t="shared" si="1"/>
        <v>380.395</v>
      </c>
    </row>
    <row r="5419" ht="15.75" customHeight="1">
      <c r="A5419" s="19" t="s">
        <v>256</v>
      </c>
      <c r="B5419" s="19" t="s">
        <v>99</v>
      </c>
      <c r="C5419" s="20" t="s">
        <v>132</v>
      </c>
      <c r="D5419" s="14" t="str">
        <f>VLOOKUP(C5419,'State Key'!$A$2:$B$210,2,False)</f>
        <v>Karnataka</v>
      </c>
      <c r="E5419" s="21">
        <v>1600.0</v>
      </c>
      <c r="F5419" s="22">
        <v>0.0</v>
      </c>
      <c r="G5419" s="22">
        <v>40.291</v>
      </c>
      <c r="H5419" s="22">
        <v>0.0</v>
      </c>
      <c r="I5419" s="22">
        <v>0.0</v>
      </c>
      <c r="J5419" s="22">
        <v>55.87471</v>
      </c>
      <c r="K5419" s="22">
        <v>0.0</v>
      </c>
      <c r="L5419" s="22">
        <v>96.16571</v>
      </c>
      <c r="M5419" s="22">
        <v>301.641</v>
      </c>
      <c r="N5419" s="22">
        <v>184.484</v>
      </c>
      <c r="O5419" s="24">
        <v>18.3</v>
      </c>
      <c r="P5419" s="18">
        <f t="shared" si="1"/>
        <v>96.16571</v>
      </c>
    </row>
    <row r="5420" ht="15.75" customHeight="1">
      <c r="A5420" s="13" t="s">
        <v>256</v>
      </c>
      <c r="B5420" s="13" t="s">
        <v>133</v>
      </c>
      <c r="C5420" s="14" t="s">
        <v>211</v>
      </c>
      <c r="D5420" s="14" t="str">
        <f>VLOOKUP(C5420,'State Key'!$A$2:$B$210,2,False)</f>
        <v>Gujarat</v>
      </c>
      <c r="E5420" s="15">
        <v>2640.0</v>
      </c>
      <c r="F5420" s="16">
        <v>0.0</v>
      </c>
      <c r="G5420" s="16">
        <v>0.0</v>
      </c>
      <c r="H5420" s="16">
        <v>0.0</v>
      </c>
      <c r="I5420" s="16">
        <v>0.0</v>
      </c>
      <c r="J5420" s="16">
        <v>582.242</v>
      </c>
      <c r="K5420" s="16">
        <v>0.0</v>
      </c>
      <c r="L5420" s="16">
        <v>582.242</v>
      </c>
      <c r="M5420" s="16">
        <v>522.727</v>
      </c>
      <c r="N5420" s="16">
        <v>98.898</v>
      </c>
      <c r="O5420" s="17">
        <v>5.7</v>
      </c>
      <c r="P5420" s="18">
        <f t="shared" si="1"/>
        <v>582.242</v>
      </c>
    </row>
    <row r="5421" ht="15.75" customHeight="1">
      <c r="A5421" s="19" t="s">
        <v>256</v>
      </c>
      <c r="B5421" s="19" t="s">
        <v>133</v>
      </c>
      <c r="C5421" s="20" t="s">
        <v>212</v>
      </c>
      <c r="D5421" s="14" t="str">
        <f>VLOOKUP(C5421,'State Key'!$A$2:$B$210,2,False)</f>
        <v>Gujarat</v>
      </c>
      <c r="E5421" s="21">
        <v>1980.0</v>
      </c>
      <c r="F5421" s="22">
        <v>0.0</v>
      </c>
      <c r="G5421" s="22">
        <v>0.0</v>
      </c>
      <c r="H5421" s="22">
        <v>0.0</v>
      </c>
      <c r="I5421" s="22">
        <v>0.0</v>
      </c>
      <c r="J5421" s="22">
        <v>590.509</v>
      </c>
      <c r="K5421" s="22">
        <v>0.0</v>
      </c>
      <c r="L5421" s="22">
        <v>590.509</v>
      </c>
      <c r="M5421" s="22">
        <v>588.494</v>
      </c>
      <c r="N5421" s="22">
        <v>76.28</v>
      </c>
      <c r="O5421" s="17">
        <v>3.9</v>
      </c>
      <c r="P5421" s="18">
        <f t="shared" si="1"/>
        <v>590.509</v>
      </c>
    </row>
    <row r="5422" ht="15.75" customHeight="1">
      <c r="A5422" s="13" t="s">
        <v>256</v>
      </c>
      <c r="B5422" s="13" t="s">
        <v>133</v>
      </c>
      <c r="C5422" s="14" t="s">
        <v>213</v>
      </c>
      <c r="D5422" s="14" t="str">
        <f>VLOOKUP(C5422,'State Key'!$A$2:$B$210,2,False)</f>
        <v>Chhattisgarh</v>
      </c>
      <c r="E5422" s="15">
        <v>600.0</v>
      </c>
      <c r="F5422" s="16">
        <v>128.121</v>
      </c>
      <c r="G5422" s="16">
        <v>0.0</v>
      </c>
      <c r="H5422" s="16">
        <v>0.0</v>
      </c>
      <c r="I5422" s="16">
        <v>0.0</v>
      </c>
      <c r="J5422" s="16">
        <v>0.0</v>
      </c>
      <c r="K5422" s="16">
        <v>0.0</v>
      </c>
      <c r="L5422" s="16">
        <v>128.121</v>
      </c>
      <c r="M5422" s="16">
        <v>248.462</v>
      </c>
      <c r="N5422" s="16">
        <v>36.419</v>
      </c>
      <c r="O5422" s="17">
        <v>4.4</v>
      </c>
      <c r="P5422" s="18">
        <f t="shared" si="1"/>
        <v>128.121</v>
      </c>
    </row>
    <row r="5423" ht="15.75" customHeight="1">
      <c r="A5423" s="19" t="s">
        <v>256</v>
      </c>
      <c r="B5423" s="19" t="s">
        <v>133</v>
      </c>
      <c r="C5423" s="20" t="s">
        <v>214</v>
      </c>
      <c r="D5423" s="14" t="str">
        <f>VLOOKUP(C5423,'State Key'!$A$2:$B$210,2,False)</f>
        <v>Chhattisgarh</v>
      </c>
      <c r="E5423" s="21">
        <v>1370.0</v>
      </c>
      <c r="F5423" s="22">
        <v>285.034</v>
      </c>
      <c r="G5423" s="22">
        <v>0.0</v>
      </c>
      <c r="H5423" s="22">
        <v>0.0</v>
      </c>
      <c r="I5423" s="22">
        <v>82.984</v>
      </c>
      <c r="J5423" s="22">
        <v>0.0</v>
      </c>
      <c r="K5423" s="22">
        <v>100.069</v>
      </c>
      <c r="L5423" s="22">
        <v>468.087</v>
      </c>
      <c r="M5423" s="22">
        <v>556.802</v>
      </c>
      <c r="N5423" s="22">
        <v>69.81</v>
      </c>
      <c r="O5423" s="17">
        <v>3.8</v>
      </c>
      <c r="P5423" s="18">
        <f t="shared" si="1"/>
        <v>468.087</v>
      </c>
    </row>
    <row r="5424" ht="15.75" customHeight="1">
      <c r="A5424" s="13" t="s">
        <v>256</v>
      </c>
      <c r="B5424" s="13" t="s">
        <v>133</v>
      </c>
      <c r="C5424" s="14" t="s">
        <v>215</v>
      </c>
      <c r="D5424" s="14" t="str">
        <f>VLOOKUP(C5424,'State Key'!$A$2:$B$210,2,False)</f>
        <v>Maharashtra</v>
      </c>
      <c r="E5424" s="15">
        <v>3300.0</v>
      </c>
      <c r="F5424" s="16">
        <v>997.775</v>
      </c>
      <c r="G5424" s="16">
        <v>0.0</v>
      </c>
      <c r="H5424" s="16">
        <v>0.0</v>
      </c>
      <c r="I5424" s="16">
        <v>0.0</v>
      </c>
      <c r="J5424" s="16">
        <v>0.0</v>
      </c>
      <c r="K5424" s="16">
        <v>0.0</v>
      </c>
      <c r="L5424" s="16">
        <v>997.775</v>
      </c>
      <c r="M5424" s="16">
        <v>998.996</v>
      </c>
      <c r="N5424" s="16">
        <v>12.16</v>
      </c>
      <c r="O5424" s="17">
        <v>0.4</v>
      </c>
      <c r="P5424" s="18">
        <f t="shared" si="1"/>
        <v>997.775</v>
      </c>
    </row>
    <row r="5425" ht="15.75" customHeight="1">
      <c r="A5425" s="19" t="s">
        <v>256</v>
      </c>
      <c r="B5425" s="19" t="s">
        <v>133</v>
      </c>
      <c r="C5425" s="20" t="s">
        <v>134</v>
      </c>
      <c r="D5425" s="14" t="str">
        <f>VLOOKUP(C5425,'State Key'!$A$2:$B$210,2,False)</f>
        <v>Chhattisgarh</v>
      </c>
      <c r="E5425" s="21">
        <v>1800.0</v>
      </c>
      <c r="F5425" s="22">
        <v>414.5918</v>
      </c>
      <c r="G5425" s="22">
        <v>0.0</v>
      </c>
      <c r="H5425" s="22">
        <v>0.0</v>
      </c>
      <c r="I5425" s="22">
        <v>10.4559</v>
      </c>
      <c r="J5425" s="22">
        <v>0.0</v>
      </c>
      <c r="K5425" s="22">
        <v>0.0</v>
      </c>
      <c r="L5425" s="22">
        <v>425.0477</v>
      </c>
      <c r="M5425" s="22">
        <v>638.301</v>
      </c>
      <c r="N5425" s="22">
        <v>595.83</v>
      </c>
      <c r="O5425" s="24">
        <v>28.0</v>
      </c>
      <c r="P5425" s="18">
        <f t="shared" si="1"/>
        <v>425.0477</v>
      </c>
    </row>
    <row r="5426" ht="15.75" customHeight="1">
      <c r="A5426" s="13" t="s">
        <v>256</v>
      </c>
      <c r="B5426" s="13" t="s">
        <v>133</v>
      </c>
      <c r="C5426" s="14" t="s">
        <v>135</v>
      </c>
      <c r="D5426" s="14" t="str">
        <f>VLOOKUP(C5426,'State Key'!$A$2:$B$210,2,False)</f>
        <v>Madhya Pradesh</v>
      </c>
      <c r="E5426" s="15">
        <v>210.0</v>
      </c>
      <c r="F5426" s="16">
        <v>95.901</v>
      </c>
      <c r="G5426" s="16">
        <v>0.0</v>
      </c>
      <c r="H5426" s="16">
        <v>0.0</v>
      </c>
      <c r="I5426" s="16">
        <v>0.0</v>
      </c>
      <c r="J5426" s="16">
        <v>0.0</v>
      </c>
      <c r="K5426" s="16">
        <v>0.0</v>
      </c>
      <c r="L5426" s="16">
        <v>95.901</v>
      </c>
      <c r="M5426" s="16">
        <v>104.929</v>
      </c>
      <c r="N5426" s="16">
        <v>47.98</v>
      </c>
      <c r="O5426" s="23">
        <v>13.7</v>
      </c>
      <c r="P5426" s="18">
        <f t="shared" si="1"/>
        <v>95.901</v>
      </c>
    </row>
    <row r="5427" ht="15.75" customHeight="1">
      <c r="A5427" s="19" t="s">
        <v>256</v>
      </c>
      <c r="B5427" s="19" t="s">
        <v>133</v>
      </c>
      <c r="C5427" s="20" t="s">
        <v>136</v>
      </c>
      <c r="D5427" s="14" t="str">
        <f>VLOOKUP(C5427,'State Key'!$A$2:$B$210,2,False)</f>
        <v>Maharashtra</v>
      </c>
      <c r="E5427" s="21">
        <v>1350.0</v>
      </c>
      <c r="F5427" s="22">
        <v>386.14</v>
      </c>
      <c r="G5427" s="22">
        <v>0.0</v>
      </c>
      <c r="H5427" s="22">
        <v>0.0</v>
      </c>
      <c r="I5427" s="22">
        <v>0.0</v>
      </c>
      <c r="J5427" s="22">
        <v>0.0</v>
      </c>
      <c r="K5427" s="22">
        <v>0.0</v>
      </c>
      <c r="L5427" s="22">
        <v>386.14</v>
      </c>
      <c r="M5427" s="22">
        <v>462.272</v>
      </c>
      <c r="N5427" s="22">
        <v>297.49</v>
      </c>
      <c r="O5427" s="24">
        <v>19.3</v>
      </c>
      <c r="P5427" s="18">
        <f t="shared" si="1"/>
        <v>386.14</v>
      </c>
    </row>
    <row r="5428" ht="15.75" customHeight="1">
      <c r="A5428" s="13" t="s">
        <v>256</v>
      </c>
      <c r="B5428" s="13" t="s">
        <v>133</v>
      </c>
      <c r="C5428" s="14" t="s">
        <v>137</v>
      </c>
      <c r="D5428" s="14" t="str">
        <f>VLOOKUP(C5428,'State Key'!$A$2:$B$210,2,False)</f>
        <v>Madhya Pradesh</v>
      </c>
      <c r="E5428" s="15">
        <v>1250.0</v>
      </c>
      <c r="F5428" s="16">
        <v>278.25</v>
      </c>
      <c r="G5428" s="16">
        <v>0.0</v>
      </c>
      <c r="H5428" s="16">
        <v>0.0</v>
      </c>
      <c r="I5428" s="16">
        <v>103.13</v>
      </c>
      <c r="J5428" s="16">
        <v>0.0</v>
      </c>
      <c r="K5428" s="16">
        <v>0.0</v>
      </c>
      <c r="L5428" s="16">
        <v>381.38</v>
      </c>
      <c r="M5428" s="16">
        <v>462.16</v>
      </c>
      <c r="N5428" s="16">
        <v>19.78</v>
      </c>
      <c r="O5428" s="17">
        <v>1.3</v>
      </c>
      <c r="P5428" s="18">
        <f t="shared" si="1"/>
        <v>381.38</v>
      </c>
    </row>
    <row r="5429" ht="15.75" customHeight="1">
      <c r="A5429" s="19" t="s">
        <v>256</v>
      </c>
      <c r="B5429" s="19" t="s">
        <v>133</v>
      </c>
      <c r="C5429" s="20" t="s">
        <v>139</v>
      </c>
      <c r="D5429" s="14" t="str">
        <f>VLOOKUP(C5429,'State Key'!$A$2:$B$210,2,False)</f>
        <v>Chhattisgarh</v>
      </c>
      <c r="E5429" s="21">
        <v>600.0</v>
      </c>
      <c r="F5429" s="22">
        <v>61.82</v>
      </c>
      <c r="G5429" s="22">
        <v>0.0</v>
      </c>
      <c r="H5429" s="22">
        <v>0.0</v>
      </c>
      <c r="I5429" s="22">
        <v>0.0</v>
      </c>
      <c r="J5429" s="22">
        <v>0.0</v>
      </c>
      <c r="K5429" s="22">
        <v>0.0</v>
      </c>
      <c r="L5429" s="22">
        <v>61.82</v>
      </c>
      <c r="M5429" s="22">
        <v>63.96</v>
      </c>
      <c r="N5429" s="22">
        <v>14.14</v>
      </c>
      <c r="O5429" s="17">
        <v>6.6</v>
      </c>
      <c r="P5429" s="18">
        <f t="shared" si="1"/>
        <v>61.82</v>
      </c>
    </row>
    <row r="5430" ht="15.75" customHeight="1">
      <c r="A5430" s="13" t="s">
        <v>256</v>
      </c>
      <c r="B5430" s="13" t="s">
        <v>133</v>
      </c>
      <c r="C5430" s="14" t="s">
        <v>140</v>
      </c>
      <c r="D5430" s="14" t="str">
        <f>VLOOKUP(C5430,'State Key'!$A$2:$B$210,2,False)</f>
        <v>Chhattisgarh</v>
      </c>
      <c r="E5430" s="15">
        <v>300.0</v>
      </c>
      <c r="F5430" s="16">
        <v>127.392</v>
      </c>
      <c r="G5430" s="16">
        <v>0.0</v>
      </c>
      <c r="H5430" s="16">
        <v>0.0</v>
      </c>
      <c r="I5430" s="16">
        <v>34.525</v>
      </c>
      <c r="J5430" s="16">
        <v>0.0</v>
      </c>
      <c r="K5430" s="16">
        <v>0.0</v>
      </c>
      <c r="L5430" s="16">
        <v>161.917</v>
      </c>
      <c r="M5430" s="16">
        <v>135.085</v>
      </c>
      <c r="N5430" s="16">
        <v>148.42</v>
      </c>
      <c r="O5430" s="24">
        <v>33.0</v>
      </c>
      <c r="P5430" s="18">
        <f t="shared" si="1"/>
        <v>161.917</v>
      </c>
    </row>
    <row r="5431" ht="15.75" customHeight="1">
      <c r="A5431" s="19" t="s">
        <v>256</v>
      </c>
      <c r="B5431" s="19" t="s">
        <v>133</v>
      </c>
      <c r="C5431" s="20" t="s">
        <v>141</v>
      </c>
      <c r="D5431" s="14" t="str">
        <f>VLOOKUP(C5431,'State Key'!$A$2:$B$210,2,False)</f>
        <v>Chhattisgarh</v>
      </c>
      <c r="E5431" s="21">
        <v>1200.0</v>
      </c>
      <c r="F5431" s="22">
        <v>427.563</v>
      </c>
      <c r="G5431" s="22">
        <v>0.0</v>
      </c>
      <c r="H5431" s="22">
        <v>0.0</v>
      </c>
      <c r="I5431" s="22">
        <v>0.0</v>
      </c>
      <c r="J5431" s="22">
        <v>0.0</v>
      </c>
      <c r="K5431" s="22">
        <v>0.0</v>
      </c>
      <c r="L5431" s="22">
        <v>427.563</v>
      </c>
      <c r="M5431" s="22">
        <v>520.381</v>
      </c>
      <c r="N5431" s="22">
        <v>74.54</v>
      </c>
      <c r="O5431" s="17">
        <v>4.3</v>
      </c>
      <c r="P5431" s="18">
        <f t="shared" si="1"/>
        <v>427.563</v>
      </c>
    </row>
    <row r="5432" ht="15.75" customHeight="1">
      <c r="A5432" s="13" t="s">
        <v>256</v>
      </c>
      <c r="B5432" s="13" t="s">
        <v>133</v>
      </c>
      <c r="C5432" s="14" t="s">
        <v>142</v>
      </c>
      <c r="D5432" s="14" t="str">
        <f>VLOOKUP(C5432,'State Key'!$A$2:$B$210,2,False)</f>
        <v>Maharashtra</v>
      </c>
      <c r="E5432" s="15">
        <v>270.0</v>
      </c>
      <c r="F5432" s="16">
        <v>95.413</v>
      </c>
      <c r="G5432" s="16">
        <v>0.0</v>
      </c>
      <c r="H5432" s="16">
        <v>0.0</v>
      </c>
      <c r="I5432" s="16">
        <v>12.882</v>
      </c>
      <c r="J5432" s="16">
        <v>0.0</v>
      </c>
      <c r="K5432" s="16">
        <v>0.0</v>
      </c>
      <c r="L5432" s="16">
        <v>108.295</v>
      </c>
      <c r="M5432" s="16">
        <v>107.14</v>
      </c>
      <c r="N5432" s="16">
        <v>22.85</v>
      </c>
      <c r="O5432" s="17">
        <v>6.4</v>
      </c>
      <c r="P5432" s="18">
        <f t="shared" si="1"/>
        <v>108.295</v>
      </c>
    </row>
    <row r="5433" ht="15.75" customHeight="1">
      <c r="A5433" s="19" t="s">
        <v>256</v>
      </c>
      <c r="B5433" s="19" t="s">
        <v>133</v>
      </c>
      <c r="C5433" s="20" t="s">
        <v>143</v>
      </c>
      <c r="D5433" s="14" t="str">
        <f>VLOOKUP(C5433,'State Key'!$A$2:$B$210,2,False)</f>
        <v>Chhattisgarh</v>
      </c>
      <c r="E5433" s="21">
        <v>500.0</v>
      </c>
      <c r="F5433" s="22">
        <v>186.878</v>
      </c>
      <c r="G5433" s="22">
        <v>0.0</v>
      </c>
      <c r="H5433" s="22">
        <v>0.0</v>
      </c>
      <c r="I5433" s="22">
        <v>0.0</v>
      </c>
      <c r="J5433" s="22">
        <v>0.0</v>
      </c>
      <c r="K5433" s="22">
        <v>0.0</v>
      </c>
      <c r="L5433" s="22">
        <v>186.878</v>
      </c>
      <c r="M5433" s="22">
        <v>245.162</v>
      </c>
      <c r="N5433" s="22">
        <v>197.881</v>
      </c>
      <c r="O5433" s="24">
        <v>24.2</v>
      </c>
      <c r="P5433" s="18">
        <f t="shared" si="1"/>
        <v>186.878</v>
      </c>
    </row>
    <row r="5434" ht="15.75" customHeight="1">
      <c r="A5434" s="13" t="s">
        <v>256</v>
      </c>
      <c r="B5434" s="13" t="s">
        <v>133</v>
      </c>
      <c r="C5434" s="14" t="s">
        <v>144</v>
      </c>
      <c r="D5434" s="14" t="str">
        <f>VLOOKUP(C5434,'State Key'!$A$2:$B$210,2,False)</f>
        <v>Maharashtra</v>
      </c>
      <c r="E5434" s="15">
        <v>1870.0</v>
      </c>
      <c r="F5434" s="16">
        <v>495.05</v>
      </c>
      <c r="G5434" s="16">
        <v>137.719</v>
      </c>
      <c r="H5434" s="16">
        <v>0.0</v>
      </c>
      <c r="I5434" s="16">
        <v>0.0</v>
      </c>
      <c r="J5434" s="16">
        <v>0.0</v>
      </c>
      <c r="K5434" s="16">
        <v>0.0</v>
      </c>
      <c r="L5434" s="16">
        <v>632.769</v>
      </c>
      <c r="M5434" s="16">
        <v>668.453</v>
      </c>
      <c r="N5434" s="16">
        <v>355.734</v>
      </c>
      <c r="O5434" s="24">
        <v>16.0</v>
      </c>
      <c r="P5434" s="18">
        <f t="shared" si="1"/>
        <v>632.769</v>
      </c>
    </row>
    <row r="5435" ht="15.75" customHeight="1">
      <c r="A5435" s="19" t="s">
        <v>256</v>
      </c>
      <c r="B5435" s="19" t="s">
        <v>133</v>
      </c>
      <c r="C5435" s="20" t="s">
        <v>145</v>
      </c>
      <c r="D5435" s="14" t="str">
        <f>VLOOKUP(C5435,'State Key'!$A$2:$B$210,2,False)</f>
        <v>Madhya Pradesh</v>
      </c>
      <c r="E5435" s="21">
        <v>500.0</v>
      </c>
      <c r="F5435" s="22">
        <v>141.3562222</v>
      </c>
      <c r="G5435" s="22">
        <v>0.0</v>
      </c>
      <c r="H5435" s="22">
        <v>0.0</v>
      </c>
      <c r="I5435" s="22">
        <v>56.3734017</v>
      </c>
      <c r="J5435" s="22">
        <v>0.0</v>
      </c>
      <c r="K5435" s="22">
        <v>0.0</v>
      </c>
      <c r="L5435" s="22">
        <v>197.7296239</v>
      </c>
      <c r="M5435" s="22">
        <v>198.864</v>
      </c>
      <c r="N5435" s="22">
        <v>176.15</v>
      </c>
      <c r="O5435" s="24">
        <v>26.6</v>
      </c>
      <c r="P5435" s="18">
        <f t="shared" si="1"/>
        <v>197.7296239</v>
      </c>
    </row>
    <row r="5436" ht="15.75" customHeight="1">
      <c r="A5436" s="13" t="s">
        <v>256</v>
      </c>
      <c r="B5436" s="13" t="s">
        <v>133</v>
      </c>
      <c r="C5436" s="14" t="s">
        <v>146</v>
      </c>
      <c r="D5436" s="14" t="str">
        <f>VLOOKUP(C5436,'State Key'!$A$2:$B$210,2,False)</f>
        <v>Chhattisgarh</v>
      </c>
      <c r="E5436" s="15">
        <v>600.0</v>
      </c>
      <c r="F5436" s="16">
        <v>0.0</v>
      </c>
      <c r="G5436" s="16">
        <v>0.0</v>
      </c>
      <c r="H5436" s="16">
        <v>122.533</v>
      </c>
      <c r="I5436" s="16">
        <v>119.13</v>
      </c>
      <c r="J5436" s="16">
        <v>0.0</v>
      </c>
      <c r="K5436" s="16">
        <v>17.294</v>
      </c>
      <c r="L5436" s="16">
        <v>258.957</v>
      </c>
      <c r="M5436" s="16">
        <v>288.365</v>
      </c>
      <c r="N5436" s="16">
        <v>18.68</v>
      </c>
      <c r="O5436" s="17">
        <v>1.9</v>
      </c>
      <c r="P5436" s="18">
        <f t="shared" si="1"/>
        <v>258.957</v>
      </c>
    </row>
    <row r="5437" ht="15.75" customHeight="1">
      <c r="A5437" s="19" t="s">
        <v>256</v>
      </c>
      <c r="B5437" s="19" t="s">
        <v>133</v>
      </c>
      <c r="C5437" s="20" t="s">
        <v>147</v>
      </c>
      <c r="D5437" s="14" t="str">
        <f>VLOOKUP(C5437,'State Key'!$A$2:$B$210,2,False)</f>
        <v>Maharashtra</v>
      </c>
      <c r="E5437" s="21">
        <v>600.0</v>
      </c>
      <c r="F5437" s="22">
        <v>127.079</v>
      </c>
      <c r="G5437" s="22">
        <v>0.0</v>
      </c>
      <c r="H5437" s="22">
        <v>0.0</v>
      </c>
      <c r="I5437" s="22">
        <v>0.0</v>
      </c>
      <c r="J5437" s="22">
        <v>0.0</v>
      </c>
      <c r="K5437" s="22">
        <v>60.674</v>
      </c>
      <c r="L5437" s="22">
        <v>187.753</v>
      </c>
      <c r="M5437" s="22">
        <v>177.105</v>
      </c>
      <c r="N5437" s="22">
        <v>55.58</v>
      </c>
      <c r="O5437" s="23">
        <v>9.4</v>
      </c>
      <c r="P5437" s="18">
        <f t="shared" si="1"/>
        <v>187.753</v>
      </c>
    </row>
    <row r="5438" ht="15.75" customHeight="1">
      <c r="A5438" s="13" t="s">
        <v>256</v>
      </c>
      <c r="B5438" s="13" t="s">
        <v>133</v>
      </c>
      <c r="C5438" s="14" t="s">
        <v>148</v>
      </c>
      <c r="D5438" s="14" t="str">
        <f>VLOOKUP(C5438,'State Key'!$A$2:$B$210,2,False)</f>
        <v>Chhattisgarh</v>
      </c>
      <c r="E5438" s="15">
        <v>30.0</v>
      </c>
      <c r="F5438" s="16">
        <v>10.0</v>
      </c>
      <c r="G5438" s="16">
        <v>0.0</v>
      </c>
      <c r="H5438" s="16">
        <v>0.0</v>
      </c>
      <c r="I5438" s="16">
        <v>0.0</v>
      </c>
      <c r="J5438" s="16">
        <v>0.0</v>
      </c>
      <c r="K5438" s="16">
        <v>30.1517</v>
      </c>
      <c r="L5438" s="16">
        <v>40.1517</v>
      </c>
      <c r="M5438" s="16">
        <v>46.42</v>
      </c>
      <c r="N5438" s="16">
        <v>8.71</v>
      </c>
      <c r="O5438" s="17">
        <v>5.6</v>
      </c>
      <c r="P5438" s="18">
        <f t="shared" si="1"/>
        <v>40.1517</v>
      </c>
    </row>
    <row r="5439" ht="15.75" customHeight="1">
      <c r="A5439" s="19" t="s">
        <v>256</v>
      </c>
      <c r="B5439" s="19" t="s">
        <v>133</v>
      </c>
      <c r="C5439" s="20" t="s">
        <v>149</v>
      </c>
      <c r="D5439" s="14" t="str">
        <f>VLOOKUP(C5439,'State Key'!$A$2:$B$210,2,False)</f>
        <v>Maharashtra</v>
      </c>
      <c r="E5439" s="21">
        <v>2920.0</v>
      </c>
      <c r="F5439" s="22">
        <v>658.935</v>
      </c>
      <c r="G5439" s="22">
        <v>244.725</v>
      </c>
      <c r="H5439" s="22">
        <v>0.0</v>
      </c>
      <c r="I5439" s="22">
        <v>0.0</v>
      </c>
      <c r="J5439" s="22">
        <v>0.0</v>
      </c>
      <c r="K5439" s="22">
        <v>0.0</v>
      </c>
      <c r="L5439" s="22">
        <v>903.66</v>
      </c>
      <c r="M5439" s="22">
        <v>865.858</v>
      </c>
      <c r="N5439" s="22">
        <v>256.17</v>
      </c>
      <c r="O5439" s="23">
        <v>8.9</v>
      </c>
      <c r="P5439" s="18">
        <f t="shared" si="1"/>
        <v>903.66</v>
      </c>
    </row>
    <row r="5440" ht="15.75" customHeight="1">
      <c r="A5440" s="13" t="s">
        <v>256</v>
      </c>
      <c r="B5440" s="13" t="s">
        <v>133</v>
      </c>
      <c r="C5440" s="14" t="s">
        <v>150</v>
      </c>
      <c r="D5440" s="14" t="str">
        <f>VLOOKUP(C5440,'State Key'!$A$2:$B$210,2,False)</f>
        <v>Maharashtra</v>
      </c>
      <c r="E5440" s="15">
        <v>500.0</v>
      </c>
      <c r="F5440" s="16">
        <v>125.441</v>
      </c>
      <c r="G5440" s="16">
        <v>0.0</v>
      </c>
      <c r="H5440" s="16">
        <v>0.0</v>
      </c>
      <c r="I5440" s="16">
        <v>0.0</v>
      </c>
      <c r="J5440" s="16">
        <v>0.0</v>
      </c>
      <c r="K5440" s="16">
        <v>0.0</v>
      </c>
      <c r="L5440" s="16">
        <v>125.441</v>
      </c>
      <c r="M5440" s="16">
        <v>169.05</v>
      </c>
      <c r="N5440" s="16">
        <v>21.42</v>
      </c>
      <c r="O5440" s="17">
        <v>3.8</v>
      </c>
      <c r="P5440" s="18">
        <f t="shared" si="1"/>
        <v>125.441</v>
      </c>
    </row>
    <row r="5441" ht="15.75" customHeight="1">
      <c r="A5441" s="19" t="s">
        <v>256</v>
      </c>
      <c r="B5441" s="19" t="s">
        <v>133</v>
      </c>
      <c r="C5441" s="20" t="s">
        <v>151</v>
      </c>
      <c r="D5441" s="14" t="str">
        <f>VLOOKUP(C5441,'State Key'!$A$2:$B$210,2,False)</f>
        <v>Maharashtra</v>
      </c>
      <c r="E5441" s="21">
        <v>600.0</v>
      </c>
      <c r="F5441" s="22">
        <v>110.186</v>
      </c>
      <c r="G5441" s="22">
        <v>0.0</v>
      </c>
      <c r="H5441" s="22">
        <v>0.0</v>
      </c>
      <c r="I5441" s="22">
        <v>116.756</v>
      </c>
      <c r="J5441" s="22">
        <v>0.0</v>
      </c>
      <c r="K5441" s="22">
        <v>0.0</v>
      </c>
      <c r="L5441" s="22">
        <v>226.942</v>
      </c>
      <c r="M5441" s="22">
        <v>249.88</v>
      </c>
      <c r="N5441" s="22">
        <v>109.25</v>
      </c>
      <c r="O5441" s="23">
        <v>13.1</v>
      </c>
      <c r="P5441" s="18">
        <f t="shared" si="1"/>
        <v>226.942</v>
      </c>
    </row>
    <row r="5442" ht="15.75" customHeight="1">
      <c r="A5442" s="13" t="s">
        <v>256</v>
      </c>
      <c r="B5442" s="13" t="s">
        <v>133</v>
      </c>
      <c r="C5442" s="14" t="s">
        <v>152</v>
      </c>
      <c r="D5442" s="14" t="str">
        <f>VLOOKUP(C5442,'State Key'!$A$2:$B$210,2,False)</f>
        <v>Chhattisgarh</v>
      </c>
      <c r="E5442" s="15">
        <v>500.0</v>
      </c>
      <c r="F5442" s="16">
        <v>172.84</v>
      </c>
      <c r="G5442" s="16">
        <v>0.0</v>
      </c>
      <c r="H5442" s="16">
        <v>0.0</v>
      </c>
      <c r="I5442" s="16">
        <v>0.0</v>
      </c>
      <c r="J5442" s="16">
        <v>0.0</v>
      </c>
      <c r="K5442" s="16">
        <v>0.0</v>
      </c>
      <c r="L5442" s="16">
        <v>172.84</v>
      </c>
      <c r="M5442" s="16">
        <v>234.258</v>
      </c>
      <c r="N5442" s="16">
        <v>69.513</v>
      </c>
      <c r="O5442" s="23">
        <v>8.9</v>
      </c>
      <c r="P5442" s="18">
        <f t="shared" si="1"/>
        <v>172.84</v>
      </c>
    </row>
    <row r="5443" ht="15.75" customHeight="1">
      <c r="A5443" s="19" t="s">
        <v>256</v>
      </c>
      <c r="B5443" s="19" t="s">
        <v>133</v>
      </c>
      <c r="C5443" s="20" t="s">
        <v>153</v>
      </c>
      <c r="D5443" s="14" t="str">
        <f>VLOOKUP(C5443,'State Key'!$A$2:$B$210,2,False)</f>
        <v>Madhya Pradesh</v>
      </c>
      <c r="E5443" s="21">
        <v>1600.0</v>
      </c>
      <c r="F5443" s="22">
        <v>550.66</v>
      </c>
      <c r="G5443" s="22">
        <v>0.0</v>
      </c>
      <c r="H5443" s="22">
        <v>11.31</v>
      </c>
      <c r="I5443" s="22">
        <v>0.0</v>
      </c>
      <c r="J5443" s="22">
        <v>0.0</v>
      </c>
      <c r="K5443" s="22">
        <v>24.09</v>
      </c>
      <c r="L5443" s="22">
        <v>586.06</v>
      </c>
      <c r="M5443" s="22">
        <v>586.153</v>
      </c>
      <c r="N5443" s="22">
        <v>181.7</v>
      </c>
      <c r="O5443" s="23">
        <v>9.3</v>
      </c>
      <c r="P5443" s="18">
        <f t="shared" si="1"/>
        <v>586.06</v>
      </c>
    </row>
    <row r="5444" ht="15.75" customHeight="1">
      <c r="A5444" s="13" t="s">
        <v>256</v>
      </c>
      <c r="B5444" s="13" t="s">
        <v>133</v>
      </c>
      <c r="C5444" s="14" t="s">
        <v>154</v>
      </c>
      <c r="D5444" s="14" t="str">
        <f>VLOOKUP(C5444,'State Key'!$A$2:$B$210,2,False)</f>
        <v>Gujarat</v>
      </c>
      <c r="E5444" s="15">
        <v>630.0</v>
      </c>
      <c r="F5444" s="16">
        <v>48.782</v>
      </c>
      <c r="G5444" s="16">
        <v>0.0</v>
      </c>
      <c r="H5444" s="16">
        <v>0.0</v>
      </c>
      <c r="I5444" s="16">
        <v>0.0</v>
      </c>
      <c r="J5444" s="16">
        <v>0.0</v>
      </c>
      <c r="K5444" s="16">
        <v>0.0</v>
      </c>
      <c r="L5444" s="16">
        <v>48.782</v>
      </c>
      <c r="M5444" s="16">
        <v>53.91</v>
      </c>
      <c r="N5444" s="16">
        <v>306.58</v>
      </c>
      <c r="O5444" s="24">
        <v>170.6</v>
      </c>
      <c r="P5444" s="18">
        <f t="shared" si="1"/>
        <v>48.782</v>
      </c>
    </row>
    <row r="5445" ht="15.75" customHeight="1">
      <c r="A5445" s="19" t="s">
        <v>256</v>
      </c>
      <c r="B5445" s="19" t="s">
        <v>133</v>
      </c>
      <c r="C5445" s="20" t="s">
        <v>155</v>
      </c>
      <c r="D5445" s="14" t="str">
        <f>VLOOKUP(C5445,'State Key'!$A$2:$B$210,2,False)</f>
        <v>Maharashtra</v>
      </c>
      <c r="E5445" s="21">
        <v>120.0</v>
      </c>
      <c r="F5445" s="22">
        <v>0.0</v>
      </c>
      <c r="G5445" s="22">
        <v>0.0</v>
      </c>
      <c r="H5445" s="22">
        <v>0.0</v>
      </c>
      <c r="I5445" s="22">
        <v>0.0</v>
      </c>
      <c r="J5445" s="22">
        <v>0.0</v>
      </c>
      <c r="K5445" s="22">
        <v>0.0</v>
      </c>
      <c r="L5445" s="22">
        <v>0.0</v>
      </c>
      <c r="M5445" s="22">
        <v>0.0</v>
      </c>
      <c r="N5445" s="22">
        <v>0.0</v>
      </c>
      <c r="O5445" s="19" t="s">
        <v>58</v>
      </c>
      <c r="P5445" s="18">
        <f t="shared" si="1"/>
        <v>0</v>
      </c>
    </row>
    <row r="5446" ht="15.75" customHeight="1">
      <c r="A5446" s="13" t="s">
        <v>256</v>
      </c>
      <c r="B5446" s="13" t="s">
        <v>133</v>
      </c>
      <c r="C5446" s="14" t="s">
        <v>156</v>
      </c>
      <c r="D5446" s="14" t="str">
        <f>VLOOKUP(C5446,'State Key'!$A$2:$B$210,2,False)</f>
        <v>Maharashtra</v>
      </c>
      <c r="E5446" s="15">
        <v>600.0</v>
      </c>
      <c r="F5446" s="16">
        <v>145.726</v>
      </c>
      <c r="G5446" s="16">
        <v>0.0</v>
      </c>
      <c r="H5446" s="16">
        <v>0.0</v>
      </c>
      <c r="I5446" s="16">
        <v>9.317</v>
      </c>
      <c r="J5446" s="16">
        <v>0.0</v>
      </c>
      <c r="K5446" s="16">
        <v>0.0</v>
      </c>
      <c r="L5446" s="16">
        <v>155.043</v>
      </c>
      <c r="M5446" s="16">
        <v>254.202</v>
      </c>
      <c r="N5446" s="16">
        <v>95.59</v>
      </c>
      <c r="O5446" s="23">
        <v>11.3</v>
      </c>
      <c r="P5446" s="18">
        <f t="shared" si="1"/>
        <v>155.043</v>
      </c>
    </row>
    <row r="5447" ht="15.75" customHeight="1">
      <c r="A5447" s="19" t="s">
        <v>256</v>
      </c>
      <c r="B5447" s="19" t="s">
        <v>133</v>
      </c>
      <c r="C5447" s="20" t="s">
        <v>157</v>
      </c>
      <c r="D5447" s="14" t="str">
        <f>VLOOKUP(C5447,'State Key'!$A$2:$B$210,2,False)</f>
        <v>Maharashtra</v>
      </c>
      <c r="E5447" s="21">
        <v>300.0</v>
      </c>
      <c r="F5447" s="22">
        <v>0.0</v>
      </c>
      <c r="G5447" s="22">
        <v>0.0</v>
      </c>
      <c r="H5447" s="22">
        <v>0.0</v>
      </c>
      <c r="I5447" s="22">
        <v>0.0</v>
      </c>
      <c r="J5447" s="22">
        <v>50.0</v>
      </c>
      <c r="K5447" s="22">
        <v>0.0</v>
      </c>
      <c r="L5447" s="22">
        <v>50.0</v>
      </c>
      <c r="M5447" s="22">
        <v>65.16</v>
      </c>
      <c r="N5447" s="22">
        <v>49.96</v>
      </c>
      <c r="O5447" s="24">
        <v>23.0</v>
      </c>
      <c r="P5447" s="18">
        <f t="shared" si="1"/>
        <v>50</v>
      </c>
    </row>
    <row r="5448" ht="15.75" customHeight="1">
      <c r="A5448" s="13" t="s">
        <v>256</v>
      </c>
      <c r="B5448" s="13" t="s">
        <v>133</v>
      </c>
      <c r="C5448" s="14" t="s">
        <v>158</v>
      </c>
      <c r="D5448" s="14" t="str">
        <f>VLOOKUP(C5448,'State Key'!$A$2:$B$210,2,False)</f>
        <v>Chhattisgarh</v>
      </c>
      <c r="E5448" s="15">
        <v>270.0</v>
      </c>
      <c r="F5448" s="16">
        <v>36.9175</v>
      </c>
      <c r="G5448" s="16">
        <v>0.0</v>
      </c>
      <c r="H5448" s="16">
        <v>0.0</v>
      </c>
      <c r="I5448" s="16">
        <v>0.0</v>
      </c>
      <c r="J5448" s="16">
        <v>0.0</v>
      </c>
      <c r="K5448" s="16">
        <v>71.3029</v>
      </c>
      <c r="L5448" s="16">
        <v>108.2204</v>
      </c>
      <c r="M5448" s="16">
        <v>96.38</v>
      </c>
      <c r="N5448" s="16">
        <v>33.04</v>
      </c>
      <c r="O5448" s="23">
        <v>10.3</v>
      </c>
      <c r="P5448" s="18">
        <f t="shared" si="1"/>
        <v>108.2204</v>
      </c>
    </row>
    <row r="5449" ht="15.75" customHeight="1">
      <c r="A5449" s="19" t="s">
        <v>256</v>
      </c>
      <c r="B5449" s="19" t="s">
        <v>133</v>
      </c>
      <c r="C5449" s="20" t="s">
        <v>160</v>
      </c>
      <c r="D5449" s="14" t="str">
        <f>VLOOKUP(C5449,'State Key'!$A$2:$B$210,2,False)</f>
        <v>Maharashtra</v>
      </c>
      <c r="E5449" s="21">
        <v>1340.0</v>
      </c>
      <c r="F5449" s="22">
        <v>386.745</v>
      </c>
      <c r="G5449" s="22">
        <v>0.0</v>
      </c>
      <c r="H5449" s="22">
        <v>0.0</v>
      </c>
      <c r="I5449" s="22">
        <v>0.0</v>
      </c>
      <c r="J5449" s="22">
        <v>0.0</v>
      </c>
      <c r="K5449" s="22">
        <v>0.0</v>
      </c>
      <c r="L5449" s="22">
        <v>386.745</v>
      </c>
      <c r="M5449" s="22">
        <v>516.046</v>
      </c>
      <c r="N5449" s="22">
        <v>334.14</v>
      </c>
      <c r="O5449" s="24">
        <v>19.4</v>
      </c>
      <c r="P5449" s="18">
        <f t="shared" si="1"/>
        <v>386.745</v>
      </c>
    </row>
    <row r="5450" ht="15.75" customHeight="1">
      <c r="A5450" s="13" t="s">
        <v>256</v>
      </c>
      <c r="B5450" s="13" t="s">
        <v>133</v>
      </c>
      <c r="C5450" s="14" t="s">
        <v>161</v>
      </c>
      <c r="D5450" s="14" t="str">
        <f>VLOOKUP(C5450,'State Key'!$A$2:$B$210,2,False)</f>
        <v>Madhya Pradesh</v>
      </c>
      <c r="E5450" s="15">
        <v>1320.0</v>
      </c>
      <c r="F5450" s="16">
        <v>174.85</v>
      </c>
      <c r="G5450" s="16">
        <v>0.0</v>
      </c>
      <c r="H5450" s="16">
        <v>27.34</v>
      </c>
      <c r="I5450" s="16">
        <v>0.0</v>
      </c>
      <c r="J5450" s="16">
        <v>0.0</v>
      </c>
      <c r="K5450" s="16">
        <v>163.3</v>
      </c>
      <c r="L5450" s="16">
        <v>365.49</v>
      </c>
      <c r="M5450" s="16">
        <v>445.021</v>
      </c>
      <c r="N5450" s="16">
        <v>396.64</v>
      </c>
      <c r="O5450" s="24">
        <v>26.7</v>
      </c>
      <c r="P5450" s="18">
        <f t="shared" si="1"/>
        <v>365.49</v>
      </c>
    </row>
    <row r="5451" ht="15.75" customHeight="1">
      <c r="A5451" s="19" t="s">
        <v>256</v>
      </c>
      <c r="B5451" s="19" t="s">
        <v>133</v>
      </c>
      <c r="C5451" s="20" t="s">
        <v>162</v>
      </c>
      <c r="D5451" s="14" t="str">
        <f>VLOOKUP(C5451,'State Key'!$A$2:$B$210,2,False)</f>
        <v>Maharashtra</v>
      </c>
      <c r="E5451" s="21">
        <v>2190.0</v>
      </c>
      <c r="F5451" s="22">
        <v>527.402</v>
      </c>
      <c r="G5451" s="22">
        <v>30.822</v>
      </c>
      <c r="H5451" s="22">
        <v>0.0</v>
      </c>
      <c r="I5451" s="22">
        <v>0.0</v>
      </c>
      <c r="J5451" s="22">
        <v>0.0</v>
      </c>
      <c r="K5451" s="22">
        <v>0.0</v>
      </c>
      <c r="L5451" s="22">
        <v>558.224</v>
      </c>
      <c r="M5451" s="22">
        <v>690.543</v>
      </c>
      <c r="N5451" s="22">
        <v>387.983</v>
      </c>
      <c r="O5451" s="24">
        <v>16.9</v>
      </c>
      <c r="P5451" s="18">
        <f t="shared" si="1"/>
        <v>558.224</v>
      </c>
    </row>
    <row r="5452" ht="15.75" customHeight="1">
      <c r="A5452" s="13" t="s">
        <v>256</v>
      </c>
      <c r="B5452" s="13" t="s">
        <v>133</v>
      </c>
      <c r="C5452" s="14" t="s">
        <v>163</v>
      </c>
      <c r="D5452" s="14" t="str">
        <f>VLOOKUP(C5452,'State Key'!$A$2:$B$210,2,False)</f>
        <v>Chhattisgarh</v>
      </c>
      <c r="E5452" s="15">
        <v>2600.0</v>
      </c>
      <c r="F5452" s="16">
        <v>1065.7</v>
      </c>
      <c r="G5452" s="16">
        <v>0.0</v>
      </c>
      <c r="H5452" s="16">
        <v>0.0</v>
      </c>
      <c r="I5452" s="16">
        <v>0.0</v>
      </c>
      <c r="J5452" s="16">
        <v>0.0</v>
      </c>
      <c r="K5452" s="16">
        <v>0.0</v>
      </c>
      <c r="L5452" s="16">
        <v>1065.7</v>
      </c>
      <c r="M5452" s="16">
        <v>1108.225</v>
      </c>
      <c r="N5452" s="16">
        <v>321.76</v>
      </c>
      <c r="O5452" s="23">
        <v>8.7</v>
      </c>
      <c r="P5452" s="18">
        <f t="shared" si="1"/>
        <v>1065.7</v>
      </c>
    </row>
    <row r="5453" ht="15.75" customHeight="1">
      <c r="A5453" s="19" t="s">
        <v>256</v>
      </c>
      <c r="B5453" s="19" t="s">
        <v>133</v>
      </c>
      <c r="C5453" s="20" t="s">
        <v>164</v>
      </c>
      <c r="D5453" s="14" t="str">
        <f>VLOOKUP(C5453,'State Key'!$A$2:$B$210,2,False)</f>
        <v>Chhattisgarh</v>
      </c>
      <c r="E5453" s="21">
        <v>1340.0</v>
      </c>
      <c r="F5453" s="22">
        <v>428.154</v>
      </c>
      <c r="G5453" s="22">
        <v>0.0</v>
      </c>
      <c r="H5453" s="22">
        <v>0.0</v>
      </c>
      <c r="I5453" s="22">
        <v>0.0</v>
      </c>
      <c r="J5453" s="22">
        <v>0.0</v>
      </c>
      <c r="K5453" s="22">
        <v>0.0</v>
      </c>
      <c r="L5453" s="22">
        <v>428.154</v>
      </c>
      <c r="M5453" s="22">
        <v>522.345</v>
      </c>
      <c r="N5453" s="22">
        <v>112.55</v>
      </c>
      <c r="O5453" s="17">
        <v>6.5</v>
      </c>
      <c r="P5453" s="18">
        <f t="shared" si="1"/>
        <v>428.154</v>
      </c>
    </row>
    <row r="5454" ht="15.75" customHeight="1">
      <c r="A5454" s="13" t="s">
        <v>256</v>
      </c>
      <c r="B5454" s="13" t="s">
        <v>133</v>
      </c>
      <c r="C5454" s="14" t="s">
        <v>165</v>
      </c>
      <c r="D5454" s="14" t="str">
        <f>VLOOKUP(C5454,'State Key'!$A$2:$B$210,2,False)</f>
        <v>Chhattisgarh</v>
      </c>
      <c r="E5454" s="15">
        <v>1600.0</v>
      </c>
      <c r="F5454" s="16">
        <v>0.0</v>
      </c>
      <c r="G5454" s="16">
        <v>0.0</v>
      </c>
      <c r="H5454" s="16">
        <v>423.44</v>
      </c>
      <c r="I5454" s="16">
        <v>0.0</v>
      </c>
      <c r="J5454" s="16">
        <v>0.0</v>
      </c>
      <c r="K5454" s="16">
        <v>0.0</v>
      </c>
      <c r="L5454" s="16">
        <v>423.44</v>
      </c>
      <c r="M5454" s="16">
        <v>341.99</v>
      </c>
      <c r="N5454" s="16">
        <v>513.58</v>
      </c>
      <c r="O5454" s="24">
        <v>45.1</v>
      </c>
      <c r="P5454" s="18">
        <f t="shared" si="1"/>
        <v>423.44</v>
      </c>
    </row>
    <row r="5455" ht="15.75" customHeight="1">
      <c r="A5455" s="19" t="s">
        <v>256</v>
      </c>
      <c r="B5455" s="19" t="s">
        <v>133</v>
      </c>
      <c r="C5455" s="20" t="s">
        <v>166</v>
      </c>
      <c r="D5455" s="14" t="str">
        <f>VLOOKUP(C5455,'State Key'!$A$2:$B$210,2,False)</f>
        <v>Madhya Pradesh</v>
      </c>
      <c r="E5455" s="21">
        <v>1200.0</v>
      </c>
      <c r="F5455" s="22">
        <v>176.035</v>
      </c>
      <c r="G5455" s="22">
        <v>0.0</v>
      </c>
      <c r="H5455" s="22">
        <v>0.0</v>
      </c>
      <c r="I5455" s="22">
        <v>0.0</v>
      </c>
      <c r="J5455" s="22">
        <v>0.0</v>
      </c>
      <c r="K5455" s="22">
        <v>225.9</v>
      </c>
      <c r="L5455" s="22">
        <v>401.935</v>
      </c>
      <c r="M5455" s="22">
        <v>456.712</v>
      </c>
      <c r="N5455" s="22">
        <v>20.02</v>
      </c>
      <c r="O5455" s="17">
        <v>1.3</v>
      </c>
      <c r="P5455" s="18">
        <f t="shared" si="1"/>
        <v>401.935</v>
      </c>
    </row>
    <row r="5456" ht="15.75" customHeight="1">
      <c r="A5456" s="13" t="s">
        <v>256</v>
      </c>
      <c r="B5456" s="13" t="s">
        <v>133</v>
      </c>
      <c r="C5456" s="14" t="s">
        <v>167</v>
      </c>
      <c r="D5456" s="14" t="str">
        <f>VLOOKUP(C5456,'State Key'!$A$2:$B$210,2,False)</f>
        <v>Chhattisgarh</v>
      </c>
      <c r="E5456" s="15">
        <v>1000.0</v>
      </c>
      <c r="F5456" s="16">
        <v>28.911</v>
      </c>
      <c r="G5456" s="16">
        <v>0.0</v>
      </c>
      <c r="H5456" s="16">
        <v>246.848</v>
      </c>
      <c r="I5456" s="16">
        <v>0.0</v>
      </c>
      <c r="J5456" s="16">
        <v>0.0</v>
      </c>
      <c r="K5456" s="16">
        <v>0.0</v>
      </c>
      <c r="L5456" s="16">
        <v>275.759</v>
      </c>
      <c r="M5456" s="16">
        <v>459.87</v>
      </c>
      <c r="N5456" s="16">
        <v>368.76</v>
      </c>
      <c r="O5456" s="24">
        <v>24.1</v>
      </c>
      <c r="P5456" s="18">
        <f t="shared" si="1"/>
        <v>275.759</v>
      </c>
    </row>
    <row r="5457" ht="15.75" customHeight="1">
      <c r="A5457" s="19" t="s">
        <v>256</v>
      </c>
      <c r="B5457" s="19" t="s">
        <v>133</v>
      </c>
      <c r="C5457" s="20" t="s">
        <v>168</v>
      </c>
      <c r="D5457" s="14" t="str">
        <f>VLOOKUP(C5457,'State Key'!$A$2:$B$210,2,False)</f>
        <v>Maharashtra</v>
      </c>
      <c r="E5457" s="21">
        <v>2320.0</v>
      </c>
      <c r="F5457" s="22">
        <v>710.12</v>
      </c>
      <c r="G5457" s="22">
        <v>0.0</v>
      </c>
      <c r="H5457" s="22">
        <v>71.61</v>
      </c>
      <c r="I5457" s="22">
        <v>0.0</v>
      </c>
      <c r="J5457" s="22">
        <v>0.0</v>
      </c>
      <c r="K5457" s="22">
        <v>7.76</v>
      </c>
      <c r="L5457" s="22">
        <v>789.49</v>
      </c>
      <c r="M5457" s="22">
        <v>960.585</v>
      </c>
      <c r="N5457" s="22">
        <v>380.83</v>
      </c>
      <c r="O5457" s="23">
        <v>11.9</v>
      </c>
      <c r="P5457" s="18">
        <f t="shared" si="1"/>
        <v>789.49</v>
      </c>
    </row>
    <row r="5458" ht="15.75" customHeight="1">
      <c r="A5458" s="13" t="s">
        <v>256</v>
      </c>
      <c r="B5458" s="13" t="s">
        <v>133</v>
      </c>
      <c r="C5458" s="14" t="s">
        <v>169</v>
      </c>
      <c r="D5458" s="14" t="str">
        <f>VLOOKUP(C5458,'State Key'!$A$2:$B$210,2,False)</f>
        <v>Madhya Pradesh</v>
      </c>
      <c r="E5458" s="15">
        <v>246.01</v>
      </c>
      <c r="F5458" s="16">
        <v>0.0</v>
      </c>
      <c r="G5458" s="16">
        <v>0.0</v>
      </c>
      <c r="H5458" s="16">
        <v>0.0</v>
      </c>
      <c r="I5458" s="16">
        <v>0.0</v>
      </c>
      <c r="J5458" s="16">
        <v>0.0</v>
      </c>
      <c r="K5458" s="16">
        <v>0.0</v>
      </c>
      <c r="L5458" s="16">
        <v>0.0</v>
      </c>
      <c r="M5458" s="16">
        <v>0.0</v>
      </c>
      <c r="N5458" s="16">
        <v>0.0</v>
      </c>
      <c r="O5458" s="13" t="s">
        <v>58</v>
      </c>
      <c r="P5458" s="18">
        <f t="shared" si="1"/>
        <v>0</v>
      </c>
    </row>
    <row r="5459" ht="15.75" customHeight="1">
      <c r="A5459" s="19" t="s">
        <v>256</v>
      </c>
      <c r="B5459" s="19" t="s">
        <v>133</v>
      </c>
      <c r="C5459" s="20" t="s">
        <v>172</v>
      </c>
      <c r="D5459" s="14" t="str">
        <f>VLOOKUP(C5459,'State Key'!$A$2:$B$210,2,False)</f>
        <v>Gujarat</v>
      </c>
      <c r="E5459" s="21">
        <v>4000.0</v>
      </c>
      <c r="F5459" s="22">
        <v>0.0</v>
      </c>
      <c r="G5459" s="22">
        <v>0.0</v>
      </c>
      <c r="H5459" s="22">
        <v>0.0</v>
      </c>
      <c r="I5459" s="22">
        <v>0.0</v>
      </c>
      <c r="J5459" s="22">
        <v>191.27</v>
      </c>
      <c r="K5459" s="22">
        <v>0.0</v>
      </c>
      <c r="L5459" s="22">
        <v>191.27</v>
      </c>
      <c r="M5459" s="22">
        <v>0.0</v>
      </c>
      <c r="N5459" s="22">
        <v>2065.29</v>
      </c>
      <c r="O5459" s="19" t="s">
        <v>58</v>
      </c>
      <c r="P5459" s="18">
        <f t="shared" si="1"/>
        <v>191.27</v>
      </c>
    </row>
    <row r="5460" ht="15.75" customHeight="1">
      <c r="A5460" s="13" t="s">
        <v>256</v>
      </c>
      <c r="B5460" s="13" t="s">
        <v>133</v>
      </c>
      <c r="C5460" s="14" t="s">
        <v>174</v>
      </c>
      <c r="D5460" s="14" t="str">
        <f>VLOOKUP(C5460,'State Key'!$A$2:$B$210,2,False)</f>
        <v>Maharashtra</v>
      </c>
      <c r="E5460" s="15">
        <v>630.0</v>
      </c>
      <c r="F5460" s="16">
        <v>74.298</v>
      </c>
      <c r="G5460" s="16">
        <v>113.416</v>
      </c>
      <c r="H5460" s="16">
        <v>0.0</v>
      </c>
      <c r="I5460" s="16">
        <v>0.0</v>
      </c>
      <c r="J5460" s="16">
        <v>0.0</v>
      </c>
      <c r="K5460" s="16">
        <v>0.0</v>
      </c>
      <c r="L5460" s="16">
        <v>187.714</v>
      </c>
      <c r="M5460" s="16">
        <v>182.37</v>
      </c>
      <c r="N5460" s="16">
        <v>225.58</v>
      </c>
      <c r="O5460" s="24">
        <v>37.1</v>
      </c>
      <c r="P5460" s="18">
        <f t="shared" si="1"/>
        <v>187.714</v>
      </c>
    </row>
    <row r="5461" ht="15.75" customHeight="1">
      <c r="A5461" s="19" t="s">
        <v>256</v>
      </c>
      <c r="B5461" s="19" t="s">
        <v>133</v>
      </c>
      <c r="C5461" s="20" t="s">
        <v>175</v>
      </c>
      <c r="D5461" s="14" t="str">
        <f>VLOOKUP(C5461,'State Key'!$A$2:$B$210,2,False)</f>
        <v>Chhattisgarh</v>
      </c>
      <c r="E5461" s="21">
        <v>600.0</v>
      </c>
      <c r="F5461" s="22">
        <v>34.324</v>
      </c>
      <c r="G5461" s="22">
        <v>203.908</v>
      </c>
      <c r="H5461" s="22">
        <v>0.0</v>
      </c>
      <c r="I5461" s="22">
        <v>0.677</v>
      </c>
      <c r="J5461" s="22">
        <v>0.0</v>
      </c>
      <c r="K5461" s="22">
        <v>0.0</v>
      </c>
      <c r="L5461" s="22">
        <v>238.909</v>
      </c>
      <c r="M5461" s="22">
        <v>175.605</v>
      </c>
      <c r="N5461" s="22">
        <v>216.36</v>
      </c>
      <c r="O5461" s="24">
        <v>37.0</v>
      </c>
      <c r="P5461" s="18">
        <f t="shared" si="1"/>
        <v>238.909</v>
      </c>
    </row>
    <row r="5462" ht="15.75" customHeight="1">
      <c r="A5462" s="13" t="s">
        <v>256</v>
      </c>
      <c r="B5462" s="13" t="s">
        <v>133</v>
      </c>
      <c r="C5462" s="14" t="s">
        <v>176</v>
      </c>
      <c r="D5462" s="14" t="str">
        <f>VLOOKUP(C5462,'State Key'!$A$2:$B$210,2,False)</f>
        <v>Madhya Pradesh</v>
      </c>
      <c r="E5462" s="15">
        <v>1320.0</v>
      </c>
      <c r="F5462" s="16">
        <v>0.0</v>
      </c>
      <c r="G5462" s="16">
        <v>0.0</v>
      </c>
      <c r="H5462" s="16">
        <v>246.97</v>
      </c>
      <c r="I5462" s="16">
        <v>139.905</v>
      </c>
      <c r="J5462" s="16">
        <v>0.0</v>
      </c>
      <c r="K5462" s="16">
        <v>0.0</v>
      </c>
      <c r="L5462" s="16">
        <v>386.875</v>
      </c>
      <c r="M5462" s="16">
        <v>477.959</v>
      </c>
      <c r="N5462" s="16">
        <v>245.1922</v>
      </c>
      <c r="O5462" s="24">
        <v>15.4</v>
      </c>
      <c r="P5462" s="18">
        <f t="shared" si="1"/>
        <v>386.875</v>
      </c>
    </row>
    <row r="5463" ht="15.75" customHeight="1">
      <c r="A5463" s="19" t="s">
        <v>256</v>
      </c>
      <c r="B5463" s="19" t="s">
        <v>133</v>
      </c>
      <c r="C5463" s="20" t="s">
        <v>177</v>
      </c>
      <c r="D5463" s="14" t="str">
        <f>VLOOKUP(C5463,'State Key'!$A$2:$B$210,2,False)</f>
        <v>Madhya Pradesh</v>
      </c>
      <c r="E5463" s="21">
        <v>90.0</v>
      </c>
      <c r="F5463" s="22">
        <v>34.5</v>
      </c>
      <c r="G5463" s="22">
        <v>0.0</v>
      </c>
      <c r="H5463" s="22">
        <v>0.0</v>
      </c>
      <c r="I5463" s="22">
        <v>0.0</v>
      </c>
      <c r="J5463" s="22">
        <v>0.0</v>
      </c>
      <c r="K5463" s="22">
        <v>0.0</v>
      </c>
      <c r="L5463" s="22">
        <v>34.5</v>
      </c>
      <c r="M5463" s="22">
        <v>52.44</v>
      </c>
      <c r="N5463" s="22">
        <v>59.45</v>
      </c>
      <c r="O5463" s="24">
        <v>34.0</v>
      </c>
      <c r="P5463" s="18">
        <f t="shared" si="1"/>
        <v>34.5</v>
      </c>
    </row>
    <row r="5464" ht="15.75" customHeight="1">
      <c r="A5464" s="13" t="s">
        <v>256</v>
      </c>
      <c r="B5464" s="13" t="s">
        <v>133</v>
      </c>
      <c r="C5464" s="14" t="s">
        <v>178</v>
      </c>
      <c r="D5464" s="14" t="str">
        <f>VLOOKUP(C5464,'State Key'!$A$2:$B$210,2,False)</f>
        <v>Chhattisgarh</v>
      </c>
      <c r="E5464" s="15">
        <v>1000.0</v>
      </c>
      <c r="F5464" s="16">
        <v>25.079</v>
      </c>
      <c r="G5464" s="16">
        <v>0.0</v>
      </c>
      <c r="H5464" s="16">
        <v>271.78</v>
      </c>
      <c r="I5464" s="16">
        <v>0.0</v>
      </c>
      <c r="J5464" s="16">
        <v>0.0</v>
      </c>
      <c r="K5464" s="16">
        <v>223.703</v>
      </c>
      <c r="L5464" s="16">
        <v>520.562</v>
      </c>
      <c r="M5464" s="16">
        <v>393.645</v>
      </c>
      <c r="N5464" s="16">
        <v>666.961</v>
      </c>
      <c r="O5464" s="24">
        <v>50.8</v>
      </c>
      <c r="P5464" s="18">
        <f t="shared" si="1"/>
        <v>520.562</v>
      </c>
    </row>
    <row r="5465" ht="15.75" customHeight="1">
      <c r="A5465" s="19" t="s">
        <v>256</v>
      </c>
      <c r="B5465" s="19" t="s">
        <v>133</v>
      </c>
      <c r="C5465" s="20" t="s">
        <v>179</v>
      </c>
      <c r="D5465" s="14" t="str">
        <f>VLOOKUP(C5465,'State Key'!$A$2:$B$210,2,False)</f>
        <v>Maharashtra</v>
      </c>
      <c r="E5465" s="21">
        <v>500.0</v>
      </c>
      <c r="F5465" s="22">
        <v>108.103</v>
      </c>
      <c r="G5465" s="22">
        <v>45.334</v>
      </c>
      <c r="H5465" s="22">
        <v>0.0</v>
      </c>
      <c r="I5465" s="22">
        <v>0.0</v>
      </c>
      <c r="J5465" s="22">
        <v>0.0</v>
      </c>
      <c r="K5465" s="22">
        <v>0.0</v>
      </c>
      <c r="L5465" s="22">
        <v>153.437</v>
      </c>
      <c r="M5465" s="22">
        <v>98.092</v>
      </c>
      <c r="N5465" s="22">
        <v>154.77</v>
      </c>
      <c r="O5465" s="24">
        <v>47.3</v>
      </c>
      <c r="P5465" s="18">
        <f t="shared" si="1"/>
        <v>153.437</v>
      </c>
    </row>
    <row r="5466" ht="15.75" customHeight="1">
      <c r="A5466" s="13" t="s">
        <v>256</v>
      </c>
      <c r="B5466" s="13" t="s">
        <v>133</v>
      </c>
      <c r="C5466" s="14" t="s">
        <v>180</v>
      </c>
      <c r="D5466" s="14" t="str">
        <f>VLOOKUP(C5466,'State Key'!$A$2:$B$210,2,False)</f>
        <v>Maharashtra</v>
      </c>
      <c r="E5466" s="15">
        <v>750.0</v>
      </c>
      <c r="F5466" s="16">
        <v>27.899</v>
      </c>
      <c r="G5466" s="16">
        <v>106.065</v>
      </c>
      <c r="H5466" s="16">
        <v>0.0</v>
      </c>
      <c r="I5466" s="16">
        <v>0.0</v>
      </c>
      <c r="J5466" s="16">
        <v>0.0</v>
      </c>
      <c r="K5466" s="16">
        <v>0.0</v>
      </c>
      <c r="L5466" s="16">
        <v>133.964</v>
      </c>
      <c r="M5466" s="16">
        <v>199.068</v>
      </c>
      <c r="N5466" s="16">
        <v>119.05</v>
      </c>
      <c r="O5466" s="24">
        <v>17.9</v>
      </c>
      <c r="P5466" s="18">
        <f t="shared" si="1"/>
        <v>133.964</v>
      </c>
    </row>
    <row r="5467" ht="15.75" customHeight="1">
      <c r="A5467" s="19" t="s">
        <v>256</v>
      </c>
      <c r="B5467" s="19" t="s">
        <v>133</v>
      </c>
      <c r="C5467" s="20" t="s">
        <v>181</v>
      </c>
      <c r="D5467" s="14" t="str">
        <f>VLOOKUP(C5467,'State Key'!$A$2:$B$210,2,False)</f>
        <v>Chhattisgarh</v>
      </c>
      <c r="E5467" s="21">
        <v>600.0</v>
      </c>
      <c r="F5467" s="22">
        <v>301.574</v>
      </c>
      <c r="G5467" s="22">
        <v>0.0</v>
      </c>
      <c r="H5467" s="22">
        <v>0.0</v>
      </c>
      <c r="I5467" s="22">
        <v>12.989</v>
      </c>
      <c r="J5467" s="22">
        <v>0.0</v>
      </c>
      <c r="K5467" s="22">
        <v>0.0</v>
      </c>
      <c r="L5467" s="22">
        <v>314.563</v>
      </c>
      <c r="M5467" s="22">
        <v>228.614</v>
      </c>
      <c r="N5467" s="22">
        <v>170.33</v>
      </c>
      <c r="O5467" s="24">
        <v>22.4</v>
      </c>
      <c r="P5467" s="18">
        <f t="shared" si="1"/>
        <v>314.563</v>
      </c>
    </row>
    <row r="5468" ht="15.75" customHeight="1">
      <c r="A5468" s="13" t="s">
        <v>256</v>
      </c>
      <c r="B5468" s="13" t="s">
        <v>133</v>
      </c>
      <c r="C5468" s="14" t="s">
        <v>183</v>
      </c>
      <c r="D5468" s="14" t="str">
        <f>VLOOKUP(C5468,'State Key'!$A$2:$B$210,2,False)</f>
        <v>Chhattisgarh</v>
      </c>
      <c r="E5468" s="15">
        <v>100.0</v>
      </c>
      <c r="F5468" s="16">
        <v>9.18</v>
      </c>
      <c r="G5468" s="16">
        <v>0.0</v>
      </c>
      <c r="H5468" s="16">
        <v>0.0</v>
      </c>
      <c r="I5468" s="16">
        <v>0.0</v>
      </c>
      <c r="J5468" s="16">
        <v>0.0</v>
      </c>
      <c r="K5468" s="16">
        <v>61.449</v>
      </c>
      <c r="L5468" s="16">
        <v>70.629</v>
      </c>
      <c r="M5468" s="16">
        <v>51.452</v>
      </c>
      <c r="N5468" s="16">
        <v>23.98</v>
      </c>
      <c r="O5468" s="24">
        <v>14.0</v>
      </c>
      <c r="P5468" s="18">
        <f t="shared" si="1"/>
        <v>70.629</v>
      </c>
    </row>
    <row r="5469" ht="15.75" customHeight="1">
      <c r="A5469" s="19" t="s">
        <v>256</v>
      </c>
      <c r="B5469" s="19" t="s">
        <v>133</v>
      </c>
      <c r="C5469" s="20" t="s">
        <v>184</v>
      </c>
      <c r="D5469" s="14" t="str">
        <f>VLOOKUP(C5469,'State Key'!$A$2:$B$210,2,False)</f>
        <v>Gujarat</v>
      </c>
      <c r="E5469" s="21">
        <v>362.0</v>
      </c>
      <c r="F5469" s="22">
        <v>104.07</v>
      </c>
      <c r="G5469" s="22">
        <v>0.0</v>
      </c>
      <c r="H5469" s="22">
        <v>0.0</v>
      </c>
      <c r="I5469" s="22">
        <v>0.0</v>
      </c>
      <c r="J5469" s="22">
        <v>39.22</v>
      </c>
      <c r="K5469" s="22">
        <v>0.0</v>
      </c>
      <c r="L5469" s="22">
        <v>143.29</v>
      </c>
      <c r="M5469" s="22">
        <v>122.91</v>
      </c>
      <c r="N5469" s="22">
        <v>61.96</v>
      </c>
      <c r="O5469" s="24">
        <v>15.1</v>
      </c>
      <c r="P5469" s="18">
        <f t="shared" si="1"/>
        <v>143.29</v>
      </c>
    </row>
    <row r="5470" ht="15.75" customHeight="1">
      <c r="A5470" s="13" t="s">
        <v>256</v>
      </c>
      <c r="B5470" s="13" t="s">
        <v>133</v>
      </c>
      <c r="C5470" s="14" t="s">
        <v>185</v>
      </c>
      <c r="D5470" s="14" t="str">
        <f>VLOOKUP(C5470,'State Key'!$A$2:$B$210,2,False)</f>
        <v>Gujarat</v>
      </c>
      <c r="E5470" s="15">
        <v>1200.0</v>
      </c>
      <c r="F5470" s="16">
        <v>0.0</v>
      </c>
      <c r="G5470" s="16">
        <v>0.0</v>
      </c>
      <c r="H5470" s="16">
        <v>0.0</v>
      </c>
      <c r="I5470" s="16">
        <v>0.0</v>
      </c>
      <c r="J5470" s="16">
        <v>458.299</v>
      </c>
      <c r="K5470" s="16">
        <v>0.0</v>
      </c>
      <c r="L5470" s="16">
        <v>458.299</v>
      </c>
      <c r="M5470" s="16">
        <v>241.048</v>
      </c>
      <c r="N5470" s="16">
        <v>392.381</v>
      </c>
      <c r="O5470" s="24">
        <v>48.8</v>
      </c>
      <c r="P5470" s="18">
        <f t="shared" si="1"/>
        <v>458.299</v>
      </c>
    </row>
    <row r="5471" ht="15.75" customHeight="1">
      <c r="A5471" s="19" t="s">
        <v>256</v>
      </c>
      <c r="B5471" s="19" t="s">
        <v>133</v>
      </c>
      <c r="C5471" s="20" t="s">
        <v>187</v>
      </c>
      <c r="D5471" s="14" t="str">
        <f>VLOOKUP(C5471,'State Key'!$A$2:$B$210,2,False)</f>
        <v>Madhya Pradesh</v>
      </c>
      <c r="E5471" s="21">
        <v>1340.0</v>
      </c>
      <c r="F5471" s="22">
        <v>336.688</v>
      </c>
      <c r="G5471" s="22">
        <v>0.0</v>
      </c>
      <c r="H5471" s="22">
        <v>0.0</v>
      </c>
      <c r="I5471" s="22">
        <v>0.0</v>
      </c>
      <c r="J5471" s="22">
        <v>0.0</v>
      </c>
      <c r="K5471" s="22">
        <v>0.0</v>
      </c>
      <c r="L5471" s="22">
        <v>336.688</v>
      </c>
      <c r="M5471" s="22">
        <v>301.136</v>
      </c>
      <c r="N5471" s="22">
        <v>342.82</v>
      </c>
      <c r="O5471" s="24">
        <v>34.2</v>
      </c>
      <c r="P5471" s="18">
        <f t="shared" si="1"/>
        <v>336.688</v>
      </c>
    </row>
    <row r="5472" ht="15.75" customHeight="1">
      <c r="A5472" s="13" t="s">
        <v>256</v>
      </c>
      <c r="B5472" s="13" t="s">
        <v>133</v>
      </c>
      <c r="C5472" s="14" t="s">
        <v>188</v>
      </c>
      <c r="D5472" s="14" t="str">
        <f>VLOOKUP(C5472,'State Key'!$A$2:$B$210,2,False)</f>
        <v>Madhya Pradesh</v>
      </c>
      <c r="E5472" s="15">
        <v>3960.0</v>
      </c>
      <c r="F5472" s="16">
        <v>0.0</v>
      </c>
      <c r="G5472" s="16">
        <v>0.0</v>
      </c>
      <c r="H5472" s="16">
        <v>1484.482</v>
      </c>
      <c r="I5472" s="16">
        <v>0.0</v>
      </c>
      <c r="J5472" s="16">
        <v>0.0</v>
      </c>
      <c r="K5472" s="16">
        <v>0.0</v>
      </c>
      <c r="L5472" s="16">
        <v>1484.482</v>
      </c>
      <c r="M5472" s="16">
        <v>1377.11</v>
      </c>
      <c r="N5472" s="16">
        <v>341.68</v>
      </c>
      <c r="O5472" s="23">
        <v>7.4</v>
      </c>
      <c r="P5472" s="18">
        <f t="shared" si="1"/>
        <v>1484.482</v>
      </c>
    </row>
    <row r="5473" ht="15.75" customHeight="1">
      <c r="A5473" s="19" t="s">
        <v>256</v>
      </c>
      <c r="B5473" s="19" t="s">
        <v>133</v>
      </c>
      <c r="C5473" s="20" t="s">
        <v>189</v>
      </c>
      <c r="D5473" s="14" t="str">
        <f>VLOOKUP(C5473,'State Key'!$A$2:$B$210,2,False)</f>
        <v>Madhya Pradesh</v>
      </c>
      <c r="E5473" s="21">
        <v>500.0</v>
      </c>
      <c r="F5473" s="22">
        <v>142.58624</v>
      </c>
      <c r="G5473" s="22">
        <v>0.0</v>
      </c>
      <c r="H5473" s="22">
        <v>0.0</v>
      </c>
      <c r="I5473" s="22">
        <v>0.0</v>
      </c>
      <c r="J5473" s="22">
        <v>0.0</v>
      </c>
      <c r="K5473" s="22">
        <v>0.0</v>
      </c>
      <c r="L5473" s="22">
        <v>142.58624</v>
      </c>
      <c r="M5473" s="22">
        <v>190.551</v>
      </c>
      <c r="N5473" s="22">
        <v>189.24</v>
      </c>
      <c r="O5473" s="24">
        <v>29.8</v>
      </c>
      <c r="P5473" s="18">
        <f t="shared" si="1"/>
        <v>142.58624</v>
      </c>
    </row>
    <row r="5474" ht="15.75" customHeight="1">
      <c r="A5474" s="13" t="s">
        <v>256</v>
      </c>
      <c r="B5474" s="13" t="s">
        <v>133</v>
      </c>
      <c r="C5474" s="14" t="s">
        <v>190</v>
      </c>
      <c r="D5474" s="14" t="str">
        <f>VLOOKUP(C5474,'State Key'!$A$2:$B$210,2,False)</f>
        <v>Madhya Pradesh</v>
      </c>
      <c r="E5474" s="15">
        <v>600.0</v>
      </c>
      <c r="F5474" s="16">
        <v>128.466</v>
      </c>
      <c r="G5474" s="16">
        <v>0.0</v>
      </c>
      <c r="H5474" s="16">
        <v>0.0</v>
      </c>
      <c r="I5474" s="16">
        <v>121.2</v>
      </c>
      <c r="J5474" s="16">
        <v>0.0</v>
      </c>
      <c r="K5474" s="16">
        <v>0.0</v>
      </c>
      <c r="L5474" s="16">
        <v>249.666</v>
      </c>
      <c r="M5474" s="16">
        <v>287.084</v>
      </c>
      <c r="N5474" s="16">
        <v>60.96</v>
      </c>
      <c r="O5474" s="17">
        <v>6.4</v>
      </c>
      <c r="P5474" s="18">
        <f t="shared" si="1"/>
        <v>249.666</v>
      </c>
    </row>
    <row r="5475" ht="15.75" customHeight="1">
      <c r="A5475" s="19" t="s">
        <v>256</v>
      </c>
      <c r="B5475" s="19" t="s">
        <v>133</v>
      </c>
      <c r="C5475" s="20" t="s">
        <v>191</v>
      </c>
      <c r="D5475" s="14" t="str">
        <f>VLOOKUP(C5475,'State Key'!$A$2:$B$210,2,False)</f>
        <v>Maharashtra</v>
      </c>
      <c r="E5475" s="21">
        <v>300.0</v>
      </c>
      <c r="F5475" s="22">
        <v>0.0</v>
      </c>
      <c r="G5475" s="22">
        <v>0.0</v>
      </c>
      <c r="H5475" s="22">
        <v>0.0</v>
      </c>
      <c r="I5475" s="22">
        <v>0.0</v>
      </c>
      <c r="J5475" s="22">
        <v>0.0</v>
      </c>
      <c r="K5475" s="22">
        <v>68.84</v>
      </c>
      <c r="L5475" s="22">
        <v>68.84</v>
      </c>
      <c r="M5475" s="22">
        <v>102.903</v>
      </c>
      <c r="N5475" s="22">
        <v>61.3</v>
      </c>
      <c r="O5475" s="24">
        <v>17.9</v>
      </c>
      <c r="P5475" s="18">
        <f t="shared" si="1"/>
        <v>68.84</v>
      </c>
    </row>
    <row r="5476" ht="15.75" customHeight="1">
      <c r="A5476" s="13" t="s">
        <v>256</v>
      </c>
      <c r="B5476" s="13" t="s">
        <v>133</v>
      </c>
      <c r="C5476" s="14" t="s">
        <v>192</v>
      </c>
      <c r="D5476" s="14" t="str">
        <f>VLOOKUP(C5476,'State Key'!$A$2:$B$210,2,False)</f>
        <v>Madhya Pradesh</v>
      </c>
      <c r="E5476" s="15">
        <v>2520.0</v>
      </c>
      <c r="F5476" s="16">
        <v>713.326</v>
      </c>
      <c r="G5476" s="16">
        <v>0.0</v>
      </c>
      <c r="H5476" s="16">
        <v>0.0</v>
      </c>
      <c r="I5476" s="16">
        <v>0.0</v>
      </c>
      <c r="J5476" s="16">
        <v>0.0</v>
      </c>
      <c r="K5476" s="16">
        <v>0.0</v>
      </c>
      <c r="L5476" s="16">
        <v>713.326</v>
      </c>
      <c r="M5476" s="16">
        <v>777.887</v>
      </c>
      <c r="N5476" s="16">
        <v>490.23</v>
      </c>
      <c r="O5476" s="24">
        <v>18.9</v>
      </c>
      <c r="P5476" s="18">
        <f t="shared" si="1"/>
        <v>713.326</v>
      </c>
    </row>
    <row r="5477" ht="15.75" customHeight="1">
      <c r="A5477" s="19" t="s">
        <v>256</v>
      </c>
      <c r="B5477" s="19" t="s">
        <v>133</v>
      </c>
      <c r="C5477" s="20" t="s">
        <v>193</v>
      </c>
      <c r="D5477" s="14" t="str">
        <f>VLOOKUP(C5477,'State Key'!$A$2:$B$210,2,False)</f>
        <v>Gujarat</v>
      </c>
      <c r="E5477" s="21">
        <v>500.0</v>
      </c>
      <c r="F5477" s="22">
        <v>0.0</v>
      </c>
      <c r="G5477" s="22">
        <v>0.0</v>
      </c>
      <c r="H5477" s="22">
        <v>0.0</v>
      </c>
      <c r="I5477" s="22">
        <v>0.0</v>
      </c>
      <c r="J5477" s="22">
        <v>20.485</v>
      </c>
      <c r="K5477" s="22">
        <v>0.0</v>
      </c>
      <c r="L5477" s="22">
        <v>20.485</v>
      </c>
      <c r="M5477" s="22">
        <v>14.252</v>
      </c>
      <c r="N5477" s="22">
        <v>93.31</v>
      </c>
      <c r="O5477" s="24">
        <v>196.4</v>
      </c>
      <c r="P5477" s="18">
        <f t="shared" si="1"/>
        <v>20.485</v>
      </c>
    </row>
    <row r="5478" ht="15.75" customHeight="1">
      <c r="A5478" s="13" t="s">
        <v>256</v>
      </c>
      <c r="B5478" s="13" t="s">
        <v>133</v>
      </c>
      <c r="C5478" s="14" t="s">
        <v>194</v>
      </c>
      <c r="D5478" s="14" t="str">
        <f>VLOOKUP(C5478,'State Key'!$A$2:$B$210,2,False)</f>
        <v>Chhattisgarh</v>
      </c>
      <c r="E5478" s="15">
        <v>2980.0</v>
      </c>
      <c r="F5478" s="16">
        <v>940.214</v>
      </c>
      <c r="G5478" s="16">
        <v>0.0</v>
      </c>
      <c r="H5478" s="16">
        <v>0.0</v>
      </c>
      <c r="I5478" s="16">
        <v>0.0</v>
      </c>
      <c r="J5478" s="16">
        <v>0.0</v>
      </c>
      <c r="K5478" s="16">
        <v>0.0</v>
      </c>
      <c r="L5478" s="16">
        <v>940.214</v>
      </c>
      <c r="M5478" s="16">
        <v>1083.924</v>
      </c>
      <c r="N5478" s="16">
        <v>554.79</v>
      </c>
      <c r="O5478" s="24">
        <v>15.4</v>
      </c>
      <c r="P5478" s="18">
        <f t="shared" si="1"/>
        <v>940.214</v>
      </c>
    </row>
    <row r="5479" ht="15.75" customHeight="1">
      <c r="A5479" s="19" t="s">
        <v>256</v>
      </c>
      <c r="B5479" s="19" t="s">
        <v>133</v>
      </c>
      <c r="C5479" s="20" t="s">
        <v>195</v>
      </c>
      <c r="D5479" s="14" t="str">
        <f>VLOOKUP(C5479,'State Key'!$A$2:$B$210,2,False)</f>
        <v>Maharashtra</v>
      </c>
      <c r="E5479" s="21">
        <v>1320.0</v>
      </c>
      <c r="F5479" s="22">
        <v>185.19</v>
      </c>
      <c r="G5479" s="22">
        <v>61.13</v>
      </c>
      <c r="H5479" s="22">
        <v>42.13</v>
      </c>
      <c r="I5479" s="22">
        <v>0.0</v>
      </c>
      <c r="J5479" s="22">
        <v>0.0</v>
      </c>
      <c r="K5479" s="22">
        <v>19.17</v>
      </c>
      <c r="L5479" s="22">
        <v>307.62</v>
      </c>
      <c r="M5479" s="22">
        <v>411.827</v>
      </c>
      <c r="N5479" s="22">
        <v>382.415</v>
      </c>
      <c r="O5479" s="24">
        <v>27.9</v>
      </c>
      <c r="P5479" s="18">
        <f t="shared" si="1"/>
        <v>307.62</v>
      </c>
    </row>
    <row r="5480" ht="15.75" customHeight="1">
      <c r="A5480" s="13" t="s">
        <v>256</v>
      </c>
      <c r="B5480" s="13" t="s">
        <v>133</v>
      </c>
      <c r="C5480" s="14" t="s">
        <v>196</v>
      </c>
      <c r="D5480" s="14" t="str">
        <f>VLOOKUP(C5480,'State Key'!$A$2:$B$210,2,False)</f>
        <v>Chhattisgarh</v>
      </c>
      <c r="E5480" s="15">
        <v>63.0</v>
      </c>
      <c r="F5480" s="16">
        <v>4.6122</v>
      </c>
      <c r="G5480" s="16">
        <v>0.0</v>
      </c>
      <c r="H5480" s="16">
        <v>0.0</v>
      </c>
      <c r="I5480" s="16">
        <v>0.0</v>
      </c>
      <c r="J5480" s="16">
        <v>0.0</v>
      </c>
      <c r="K5480" s="16">
        <v>2.6682</v>
      </c>
      <c r="L5480" s="16">
        <v>7.2804</v>
      </c>
      <c r="M5480" s="16">
        <v>24.854</v>
      </c>
      <c r="N5480" s="16">
        <v>42.17</v>
      </c>
      <c r="O5480" s="24">
        <v>50.9</v>
      </c>
      <c r="P5480" s="18">
        <f t="shared" si="1"/>
        <v>7.2804</v>
      </c>
    </row>
    <row r="5481" ht="15.75" customHeight="1">
      <c r="A5481" s="19" t="s">
        <v>256</v>
      </c>
      <c r="B5481" s="19" t="s">
        <v>133</v>
      </c>
      <c r="C5481" s="20" t="s">
        <v>198</v>
      </c>
      <c r="D5481" s="14" t="str">
        <f>VLOOKUP(C5481,'State Key'!$A$2:$B$210,2,False)</f>
        <v>Chhattisgarh</v>
      </c>
      <c r="E5481" s="21">
        <v>2400.0</v>
      </c>
      <c r="F5481" s="22">
        <v>487.535</v>
      </c>
      <c r="G5481" s="22">
        <v>0.0</v>
      </c>
      <c r="H5481" s="22">
        <v>710.7</v>
      </c>
      <c r="I5481" s="22">
        <v>0.0</v>
      </c>
      <c r="J5481" s="22">
        <v>0.0</v>
      </c>
      <c r="K5481" s="22">
        <v>0.0</v>
      </c>
      <c r="L5481" s="22">
        <v>1198.235</v>
      </c>
      <c r="M5481" s="22">
        <v>1265.627</v>
      </c>
      <c r="N5481" s="22">
        <v>566.003</v>
      </c>
      <c r="O5481" s="23">
        <v>13.4</v>
      </c>
      <c r="P5481" s="18">
        <f t="shared" si="1"/>
        <v>1198.235</v>
      </c>
    </row>
    <row r="5482" ht="15.75" customHeight="1">
      <c r="A5482" s="13" t="s">
        <v>256</v>
      </c>
      <c r="B5482" s="13" t="s">
        <v>133</v>
      </c>
      <c r="C5482" s="14" t="s">
        <v>200</v>
      </c>
      <c r="D5482" s="14" t="str">
        <f>VLOOKUP(C5482,'State Key'!$A$2:$B$210,2,False)</f>
        <v>Maharashtra</v>
      </c>
      <c r="E5482" s="15">
        <v>750.0</v>
      </c>
      <c r="F5482" s="16">
        <v>0.0</v>
      </c>
      <c r="G5482" s="16">
        <v>0.0</v>
      </c>
      <c r="H5482" s="16">
        <v>0.0</v>
      </c>
      <c r="I5482" s="16">
        <v>0.0</v>
      </c>
      <c r="J5482" s="16">
        <v>197.45958</v>
      </c>
      <c r="K5482" s="16">
        <v>0.0</v>
      </c>
      <c r="L5482" s="16">
        <v>197.45958</v>
      </c>
      <c r="M5482" s="16">
        <v>174.19</v>
      </c>
      <c r="N5482" s="16">
        <v>120.98</v>
      </c>
      <c r="O5482" s="24">
        <v>20.8</v>
      </c>
      <c r="P5482" s="18">
        <f t="shared" si="1"/>
        <v>197.45958</v>
      </c>
    </row>
    <row r="5483" ht="15.75" customHeight="1">
      <c r="A5483" s="19" t="s">
        <v>256</v>
      </c>
      <c r="B5483" s="19" t="s">
        <v>133</v>
      </c>
      <c r="C5483" s="20" t="s">
        <v>201</v>
      </c>
      <c r="D5483" s="14" t="str">
        <f>VLOOKUP(C5483,'State Key'!$A$2:$B$210,2,False)</f>
        <v>Chhattisgarh</v>
      </c>
      <c r="E5483" s="21">
        <v>1440.0</v>
      </c>
      <c r="F5483" s="22">
        <v>384.449</v>
      </c>
      <c r="G5483" s="22">
        <v>0.0</v>
      </c>
      <c r="H5483" s="22">
        <v>0.0</v>
      </c>
      <c r="I5483" s="22">
        <v>0.0</v>
      </c>
      <c r="J5483" s="22">
        <v>0.0</v>
      </c>
      <c r="K5483" s="22">
        <v>0.0</v>
      </c>
      <c r="L5483" s="22">
        <v>384.449</v>
      </c>
      <c r="M5483" s="22">
        <v>487.316</v>
      </c>
      <c r="N5483" s="22">
        <v>1328.18</v>
      </c>
      <c r="O5483" s="24">
        <v>81.8</v>
      </c>
      <c r="P5483" s="18">
        <f t="shared" si="1"/>
        <v>384.449</v>
      </c>
    </row>
    <row r="5484" ht="15.75" customHeight="1">
      <c r="A5484" s="13" t="s">
        <v>256</v>
      </c>
      <c r="B5484" s="13" t="s">
        <v>133</v>
      </c>
      <c r="C5484" s="14" t="s">
        <v>202</v>
      </c>
      <c r="D5484" s="14" t="str">
        <f>VLOOKUP(C5484,'State Key'!$A$2:$B$210,2,False)</f>
        <v>Gujarat</v>
      </c>
      <c r="E5484" s="15">
        <v>1110.0</v>
      </c>
      <c r="F5484" s="16">
        <v>357.166</v>
      </c>
      <c r="G5484" s="16">
        <v>0.0</v>
      </c>
      <c r="H5484" s="16">
        <v>0.0</v>
      </c>
      <c r="I5484" s="16">
        <v>0.0</v>
      </c>
      <c r="J5484" s="16">
        <v>0.0</v>
      </c>
      <c r="K5484" s="16">
        <v>0.0</v>
      </c>
      <c r="L5484" s="16">
        <v>357.166</v>
      </c>
      <c r="M5484" s="16">
        <v>318.359</v>
      </c>
      <c r="N5484" s="16">
        <v>362.3</v>
      </c>
      <c r="O5484" s="24">
        <v>34.1</v>
      </c>
      <c r="P5484" s="18">
        <f t="shared" si="1"/>
        <v>357.166</v>
      </c>
    </row>
    <row r="5485" ht="15.75" customHeight="1">
      <c r="A5485" s="19" t="s">
        <v>256</v>
      </c>
      <c r="B5485" s="19" t="s">
        <v>133</v>
      </c>
      <c r="C5485" s="20" t="s">
        <v>203</v>
      </c>
      <c r="D5485" s="14" t="str">
        <f>VLOOKUP(C5485,'State Key'!$A$2:$B$210,2,False)</f>
        <v>Madhya Pradesh</v>
      </c>
      <c r="E5485" s="21">
        <v>4760.0</v>
      </c>
      <c r="F5485" s="22">
        <v>1839.02</v>
      </c>
      <c r="G5485" s="22">
        <v>0.0</v>
      </c>
      <c r="H5485" s="22">
        <v>0.0</v>
      </c>
      <c r="I5485" s="22">
        <v>0.0</v>
      </c>
      <c r="J5485" s="22">
        <v>0.0</v>
      </c>
      <c r="K5485" s="22">
        <v>0.0</v>
      </c>
      <c r="L5485" s="22">
        <v>1839.02</v>
      </c>
      <c r="M5485" s="22">
        <v>1942.266</v>
      </c>
      <c r="N5485" s="22">
        <v>633.32</v>
      </c>
      <c r="O5485" s="23">
        <v>9.8</v>
      </c>
      <c r="P5485" s="18">
        <f t="shared" si="1"/>
        <v>1839.02</v>
      </c>
    </row>
    <row r="5486" ht="15.75" customHeight="1">
      <c r="A5486" s="13" t="s">
        <v>256</v>
      </c>
      <c r="B5486" s="13" t="s">
        <v>133</v>
      </c>
      <c r="C5486" s="14" t="s">
        <v>255</v>
      </c>
      <c r="D5486" s="14" t="str">
        <f>VLOOKUP(C5486,'State Key'!$A$2:$B$210,2,False)</f>
        <v>Chhattisgarh</v>
      </c>
      <c r="E5486" s="15">
        <v>600.0</v>
      </c>
      <c r="F5486" s="16">
        <v>0.0</v>
      </c>
      <c r="G5486" s="16">
        <v>0.0</v>
      </c>
      <c r="H5486" s="16">
        <v>0.0</v>
      </c>
      <c r="I5486" s="16">
        <v>81.99892</v>
      </c>
      <c r="J5486" s="16">
        <v>0.0</v>
      </c>
      <c r="K5486" s="16">
        <v>19.05094</v>
      </c>
      <c r="L5486" s="16">
        <v>101.04986</v>
      </c>
      <c r="M5486" s="16">
        <v>53.703</v>
      </c>
      <c r="N5486" s="16">
        <v>134.88</v>
      </c>
      <c r="O5486" s="24">
        <v>75.3</v>
      </c>
      <c r="P5486" s="18">
        <f t="shared" si="1"/>
        <v>101.04986</v>
      </c>
    </row>
    <row r="5487" ht="15.75" customHeight="1">
      <c r="A5487" s="19" t="s">
        <v>256</v>
      </c>
      <c r="B5487" s="19" t="s">
        <v>133</v>
      </c>
      <c r="C5487" s="20" t="s">
        <v>204</v>
      </c>
      <c r="D5487" s="14" t="str">
        <f>VLOOKUP(C5487,'State Key'!$A$2:$B$210,2,False)</f>
        <v>Gujarat</v>
      </c>
      <c r="E5487" s="21">
        <v>2270.0</v>
      </c>
      <c r="F5487" s="22">
        <v>416.911</v>
      </c>
      <c r="G5487" s="22">
        <v>0.0</v>
      </c>
      <c r="H5487" s="22">
        <v>0.0</v>
      </c>
      <c r="I5487" s="22">
        <v>0.0</v>
      </c>
      <c r="J5487" s="22">
        <v>0.0</v>
      </c>
      <c r="K5487" s="22">
        <v>0.0</v>
      </c>
      <c r="L5487" s="22">
        <v>416.911</v>
      </c>
      <c r="M5487" s="22">
        <v>366.902</v>
      </c>
      <c r="N5487" s="22">
        <v>716.69</v>
      </c>
      <c r="O5487" s="24">
        <v>58.6</v>
      </c>
      <c r="P5487" s="18">
        <f t="shared" si="1"/>
        <v>416.911</v>
      </c>
    </row>
    <row r="5488" ht="15.75" customHeight="1">
      <c r="A5488" s="13" t="s">
        <v>256</v>
      </c>
      <c r="B5488" s="13" t="s">
        <v>133</v>
      </c>
      <c r="C5488" s="14" t="s">
        <v>205</v>
      </c>
      <c r="D5488" s="14" t="str">
        <f>VLOOKUP(C5488,'State Key'!$A$2:$B$210,2,False)</f>
        <v>Maharashtra</v>
      </c>
      <c r="E5488" s="15">
        <v>540.0</v>
      </c>
      <c r="F5488" s="16">
        <v>79.36</v>
      </c>
      <c r="G5488" s="16">
        <v>0.0</v>
      </c>
      <c r="H5488" s="16">
        <v>0.0</v>
      </c>
      <c r="I5488" s="16">
        <v>0.0</v>
      </c>
      <c r="J5488" s="16">
        <v>0.0</v>
      </c>
      <c r="K5488" s="16">
        <v>5.65</v>
      </c>
      <c r="L5488" s="16">
        <v>85.01</v>
      </c>
      <c r="M5488" s="16">
        <v>218.62</v>
      </c>
      <c r="N5488" s="16">
        <v>125.33</v>
      </c>
      <c r="O5488" s="24">
        <v>17.2</v>
      </c>
      <c r="P5488" s="18">
        <f t="shared" si="1"/>
        <v>85.01</v>
      </c>
    </row>
    <row r="5489" ht="15.75" customHeight="1">
      <c r="A5489" s="19" t="s">
        <v>257</v>
      </c>
      <c r="B5489" s="19" t="s">
        <v>22</v>
      </c>
      <c r="C5489" s="20" t="s">
        <v>23</v>
      </c>
      <c r="D5489" s="14" t="str">
        <f>VLOOKUP(C5489,'State Key'!$A$2:$B$210,2,False)</f>
        <v>West Bengal</v>
      </c>
      <c r="E5489" s="21">
        <v>1050.0</v>
      </c>
      <c r="F5489" s="22">
        <v>0.0</v>
      </c>
      <c r="G5489" s="22">
        <v>0.0</v>
      </c>
      <c r="H5489" s="22">
        <v>448.549</v>
      </c>
      <c r="I5489" s="22">
        <v>0.0</v>
      </c>
      <c r="J5489" s="22">
        <v>0.0</v>
      </c>
      <c r="K5489" s="22">
        <v>0.0</v>
      </c>
      <c r="L5489" s="22">
        <v>448.549</v>
      </c>
      <c r="M5489" s="22">
        <v>444.928</v>
      </c>
      <c r="N5489" s="22">
        <v>82.2</v>
      </c>
      <c r="O5489" s="17">
        <v>5.5</v>
      </c>
      <c r="P5489" s="18">
        <f t="shared" si="1"/>
        <v>448.549</v>
      </c>
    </row>
    <row r="5490" ht="15.75" customHeight="1">
      <c r="A5490" s="13" t="s">
        <v>257</v>
      </c>
      <c r="B5490" s="13" t="s">
        <v>22</v>
      </c>
      <c r="C5490" s="14" t="s">
        <v>24</v>
      </c>
      <c r="D5490" s="14" t="str">
        <f>VLOOKUP(C5490,'State Key'!$A$2:$B$210,2,False)</f>
        <v>West Bengal</v>
      </c>
      <c r="E5490" s="15">
        <v>270.0</v>
      </c>
      <c r="F5490" s="16">
        <v>0.0</v>
      </c>
      <c r="G5490" s="16">
        <v>0.0</v>
      </c>
      <c r="H5490" s="16">
        <v>110.338</v>
      </c>
      <c r="I5490" s="16">
        <v>0.0</v>
      </c>
      <c r="J5490" s="16">
        <v>0.0</v>
      </c>
      <c r="K5490" s="16">
        <v>0.0</v>
      </c>
      <c r="L5490" s="16">
        <v>110.338</v>
      </c>
      <c r="M5490" s="16">
        <v>108.385</v>
      </c>
      <c r="N5490" s="16">
        <v>70.91</v>
      </c>
      <c r="O5490" s="24">
        <v>19.6</v>
      </c>
      <c r="P5490" s="18">
        <f t="shared" si="1"/>
        <v>110.338</v>
      </c>
    </row>
    <row r="5491" ht="15.75" customHeight="1">
      <c r="A5491" s="19" t="s">
        <v>257</v>
      </c>
      <c r="B5491" s="19" t="s">
        <v>22</v>
      </c>
      <c r="C5491" s="20" t="s">
        <v>25</v>
      </c>
      <c r="D5491" s="14" t="str">
        <f>VLOOKUP(C5491,'State Key'!$A$2:$B$210,2,False)</f>
        <v>Bihar</v>
      </c>
      <c r="E5491" s="21">
        <v>500.0</v>
      </c>
      <c r="F5491" s="22">
        <v>94.64</v>
      </c>
      <c r="G5491" s="22">
        <v>0.0</v>
      </c>
      <c r="H5491" s="22">
        <v>124.91</v>
      </c>
      <c r="I5491" s="22">
        <v>0.0</v>
      </c>
      <c r="J5491" s="22">
        <v>0.0</v>
      </c>
      <c r="K5491" s="22">
        <v>0.0</v>
      </c>
      <c r="L5491" s="22">
        <v>219.55</v>
      </c>
      <c r="M5491" s="22">
        <v>193.767</v>
      </c>
      <c r="N5491" s="22">
        <v>134.267</v>
      </c>
      <c r="O5491" s="24">
        <v>20.8</v>
      </c>
      <c r="P5491" s="18">
        <f t="shared" si="1"/>
        <v>219.55</v>
      </c>
    </row>
    <row r="5492" ht="15.75" customHeight="1">
      <c r="A5492" s="13" t="s">
        <v>257</v>
      </c>
      <c r="B5492" s="13" t="s">
        <v>22</v>
      </c>
      <c r="C5492" s="14" t="s">
        <v>26</v>
      </c>
      <c r="D5492" s="14" t="str">
        <f>VLOOKUP(C5492,'State Key'!$A$2:$B$210,2,False)</f>
        <v>Bihar</v>
      </c>
      <c r="E5492" s="15">
        <v>3300.0</v>
      </c>
      <c r="F5492" s="16">
        <v>440.22</v>
      </c>
      <c r="G5492" s="16">
        <v>0.0</v>
      </c>
      <c r="H5492" s="16">
        <v>416.94</v>
      </c>
      <c r="I5492" s="16">
        <v>0.0</v>
      </c>
      <c r="J5492" s="16">
        <v>0.0</v>
      </c>
      <c r="K5492" s="16">
        <v>15.87</v>
      </c>
      <c r="L5492" s="16">
        <v>873.03</v>
      </c>
      <c r="M5492" s="16">
        <v>890.051</v>
      </c>
      <c r="N5492" s="16">
        <v>532.81</v>
      </c>
      <c r="O5492" s="24">
        <v>18.0</v>
      </c>
      <c r="P5492" s="18">
        <f t="shared" si="1"/>
        <v>873.03</v>
      </c>
    </row>
    <row r="5493" ht="15.75" customHeight="1">
      <c r="A5493" s="19" t="s">
        <v>257</v>
      </c>
      <c r="B5493" s="19" t="s">
        <v>22</v>
      </c>
      <c r="C5493" s="20" t="s">
        <v>27</v>
      </c>
      <c r="D5493" s="14" t="str">
        <f>VLOOKUP(C5493,'State Key'!$A$2:$B$210,2,False)</f>
        <v>Jharkhand</v>
      </c>
      <c r="E5493" s="21">
        <v>500.0</v>
      </c>
      <c r="F5493" s="22">
        <v>119.063</v>
      </c>
      <c r="G5493" s="22">
        <v>0.0</v>
      </c>
      <c r="H5493" s="22">
        <v>44.373</v>
      </c>
      <c r="I5493" s="22">
        <v>0.0</v>
      </c>
      <c r="J5493" s="22">
        <v>0.0</v>
      </c>
      <c r="K5493" s="22">
        <v>0.0</v>
      </c>
      <c r="L5493" s="22">
        <v>163.436</v>
      </c>
      <c r="M5493" s="22">
        <v>185.118</v>
      </c>
      <c r="N5493" s="22">
        <v>60.48</v>
      </c>
      <c r="O5493" s="23">
        <v>9.8</v>
      </c>
      <c r="P5493" s="18">
        <f t="shared" si="1"/>
        <v>163.436</v>
      </c>
    </row>
    <row r="5494" ht="15.75" customHeight="1">
      <c r="A5494" s="13" t="s">
        <v>257</v>
      </c>
      <c r="B5494" s="13" t="s">
        <v>22</v>
      </c>
      <c r="C5494" s="14" t="s">
        <v>28</v>
      </c>
      <c r="D5494" s="14" t="str">
        <f>VLOOKUP(C5494,'State Key'!$A$2:$B$210,2,False)</f>
        <v>West Bengal</v>
      </c>
      <c r="E5494" s="15">
        <v>750.0</v>
      </c>
      <c r="F5494" s="16">
        <v>137.479</v>
      </c>
      <c r="G5494" s="16">
        <v>0.0</v>
      </c>
      <c r="H5494" s="16">
        <v>85.449</v>
      </c>
      <c r="I5494" s="16">
        <v>34.369</v>
      </c>
      <c r="J5494" s="16">
        <v>0.0</v>
      </c>
      <c r="K5494" s="16">
        <v>16.321</v>
      </c>
      <c r="L5494" s="16">
        <v>273.618</v>
      </c>
      <c r="M5494" s="16">
        <v>284.154</v>
      </c>
      <c r="N5494" s="16">
        <v>91.47</v>
      </c>
      <c r="O5494" s="23">
        <v>9.7</v>
      </c>
      <c r="P5494" s="18">
        <f t="shared" si="1"/>
        <v>273.618</v>
      </c>
    </row>
    <row r="5495" ht="15.75" customHeight="1">
      <c r="A5495" s="19" t="s">
        <v>257</v>
      </c>
      <c r="B5495" s="19" t="s">
        <v>22</v>
      </c>
      <c r="C5495" s="20" t="s">
        <v>29</v>
      </c>
      <c r="D5495" s="14" t="str">
        <f>VLOOKUP(C5495,'State Key'!$A$2:$B$210,2,False)</f>
        <v>Jharkhand</v>
      </c>
      <c r="E5495" s="21">
        <v>500.0</v>
      </c>
      <c r="F5495" s="22">
        <v>107.3</v>
      </c>
      <c r="G5495" s="22">
        <v>0.0</v>
      </c>
      <c r="H5495" s="22">
        <v>74.941</v>
      </c>
      <c r="I5495" s="22">
        <v>0.0</v>
      </c>
      <c r="J5495" s="22">
        <v>0.0</v>
      </c>
      <c r="K5495" s="22">
        <v>0.0</v>
      </c>
      <c r="L5495" s="22">
        <v>182.241</v>
      </c>
      <c r="M5495" s="22">
        <v>202.412</v>
      </c>
      <c r="N5495" s="22">
        <v>137.06</v>
      </c>
      <c r="O5495" s="24">
        <v>20.3</v>
      </c>
      <c r="P5495" s="18">
        <f t="shared" si="1"/>
        <v>182.241</v>
      </c>
    </row>
    <row r="5496" ht="15.75" customHeight="1">
      <c r="A5496" s="13" t="s">
        <v>257</v>
      </c>
      <c r="B5496" s="13" t="s">
        <v>22</v>
      </c>
      <c r="C5496" s="14" t="s">
        <v>30</v>
      </c>
      <c r="D5496" s="14" t="str">
        <f>VLOOKUP(C5496,'State Key'!$A$2:$B$210,2,False)</f>
        <v>West Bengal</v>
      </c>
      <c r="E5496" s="15">
        <v>550.0</v>
      </c>
      <c r="F5496" s="16">
        <v>184.30761</v>
      </c>
      <c r="G5496" s="16">
        <v>0.0</v>
      </c>
      <c r="H5496" s="16">
        <v>0.0</v>
      </c>
      <c r="I5496" s="16">
        <v>0.0</v>
      </c>
      <c r="J5496" s="16">
        <v>0.0</v>
      </c>
      <c r="K5496" s="16">
        <v>0.0</v>
      </c>
      <c r="L5496" s="16">
        <v>184.30761</v>
      </c>
      <c r="M5496" s="16">
        <v>213.3086</v>
      </c>
      <c r="N5496" s="16">
        <v>67.7</v>
      </c>
      <c r="O5496" s="23">
        <v>9.5</v>
      </c>
      <c r="P5496" s="18">
        <f t="shared" si="1"/>
        <v>184.30761</v>
      </c>
    </row>
    <row r="5497" ht="15.75" customHeight="1">
      <c r="A5497" s="19" t="s">
        <v>257</v>
      </c>
      <c r="B5497" s="19" t="s">
        <v>22</v>
      </c>
      <c r="C5497" s="20" t="s">
        <v>31</v>
      </c>
      <c r="D5497" s="14" t="str">
        <f>VLOOKUP(C5497,'State Key'!$A$2:$B$210,2,False)</f>
        <v>Odisha</v>
      </c>
      <c r="E5497" s="21">
        <v>1600.0</v>
      </c>
      <c r="F5497" s="22">
        <v>0.0</v>
      </c>
      <c r="G5497" s="22">
        <v>0.0</v>
      </c>
      <c r="H5497" s="22">
        <v>742.36</v>
      </c>
      <c r="I5497" s="22">
        <v>0.0</v>
      </c>
      <c r="J5497" s="22">
        <v>0.0</v>
      </c>
      <c r="K5497" s="22">
        <v>0.0</v>
      </c>
      <c r="L5497" s="22">
        <v>742.36</v>
      </c>
      <c r="M5497" s="22">
        <v>725.167</v>
      </c>
      <c r="N5497" s="22">
        <v>467.35</v>
      </c>
      <c r="O5497" s="24">
        <v>19.3</v>
      </c>
      <c r="P5497" s="18">
        <f t="shared" si="1"/>
        <v>742.36</v>
      </c>
    </row>
    <row r="5498" ht="15.75" customHeight="1">
      <c r="A5498" s="13" t="s">
        <v>257</v>
      </c>
      <c r="B5498" s="13" t="s">
        <v>22</v>
      </c>
      <c r="C5498" s="14" t="s">
        <v>32</v>
      </c>
      <c r="D5498" s="14" t="str">
        <f>VLOOKUP(C5498,'State Key'!$A$2:$B$210,2,False)</f>
        <v>Odisha</v>
      </c>
      <c r="E5498" s="15">
        <v>1200.0</v>
      </c>
      <c r="F5498" s="16">
        <v>478.6</v>
      </c>
      <c r="G5498" s="16">
        <v>0.0</v>
      </c>
      <c r="H5498" s="16">
        <v>0.0</v>
      </c>
      <c r="I5498" s="16">
        <v>49.828</v>
      </c>
      <c r="J5498" s="16">
        <v>0.0</v>
      </c>
      <c r="K5498" s="16">
        <v>0.0</v>
      </c>
      <c r="L5498" s="16">
        <v>528.428</v>
      </c>
      <c r="M5498" s="16">
        <v>572.228</v>
      </c>
      <c r="N5498" s="16">
        <v>971.88</v>
      </c>
      <c r="O5498" s="24">
        <v>51.0</v>
      </c>
      <c r="P5498" s="18">
        <f t="shared" si="1"/>
        <v>528.428</v>
      </c>
    </row>
    <row r="5499" ht="15.75" customHeight="1">
      <c r="A5499" s="19" t="s">
        <v>257</v>
      </c>
      <c r="B5499" s="19" t="s">
        <v>22</v>
      </c>
      <c r="C5499" s="20" t="s">
        <v>34</v>
      </c>
      <c r="D5499" s="14" t="str">
        <f>VLOOKUP(C5499,'State Key'!$A$2:$B$210,2,False)</f>
        <v>West Bengal</v>
      </c>
      <c r="E5499" s="21">
        <v>1000.0</v>
      </c>
      <c r="F5499" s="22">
        <v>340.998</v>
      </c>
      <c r="G5499" s="22">
        <v>0.0</v>
      </c>
      <c r="H5499" s="22">
        <v>7.114</v>
      </c>
      <c r="I5499" s="22">
        <v>0.0</v>
      </c>
      <c r="J5499" s="22">
        <v>0.0</v>
      </c>
      <c r="K5499" s="22">
        <v>0.0</v>
      </c>
      <c r="L5499" s="22">
        <v>348.112</v>
      </c>
      <c r="M5499" s="22">
        <v>361.961</v>
      </c>
      <c r="N5499" s="22">
        <v>117.42</v>
      </c>
      <c r="O5499" s="23">
        <v>9.7</v>
      </c>
      <c r="P5499" s="18">
        <f t="shared" si="1"/>
        <v>348.112</v>
      </c>
    </row>
    <row r="5500" ht="15.75" customHeight="1">
      <c r="A5500" s="13" t="s">
        <v>257</v>
      </c>
      <c r="B5500" s="13" t="s">
        <v>22</v>
      </c>
      <c r="C5500" s="14" t="s">
        <v>35</v>
      </c>
      <c r="D5500" s="14" t="str">
        <f>VLOOKUP(C5500,'State Key'!$A$2:$B$210,2,False)</f>
        <v>West Bengal</v>
      </c>
      <c r="E5500" s="15">
        <v>2100.0</v>
      </c>
      <c r="F5500" s="16">
        <v>694.41</v>
      </c>
      <c r="G5500" s="16">
        <v>0.0</v>
      </c>
      <c r="H5500" s="16">
        <v>49.91</v>
      </c>
      <c r="I5500" s="16">
        <v>0.0</v>
      </c>
      <c r="J5500" s="16">
        <v>0.0</v>
      </c>
      <c r="K5500" s="16">
        <v>0.0</v>
      </c>
      <c r="L5500" s="16">
        <v>744.32</v>
      </c>
      <c r="M5500" s="16">
        <v>686.433</v>
      </c>
      <c r="N5500" s="16">
        <v>266.61</v>
      </c>
      <c r="O5500" s="23">
        <v>11.7</v>
      </c>
      <c r="P5500" s="18">
        <f t="shared" si="1"/>
        <v>744.32</v>
      </c>
    </row>
    <row r="5501" ht="15.75" customHeight="1">
      <c r="A5501" s="19" t="s">
        <v>257</v>
      </c>
      <c r="B5501" s="19" t="s">
        <v>22</v>
      </c>
      <c r="C5501" s="20" t="s">
        <v>36</v>
      </c>
      <c r="D5501" s="14" t="str">
        <f>VLOOKUP(C5501,'State Key'!$A$2:$B$210,2,False)</f>
        <v>West Bengal</v>
      </c>
      <c r="E5501" s="21">
        <v>600.0</v>
      </c>
      <c r="F5501" s="22">
        <v>248.946</v>
      </c>
      <c r="G5501" s="22">
        <v>0.0</v>
      </c>
      <c r="H5501" s="22">
        <v>0.0</v>
      </c>
      <c r="I5501" s="22">
        <v>0.0</v>
      </c>
      <c r="J5501" s="22">
        <v>0.0</v>
      </c>
      <c r="K5501" s="22">
        <v>0.0</v>
      </c>
      <c r="L5501" s="22">
        <v>248.946</v>
      </c>
      <c r="M5501" s="22">
        <v>298.041</v>
      </c>
      <c r="N5501" s="22">
        <v>60.59</v>
      </c>
      <c r="O5501" s="17">
        <v>6.1</v>
      </c>
      <c r="P5501" s="18">
        <f t="shared" si="1"/>
        <v>248.946</v>
      </c>
    </row>
    <row r="5502" ht="15.75" customHeight="1">
      <c r="A5502" s="13" t="s">
        <v>257</v>
      </c>
      <c r="B5502" s="13" t="s">
        <v>22</v>
      </c>
      <c r="C5502" s="14" t="s">
        <v>37</v>
      </c>
      <c r="D5502" s="14" t="str">
        <f>VLOOKUP(C5502,'State Key'!$A$2:$B$210,2,False)</f>
        <v>West Bengal</v>
      </c>
      <c r="E5502" s="15">
        <v>300.0</v>
      </c>
      <c r="F5502" s="16">
        <v>136.268</v>
      </c>
      <c r="G5502" s="16">
        <v>0.0</v>
      </c>
      <c r="H5502" s="16">
        <v>0.0</v>
      </c>
      <c r="I5502" s="16">
        <v>0.0</v>
      </c>
      <c r="J5502" s="16">
        <v>0.0</v>
      </c>
      <c r="K5502" s="16">
        <v>0.0</v>
      </c>
      <c r="L5502" s="16">
        <v>136.268</v>
      </c>
      <c r="M5502" s="16">
        <v>137.118</v>
      </c>
      <c r="N5502" s="16">
        <v>228.418</v>
      </c>
      <c r="O5502" s="24">
        <v>50.0</v>
      </c>
      <c r="P5502" s="18">
        <f t="shared" si="1"/>
        <v>136.268</v>
      </c>
    </row>
    <row r="5503" ht="15.75" customHeight="1">
      <c r="A5503" s="19" t="s">
        <v>257</v>
      </c>
      <c r="B5503" s="19" t="s">
        <v>22</v>
      </c>
      <c r="C5503" s="20" t="s">
        <v>38</v>
      </c>
      <c r="D5503" s="14" t="str">
        <f>VLOOKUP(C5503,'State Key'!$A$2:$B$210,2,False)</f>
        <v>Odisha</v>
      </c>
      <c r="E5503" s="21">
        <v>1740.0</v>
      </c>
      <c r="F5503" s="22">
        <v>70.4712</v>
      </c>
      <c r="G5503" s="22">
        <v>0.0</v>
      </c>
      <c r="H5503" s="22">
        <v>506.8965</v>
      </c>
      <c r="I5503" s="22">
        <v>0.0</v>
      </c>
      <c r="J5503" s="22">
        <v>0.0</v>
      </c>
      <c r="K5503" s="22">
        <v>0.0</v>
      </c>
      <c r="L5503" s="22">
        <v>577.3677</v>
      </c>
      <c r="M5503" s="22">
        <v>628.781</v>
      </c>
      <c r="N5503" s="22">
        <v>425.99</v>
      </c>
      <c r="O5503" s="24">
        <v>20.3</v>
      </c>
      <c r="P5503" s="18">
        <f t="shared" si="1"/>
        <v>577.3677</v>
      </c>
    </row>
    <row r="5504" ht="15.75" customHeight="1">
      <c r="A5504" s="13" t="s">
        <v>257</v>
      </c>
      <c r="B5504" s="13" t="s">
        <v>22</v>
      </c>
      <c r="C5504" s="14" t="s">
        <v>39</v>
      </c>
      <c r="D5504" s="14" t="str">
        <f>VLOOKUP(C5504,'State Key'!$A$2:$B$210,2,False)</f>
        <v>Jharkhand</v>
      </c>
      <c r="E5504" s="15">
        <v>240.0</v>
      </c>
      <c r="F5504" s="16">
        <v>85.2419</v>
      </c>
      <c r="G5504" s="16">
        <v>0.0</v>
      </c>
      <c r="H5504" s="16">
        <v>0.0</v>
      </c>
      <c r="I5504" s="16">
        <v>0.0</v>
      </c>
      <c r="J5504" s="16">
        <v>0.0</v>
      </c>
      <c r="K5504" s="16">
        <v>0.0</v>
      </c>
      <c r="L5504" s="16">
        <v>85.2419</v>
      </c>
      <c r="M5504" s="16">
        <v>87.957</v>
      </c>
      <c r="N5504" s="16">
        <v>122.64</v>
      </c>
      <c r="O5504" s="24">
        <v>41.8</v>
      </c>
      <c r="P5504" s="18">
        <f t="shared" si="1"/>
        <v>85.2419</v>
      </c>
    </row>
    <row r="5505" ht="15.75" customHeight="1">
      <c r="A5505" s="19" t="s">
        <v>257</v>
      </c>
      <c r="B5505" s="19" t="s">
        <v>22</v>
      </c>
      <c r="C5505" s="20" t="s">
        <v>245</v>
      </c>
      <c r="D5505" s="14" t="str">
        <f>VLOOKUP(C5505,'State Key'!$A$2:$B$210,2,False)</f>
        <v>Odisha</v>
      </c>
      <c r="E5505" s="21">
        <v>700.0</v>
      </c>
      <c r="F5505" s="22">
        <v>0.0</v>
      </c>
      <c r="G5505" s="22">
        <v>0.0</v>
      </c>
      <c r="H5505" s="22">
        <v>0.0</v>
      </c>
      <c r="I5505" s="22">
        <v>151.17</v>
      </c>
      <c r="J5505" s="22">
        <v>0.0</v>
      </c>
      <c r="K5505" s="22">
        <v>0.0</v>
      </c>
      <c r="L5505" s="22">
        <v>151.17</v>
      </c>
      <c r="M5505" s="22">
        <v>309.497</v>
      </c>
      <c r="N5505" s="22">
        <v>24.29</v>
      </c>
      <c r="O5505" s="17">
        <v>2.4</v>
      </c>
      <c r="P5505" s="18">
        <f t="shared" si="1"/>
        <v>151.17</v>
      </c>
    </row>
    <row r="5506" ht="15.75" customHeight="1">
      <c r="A5506" s="13" t="s">
        <v>257</v>
      </c>
      <c r="B5506" s="13" t="s">
        <v>22</v>
      </c>
      <c r="C5506" s="14" t="s">
        <v>40</v>
      </c>
      <c r="D5506" s="14" t="str">
        <f>VLOOKUP(C5506,'State Key'!$A$2:$B$210,2,False)</f>
        <v>Bihar</v>
      </c>
      <c r="E5506" s="15">
        <v>2340.0</v>
      </c>
      <c r="F5506" s="16">
        <v>993.04</v>
      </c>
      <c r="G5506" s="16">
        <v>0.0</v>
      </c>
      <c r="H5506" s="16">
        <v>25.92</v>
      </c>
      <c r="I5506" s="16">
        <v>0.0</v>
      </c>
      <c r="J5506" s="16">
        <v>0.0</v>
      </c>
      <c r="K5506" s="16">
        <v>0.0</v>
      </c>
      <c r="L5506" s="16">
        <v>1018.96</v>
      </c>
      <c r="M5506" s="16">
        <v>917.225</v>
      </c>
      <c r="N5506" s="16">
        <v>716.88</v>
      </c>
      <c r="O5506" s="24">
        <v>23.4</v>
      </c>
      <c r="P5506" s="18">
        <f t="shared" si="1"/>
        <v>1018.96</v>
      </c>
    </row>
    <row r="5507" ht="15.75" customHeight="1">
      <c r="A5507" s="19" t="s">
        <v>257</v>
      </c>
      <c r="B5507" s="19" t="s">
        <v>22</v>
      </c>
      <c r="C5507" s="20" t="s">
        <v>41</v>
      </c>
      <c r="D5507" s="14" t="str">
        <f>VLOOKUP(C5507,'State Key'!$A$2:$B$210,2,False)</f>
        <v>Odisha</v>
      </c>
      <c r="E5507" s="21">
        <v>1050.0</v>
      </c>
      <c r="F5507" s="22">
        <v>379.955</v>
      </c>
      <c r="G5507" s="22">
        <v>0.0</v>
      </c>
      <c r="H5507" s="22">
        <v>0.0</v>
      </c>
      <c r="I5507" s="22">
        <v>120.967</v>
      </c>
      <c r="J5507" s="22">
        <v>0.0</v>
      </c>
      <c r="K5507" s="22">
        <v>0.0</v>
      </c>
      <c r="L5507" s="22">
        <v>500.922</v>
      </c>
      <c r="M5507" s="22">
        <v>579.032</v>
      </c>
      <c r="N5507" s="22">
        <v>144.43</v>
      </c>
      <c r="O5507" s="23">
        <v>7.5</v>
      </c>
      <c r="P5507" s="18">
        <f t="shared" si="1"/>
        <v>500.922</v>
      </c>
    </row>
    <row r="5508" ht="15.75" customHeight="1">
      <c r="A5508" s="13" t="s">
        <v>257</v>
      </c>
      <c r="B5508" s="13" t="s">
        <v>22</v>
      </c>
      <c r="C5508" s="14" t="s">
        <v>42</v>
      </c>
      <c r="D5508" s="14" t="str">
        <f>VLOOKUP(C5508,'State Key'!$A$2:$B$210,2,False)</f>
        <v>Jharkhand</v>
      </c>
      <c r="E5508" s="15">
        <v>1000.0</v>
      </c>
      <c r="F5508" s="16">
        <v>356.952</v>
      </c>
      <c r="G5508" s="16">
        <v>0.0</v>
      </c>
      <c r="H5508" s="16">
        <v>113.497</v>
      </c>
      <c r="I5508" s="16">
        <v>0.0</v>
      </c>
      <c r="J5508" s="16">
        <v>0.0</v>
      </c>
      <c r="K5508" s="16">
        <v>0.0</v>
      </c>
      <c r="L5508" s="16">
        <v>470.449</v>
      </c>
      <c r="M5508" s="16">
        <v>368.644</v>
      </c>
      <c r="N5508" s="16">
        <v>267.02</v>
      </c>
      <c r="O5508" s="24">
        <v>21.7</v>
      </c>
      <c r="P5508" s="18">
        <f t="shared" si="1"/>
        <v>470.449</v>
      </c>
    </row>
    <row r="5509" ht="15.75" customHeight="1">
      <c r="A5509" s="19" t="s">
        <v>257</v>
      </c>
      <c r="B5509" s="19" t="s">
        <v>22</v>
      </c>
      <c r="C5509" s="20" t="s">
        <v>43</v>
      </c>
      <c r="D5509" s="14" t="str">
        <f>VLOOKUP(C5509,'State Key'!$A$2:$B$210,2,False)</f>
        <v>West Bengal</v>
      </c>
      <c r="E5509" s="21">
        <v>840.0</v>
      </c>
      <c r="F5509" s="22">
        <v>0.0</v>
      </c>
      <c r="G5509" s="22">
        <v>0.0</v>
      </c>
      <c r="H5509" s="22">
        <v>326.606</v>
      </c>
      <c r="I5509" s="22">
        <v>0.0</v>
      </c>
      <c r="J5509" s="22">
        <v>0.0</v>
      </c>
      <c r="K5509" s="22">
        <v>0.0</v>
      </c>
      <c r="L5509" s="22">
        <v>326.606</v>
      </c>
      <c r="M5509" s="22">
        <v>319.317</v>
      </c>
      <c r="N5509" s="22">
        <v>104.74</v>
      </c>
      <c r="O5509" s="23">
        <v>9.8</v>
      </c>
      <c r="P5509" s="18">
        <f t="shared" si="1"/>
        <v>326.606</v>
      </c>
    </row>
    <row r="5510" ht="15.75" customHeight="1">
      <c r="A5510" s="13" t="s">
        <v>257</v>
      </c>
      <c r="B5510" s="13" t="s">
        <v>22</v>
      </c>
      <c r="C5510" s="14" t="s">
        <v>44</v>
      </c>
      <c r="D5510" s="14" t="str">
        <f>VLOOKUP(C5510,'State Key'!$A$2:$B$210,2,False)</f>
        <v>Jharkhand</v>
      </c>
      <c r="E5510" s="15">
        <v>540.0</v>
      </c>
      <c r="F5510" s="16">
        <v>193.399</v>
      </c>
      <c r="G5510" s="16">
        <v>0.0</v>
      </c>
      <c r="H5510" s="16">
        <v>0.0</v>
      </c>
      <c r="I5510" s="16">
        <v>0.0</v>
      </c>
      <c r="J5510" s="16">
        <v>0.0</v>
      </c>
      <c r="K5510" s="16">
        <v>66.35</v>
      </c>
      <c r="L5510" s="16">
        <v>259.749</v>
      </c>
      <c r="M5510" s="16">
        <v>236.735</v>
      </c>
      <c r="N5510" s="16">
        <v>71.98</v>
      </c>
      <c r="O5510" s="23">
        <v>9.1</v>
      </c>
      <c r="P5510" s="18">
        <f t="shared" si="1"/>
        <v>259.749</v>
      </c>
    </row>
    <row r="5511" ht="15.75" customHeight="1">
      <c r="A5511" s="19" t="s">
        <v>257</v>
      </c>
      <c r="B5511" s="19" t="s">
        <v>22</v>
      </c>
      <c r="C5511" s="20" t="s">
        <v>45</v>
      </c>
      <c r="D5511" s="14" t="str">
        <f>VLOOKUP(C5511,'State Key'!$A$2:$B$210,2,False)</f>
        <v>Jharkhand</v>
      </c>
      <c r="E5511" s="21">
        <v>1050.0</v>
      </c>
      <c r="F5511" s="22">
        <v>311.86013</v>
      </c>
      <c r="G5511" s="22">
        <v>0.0</v>
      </c>
      <c r="H5511" s="22">
        <v>0.0</v>
      </c>
      <c r="I5511" s="22">
        <v>0.0</v>
      </c>
      <c r="J5511" s="22">
        <v>0.0</v>
      </c>
      <c r="K5511" s="22">
        <v>0.0</v>
      </c>
      <c r="L5511" s="22">
        <v>311.86013</v>
      </c>
      <c r="M5511" s="22">
        <v>341.338</v>
      </c>
      <c r="N5511" s="22">
        <v>292.82</v>
      </c>
      <c r="O5511" s="24">
        <v>25.7</v>
      </c>
      <c r="P5511" s="18">
        <f t="shared" si="1"/>
        <v>311.86013</v>
      </c>
    </row>
    <row r="5512" ht="15.75" customHeight="1">
      <c r="A5512" s="13" t="s">
        <v>257</v>
      </c>
      <c r="B5512" s="13" t="s">
        <v>22</v>
      </c>
      <c r="C5512" s="14" t="s">
        <v>46</v>
      </c>
      <c r="D5512" s="14" t="str">
        <f>VLOOKUP(C5512,'State Key'!$A$2:$B$210,2,False)</f>
        <v>West Bengal</v>
      </c>
      <c r="E5512" s="15">
        <v>2340.0</v>
      </c>
      <c r="F5512" s="16">
        <v>570.872</v>
      </c>
      <c r="G5512" s="16">
        <v>0.0</v>
      </c>
      <c r="H5512" s="16">
        <v>55.771</v>
      </c>
      <c r="I5512" s="16">
        <v>0.0</v>
      </c>
      <c r="J5512" s="16">
        <v>0.0</v>
      </c>
      <c r="K5512" s="16">
        <v>84.013</v>
      </c>
      <c r="L5512" s="16">
        <v>710.656</v>
      </c>
      <c r="M5512" s="16">
        <v>807.942</v>
      </c>
      <c r="N5512" s="16">
        <v>286.89</v>
      </c>
      <c r="O5512" s="23">
        <v>10.7</v>
      </c>
      <c r="P5512" s="18">
        <f t="shared" si="1"/>
        <v>710.656</v>
      </c>
    </row>
    <row r="5513" ht="15.75" customHeight="1">
      <c r="A5513" s="19" t="s">
        <v>257</v>
      </c>
      <c r="B5513" s="19" t="s">
        <v>22</v>
      </c>
      <c r="C5513" s="20" t="s">
        <v>47</v>
      </c>
      <c r="D5513" s="14" t="str">
        <f>VLOOKUP(C5513,'State Key'!$A$2:$B$210,2,False)</f>
        <v>Bihar</v>
      </c>
      <c r="E5513" s="21">
        <v>390.0</v>
      </c>
      <c r="F5513" s="22">
        <v>0.0</v>
      </c>
      <c r="G5513" s="22">
        <v>0.0</v>
      </c>
      <c r="H5513" s="22">
        <v>99.424</v>
      </c>
      <c r="I5513" s="22">
        <v>51.603</v>
      </c>
      <c r="J5513" s="22">
        <v>0.0</v>
      </c>
      <c r="K5513" s="22">
        <v>0.0</v>
      </c>
      <c r="L5513" s="22">
        <v>151.027</v>
      </c>
      <c r="M5513" s="22">
        <v>163.835</v>
      </c>
      <c r="N5513" s="22">
        <v>164.45</v>
      </c>
      <c r="O5513" s="24">
        <v>30.1</v>
      </c>
      <c r="P5513" s="18">
        <f t="shared" si="1"/>
        <v>151.027</v>
      </c>
    </row>
    <row r="5514" ht="15.75" customHeight="1">
      <c r="A5514" s="13" t="s">
        <v>257</v>
      </c>
      <c r="B5514" s="13" t="s">
        <v>22</v>
      </c>
      <c r="C5514" s="14" t="s">
        <v>241</v>
      </c>
      <c r="D5514" s="14" t="str">
        <f>VLOOKUP(C5514,'State Key'!$A$2:$B$210,2,False)</f>
        <v>Odisha</v>
      </c>
      <c r="E5514" s="15">
        <v>60.0</v>
      </c>
      <c r="F5514" s="16">
        <v>24.8</v>
      </c>
      <c r="G5514" s="16">
        <v>0.0</v>
      </c>
      <c r="H5514" s="16">
        <v>0.0</v>
      </c>
      <c r="I5514" s="16">
        <v>0.0</v>
      </c>
      <c r="J5514" s="16">
        <v>0.0</v>
      </c>
      <c r="K5514" s="16">
        <v>4.03</v>
      </c>
      <c r="L5514" s="16">
        <v>28.83</v>
      </c>
      <c r="M5514" s="16">
        <v>34.53</v>
      </c>
      <c r="N5514" s="16">
        <v>8.94</v>
      </c>
      <c r="O5514" s="23">
        <v>7.8</v>
      </c>
      <c r="P5514" s="18">
        <f t="shared" si="1"/>
        <v>28.83</v>
      </c>
    </row>
    <row r="5515" ht="15.75" customHeight="1">
      <c r="A5515" s="19" t="s">
        <v>257</v>
      </c>
      <c r="B5515" s="19" t="s">
        <v>22</v>
      </c>
      <c r="C5515" s="20" t="s">
        <v>48</v>
      </c>
      <c r="D5515" s="14" t="str">
        <f>VLOOKUP(C5515,'State Key'!$A$2:$B$210,2,False)</f>
        <v>Bihar</v>
      </c>
      <c r="E5515" s="21">
        <v>1980.0</v>
      </c>
      <c r="F5515" s="22">
        <v>766.827</v>
      </c>
      <c r="G5515" s="22">
        <v>0.0</v>
      </c>
      <c r="H5515" s="22">
        <v>184.719</v>
      </c>
      <c r="I5515" s="22">
        <v>8.022</v>
      </c>
      <c r="J5515" s="22">
        <v>0.0</v>
      </c>
      <c r="K5515" s="22">
        <v>0.0</v>
      </c>
      <c r="L5515" s="22">
        <v>959.568</v>
      </c>
      <c r="M5515" s="22">
        <v>757.265</v>
      </c>
      <c r="N5515" s="22">
        <v>371.65</v>
      </c>
      <c r="O5515" s="24">
        <v>14.7</v>
      </c>
      <c r="P5515" s="18">
        <f t="shared" si="1"/>
        <v>959.568</v>
      </c>
    </row>
    <row r="5516" ht="15.75" customHeight="1">
      <c r="A5516" s="13" t="s">
        <v>257</v>
      </c>
      <c r="B5516" s="13" t="s">
        <v>22</v>
      </c>
      <c r="C5516" s="14" t="s">
        <v>49</v>
      </c>
      <c r="D5516" s="14" t="str">
        <f>VLOOKUP(C5516,'State Key'!$A$2:$B$210,2,False)</f>
        <v>Bihar</v>
      </c>
      <c r="E5516" s="15">
        <v>1000.0</v>
      </c>
      <c r="F5516" s="16">
        <v>325.3598</v>
      </c>
      <c r="G5516" s="16">
        <v>0.0</v>
      </c>
      <c r="H5516" s="16">
        <v>0.0</v>
      </c>
      <c r="I5516" s="16">
        <v>0.0</v>
      </c>
      <c r="J5516" s="16">
        <v>0.0</v>
      </c>
      <c r="K5516" s="16">
        <v>40.8912</v>
      </c>
      <c r="L5516" s="16">
        <v>366.251</v>
      </c>
      <c r="M5516" s="16">
        <v>378.271</v>
      </c>
      <c r="N5516" s="16">
        <v>150.34</v>
      </c>
      <c r="O5516" s="23">
        <v>11.9</v>
      </c>
      <c r="P5516" s="18">
        <f t="shared" si="1"/>
        <v>366.251</v>
      </c>
    </row>
    <row r="5517" ht="15.75" customHeight="1">
      <c r="A5517" s="19" t="s">
        <v>257</v>
      </c>
      <c r="B5517" s="19" t="s">
        <v>22</v>
      </c>
      <c r="C5517" s="20" t="s">
        <v>50</v>
      </c>
      <c r="D5517" s="14" t="str">
        <f>VLOOKUP(C5517,'State Key'!$A$2:$B$210,2,False)</f>
        <v>Jharkhand</v>
      </c>
      <c r="E5517" s="21">
        <v>1980.0</v>
      </c>
      <c r="F5517" s="22">
        <v>478.86</v>
      </c>
      <c r="G5517" s="22">
        <v>0.0</v>
      </c>
      <c r="H5517" s="22">
        <v>420.15</v>
      </c>
      <c r="I5517" s="22">
        <v>0.0</v>
      </c>
      <c r="J5517" s="22">
        <v>0.0</v>
      </c>
      <c r="K5517" s="22">
        <v>0.0</v>
      </c>
      <c r="L5517" s="22">
        <v>899.01</v>
      </c>
      <c r="M5517" s="22">
        <v>716.096</v>
      </c>
      <c r="N5517" s="22">
        <v>248.95</v>
      </c>
      <c r="O5517" s="23">
        <v>10.4</v>
      </c>
      <c r="P5517" s="18">
        <f t="shared" si="1"/>
        <v>899.01</v>
      </c>
    </row>
    <row r="5518" ht="15.75" customHeight="1">
      <c r="A5518" s="13" t="s">
        <v>257</v>
      </c>
      <c r="B5518" s="13" t="s">
        <v>22</v>
      </c>
      <c r="C5518" s="14" t="s">
        <v>51</v>
      </c>
      <c r="D5518" s="14" t="str">
        <f>VLOOKUP(C5518,'State Key'!$A$2:$B$210,2,False)</f>
        <v>West Bengal</v>
      </c>
      <c r="E5518" s="15">
        <v>1200.0</v>
      </c>
      <c r="F5518" s="16">
        <v>233.883</v>
      </c>
      <c r="G5518" s="16">
        <v>0.0</v>
      </c>
      <c r="H5518" s="16">
        <v>22.834</v>
      </c>
      <c r="I5518" s="16">
        <v>0.0</v>
      </c>
      <c r="J5518" s="16">
        <v>0.0</v>
      </c>
      <c r="K5518" s="16">
        <v>0.0</v>
      </c>
      <c r="L5518" s="16">
        <v>256.717</v>
      </c>
      <c r="M5518" s="16">
        <v>258.989</v>
      </c>
      <c r="N5518" s="16">
        <v>278.12</v>
      </c>
      <c r="O5518" s="24">
        <v>32.2</v>
      </c>
      <c r="P5518" s="18">
        <f t="shared" si="1"/>
        <v>256.717</v>
      </c>
    </row>
    <row r="5519" ht="15.75" customHeight="1">
      <c r="A5519" s="19" t="s">
        <v>257</v>
      </c>
      <c r="B5519" s="19" t="s">
        <v>22</v>
      </c>
      <c r="C5519" s="20" t="s">
        <v>52</v>
      </c>
      <c r="D5519" s="14" t="str">
        <f>VLOOKUP(C5519,'State Key'!$A$2:$B$210,2,False)</f>
        <v>West Bengal</v>
      </c>
      <c r="E5519" s="21">
        <v>1600.0</v>
      </c>
      <c r="F5519" s="22">
        <v>0.0</v>
      </c>
      <c r="G5519" s="22">
        <v>0.0</v>
      </c>
      <c r="H5519" s="22">
        <v>608.916</v>
      </c>
      <c r="I5519" s="22">
        <v>125.704</v>
      </c>
      <c r="J5519" s="22">
        <v>0.0</v>
      </c>
      <c r="K5519" s="22">
        <v>0.0</v>
      </c>
      <c r="L5519" s="22">
        <v>734.62</v>
      </c>
      <c r="M5519" s="22">
        <v>715.007</v>
      </c>
      <c r="N5519" s="22">
        <v>139.35</v>
      </c>
      <c r="O5519" s="17">
        <v>5.8</v>
      </c>
      <c r="P5519" s="18">
        <f t="shared" si="1"/>
        <v>734.62</v>
      </c>
    </row>
    <row r="5520" ht="15.75" customHeight="1">
      <c r="A5520" s="13" t="s">
        <v>257</v>
      </c>
      <c r="B5520" s="13" t="s">
        <v>22</v>
      </c>
      <c r="C5520" s="14" t="s">
        <v>53</v>
      </c>
      <c r="D5520" s="14" t="str">
        <f>VLOOKUP(C5520,'State Key'!$A$2:$B$210,2,False)</f>
        <v>West Bengal</v>
      </c>
      <c r="E5520" s="15">
        <v>500.0</v>
      </c>
      <c r="F5520" s="16">
        <v>0.0</v>
      </c>
      <c r="G5520" s="16">
        <v>0.0</v>
      </c>
      <c r="H5520" s="16">
        <v>233.853</v>
      </c>
      <c r="I5520" s="16">
        <v>0.0</v>
      </c>
      <c r="J5520" s="16">
        <v>0.0</v>
      </c>
      <c r="K5520" s="16">
        <v>0.0</v>
      </c>
      <c r="L5520" s="16">
        <v>233.853</v>
      </c>
      <c r="M5520" s="16">
        <v>207.495</v>
      </c>
      <c r="N5520" s="16">
        <v>84.3</v>
      </c>
      <c r="O5520" s="23">
        <v>12.2</v>
      </c>
      <c r="P5520" s="18">
        <f t="shared" si="1"/>
        <v>233.853</v>
      </c>
    </row>
    <row r="5521" ht="15.75" customHeight="1">
      <c r="A5521" s="19" t="s">
        <v>257</v>
      </c>
      <c r="B5521" s="19" t="s">
        <v>22</v>
      </c>
      <c r="C5521" s="20" t="s">
        <v>54</v>
      </c>
      <c r="D5521" s="14" t="str">
        <f>VLOOKUP(C5521,'State Key'!$A$2:$B$210,2,False)</f>
        <v>West Bengal</v>
      </c>
      <c r="E5521" s="21">
        <v>135.0</v>
      </c>
      <c r="F5521" s="22">
        <v>0.0</v>
      </c>
      <c r="G5521" s="22">
        <v>0.0</v>
      </c>
      <c r="H5521" s="22">
        <v>0.0</v>
      </c>
      <c r="I5521" s="22">
        <v>0.0</v>
      </c>
      <c r="J5521" s="22">
        <v>0.0</v>
      </c>
      <c r="K5521" s="22">
        <v>0.0</v>
      </c>
      <c r="L5521" s="22">
        <v>0.0</v>
      </c>
      <c r="M5521" s="22">
        <v>1.888</v>
      </c>
      <c r="N5521" s="22">
        <v>24.39</v>
      </c>
      <c r="O5521" s="24">
        <v>387.6</v>
      </c>
      <c r="P5521" s="18">
        <f t="shared" si="1"/>
        <v>0</v>
      </c>
    </row>
    <row r="5522" ht="15.75" customHeight="1">
      <c r="A5522" s="13" t="s">
        <v>257</v>
      </c>
      <c r="B5522" s="13" t="s">
        <v>22</v>
      </c>
      <c r="C5522" s="14" t="s">
        <v>55</v>
      </c>
      <c r="D5522" s="14" t="str">
        <f>VLOOKUP(C5522,'State Key'!$A$2:$B$210,2,False)</f>
        <v>Odisha</v>
      </c>
      <c r="E5522" s="15">
        <v>3000.0</v>
      </c>
      <c r="F5522" s="16">
        <v>1150.65</v>
      </c>
      <c r="G5522" s="16">
        <v>0.0</v>
      </c>
      <c r="H5522" s="16">
        <v>86.86</v>
      </c>
      <c r="I5522" s="16">
        <v>0.0</v>
      </c>
      <c r="J5522" s="16">
        <v>0.0</v>
      </c>
      <c r="K5522" s="16">
        <v>0.0</v>
      </c>
      <c r="L5522" s="16">
        <v>1237.51</v>
      </c>
      <c r="M5522" s="16">
        <v>1258.261</v>
      </c>
      <c r="N5522" s="16">
        <v>602.03</v>
      </c>
      <c r="O5522" s="24">
        <v>14.4</v>
      </c>
      <c r="P5522" s="18">
        <f t="shared" si="1"/>
        <v>1237.51</v>
      </c>
    </row>
    <row r="5523" ht="15.75" customHeight="1">
      <c r="A5523" s="19" t="s">
        <v>257</v>
      </c>
      <c r="B5523" s="19" t="s">
        <v>22</v>
      </c>
      <c r="C5523" s="20" t="s">
        <v>56</v>
      </c>
      <c r="D5523" s="14" t="str">
        <f>VLOOKUP(C5523,'State Key'!$A$2:$B$210,2,False)</f>
        <v>Jharkhand</v>
      </c>
      <c r="E5523" s="21">
        <v>420.0</v>
      </c>
      <c r="F5523" s="22">
        <v>81.56</v>
      </c>
      <c r="G5523" s="22">
        <v>0.0</v>
      </c>
      <c r="H5523" s="22">
        <v>0.0</v>
      </c>
      <c r="I5523" s="22">
        <v>0.0</v>
      </c>
      <c r="J5523" s="22">
        <v>0.0</v>
      </c>
      <c r="K5523" s="22">
        <v>0.0</v>
      </c>
      <c r="L5523" s="22">
        <v>81.56</v>
      </c>
      <c r="M5523" s="22">
        <v>162.47</v>
      </c>
      <c r="N5523" s="22">
        <v>56.35</v>
      </c>
      <c r="O5523" s="23">
        <v>10.4</v>
      </c>
      <c r="P5523" s="18">
        <f t="shared" si="1"/>
        <v>81.56</v>
      </c>
    </row>
    <row r="5524" ht="15.75" customHeight="1">
      <c r="A5524" s="13" t="s">
        <v>257</v>
      </c>
      <c r="B5524" s="13" t="s">
        <v>22</v>
      </c>
      <c r="C5524" s="14" t="s">
        <v>60</v>
      </c>
      <c r="D5524" s="14" t="str">
        <f>VLOOKUP(C5524,'State Key'!$A$2:$B$210,2,False)</f>
        <v>Odisha</v>
      </c>
      <c r="E5524" s="15">
        <v>600.0</v>
      </c>
      <c r="F5524" s="16">
        <v>48.50988</v>
      </c>
      <c r="G5524" s="16">
        <v>0.0</v>
      </c>
      <c r="H5524" s="16">
        <v>0.0</v>
      </c>
      <c r="I5524" s="16">
        <v>0.0</v>
      </c>
      <c r="J5524" s="16">
        <v>0.0</v>
      </c>
      <c r="K5524" s="16">
        <v>0.0</v>
      </c>
      <c r="L5524" s="16">
        <v>48.50988</v>
      </c>
      <c r="M5524" s="16">
        <v>41.9528</v>
      </c>
      <c r="N5524" s="16">
        <v>97.48</v>
      </c>
      <c r="O5524" s="24">
        <v>69.7</v>
      </c>
      <c r="P5524" s="18">
        <f t="shared" si="1"/>
        <v>48.50988</v>
      </c>
    </row>
    <row r="5525" ht="15.75" customHeight="1">
      <c r="A5525" s="19" t="s">
        <v>257</v>
      </c>
      <c r="B5525" s="19" t="s">
        <v>61</v>
      </c>
      <c r="C5525" s="20" t="s">
        <v>209</v>
      </c>
      <c r="D5525" s="14" t="str">
        <f>VLOOKUP(C5525,'State Key'!$A$2:$B$210,2,False)</f>
        <v>Rajasthan</v>
      </c>
      <c r="E5525" s="21">
        <v>1320.0</v>
      </c>
      <c r="F5525" s="22">
        <v>223.724</v>
      </c>
      <c r="G5525" s="22">
        <v>0.0</v>
      </c>
      <c r="H5525" s="22">
        <v>0.0</v>
      </c>
      <c r="I5525" s="22">
        <v>0.0</v>
      </c>
      <c r="J5525" s="22">
        <v>40.291</v>
      </c>
      <c r="K5525" s="22">
        <v>0.0</v>
      </c>
      <c r="L5525" s="22">
        <v>264.015</v>
      </c>
      <c r="M5525" s="22">
        <v>289.996</v>
      </c>
      <c r="N5525" s="22">
        <v>404.81</v>
      </c>
      <c r="O5525" s="24">
        <v>41.9</v>
      </c>
      <c r="P5525" s="18">
        <f t="shared" si="1"/>
        <v>264.015</v>
      </c>
    </row>
    <row r="5526" ht="15.75" customHeight="1">
      <c r="A5526" s="13" t="s">
        <v>257</v>
      </c>
      <c r="B5526" s="13" t="s">
        <v>61</v>
      </c>
      <c r="C5526" s="14" t="s">
        <v>62</v>
      </c>
      <c r="D5526" s="14" t="str">
        <f>VLOOKUP(C5526,'State Key'!$A$2:$B$210,2,False)</f>
        <v>Uttar Pradesh</v>
      </c>
      <c r="E5526" s="15">
        <v>1200.0</v>
      </c>
      <c r="F5526" s="16">
        <v>408.974</v>
      </c>
      <c r="G5526" s="16">
        <v>0.0</v>
      </c>
      <c r="H5526" s="16">
        <v>0.0</v>
      </c>
      <c r="I5526" s="16">
        <v>0.0</v>
      </c>
      <c r="J5526" s="16">
        <v>0.0</v>
      </c>
      <c r="K5526" s="16">
        <v>0.0</v>
      </c>
      <c r="L5526" s="16">
        <v>408.974</v>
      </c>
      <c r="M5526" s="16">
        <v>399.96</v>
      </c>
      <c r="N5526" s="16">
        <v>97.35</v>
      </c>
      <c r="O5526" s="23">
        <v>7.3</v>
      </c>
      <c r="P5526" s="18">
        <f t="shared" si="1"/>
        <v>408.974</v>
      </c>
    </row>
    <row r="5527" ht="15.75" customHeight="1">
      <c r="A5527" s="19" t="s">
        <v>257</v>
      </c>
      <c r="B5527" s="19" t="s">
        <v>61</v>
      </c>
      <c r="C5527" s="20" t="s">
        <v>63</v>
      </c>
      <c r="D5527" s="14" t="str">
        <f>VLOOKUP(C5527,'State Key'!$A$2:$B$210,2,False)</f>
        <v>Uttar Pradesh</v>
      </c>
      <c r="E5527" s="21">
        <v>2630.0</v>
      </c>
      <c r="F5527" s="22">
        <v>1057.407</v>
      </c>
      <c r="G5527" s="22">
        <v>0.0</v>
      </c>
      <c r="H5527" s="22">
        <v>0.0</v>
      </c>
      <c r="I5527" s="22">
        <v>0.0</v>
      </c>
      <c r="J5527" s="22">
        <v>0.0</v>
      </c>
      <c r="K5527" s="22">
        <v>0.0</v>
      </c>
      <c r="L5527" s="22">
        <v>1057.407</v>
      </c>
      <c r="M5527" s="22">
        <v>1162.723</v>
      </c>
      <c r="N5527" s="22">
        <v>359.51</v>
      </c>
      <c r="O5527" s="23">
        <v>9.3</v>
      </c>
      <c r="P5527" s="18">
        <f t="shared" si="1"/>
        <v>1057.407</v>
      </c>
    </row>
    <row r="5528" ht="15.75" customHeight="1">
      <c r="A5528" s="13" t="s">
        <v>257</v>
      </c>
      <c r="B5528" s="13" t="s">
        <v>61</v>
      </c>
      <c r="C5528" s="14" t="s">
        <v>64</v>
      </c>
      <c r="D5528" s="14" t="str">
        <f>VLOOKUP(C5528,'State Key'!$A$2:$B$210,2,False)</f>
        <v>Uttar Pradesh</v>
      </c>
      <c r="E5528" s="15">
        <v>90.0</v>
      </c>
      <c r="F5528" s="16">
        <v>20.104</v>
      </c>
      <c r="G5528" s="16">
        <v>0.0</v>
      </c>
      <c r="H5528" s="16">
        <v>0.0</v>
      </c>
      <c r="I5528" s="16">
        <v>0.0</v>
      </c>
      <c r="J5528" s="16">
        <v>0.0</v>
      </c>
      <c r="K5528" s="16">
        <v>0.0</v>
      </c>
      <c r="L5528" s="16">
        <v>20.104</v>
      </c>
      <c r="M5528" s="16">
        <v>11.517</v>
      </c>
      <c r="N5528" s="16">
        <v>53.0</v>
      </c>
      <c r="O5528" s="24">
        <v>138.1</v>
      </c>
      <c r="P5528" s="18">
        <f t="shared" si="1"/>
        <v>20.104</v>
      </c>
    </row>
    <row r="5529" ht="15.75" customHeight="1">
      <c r="A5529" s="19" t="s">
        <v>257</v>
      </c>
      <c r="B5529" s="19" t="s">
        <v>61</v>
      </c>
      <c r="C5529" s="20" t="s">
        <v>65</v>
      </c>
      <c r="D5529" s="14" t="str">
        <f>VLOOKUP(C5529,'State Key'!$A$2:$B$210,2,False)</f>
        <v>Rajasthan</v>
      </c>
      <c r="E5529" s="21">
        <v>500.0</v>
      </c>
      <c r="F5529" s="22">
        <v>44.0535</v>
      </c>
      <c r="G5529" s="22">
        <v>0.0</v>
      </c>
      <c r="H5529" s="22">
        <v>0.0</v>
      </c>
      <c r="I5529" s="22">
        <v>0.0</v>
      </c>
      <c r="J5529" s="22">
        <v>0.0</v>
      </c>
      <c r="K5529" s="22">
        <v>0.0</v>
      </c>
      <c r="L5529" s="22">
        <v>44.0535</v>
      </c>
      <c r="M5529" s="22">
        <v>174.6568</v>
      </c>
      <c r="N5529" s="22">
        <v>269.5789</v>
      </c>
      <c r="O5529" s="24">
        <v>46.3</v>
      </c>
      <c r="P5529" s="18">
        <f t="shared" si="1"/>
        <v>44.0535</v>
      </c>
    </row>
    <row r="5530" ht="15.75" customHeight="1">
      <c r="A5530" s="13" t="s">
        <v>257</v>
      </c>
      <c r="B5530" s="13" t="s">
        <v>61</v>
      </c>
      <c r="C5530" s="14" t="s">
        <v>66</v>
      </c>
      <c r="D5530" s="14" t="str">
        <f>VLOOKUP(C5530,'State Key'!$A$2:$B$210,2,False)</f>
        <v>Rajasthan</v>
      </c>
      <c r="E5530" s="15">
        <v>500.0</v>
      </c>
      <c r="F5530" s="16">
        <v>0.0</v>
      </c>
      <c r="G5530" s="16">
        <v>0.0</v>
      </c>
      <c r="H5530" s="16">
        <v>302.7501</v>
      </c>
      <c r="I5530" s="16">
        <v>0.0</v>
      </c>
      <c r="J5530" s="16">
        <v>0.0</v>
      </c>
      <c r="K5530" s="16">
        <v>0.0</v>
      </c>
      <c r="L5530" s="16">
        <v>302.7501</v>
      </c>
      <c r="M5530" s="16">
        <v>165.6987</v>
      </c>
      <c r="N5530" s="16">
        <v>283.8091</v>
      </c>
      <c r="O5530" s="24">
        <v>51.4</v>
      </c>
      <c r="P5530" s="18">
        <f t="shared" si="1"/>
        <v>302.7501</v>
      </c>
    </row>
    <row r="5531" ht="15.75" customHeight="1">
      <c r="A5531" s="19" t="s">
        <v>257</v>
      </c>
      <c r="B5531" s="19" t="s">
        <v>61</v>
      </c>
      <c r="C5531" s="20" t="s">
        <v>67</v>
      </c>
      <c r="D5531" s="14" t="str">
        <f>VLOOKUP(C5531,'State Key'!$A$2:$B$210,2,False)</f>
        <v>Rajasthan</v>
      </c>
      <c r="E5531" s="21">
        <v>1320.0</v>
      </c>
      <c r="F5531" s="22">
        <v>0.0</v>
      </c>
      <c r="G5531" s="22">
        <v>0.0</v>
      </c>
      <c r="H5531" s="22">
        <v>398.13375</v>
      </c>
      <c r="I5531" s="22">
        <v>0.0</v>
      </c>
      <c r="J5531" s="22">
        <v>0.0</v>
      </c>
      <c r="K5531" s="22">
        <v>0.0</v>
      </c>
      <c r="L5531" s="22">
        <v>398.13375</v>
      </c>
      <c r="M5531" s="22">
        <v>244.5829</v>
      </c>
      <c r="N5531" s="22">
        <v>597.803</v>
      </c>
      <c r="O5531" s="24">
        <v>73.3</v>
      </c>
      <c r="P5531" s="18">
        <f t="shared" si="1"/>
        <v>398.13375</v>
      </c>
    </row>
    <row r="5532" ht="15.75" customHeight="1">
      <c r="A5532" s="13" t="s">
        <v>257</v>
      </c>
      <c r="B5532" s="13" t="s">
        <v>61</v>
      </c>
      <c r="C5532" s="14" t="s">
        <v>68</v>
      </c>
      <c r="D5532" s="14" t="str">
        <f>VLOOKUP(C5532,'State Key'!$A$2:$B$210,2,False)</f>
        <v>Uttar Pradesh</v>
      </c>
      <c r="E5532" s="15">
        <v>1820.0</v>
      </c>
      <c r="F5532" s="16">
        <v>374.62</v>
      </c>
      <c r="G5532" s="16">
        <v>0.0</v>
      </c>
      <c r="H5532" s="16">
        <v>3.92</v>
      </c>
      <c r="I5532" s="16">
        <v>0.0</v>
      </c>
      <c r="J5532" s="16">
        <v>0.0</v>
      </c>
      <c r="K5532" s="16">
        <v>35.93</v>
      </c>
      <c r="L5532" s="16">
        <v>414.47</v>
      </c>
      <c r="M5532" s="16">
        <v>478.986</v>
      </c>
      <c r="N5532" s="16">
        <v>423.89</v>
      </c>
      <c r="O5532" s="24">
        <v>26.5</v>
      </c>
      <c r="P5532" s="18">
        <f t="shared" si="1"/>
        <v>414.47</v>
      </c>
    </row>
    <row r="5533" ht="15.75" customHeight="1">
      <c r="A5533" s="19" t="s">
        <v>257</v>
      </c>
      <c r="B5533" s="19" t="s">
        <v>61</v>
      </c>
      <c r="C5533" s="20" t="s">
        <v>69</v>
      </c>
      <c r="D5533" s="14" t="str">
        <f>VLOOKUP(C5533,'State Key'!$A$2:$B$210,2,False)</f>
        <v>Punjab</v>
      </c>
      <c r="E5533" s="21">
        <v>920.0</v>
      </c>
      <c r="F5533" s="22">
        <v>116.614</v>
      </c>
      <c r="G5533" s="22">
        <v>0.0</v>
      </c>
      <c r="H5533" s="22">
        <v>239.698</v>
      </c>
      <c r="I5533" s="22">
        <v>0.0</v>
      </c>
      <c r="J5533" s="22">
        <v>0.0</v>
      </c>
      <c r="K5533" s="22">
        <v>0.0</v>
      </c>
      <c r="L5533" s="22">
        <v>356.312</v>
      </c>
      <c r="M5533" s="22">
        <v>278.593</v>
      </c>
      <c r="N5533" s="22">
        <v>274.17</v>
      </c>
      <c r="O5533" s="24">
        <v>29.5</v>
      </c>
      <c r="P5533" s="18">
        <f t="shared" si="1"/>
        <v>356.312</v>
      </c>
    </row>
    <row r="5534" ht="15.75" customHeight="1">
      <c r="A5534" s="13" t="s">
        <v>257</v>
      </c>
      <c r="B5534" s="13" t="s">
        <v>61</v>
      </c>
      <c r="C5534" s="14" t="s">
        <v>242</v>
      </c>
      <c r="D5534" s="14" t="str">
        <f>VLOOKUP(C5534,'State Key'!$A$2:$B$210,2,False)</f>
        <v>Uttar Pradesh</v>
      </c>
      <c r="E5534" s="15">
        <v>660.0</v>
      </c>
      <c r="F5534" s="16">
        <v>254.28</v>
      </c>
      <c r="G5534" s="16">
        <v>0.0</v>
      </c>
      <c r="H5534" s="16">
        <v>0.0</v>
      </c>
      <c r="I5534" s="16">
        <v>0.0</v>
      </c>
      <c r="J5534" s="16">
        <v>0.0</v>
      </c>
      <c r="K5534" s="16">
        <v>0.0</v>
      </c>
      <c r="L5534" s="16">
        <v>254.28</v>
      </c>
      <c r="M5534" s="16">
        <v>207.021</v>
      </c>
      <c r="N5534" s="16">
        <v>172.38</v>
      </c>
      <c r="O5534" s="24">
        <v>25.0</v>
      </c>
      <c r="P5534" s="18">
        <f t="shared" si="1"/>
        <v>254.28</v>
      </c>
    </row>
    <row r="5535" ht="15.75" customHeight="1">
      <c r="A5535" s="19" t="s">
        <v>257</v>
      </c>
      <c r="B5535" s="19" t="s">
        <v>61</v>
      </c>
      <c r="C5535" s="20" t="s">
        <v>70</v>
      </c>
      <c r="D5535" s="14" t="str">
        <f>VLOOKUP(C5535,'State Key'!$A$2:$B$210,2,False)</f>
        <v>Punjab</v>
      </c>
      <c r="E5535" s="21">
        <v>540.0</v>
      </c>
      <c r="F5535" s="22">
        <v>0.0</v>
      </c>
      <c r="G5535" s="22">
        <v>0.0</v>
      </c>
      <c r="H5535" s="22">
        <v>143.181</v>
      </c>
      <c r="I5535" s="22">
        <v>0.0</v>
      </c>
      <c r="J5535" s="22">
        <v>0.0</v>
      </c>
      <c r="K5535" s="22">
        <v>0.0</v>
      </c>
      <c r="L5535" s="22">
        <v>143.181</v>
      </c>
      <c r="M5535" s="22">
        <v>155.42</v>
      </c>
      <c r="N5535" s="22">
        <v>109.17</v>
      </c>
      <c r="O5535" s="24">
        <v>21.1</v>
      </c>
      <c r="P5535" s="18">
        <f t="shared" si="1"/>
        <v>143.181</v>
      </c>
    </row>
    <row r="5536" ht="15.75" customHeight="1">
      <c r="A5536" s="13" t="s">
        <v>257</v>
      </c>
      <c r="B5536" s="13" t="s">
        <v>61</v>
      </c>
      <c r="C5536" s="14" t="s">
        <v>71</v>
      </c>
      <c r="D5536" s="14" t="str">
        <f>VLOOKUP(C5536,'State Key'!$A$2:$B$210,2,False)</f>
        <v>Uttar Pradesh</v>
      </c>
      <c r="E5536" s="15">
        <v>1265.0</v>
      </c>
      <c r="F5536" s="16">
        <v>290.564</v>
      </c>
      <c r="G5536" s="16">
        <v>0.0</v>
      </c>
      <c r="H5536" s="16">
        <v>0.0</v>
      </c>
      <c r="I5536" s="16">
        <v>0.0</v>
      </c>
      <c r="J5536" s="16">
        <v>0.0</v>
      </c>
      <c r="K5536" s="16">
        <v>0.0</v>
      </c>
      <c r="L5536" s="16">
        <v>290.564</v>
      </c>
      <c r="M5536" s="16">
        <v>124.407</v>
      </c>
      <c r="N5536" s="16">
        <v>413.23</v>
      </c>
      <c r="O5536" s="24">
        <v>99.6</v>
      </c>
      <c r="P5536" s="18">
        <f t="shared" si="1"/>
        <v>290.564</v>
      </c>
    </row>
    <row r="5537" ht="15.75" customHeight="1">
      <c r="A5537" s="19" t="s">
        <v>257</v>
      </c>
      <c r="B5537" s="19" t="s">
        <v>61</v>
      </c>
      <c r="C5537" s="20" t="s">
        <v>72</v>
      </c>
      <c r="D5537" s="14" t="str">
        <f>VLOOKUP(C5537,'State Key'!$A$2:$B$210,2,False)</f>
        <v>Haryana</v>
      </c>
      <c r="E5537" s="21">
        <v>1500.0</v>
      </c>
      <c r="F5537" s="22">
        <v>430.703</v>
      </c>
      <c r="G5537" s="22">
        <v>0.0</v>
      </c>
      <c r="H5537" s="22">
        <v>0.0</v>
      </c>
      <c r="I5537" s="22">
        <v>0.0</v>
      </c>
      <c r="J5537" s="22">
        <v>0.0</v>
      </c>
      <c r="K5537" s="22">
        <v>0.0</v>
      </c>
      <c r="L5537" s="22">
        <v>430.703</v>
      </c>
      <c r="M5537" s="22">
        <v>475.183</v>
      </c>
      <c r="N5537" s="22">
        <v>429.32</v>
      </c>
      <c r="O5537" s="24">
        <v>27.1</v>
      </c>
      <c r="P5537" s="18">
        <f t="shared" si="1"/>
        <v>430.703</v>
      </c>
    </row>
    <row r="5538" ht="15.75" customHeight="1">
      <c r="A5538" s="13" t="s">
        <v>257</v>
      </c>
      <c r="B5538" s="13" t="s">
        <v>61</v>
      </c>
      <c r="C5538" s="14" t="s">
        <v>226</v>
      </c>
      <c r="D5538" s="14" t="str">
        <f>VLOOKUP(C5538,'State Key'!$A$2:$B$210,2,False)</f>
        <v>Uttar Pradesh</v>
      </c>
      <c r="E5538" s="15">
        <v>1320.0</v>
      </c>
      <c r="F5538" s="16">
        <v>173.8</v>
      </c>
      <c r="G5538" s="16">
        <v>0.0</v>
      </c>
      <c r="H5538" s="16">
        <v>0.0</v>
      </c>
      <c r="I5538" s="16">
        <v>0.0</v>
      </c>
      <c r="J5538" s="16">
        <v>0.0</v>
      </c>
      <c r="K5538" s="16">
        <v>0.0</v>
      </c>
      <c r="L5538" s="16">
        <v>173.8</v>
      </c>
      <c r="M5538" s="16">
        <v>82.29</v>
      </c>
      <c r="N5538" s="16">
        <v>470.67</v>
      </c>
      <c r="O5538" s="24">
        <v>171.6</v>
      </c>
      <c r="P5538" s="18">
        <f t="shared" si="1"/>
        <v>173.8</v>
      </c>
    </row>
    <row r="5539" ht="15.75" customHeight="1">
      <c r="A5539" s="19" t="s">
        <v>257</v>
      </c>
      <c r="B5539" s="19" t="s">
        <v>61</v>
      </c>
      <c r="C5539" s="20" t="s">
        <v>73</v>
      </c>
      <c r="D5539" s="14" t="str">
        <f>VLOOKUP(C5539,'State Key'!$A$2:$B$210,2,False)</f>
        <v>Rajasthan</v>
      </c>
      <c r="E5539" s="21">
        <v>1200.0</v>
      </c>
      <c r="F5539" s="22">
        <v>0.0</v>
      </c>
      <c r="G5539" s="22">
        <v>0.0</v>
      </c>
      <c r="H5539" s="22">
        <v>412.2015</v>
      </c>
      <c r="I5539" s="22">
        <v>0.0</v>
      </c>
      <c r="J5539" s="22">
        <v>0.0</v>
      </c>
      <c r="K5539" s="22">
        <v>0.0</v>
      </c>
      <c r="L5539" s="22">
        <v>412.2015</v>
      </c>
      <c r="M5539" s="22">
        <v>391.351</v>
      </c>
      <c r="N5539" s="22">
        <v>370.18</v>
      </c>
      <c r="O5539" s="24">
        <v>28.4</v>
      </c>
      <c r="P5539" s="18">
        <f t="shared" si="1"/>
        <v>412.2015</v>
      </c>
    </row>
    <row r="5540" ht="15.75" customHeight="1">
      <c r="A5540" s="13" t="s">
        <v>257</v>
      </c>
      <c r="B5540" s="13" t="s">
        <v>61</v>
      </c>
      <c r="C5540" s="14" t="s">
        <v>75</v>
      </c>
      <c r="D5540" s="14" t="str">
        <f>VLOOKUP(C5540,'State Key'!$A$2:$B$210,2,False)</f>
        <v>Uttar Pradesh</v>
      </c>
      <c r="E5540" s="15">
        <v>90.0</v>
      </c>
      <c r="F5540" s="16">
        <v>15.795</v>
      </c>
      <c r="G5540" s="16">
        <v>0.0</v>
      </c>
      <c r="H5540" s="16">
        <v>0.0</v>
      </c>
      <c r="I5540" s="16">
        <v>0.0</v>
      </c>
      <c r="J5540" s="16">
        <v>0.0</v>
      </c>
      <c r="K5540" s="16">
        <v>0.0</v>
      </c>
      <c r="L5540" s="16">
        <v>15.795</v>
      </c>
      <c r="M5540" s="16">
        <v>6.101</v>
      </c>
      <c r="N5540" s="16">
        <v>63.19</v>
      </c>
      <c r="O5540" s="24">
        <v>310.7</v>
      </c>
      <c r="P5540" s="18">
        <f t="shared" si="1"/>
        <v>15.795</v>
      </c>
    </row>
    <row r="5541" ht="15.75" customHeight="1">
      <c r="A5541" s="19" t="s">
        <v>257</v>
      </c>
      <c r="B5541" s="19" t="s">
        <v>61</v>
      </c>
      <c r="C5541" s="20" t="s">
        <v>246</v>
      </c>
      <c r="D5541" s="14" t="str">
        <f>VLOOKUP(C5541,'State Key'!$A$2:$B$210,2,False)</f>
        <v>Uttar Pradesh</v>
      </c>
      <c r="E5541" s="21">
        <v>1320.0</v>
      </c>
      <c r="F5541" s="22">
        <v>0.0</v>
      </c>
      <c r="G5541" s="22">
        <v>0.0</v>
      </c>
      <c r="H5541" s="22">
        <v>335.894</v>
      </c>
      <c r="I5541" s="22">
        <v>0.0</v>
      </c>
      <c r="J5541" s="22">
        <v>0.0</v>
      </c>
      <c r="K5541" s="22">
        <v>0.0</v>
      </c>
      <c r="L5541" s="22">
        <v>335.894</v>
      </c>
      <c r="M5541" s="22">
        <v>223.036</v>
      </c>
      <c r="N5541" s="22">
        <v>316.196</v>
      </c>
      <c r="O5541" s="24">
        <v>42.5</v>
      </c>
      <c r="P5541" s="18">
        <f t="shared" si="1"/>
        <v>335.894</v>
      </c>
    </row>
    <row r="5542" ht="15.75" customHeight="1">
      <c r="A5542" s="13" t="s">
        <v>257</v>
      </c>
      <c r="B5542" s="13" t="s">
        <v>61</v>
      </c>
      <c r="C5542" s="14" t="s">
        <v>76</v>
      </c>
      <c r="D5542" s="14" t="str">
        <f>VLOOKUP(C5542,'State Key'!$A$2:$B$210,2,False)</f>
        <v>Rajasthan</v>
      </c>
      <c r="E5542" s="15">
        <v>1240.0</v>
      </c>
      <c r="F5542" s="16">
        <v>423.303</v>
      </c>
      <c r="G5542" s="16">
        <v>0.0</v>
      </c>
      <c r="H5542" s="16">
        <v>0.0</v>
      </c>
      <c r="I5542" s="16">
        <v>0.0</v>
      </c>
      <c r="J5542" s="16">
        <v>0.0</v>
      </c>
      <c r="K5542" s="16">
        <v>20.722</v>
      </c>
      <c r="L5542" s="16">
        <v>444.025</v>
      </c>
      <c r="M5542" s="16">
        <v>374.249</v>
      </c>
      <c r="N5542" s="16">
        <v>495.75</v>
      </c>
      <c r="O5542" s="24">
        <v>39.7</v>
      </c>
      <c r="P5542" s="18">
        <f t="shared" si="1"/>
        <v>444.025</v>
      </c>
    </row>
    <row r="5543" ht="15.75" customHeight="1">
      <c r="A5543" s="19" t="s">
        <v>257</v>
      </c>
      <c r="B5543" s="19" t="s">
        <v>61</v>
      </c>
      <c r="C5543" s="20" t="s">
        <v>77</v>
      </c>
      <c r="D5543" s="14" t="str">
        <f>VLOOKUP(C5543,'State Key'!$A$2:$B$210,2,False)</f>
        <v>Uttar Pradesh</v>
      </c>
      <c r="E5543" s="21">
        <v>90.0</v>
      </c>
      <c r="F5543" s="22">
        <v>19.711</v>
      </c>
      <c r="G5543" s="22">
        <v>0.0</v>
      </c>
      <c r="H5543" s="22">
        <v>0.0</v>
      </c>
      <c r="I5543" s="22">
        <v>0.0</v>
      </c>
      <c r="J5543" s="22">
        <v>0.0</v>
      </c>
      <c r="K5543" s="22">
        <v>0.0</v>
      </c>
      <c r="L5543" s="22">
        <v>19.711</v>
      </c>
      <c r="M5543" s="22">
        <v>10.186</v>
      </c>
      <c r="N5543" s="22">
        <v>54.29</v>
      </c>
      <c r="O5543" s="24">
        <v>159.9</v>
      </c>
      <c r="P5543" s="18">
        <f t="shared" si="1"/>
        <v>19.711</v>
      </c>
    </row>
    <row r="5544" ht="15.75" customHeight="1">
      <c r="A5544" s="13" t="s">
        <v>257</v>
      </c>
      <c r="B5544" s="13" t="s">
        <v>61</v>
      </c>
      <c r="C5544" s="14" t="s">
        <v>78</v>
      </c>
      <c r="D5544" s="14" t="str">
        <f>VLOOKUP(C5544,'State Key'!$A$2:$B$210,2,False)</f>
        <v>Uttar Pradesh</v>
      </c>
      <c r="E5544" s="15">
        <v>1980.0</v>
      </c>
      <c r="F5544" s="16">
        <v>660.629</v>
      </c>
      <c r="G5544" s="16">
        <v>0.0</v>
      </c>
      <c r="H5544" s="16">
        <v>0.0</v>
      </c>
      <c r="I5544" s="16">
        <v>0.0</v>
      </c>
      <c r="J5544" s="16">
        <v>0.0</v>
      </c>
      <c r="K5544" s="16">
        <v>0.0</v>
      </c>
      <c r="L5544" s="16">
        <v>660.629</v>
      </c>
      <c r="M5544" s="16">
        <v>597.249</v>
      </c>
      <c r="N5544" s="16">
        <v>407.11</v>
      </c>
      <c r="O5544" s="24">
        <v>20.4</v>
      </c>
      <c r="P5544" s="18">
        <f t="shared" si="1"/>
        <v>660.629</v>
      </c>
    </row>
    <row r="5545" ht="15.75" customHeight="1">
      <c r="A5545" s="19" t="s">
        <v>257</v>
      </c>
      <c r="B5545" s="19" t="s">
        <v>61</v>
      </c>
      <c r="C5545" s="20" t="s">
        <v>79</v>
      </c>
      <c r="D5545" s="14" t="str">
        <f>VLOOKUP(C5545,'State Key'!$A$2:$B$210,2,False)</f>
        <v>Haryana</v>
      </c>
      <c r="E5545" s="21">
        <v>1320.0</v>
      </c>
      <c r="F5545" s="22">
        <v>402.75</v>
      </c>
      <c r="G5545" s="22">
        <v>0.0</v>
      </c>
      <c r="H5545" s="22">
        <v>0.0</v>
      </c>
      <c r="I5545" s="22">
        <v>0.0</v>
      </c>
      <c r="J5545" s="22">
        <v>0.0</v>
      </c>
      <c r="K5545" s="22">
        <v>0.0</v>
      </c>
      <c r="L5545" s="22">
        <v>402.75</v>
      </c>
      <c r="M5545" s="22">
        <v>284.345</v>
      </c>
      <c r="N5545" s="22">
        <v>389.13</v>
      </c>
      <c r="O5545" s="24">
        <v>41.1</v>
      </c>
      <c r="P5545" s="18">
        <f t="shared" si="1"/>
        <v>402.75</v>
      </c>
    </row>
    <row r="5546" ht="15.75" customHeight="1">
      <c r="A5546" s="13" t="s">
        <v>257</v>
      </c>
      <c r="B5546" s="13" t="s">
        <v>61</v>
      </c>
      <c r="C5546" s="14" t="s">
        <v>80</v>
      </c>
      <c r="D5546" s="14" t="str">
        <f>VLOOKUP(C5546,'State Key'!$A$2:$B$210,2,False)</f>
        <v>Uttar Pradesh</v>
      </c>
      <c r="E5546" s="15">
        <v>90.0</v>
      </c>
      <c r="F5546" s="16">
        <v>24.327</v>
      </c>
      <c r="G5546" s="16">
        <v>0.0</v>
      </c>
      <c r="H5546" s="16">
        <v>0.0</v>
      </c>
      <c r="I5546" s="16">
        <v>0.0</v>
      </c>
      <c r="J5546" s="16">
        <v>0.0</v>
      </c>
      <c r="K5546" s="16">
        <v>0.0</v>
      </c>
      <c r="L5546" s="16">
        <v>24.327</v>
      </c>
      <c r="M5546" s="16">
        <v>10.875</v>
      </c>
      <c r="N5546" s="16">
        <v>62.15</v>
      </c>
      <c r="O5546" s="24">
        <v>171.4</v>
      </c>
      <c r="P5546" s="18">
        <f t="shared" si="1"/>
        <v>24.327</v>
      </c>
    </row>
    <row r="5547" ht="15.75" customHeight="1">
      <c r="A5547" s="19" t="s">
        <v>257</v>
      </c>
      <c r="B5547" s="19" t="s">
        <v>61</v>
      </c>
      <c r="C5547" s="20" t="s">
        <v>81</v>
      </c>
      <c r="D5547" s="14" t="str">
        <f>VLOOKUP(C5547,'State Key'!$A$2:$B$210,2,False)</f>
        <v>Uttar Pradesh</v>
      </c>
      <c r="E5547" s="21">
        <v>1320.0</v>
      </c>
      <c r="F5547" s="22">
        <v>458.8921</v>
      </c>
      <c r="G5547" s="22">
        <v>0.0</v>
      </c>
      <c r="H5547" s="22">
        <v>15.6443</v>
      </c>
      <c r="I5547" s="22">
        <v>0.0</v>
      </c>
      <c r="J5547" s="22">
        <v>0.0</v>
      </c>
      <c r="K5547" s="22">
        <v>0.0</v>
      </c>
      <c r="L5547" s="22">
        <v>474.5364</v>
      </c>
      <c r="M5547" s="22">
        <v>441.403</v>
      </c>
      <c r="N5547" s="22">
        <v>263.354</v>
      </c>
      <c r="O5547" s="24">
        <v>17.9</v>
      </c>
      <c r="P5547" s="18">
        <f t="shared" si="1"/>
        <v>474.5364</v>
      </c>
    </row>
    <row r="5548" ht="15.75" customHeight="1">
      <c r="A5548" s="13" t="s">
        <v>257</v>
      </c>
      <c r="B5548" s="13" t="s">
        <v>61</v>
      </c>
      <c r="C5548" s="14" t="s">
        <v>82</v>
      </c>
      <c r="D5548" s="14" t="str">
        <f>VLOOKUP(C5548,'State Key'!$A$2:$B$210,2,False)</f>
        <v>Uttar Pradesh</v>
      </c>
      <c r="E5548" s="15">
        <v>2320.0</v>
      </c>
      <c r="F5548" s="16">
        <v>710.736</v>
      </c>
      <c r="G5548" s="16">
        <v>0.0</v>
      </c>
      <c r="H5548" s="16">
        <v>0.0</v>
      </c>
      <c r="I5548" s="16">
        <v>0.0</v>
      </c>
      <c r="J5548" s="16">
        <v>0.0</v>
      </c>
      <c r="K5548" s="16">
        <v>0.0</v>
      </c>
      <c r="L5548" s="16">
        <v>710.736</v>
      </c>
      <c r="M5548" s="16">
        <v>719.222</v>
      </c>
      <c r="N5548" s="16">
        <v>242.94</v>
      </c>
      <c r="O5548" s="23">
        <v>10.1</v>
      </c>
      <c r="P5548" s="18">
        <f t="shared" si="1"/>
        <v>710.736</v>
      </c>
    </row>
    <row r="5549" ht="15.75" customHeight="1">
      <c r="A5549" s="19" t="s">
        <v>257</v>
      </c>
      <c r="B5549" s="19" t="s">
        <v>61</v>
      </c>
      <c r="C5549" s="20" t="s">
        <v>83</v>
      </c>
      <c r="D5549" s="14" t="str">
        <f>VLOOKUP(C5549,'State Key'!$A$2:$B$210,2,False)</f>
        <v>Haryana</v>
      </c>
      <c r="E5549" s="21">
        <v>710.0</v>
      </c>
      <c r="F5549" s="22">
        <v>235.049</v>
      </c>
      <c r="G5549" s="22">
        <v>0.0</v>
      </c>
      <c r="H5549" s="22">
        <v>0.0</v>
      </c>
      <c r="I5549" s="22">
        <v>0.0</v>
      </c>
      <c r="J5549" s="22">
        <v>0.0</v>
      </c>
      <c r="K5549" s="22">
        <v>0.0</v>
      </c>
      <c r="L5549" s="22">
        <v>235.049</v>
      </c>
      <c r="M5549" s="22">
        <v>108.09</v>
      </c>
      <c r="N5549" s="22">
        <v>551.62</v>
      </c>
      <c r="O5549" s="24">
        <v>153.1</v>
      </c>
      <c r="P5549" s="18">
        <f t="shared" si="1"/>
        <v>235.049</v>
      </c>
    </row>
    <row r="5550" ht="15.75" customHeight="1">
      <c r="A5550" s="13" t="s">
        <v>257</v>
      </c>
      <c r="B5550" s="13" t="s">
        <v>61</v>
      </c>
      <c r="C5550" s="14" t="s">
        <v>248</v>
      </c>
      <c r="D5550" s="14" t="str">
        <f>VLOOKUP(C5550,'State Key'!$A$2:$B$210,2,False)</f>
        <v>Uttar Pradesh</v>
      </c>
      <c r="E5550" s="15">
        <v>660.0</v>
      </c>
      <c r="F5550" s="16">
        <v>207.19409</v>
      </c>
      <c r="G5550" s="16">
        <v>0.0</v>
      </c>
      <c r="H5550" s="16">
        <v>0.0</v>
      </c>
      <c r="I5550" s="16">
        <v>0.0</v>
      </c>
      <c r="J5550" s="16">
        <v>0.0</v>
      </c>
      <c r="K5550" s="16">
        <v>0.0</v>
      </c>
      <c r="L5550" s="16">
        <v>207.19409</v>
      </c>
      <c r="M5550" s="16">
        <v>197.652</v>
      </c>
      <c r="N5550" s="16">
        <v>87.04</v>
      </c>
      <c r="O5550" s="23">
        <v>13.2</v>
      </c>
      <c r="P5550" s="18">
        <f t="shared" si="1"/>
        <v>207.19409</v>
      </c>
    </row>
    <row r="5551" ht="15.75" customHeight="1">
      <c r="A5551" s="19" t="s">
        <v>257</v>
      </c>
      <c r="B5551" s="19" t="s">
        <v>61</v>
      </c>
      <c r="C5551" s="20" t="s">
        <v>84</v>
      </c>
      <c r="D5551" s="14" t="str">
        <f>VLOOKUP(C5551,'State Key'!$A$2:$B$210,2,False)</f>
        <v>Uttar Pradesh</v>
      </c>
      <c r="E5551" s="21">
        <v>920.0</v>
      </c>
      <c r="F5551" s="22">
        <v>175.399</v>
      </c>
      <c r="G5551" s="22">
        <v>0.0</v>
      </c>
      <c r="H5551" s="22">
        <v>0.0</v>
      </c>
      <c r="I5551" s="22">
        <v>0.0</v>
      </c>
      <c r="J5551" s="22">
        <v>0.0</v>
      </c>
      <c r="K5551" s="22">
        <v>0.0</v>
      </c>
      <c r="L5551" s="22">
        <v>175.399</v>
      </c>
      <c r="M5551" s="22">
        <v>127.235</v>
      </c>
      <c r="N5551" s="22">
        <v>256.398</v>
      </c>
      <c r="O5551" s="24">
        <v>60.5</v>
      </c>
      <c r="P5551" s="18">
        <f t="shared" si="1"/>
        <v>175.399</v>
      </c>
    </row>
    <row r="5552" ht="15.75" customHeight="1">
      <c r="A5552" s="13" t="s">
        <v>257</v>
      </c>
      <c r="B5552" s="13" t="s">
        <v>61</v>
      </c>
      <c r="C5552" s="14" t="s">
        <v>85</v>
      </c>
      <c r="D5552" s="14" t="str">
        <f>VLOOKUP(C5552,'State Key'!$A$2:$B$210,2,False)</f>
        <v>Uttar Pradesh</v>
      </c>
      <c r="E5552" s="15">
        <v>1980.0</v>
      </c>
      <c r="F5552" s="16">
        <v>565.404</v>
      </c>
      <c r="G5552" s="16">
        <v>0.0</v>
      </c>
      <c r="H5552" s="16">
        <v>0.0</v>
      </c>
      <c r="I5552" s="16">
        <v>0.0</v>
      </c>
      <c r="J5552" s="16">
        <v>0.0</v>
      </c>
      <c r="K5552" s="16">
        <v>0.0</v>
      </c>
      <c r="L5552" s="16">
        <v>565.404</v>
      </c>
      <c r="M5552" s="16">
        <v>623.1563</v>
      </c>
      <c r="N5552" s="16">
        <v>427.84</v>
      </c>
      <c r="O5552" s="24">
        <v>20.6</v>
      </c>
      <c r="P5552" s="18">
        <f t="shared" si="1"/>
        <v>565.404</v>
      </c>
    </row>
    <row r="5553" ht="15.75" customHeight="1">
      <c r="A5553" s="19" t="s">
        <v>257</v>
      </c>
      <c r="B5553" s="19" t="s">
        <v>61</v>
      </c>
      <c r="C5553" s="20" t="s">
        <v>86</v>
      </c>
      <c r="D5553" s="14" t="str">
        <f>VLOOKUP(C5553,'State Key'!$A$2:$B$210,2,False)</f>
        <v>Haryana</v>
      </c>
      <c r="E5553" s="21">
        <v>1200.0</v>
      </c>
      <c r="F5553" s="22">
        <v>254.979</v>
      </c>
      <c r="G5553" s="22">
        <v>0.0</v>
      </c>
      <c r="H5553" s="22">
        <v>0.0</v>
      </c>
      <c r="I5553" s="22">
        <v>0.0</v>
      </c>
      <c r="J5553" s="22">
        <v>0.0</v>
      </c>
      <c r="K5553" s="22">
        <v>0.0</v>
      </c>
      <c r="L5553" s="22">
        <v>254.979</v>
      </c>
      <c r="M5553" s="22">
        <v>99.752</v>
      </c>
      <c r="N5553" s="22">
        <v>677.206</v>
      </c>
      <c r="O5553" s="24">
        <v>203.7</v>
      </c>
      <c r="P5553" s="18">
        <f t="shared" si="1"/>
        <v>254.979</v>
      </c>
    </row>
    <row r="5554" ht="15.75" customHeight="1">
      <c r="A5554" s="13" t="s">
        <v>257</v>
      </c>
      <c r="B5554" s="13" t="s">
        <v>61</v>
      </c>
      <c r="C5554" s="14" t="s">
        <v>87</v>
      </c>
      <c r="D5554" s="14" t="str">
        <f>VLOOKUP(C5554,'State Key'!$A$2:$B$210,2,False)</f>
        <v>Punjab</v>
      </c>
      <c r="E5554" s="15">
        <v>1400.0</v>
      </c>
      <c r="F5554" s="16">
        <v>318.9754</v>
      </c>
      <c r="G5554" s="16">
        <v>0.0</v>
      </c>
      <c r="H5554" s="16">
        <v>0.0</v>
      </c>
      <c r="I5554" s="16">
        <v>0.0</v>
      </c>
      <c r="J5554" s="16">
        <v>0.0</v>
      </c>
      <c r="K5554" s="16">
        <v>0.0</v>
      </c>
      <c r="L5554" s="16">
        <v>318.9754</v>
      </c>
      <c r="M5554" s="16">
        <v>354.439</v>
      </c>
      <c r="N5554" s="16">
        <v>247.4</v>
      </c>
      <c r="O5554" s="24">
        <v>20.9</v>
      </c>
      <c r="P5554" s="18">
        <f t="shared" si="1"/>
        <v>318.9754</v>
      </c>
    </row>
    <row r="5555" ht="15.75" customHeight="1">
      <c r="A5555" s="19" t="s">
        <v>257</v>
      </c>
      <c r="B5555" s="19" t="s">
        <v>61</v>
      </c>
      <c r="C5555" s="20" t="s">
        <v>88</v>
      </c>
      <c r="D5555" s="14" t="str">
        <f>VLOOKUP(C5555,'State Key'!$A$2:$B$210,2,False)</f>
        <v>Uttar Pradesh</v>
      </c>
      <c r="E5555" s="21">
        <v>3000.0</v>
      </c>
      <c r="F5555" s="22">
        <v>1056.18</v>
      </c>
      <c r="G5555" s="22">
        <v>0.0</v>
      </c>
      <c r="H5555" s="22">
        <v>0.0</v>
      </c>
      <c r="I5555" s="22">
        <v>0.0</v>
      </c>
      <c r="J5555" s="22">
        <v>0.0</v>
      </c>
      <c r="K5555" s="22">
        <v>0.0</v>
      </c>
      <c r="L5555" s="22">
        <v>1056.18</v>
      </c>
      <c r="M5555" s="22">
        <v>1091.979</v>
      </c>
      <c r="N5555" s="22">
        <v>773.28</v>
      </c>
      <c r="O5555" s="24">
        <v>21.2</v>
      </c>
      <c r="P5555" s="18">
        <f t="shared" si="1"/>
        <v>1056.18</v>
      </c>
    </row>
    <row r="5556" ht="15.75" customHeight="1">
      <c r="A5556" s="13" t="s">
        <v>257</v>
      </c>
      <c r="B5556" s="13" t="s">
        <v>61</v>
      </c>
      <c r="C5556" s="14" t="s">
        <v>89</v>
      </c>
      <c r="D5556" s="14" t="str">
        <f>VLOOKUP(C5556,'State Key'!$A$2:$B$210,2,False)</f>
        <v>Punjab</v>
      </c>
      <c r="E5556" s="15">
        <v>840.0</v>
      </c>
      <c r="F5556" s="16">
        <v>32.942</v>
      </c>
      <c r="G5556" s="16">
        <v>0.0</v>
      </c>
      <c r="H5556" s="16">
        <v>84.386</v>
      </c>
      <c r="I5556" s="16">
        <v>0.0</v>
      </c>
      <c r="J5556" s="16">
        <v>0.0</v>
      </c>
      <c r="K5556" s="16">
        <v>0.0</v>
      </c>
      <c r="L5556" s="16">
        <v>117.328</v>
      </c>
      <c r="M5556" s="16">
        <v>167.146</v>
      </c>
      <c r="N5556" s="16">
        <v>214.29</v>
      </c>
      <c r="O5556" s="24">
        <v>38.5</v>
      </c>
      <c r="P5556" s="18">
        <f t="shared" si="1"/>
        <v>117.328</v>
      </c>
    </row>
    <row r="5557" ht="15.75" customHeight="1">
      <c r="A5557" s="19" t="s">
        <v>257</v>
      </c>
      <c r="B5557" s="19" t="s">
        <v>61</v>
      </c>
      <c r="C5557" s="20" t="s">
        <v>90</v>
      </c>
      <c r="D5557" s="14" t="str">
        <f>VLOOKUP(C5557,'State Key'!$A$2:$B$210,2,False)</f>
        <v>Uttar Pradesh</v>
      </c>
      <c r="E5557" s="21">
        <v>1200.0</v>
      </c>
      <c r="F5557" s="22">
        <v>352.681</v>
      </c>
      <c r="G5557" s="22">
        <v>0.0</v>
      </c>
      <c r="H5557" s="22">
        <v>0.0</v>
      </c>
      <c r="I5557" s="22">
        <v>0.0</v>
      </c>
      <c r="J5557" s="22">
        <v>0.0</v>
      </c>
      <c r="K5557" s="22">
        <v>0.0</v>
      </c>
      <c r="L5557" s="22">
        <v>352.681</v>
      </c>
      <c r="M5557" s="22">
        <v>317.294</v>
      </c>
      <c r="N5557" s="22">
        <v>211.14</v>
      </c>
      <c r="O5557" s="24">
        <v>20.0</v>
      </c>
      <c r="P5557" s="18">
        <f t="shared" si="1"/>
        <v>352.681</v>
      </c>
    </row>
    <row r="5558" ht="15.75" customHeight="1">
      <c r="A5558" s="13" t="s">
        <v>257</v>
      </c>
      <c r="B5558" s="13" t="s">
        <v>61</v>
      </c>
      <c r="C5558" s="14" t="s">
        <v>219</v>
      </c>
      <c r="D5558" s="14" t="str">
        <f>VLOOKUP(C5558,'State Key'!$A$2:$B$210,2,False)</f>
        <v>Rajasthan</v>
      </c>
      <c r="E5558" s="15">
        <v>300.0</v>
      </c>
      <c r="F5558" s="16">
        <v>2.21</v>
      </c>
      <c r="G5558" s="16">
        <v>0.0</v>
      </c>
      <c r="H5558" s="16">
        <v>0.0</v>
      </c>
      <c r="I5558" s="16">
        <v>0.0</v>
      </c>
      <c r="J5558" s="16">
        <v>39.43</v>
      </c>
      <c r="K5558" s="16">
        <v>0.0</v>
      </c>
      <c r="L5558" s="16">
        <v>41.64</v>
      </c>
      <c r="M5558" s="16">
        <v>41.64</v>
      </c>
      <c r="N5558" s="16">
        <v>0.0</v>
      </c>
      <c r="O5558" s="17">
        <v>0.0</v>
      </c>
      <c r="P5558" s="18">
        <f t="shared" si="1"/>
        <v>41.64</v>
      </c>
    </row>
    <row r="5559" ht="15.75" customHeight="1">
      <c r="A5559" s="19" t="s">
        <v>257</v>
      </c>
      <c r="B5559" s="19" t="s">
        <v>61</v>
      </c>
      <c r="C5559" s="20" t="s">
        <v>91</v>
      </c>
      <c r="D5559" s="14" t="str">
        <f>VLOOKUP(C5559,'State Key'!$A$2:$B$210,2,False)</f>
        <v>Uttar Pradesh</v>
      </c>
      <c r="E5559" s="21">
        <v>2000.0</v>
      </c>
      <c r="F5559" s="22">
        <v>696.54</v>
      </c>
      <c r="G5559" s="22">
        <v>0.0</v>
      </c>
      <c r="H5559" s="22">
        <v>0.0</v>
      </c>
      <c r="I5559" s="22">
        <v>0.0</v>
      </c>
      <c r="J5559" s="22">
        <v>0.0</v>
      </c>
      <c r="K5559" s="22">
        <v>0.0</v>
      </c>
      <c r="L5559" s="22">
        <v>696.54</v>
      </c>
      <c r="M5559" s="22">
        <v>746.044</v>
      </c>
      <c r="N5559" s="22">
        <v>449.34</v>
      </c>
      <c r="O5559" s="24">
        <v>18.1</v>
      </c>
      <c r="P5559" s="18">
        <f t="shared" si="1"/>
        <v>696.54</v>
      </c>
    </row>
    <row r="5560" ht="15.75" customHeight="1">
      <c r="A5560" s="13" t="s">
        <v>257</v>
      </c>
      <c r="B5560" s="13" t="s">
        <v>61</v>
      </c>
      <c r="C5560" s="14" t="s">
        <v>92</v>
      </c>
      <c r="D5560" s="14" t="str">
        <f>VLOOKUP(C5560,'State Key'!$A$2:$B$210,2,False)</f>
        <v>Rajasthan</v>
      </c>
      <c r="E5560" s="15">
        <v>1320.0</v>
      </c>
      <c r="F5560" s="16">
        <v>0.0</v>
      </c>
      <c r="G5560" s="16">
        <v>0.0</v>
      </c>
      <c r="H5560" s="16">
        <v>324.51159</v>
      </c>
      <c r="I5560" s="16">
        <v>0.0</v>
      </c>
      <c r="J5560" s="16">
        <v>0.0</v>
      </c>
      <c r="K5560" s="16">
        <v>0.0</v>
      </c>
      <c r="L5560" s="16">
        <v>324.51159</v>
      </c>
      <c r="M5560" s="16">
        <v>403.287</v>
      </c>
      <c r="N5560" s="16">
        <v>438.89</v>
      </c>
      <c r="O5560" s="24">
        <v>32.6</v>
      </c>
      <c r="P5560" s="18">
        <f t="shared" si="1"/>
        <v>324.51159</v>
      </c>
    </row>
    <row r="5561" ht="15.75" customHeight="1">
      <c r="A5561" s="19" t="s">
        <v>257</v>
      </c>
      <c r="B5561" s="19" t="s">
        <v>61</v>
      </c>
      <c r="C5561" s="20" t="s">
        <v>93</v>
      </c>
      <c r="D5561" s="14" t="str">
        <f>VLOOKUP(C5561,'State Key'!$A$2:$B$210,2,False)</f>
        <v>Rajasthan</v>
      </c>
      <c r="E5561" s="21">
        <v>1500.0</v>
      </c>
      <c r="F5561" s="22">
        <v>63.99</v>
      </c>
      <c r="G5561" s="22">
        <v>0.0</v>
      </c>
      <c r="H5561" s="22">
        <v>54.64</v>
      </c>
      <c r="I5561" s="22">
        <v>0.0</v>
      </c>
      <c r="J5561" s="22">
        <v>0.0</v>
      </c>
      <c r="K5561" s="22">
        <v>0.0</v>
      </c>
      <c r="L5561" s="22">
        <v>118.63</v>
      </c>
      <c r="M5561" s="22">
        <v>201.127</v>
      </c>
      <c r="N5561" s="22">
        <v>358.86</v>
      </c>
      <c r="O5561" s="24">
        <v>53.5</v>
      </c>
      <c r="P5561" s="18">
        <f t="shared" si="1"/>
        <v>118.63</v>
      </c>
    </row>
    <row r="5562" ht="15.75" customHeight="1">
      <c r="A5562" s="13" t="s">
        <v>257</v>
      </c>
      <c r="B5562" s="13" t="s">
        <v>61</v>
      </c>
      <c r="C5562" s="14" t="s">
        <v>94</v>
      </c>
      <c r="D5562" s="14" t="str">
        <f>VLOOKUP(C5562,'State Key'!$A$2:$B$210,2,False)</f>
        <v>Punjab</v>
      </c>
      <c r="E5562" s="15">
        <v>1980.0</v>
      </c>
      <c r="F5562" s="16">
        <v>468.31355</v>
      </c>
      <c r="G5562" s="16">
        <v>0.0</v>
      </c>
      <c r="H5562" s="16">
        <v>0.0</v>
      </c>
      <c r="I5562" s="16">
        <v>0.0</v>
      </c>
      <c r="J5562" s="16">
        <v>0.0</v>
      </c>
      <c r="K5562" s="16">
        <v>0.0</v>
      </c>
      <c r="L5562" s="16">
        <v>468.31355</v>
      </c>
      <c r="M5562" s="16">
        <v>478.703</v>
      </c>
      <c r="N5562" s="16">
        <v>382.81</v>
      </c>
      <c r="O5562" s="24">
        <v>24.0</v>
      </c>
      <c r="P5562" s="18">
        <f t="shared" si="1"/>
        <v>468.31355</v>
      </c>
    </row>
    <row r="5563" ht="15.75" customHeight="1">
      <c r="A5563" s="19" t="s">
        <v>257</v>
      </c>
      <c r="B5563" s="19" t="s">
        <v>61</v>
      </c>
      <c r="C5563" s="20" t="s">
        <v>95</v>
      </c>
      <c r="D5563" s="14" t="str">
        <f>VLOOKUP(C5563,'State Key'!$A$2:$B$210,2,False)</f>
        <v>Uttar Pradesh</v>
      </c>
      <c r="E5563" s="21">
        <v>1760.0</v>
      </c>
      <c r="F5563" s="22">
        <v>23.8</v>
      </c>
      <c r="G5563" s="22">
        <v>0.0</v>
      </c>
      <c r="H5563" s="22">
        <v>72.11</v>
      </c>
      <c r="I5563" s="22">
        <v>0.0</v>
      </c>
      <c r="J5563" s="22">
        <v>0.0</v>
      </c>
      <c r="K5563" s="22">
        <v>0.0</v>
      </c>
      <c r="L5563" s="22">
        <v>95.91</v>
      </c>
      <c r="M5563" s="22">
        <v>205.902</v>
      </c>
      <c r="N5563" s="22">
        <v>514.5</v>
      </c>
      <c r="O5563" s="24">
        <v>75.0</v>
      </c>
      <c r="P5563" s="18">
        <f t="shared" si="1"/>
        <v>95.91</v>
      </c>
    </row>
    <row r="5564" ht="15.75" customHeight="1">
      <c r="A5564" s="13" t="s">
        <v>257</v>
      </c>
      <c r="B5564" s="13" t="s">
        <v>61</v>
      </c>
      <c r="C5564" s="14" t="s">
        <v>96</v>
      </c>
      <c r="D5564" s="14" t="str">
        <f>VLOOKUP(C5564,'State Key'!$A$2:$B$210,2,False)</f>
        <v>Uttar Pradesh</v>
      </c>
      <c r="E5564" s="15">
        <v>1550.0</v>
      </c>
      <c r="F5564" s="16">
        <v>274.92</v>
      </c>
      <c r="G5564" s="16">
        <v>0.0</v>
      </c>
      <c r="H5564" s="16">
        <v>115.17</v>
      </c>
      <c r="I5564" s="16">
        <v>0.0</v>
      </c>
      <c r="J5564" s="16">
        <v>0.0</v>
      </c>
      <c r="K5564" s="16">
        <v>71.37</v>
      </c>
      <c r="L5564" s="16">
        <v>461.46</v>
      </c>
      <c r="M5564" s="16">
        <v>468.505</v>
      </c>
      <c r="N5564" s="16">
        <v>334.58</v>
      </c>
      <c r="O5564" s="24">
        <v>21.4</v>
      </c>
      <c r="P5564" s="18">
        <f t="shared" si="1"/>
        <v>461.46</v>
      </c>
    </row>
    <row r="5565" ht="15.75" customHeight="1">
      <c r="A5565" s="19" t="s">
        <v>257</v>
      </c>
      <c r="B5565" s="19" t="s">
        <v>61</v>
      </c>
      <c r="C5565" s="20" t="s">
        <v>97</v>
      </c>
      <c r="D5565" s="14" t="str">
        <f>VLOOKUP(C5565,'State Key'!$A$2:$B$210,2,False)</f>
        <v>Uttar Pradesh</v>
      </c>
      <c r="E5565" s="21">
        <v>90.0</v>
      </c>
      <c r="F5565" s="22">
        <v>24.532</v>
      </c>
      <c r="G5565" s="22">
        <v>0.0</v>
      </c>
      <c r="H5565" s="22">
        <v>0.0</v>
      </c>
      <c r="I5565" s="22">
        <v>0.0</v>
      </c>
      <c r="J5565" s="22">
        <v>0.0</v>
      </c>
      <c r="K5565" s="22">
        <v>0.0</v>
      </c>
      <c r="L5565" s="22">
        <v>24.532</v>
      </c>
      <c r="M5565" s="22">
        <v>10.718</v>
      </c>
      <c r="N5565" s="22">
        <v>62.6</v>
      </c>
      <c r="O5565" s="24">
        <v>175.2</v>
      </c>
      <c r="P5565" s="18">
        <f t="shared" si="1"/>
        <v>24.532</v>
      </c>
    </row>
    <row r="5566" ht="15.75" customHeight="1">
      <c r="A5566" s="13" t="s">
        <v>257</v>
      </c>
      <c r="B5566" s="13" t="s">
        <v>61</v>
      </c>
      <c r="C5566" s="14" t="s">
        <v>98</v>
      </c>
      <c r="D5566" s="14" t="str">
        <f>VLOOKUP(C5566,'State Key'!$A$2:$B$210,2,False)</f>
        <v>Haryana</v>
      </c>
      <c r="E5566" s="15">
        <v>600.0</v>
      </c>
      <c r="F5566" s="16">
        <v>174.539</v>
      </c>
      <c r="G5566" s="16">
        <v>0.0</v>
      </c>
      <c r="H5566" s="16">
        <v>0.0</v>
      </c>
      <c r="I5566" s="16">
        <v>0.0</v>
      </c>
      <c r="J5566" s="16">
        <v>0.0</v>
      </c>
      <c r="K5566" s="16">
        <v>0.0</v>
      </c>
      <c r="L5566" s="16">
        <v>174.539</v>
      </c>
      <c r="M5566" s="16">
        <v>214.087</v>
      </c>
      <c r="N5566" s="16">
        <v>271.49</v>
      </c>
      <c r="O5566" s="24">
        <v>38.0</v>
      </c>
      <c r="P5566" s="18">
        <f t="shared" si="1"/>
        <v>174.539</v>
      </c>
    </row>
    <row r="5567" ht="15.75" customHeight="1">
      <c r="A5567" s="19" t="s">
        <v>257</v>
      </c>
      <c r="B5567" s="19" t="s">
        <v>99</v>
      </c>
      <c r="C5567" s="20" t="s">
        <v>210</v>
      </c>
      <c r="D5567" s="14" t="str">
        <f>VLOOKUP(C5567,'State Key'!$A$2:$B$210,2,False)</f>
        <v>Karnataka</v>
      </c>
      <c r="E5567" s="21">
        <v>1200.0</v>
      </c>
      <c r="F5567" s="22">
        <v>0.0</v>
      </c>
      <c r="G5567" s="22">
        <v>0.0</v>
      </c>
      <c r="H5567" s="22">
        <v>0.0</v>
      </c>
      <c r="I5567" s="22">
        <v>0.0</v>
      </c>
      <c r="J5567" s="22">
        <v>217.653</v>
      </c>
      <c r="K5567" s="22">
        <v>0.0</v>
      </c>
      <c r="L5567" s="22">
        <v>217.653</v>
      </c>
      <c r="M5567" s="22">
        <v>174.604</v>
      </c>
      <c r="N5567" s="22">
        <v>117.64</v>
      </c>
      <c r="O5567" s="24">
        <v>20.2</v>
      </c>
      <c r="P5567" s="18">
        <f t="shared" si="1"/>
        <v>217.653</v>
      </c>
    </row>
    <row r="5568" ht="15.75" customHeight="1">
      <c r="A5568" s="13" t="s">
        <v>257</v>
      </c>
      <c r="B5568" s="13" t="s">
        <v>99</v>
      </c>
      <c r="C5568" s="14" t="s">
        <v>100</v>
      </c>
      <c r="D5568" s="14" t="str">
        <f>VLOOKUP(C5568,'State Key'!$A$2:$B$210,2,False)</f>
        <v>Karnataka</v>
      </c>
      <c r="E5568" s="15">
        <v>1700.0</v>
      </c>
      <c r="F5568" s="16">
        <v>0.0</v>
      </c>
      <c r="G5568" s="16">
        <v>143.47989</v>
      </c>
      <c r="H5568" s="16">
        <v>349.81317</v>
      </c>
      <c r="I5568" s="16">
        <v>0.0</v>
      </c>
      <c r="J5568" s="16">
        <v>0.0</v>
      </c>
      <c r="K5568" s="16">
        <v>0.0</v>
      </c>
      <c r="L5568" s="16">
        <v>493.29306</v>
      </c>
      <c r="M5568" s="16">
        <v>408.296</v>
      </c>
      <c r="N5568" s="16">
        <v>360.5674</v>
      </c>
      <c r="O5568" s="24">
        <v>26.5</v>
      </c>
      <c r="P5568" s="18">
        <f t="shared" si="1"/>
        <v>493.29306</v>
      </c>
    </row>
    <row r="5569" ht="15.75" customHeight="1">
      <c r="A5569" s="19" t="s">
        <v>257</v>
      </c>
      <c r="B5569" s="19" t="s">
        <v>99</v>
      </c>
      <c r="C5569" s="20" t="s">
        <v>101</v>
      </c>
      <c r="D5569" s="14" t="str">
        <f>VLOOKUP(C5569,'State Key'!$A$2:$B$210,2,False)</f>
        <v>Telangana</v>
      </c>
      <c r="E5569" s="21">
        <v>1080.0</v>
      </c>
      <c r="F5569" s="22">
        <v>0.0</v>
      </c>
      <c r="G5569" s="22">
        <v>202.795</v>
      </c>
      <c r="H5569" s="22">
        <v>0.0</v>
      </c>
      <c r="I5569" s="22">
        <v>0.0</v>
      </c>
      <c r="J5569" s="22">
        <v>0.0</v>
      </c>
      <c r="K5569" s="22">
        <v>0.0</v>
      </c>
      <c r="L5569" s="22">
        <v>202.795</v>
      </c>
      <c r="M5569" s="22">
        <v>101.479</v>
      </c>
      <c r="N5569" s="22">
        <v>286.443</v>
      </c>
      <c r="O5569" s="24">
        <v>84.7</v>
      </c>
      <c r="P5569" s="18">
        <f t="shared" si="1"/>
        <v>202.795</v>
      </c>
    </row>
    <row r="5570" ht="15.75" customHeight="1">
      <c r="A5570" s="13" t="s">
        <v>257</v>
      </c>
      <c r="B5570" s="13" t="s">
        <v>99</v>
      </c>
      <c r="C5570" s="14" t="s">
        <v>102</v>
      </c>
      <c r="D5570" s="14" t="str">
        <f>VLOOKUP(C5570,'State Key'!$A$2:$B$210,2,False)</f>
        <v>Andhra Pradesh</v>
      </c>
      <c r="E5570" s="15">
        <v>2400.0</v>
      </c>
      <c r="F5570" s="16">
        <v>698.54022</v>
      </c>
      <c r="G5570" s="16">
        <v>0.0</v>
      </c>
      <c r="H5570" s="16">
        <v>0.0</v>
      </c>
      <c r="I5570" s="16">
        <v>0.0</v>
      </c>
      <c r="J5570" s="16">
        <v>0.0</v>
      </c>
      <c r="K5570" s="16">
        <v>0.0</v>
      </c>
      <c r="L5570" s="16">
        <v>698.54022</v>
      </c>
      <c r="M5570" s="16">
        <v>734.24</v>
      </c>
      <c r="N5570" s="16">
        <v>24.72</v>
      </c>
      <c r="O5570" s="17">
        <v>1.0</v>
      </c>
      <c r="P5570" s="18">
        <f t="shared" si="1"/>
        <v>698.54022</v>
      </c>
    </row>
    <row r="5571" ht="15.75" customHeight="1">
      <c r="A5571" s="19" t="s">
        <v>257</v>
      </c>
      <c r="B5571" s="19" t="s">
        <v>99</v>
      </c>
      <c r="C5571" s="20" t="s">
        <v>103</v>
      </c>
      <c r="D5571" s="14" t="str">
        <f>VLOOKUP(C5571,'State Key'!$A$2:$B$210,2,False)</f>
        <v>Andhra Pradesh</v>
      </c>
      <c r="E5571" s="21">
        <v>2560.0</v>
      </c>
      <c r="F5571" s="22">
        <v>777.757</v>
      </c>
      <c r="G5571" s="22">
        <v>135.202</v>
      </c>
      <c r="H5571" s="22">
        <v>0.0</v>
      </c>
      <c r="I5571" s="22">
        <v>0.0</v>
      </c>
      <c r="J5571" s="22">
        <v>0.0</v>
      </c>
      <c r="K5571" s="22">
        <v>0.0</v>
      </c>
      <c r="L5571" s="22">
        <v>912.959</v>
      </c>
      <c r="M5571" s="22">
        <v>916.608</v>
      </c>
      <c r="N5571" s="22">
        <v>416.97</v>
      </c>
      <c r="O5571" s="23">
        <v>13.6</v>
      </c>
      <c r="P5571" s="18">
        <f t="shared" si="1"/>
        <v>912.959</v>
      </c>
    </row>
    <row r="5572" ht="15.75" customHeight="1">
      <c r="A5572" s="13" t="s">
        <v>257</v>
      </c>
      <c r="B5572" s="13" t="s">
        <v>99</v>
      </c>
      <c r="C5572" s="14" t="s">
        <v>104</v>
      </c>
      <c r="D5572" s="14" t="str">
        <f>VLOOKUP(C5572,'State Key'!$A$2:$B$210,2,False)</f>
        <v>Tamil Nadu</v>
      </c>
      <c r="E5572" s="15">
        <v>1200.0</v>
      </c>
      <c r="F5572" s="16">
        <v>0.0</v>
      </c>
      <c r="G5572" s="16">
        <v>0.0</v>
      </c>
      <c r="H5572" s="16">
        <v>0.0</v>
      </c>
      <c r="I5572" s="16">
        <v>0.0</v>
      </c>
      <c r="J5572" s="16">
        <v>196.3846</v>
      </c>
      <c r="K5572" s="16">
        <v>0.0</v>
      </c>
      <c r="L5572" s="16">
        <v>196.3846</v>
      </c>
      <c r="M5572" s="16">
        <v>197.0124</v>
      </c>
      <c r="N5572" s="16">
        <v>312.97</v>
      </c>
      <c r="O5572" s="24">
        <v>47.7</v>
      </c>
      <c r="P5572" s="18">
        <f t="shared" si="1"/>
        <v>196.3846</v>
      </c>
    </row>
    <row r="5573" ht="15.75" customHeight="1">
      <c r="A5573" s="19" t="s">
        <v>257</v>
      </c>
      <c r="B5573" s="19" t="s">
        <v>99</v>
      </c>
      <c r="C5573" s="20" t="s">
        <v>105</v>
      </c>
      <c r="D5573" s="14" t="str">
        <f>VLOOKUP(C5573,'State Key'!$A$2:$B$210,2,False)</f>
        <v>Telangana</v>
      </c>
      <c r="E5573" s="21">
        <v>1100.0</v>
      </c>
      <c r="F5573" s="22">
        <v>0.0</v>
      </c>
      <c r="G5573" s="22">
        <v>152.817</v>
      </c>
      <c r="H5573" s="22">
        <v>196.009</v>
      </c>
      <c r="I5573" s="22">
        <v>0.0</v>
      </c>
      <c r="J5573" s="22">
        <v>0.0</v>
      </c>
      <c r="K5573" s="22">
        <v>0.0</v>
      </c>
      <c r="L5573" s="22">
        <v>348.826</v>
      </c>
      <c r="M5573" s="22">
        <v>326.012</v>
      </c>
      <c r="N5573" s="22">
        <v>184.941</v>
      </c>
      <c r="O5573" s="24">
        <v>17.0</v>
      </c>
      <c r="P5573" s="18">
        <f t="shared" si="1"/>
        <v>348.826</v>
      </c>
    </row>
    <row r="5574" ht="15.75" customHeight="1">
      <c r="A5574" s="13" t="s">
        <v>257</v>
      </c>
      <c r="B5574" s="13" t="s">
        <v>99</v>
      </c>
      <c r="C5574" s="14" t="s">
        <v>106</v>
      </c>
      <c r="D5574" s="14" t="str">
        <f>VLOOKUP(C5574,'State Key'!$A$2:$B$210,2,False)</f>
        <v>Telangana</v>
      </c>
      <c r="E5574" s="15">
        <v>1000.0</v>
      </c>
      <c r="F5574" s="16">
        <v>0.0</v>
      </c>
      <c r="G5574" s="16">
        <v>176.891</v>
      </c>
      <c r="H5574" s="16">
        <v>0.0</v>
      </c>
      <c r="I5574" s="16">
        <v>0.0</v>
      </c>
      <c r="J5574" s="16">
        <v>0.0</v>
      </c>
      <c r="K5574" s="16">
        <v>0.0</v>
      </c>
      <c r="L5574" s="16">
        <v>176.891</v>
      </c>
      <c r="M5574" s="16">
        <v>133.27</v>
      </c>
      <c r="N5574" s="16">
        <v>309.893</v>
      </c>
      <c r="O5574" s="24">
        <v>69.8</v>
      </c>
      <c r="P5574" s="18">
        <f t="shared" si="1"/>
        <v>176.891</v>
      </c>
    </row>
    <row r="5575" ht="15.75" customHeight="1">
      <c r="A5575" s="19" t="s">
        <v>257</v>
      </c>
      <c r="B5575" s="19" t="s">
        <v>99</v>
      </c>
      <c r="C5575" s="20" t="s">
        <v>107</v>
      </c>
      <c r="D5575" s="14" t="str">
        <f>VLOOKUP(C5575,'State Key'!$A$2:$B$210,2,False)</f>
        <v>Telangana</v>
      </c>
      <c r="E5575" s="21">
        <v>800.0</v>
      </c>
      <c r="F5575" s="22">
        <v>0.0</v>
      </c>
      <c r="G5575" s="22">
        <v>199.901</v>
      </c>
      <c r="H5575" s="22">
        <v>0.0</v>
      </c>
      <c r="I5575" s="22">
        <v>0.0</v>
      </c>
      <c r="J5575" s="22">
        <v>0.0</v>
      </c>
      <c r="K5575" s="22">
        <v>0.0</v>
      </c>
      <c r="L5575" s="22">
        <v>199.901</v>
      </c>
      <c r="M5575" s="22">
        <v>133.854</v>
      </c>
      <c r="N5575" s="22">
        <v>148.226</v>
      </c>
      <c r="O5575" s="24">
        <v>33.2</v>
      </c>
      <c r="P5575" s="18">
        <f t="shared" si="1"/>
        <v>199.901</v>
      </c>
    </row>
    <row r="5576" ht="15.75" customHeight="1">
      <c r="A5576" s="13" t="s">
        <v>257</v>
      </c>
      <c r="B5576" s="13" t="s">
        <v>99</v>
      </c>
      <c r="C5576" s="14" t="s">
        <v>108</v>
      </c>
      <c r="D5576" s="14" t="str">
        <f>VLOOKUP(C5576,'State Key'!$A$2:$B$210,2,False)</f>
        <v>Karnataka</v>
      </c>
      <c r="E5576" s="15">
        <v>2400.0</v>
      </c>
      <c r="F5576" s="16">
        <v>321.19</v>
      </c>
      <c r="G5576" s="16">
        <v>110.97</v>
      </c>
      <c r="H5576" s="16">
        <v>164.59</v>
      </c>
      <c r="I5576" s="16">
        <v>0.0</v>
      </c>
      <c r="J5576" s="16">
        <v>0.0</v>
      </c>
      <c r="K5576" s="16">
        <v>0.0</v>
      </c>
      <c r="L5576" s="16">
        <v>596.75</v>
      </c>
      <c r="M5576" s="16">
        <v>582.18</v>
      </c>
      <c r="N5576" s="16">
        <v>579.71</v>
      </c>
      <c r="O5576" s="24">
        <v>29.9</v>
      </c>
      <c r="P5576" s="18">
        <f t="shared" si="1"/>
        <v>596.75</v>
      </c>
    </row>
    <row r="5577" ht="15.75" customHeight="1">
      <c r="A5577" s="19" t="s">
        <v>257</v>
      </c>
      <c r="B5577" s="19" t="s">
        <v>99</v>
      </c>
      <c r="C5577" s="20" t="s">
        <v>109</v>
      </c>
      <c r="D5577" s="14" t="str">
        <f>VLOOKUP(C5577,'State Key'!$A$2:$B$210,2,False)</f>
        <v>Tamil Nadu</v>
      </c>
      <c r="E5577" s="21">
        <v>840.0</v>
      </c>
      <c r="F5577" s="22">
        <v>230.291</v>
      </c>
      <c r="G5577" s="22">
        <v>0.0</v>
      </c>
      <c r="H5577" s="22">
        <v>0.0</v>
      </c>
      <c r="I5577" s="22">
        <v>0.0</v>
      </c>
      <c r="J5577" s="22">
        <v>0.0</v>
      </c>
      <c r="K5577" s="22">
        <v>0.0</v>
      </c>
      <c r="L5577" s="22">
        <v>230.291</v>
      </c>
      <c r="M5577" s="22">
        <v>249.33</v>
      </c>
      <c r="N5577" s="22">
        <v>188.71</v>
      </c>
      <c r="O5577" s="24">
        <v>22.7</v>
      </c>
      <c r="P5577" s="18">
        <f t="shared" si="1"/>
        <v>230.291</v>
      </c>
    </row>
    <row r="5578" ht="15.75" customHeight="1">
      <c r="A5578" s="13" t="s">
        <v>257</v>
      </c>
      <c r="B5578" s="13" t="s">
        <v>99</v>
      </c>
      <c r="C5578" s="14" t="s">
        <v>110</v>
      </c>
      <c r="D5578" s="14" t="str">
        <f>VLOOKUP(C5578,'State Key'!$A$2:$B$210,2,False)</f>
        <v>Tamil Nadu</v>
      </c>
      <c r="E5578" s="15">
        <v>600.0</v>
      </c>
      <c r="F5578" s="16">
        <v>141.791</v>
      </c>
      <c r="G5578" s="16">
        <v>0.0</v>
      </c>
      <c r="H5578" s="16">
        <v>0.0</v>
      </c>
      <c r="I5578" s="16">
        <v>0.0</v>
      </c>
      <c r="J5578" s="16">
        <v>14.49</v>
      </c>
      <c r="K5578" s="16">
        <v>0.0</v>
      </c>
      <c r="L5578" s="16">
        <v>156.281</v>
      </c>
      <c r="M5578" s="16">
        <v>96.123</v>
      </c>
      <c r="N5578" s="16">
        <v>189.85</v>
      </c>
      <c r="O5578" s="24">
        <v>59.3</v>
      </c>
      <c r="P5578" s="18">
        <f t="shared" si="1"/>
        <v>156.281</v>
      </c>
    </row>
    <row r="5579" ht="15.75" customHeight="1">
      <c r="A5579" s="19" t="s">
        <v>257</v>
      </c>
      <c r="B5579" s="19" t="s">
        <v>99</v>
      </c>
      <c r="C5579" s="20" t="s">
        <v>111</v>
      </c>
      <c r="D5579" s="14" t="str">
        <f>VLOOKUP(C5579,'State Key'!$A$2:$B$210,2,False)</f>
        <v>Tamil Nadu</v>
      </c>
      <c r="E5579" s="21">
        <v>1200.0</v>
      </c>
      <c r="F5579" s="22">
        <v>66.252</v>
      </c>
      <c r="G5579" s="22">
        <v>0.0</v>
      </c>
      <c r="H5579" s="22">
        <v>0.0</v>
      </c>
      <c r="I5579" s="22">
        <v>0.0</v>
      </c>
      <c r="J5579" s="22">
        <v>240.893</v>
      </c>
      <c r="K5579" s="22">
        <v>0.0</v>
      </c>
      <c r="L5579" s="22">
        <v>307.145</v>
      </c>
      <c r="M5579" s="22">
        <v>243.043</v>
      </c>
      <c r="N5579" s="22">
        <v>284.89</v>
      </c>
      <c r="O5579" s="24">
        <v>35.2</v>
      </c>
      <c r="P5579" s="18">
        <f t="shared" si="1"/>
        <v>307.145</v>
      </c>
    </row>
    <row r="5580" ht="15.75" customHeight="1">
      <c r="A5580" s="13" t="s">
        <v>257</v>
      </c>
      <c r="B5580" s="13" t="s">
        <v>99</v>
      </c>
      <c r="C5580" s="14" t="s">
        <v>112</v>
      </c>
      <c r="D5580" s="14" t="str">
        <f>VLOOKUP(C5580,'State Key'!$A$2:$B$210,2,False)</f>
        <v>Tamil Nadu</v>
      </c>
      <c r="E5580" s="15">
        <v>1830.0</v>
      </c>
      <c r="F5580" s="16">
        <v>768.79</v>
      </c>
      <c r="G5580" s="16">
        <v>0.0</v>
      </c>
      <c r="H5580" s="16">
        <v>0.0</v>
      </c>
      <c r="I5580" s="16">
        <v>0.0</v>
      </c>
      <c r="J5580" s="16">
        <v>15.246</v>
      </c>
      <c r="K5580" s="16">
        <v>0.0</v>
      </c>
      <c r="L5580" s="16">
        <v>784.036</v>
      </c>
      <c r="M5580" s="16">
        <v>774.972</v>
      </c>
      <c r="N5580" s="16">
        <v>267.959</v>
      </c>
      <c r="O5580" s="23">
        <v>10.4</v>
      </c>
      <c r="P5580" s="18">
        <f t="shared" si="1"/>
        <v>784.036</v>
      </c>
    </row>
    <row r="5581" ht="15.75" customHeight="1">
      <c r="A5581" s="19" t="s">
        <v>257</v>
      </c>
      <c r="B5581" s="19" t="s">
        <v>99</v>
      </c>
      <c r="C5581" s="20" t="s">
        <v>113</v>
      </c>
      <c r="D5581" s="14" t="str">
        <f>VLOOKUP(C5581,'State Key'!$A$2:$B$210,2,False)</f>
        <v>Tamil Nadu</v>
      </c>
      <c r="E5581" s="21">
        <v>1000.0</v>
      </c>
      <c r="F5581" s="22">
        <v>0.0</v>
      </c>
      <c r="G5581" s="22">
        <v>0.0</v>
      </c>
      <c r="H5581" s="22">
        <v>330.425</v>
      </c>
      <c r="I5581" s="22">
        <v>0.0</v>
      </c>
      <c r="J5581" s="22">
        <v>0.0</v>
      </c>
      <c r="K5581" s="22">
        <v>0.0</v>
      </c>
      <c r="L5581" s="22">
        <v>330.425</v>
      </c>
      <c r="M5581" s="22">
        <v>340.73</v>
      </c>
      <c r="N5581" s="22">
        <v>315.24</v>
      </c>
      <c r="O5581" s="24">
        <v>27.8</v>
      </c>
      <c r="P5581" s="18">
        <f t="shared" si="1"/>
        <v>330.425</v>
      </c>
    </row>
    <row r="5582" ht="15.75" customHeight="1">
      <c r="A5582" s="13" t="s">
        <v>257</v>
      </c>
      <c r="B5582" s="13" t="s">
        <v>99</v>
      </c>
      <c r="C5582" s="14" t="s">
        <v>228</v>
      </c>
      <c r="D5582" s="14" t="str">
        <f>VLOOKUP(C5582,'State Key'!$A$2:$B$210,2,False)</f>
        <v>Tamil Nadu</v>
      </c>
      <c r="E5582" s="15">
        <v>414.0</v>
      </c>
      <c r="F5582" s="16">
        <v>14.849</v>
      </c>
      <c r="G5582" s="16">
        <v>0.0</v>
      </c>
      <c r="H5582" s="16">
        <v>0.0</v>
      </c>
      <c r="I5582" s="16">
        <v>0.0</v>
      </c>
      <c r="J5582" s="16">
        <v>74.543</v>
      </c>
      <c r="K5582" s="16">
        <v>0.0</v>
      </c>
      <c r="L5582" s="16">
        <v>89.392</v>
      </c>
      <c r="M5582" s="16">
        <v>90.456</v>
      </c>
      <c r="N5582" s="16">
        <v>100.2101</v>
      </c>
      <c r="O5582" s="24">
        <v>33.2</v>
      </c>
      <c r="P5582" s="18">
        <f t="shared" si="1"/>
        <v>89.392</v>
      </c>
    </row>
    <row r="5583" ht="15.75" customHeight="1">
      <c r="A5583" s="19" t="s">
        <v>257</v>
      </c>
      <c r="B5583" s="19" t="s">
        <v>99</v>
      </c>
      <c r="C5583" s="20" t="s">
        <v>114</v>
      </c>
      <c r="D5583" s="14" t="str">
        <f>VLOOKUP(C5583,'State Key'!$A$2:$B$210,2,False)</f>
        <v>Andhra Pradesh</v>
      </c>
      <c r="E5583" s="21">
        <v>1320.0</v>
      </c>
      <c r="F5583" s="22">
        <v>468.694</v>
      </c>
      <c r="G5583" s="22">
        <v>0.0</v>
      </c>
      <c r="H5583" s="22">
        <v>0.0</v>
      </c>
      <c r="I5583" s="22">
        <v>0.0</v>
      </c>
      <c r="J5583" s="22">
        <v>62.0</v>
      </c>
      <c r="K5583" s="22">
        <v>0.0</v>
      </c>
      <c r="L5583" s="22">
        <v>530.694</v>
      </c>
      <c r="M5583" s="22">
        <v>506.482</v>
      </c>
      <c r="N5583" s="22">
        <v>380.93</v>
      </c>
      <c r="O5583" s="24">
        <v>22.6</v>
      </c>
      <c r="P5583" s="18">
        <f t="shared" si="1"/>
        <v>530.694</v>
      </c>
    </row>
    <row r="5584" ht="15.75" customHeight="1">
      <c r="A5584" s="13" t="s">
        <v>257</v>
      </c>
      <c r="B5584" s="13" t="s">
        <v>99</v>
      </c>
      <c r="C5584" s="14" t="s">
        <v>115</v>
      </c>
      <c r="D5584" s="14" t="str">
        <f>VLOOKUP(C5584,'State Key'!$A$2:$B$210,2,False)</f>
        <v>Karnataka</v>
      </c>
      <c r="E5584" s="15">
        <v>1720.0</v>
      </c>
      <c r="F5584" s="16">
        <v>388.83</v>
      </c>
      <c r="G5584" s="16">
        <v>181.378</v>
      </c>
      <c r="H5584" s="16">
        <v>0.0</v>
      </c>
      <c r="I5584" s="16">
        <v>0.0</v>
      </c>
      <c r="J5584" s="16">
        <v>0.0</v>
      </c>
      <c r="K5584" s="16">
        <v>0.0</v>
      </c>
      <c r="L5584" s="16">
        <v>570.208</v>
      </c>
      <c r="M5584" s="16">
        <v>567.331</v>
      </c>
      <c r="N5584" s="16">
        <v>347.43</v>
      </c>
      <c r="O5584" s="24">
        <v>18.4</v>
      </c>
      <c r="P5584" s="18">
        <f t="shared" si="1"/>
        <v>570.208</v>
      </c>
    </row>
    <row r="5585" ht="15.75" customHeight="1">
      <c r="A5585" s="19" t="s">
        <v>257</v>
      </c>
      <c r="B5585" s="19" t="s">
        <v>99</v>
      </c>
      <c r="C5585" s="20" t="s">
        <v>116</v>
      </c>
      <c r="D5585" s="14" t="str">
        <f>VLOOKUP(C5585,'State Key'!$A$2:$B$210,2,False)</f>
        <v>Telangana</v>
      </c>
      <c r="E5585" s="21">
        <v>2600.0</v>
      </c>
      <c r="F5585" s="22">
        <v>0.0</v>
      </c>
      <c r="G5585" s="22">
        <v>576.86</v>
      </c>
      <c r="H5585" s="22">
        <v>0.0</v>
      </c>
      <c r="I5585" s="22">
        <v>0.0</v>
      </c>
      <c r="J5585" s="22">
        <v>0.0</v>
      </c>
      <c r="K5585" s="22">
        <v>0.0</v>
      </c>
      <c r="L5585" s="22">
        <v>576.86</v>
      </c>
      <c r="M5585" s="22">
        <v>553.072</v>
      </c>
      <c r="N5585" s="22">
        <v>672.87</v>
      </c>
      <c r="O5585" s="24">
        <v>36.5</v>
      </c>
      <c r="P5585" s="18">
        <f t="shared" si="1"/>
        <v>576.86</v>
      </c>
    </row>
    <row r="5586" ht="15.75" customHeight="1">
      <c r="A5586" s="13" t="s">
        <v>257</v>
      </c>
      <c r="B5586" s="13" t="s">
        <v>99</v>
      </c>
      <c r="C5586" s="14" t="s">
        <v>117</v>
      </c>
      <c r="D5586" s="14" t="str">
        <f>VLOOKUP(C5586,'State Key'!$A$2:$B$210,2,False)</f>
        <v>Telangana</v>
      </c>
      <c r="E5586" s="15">
        <v>62.5</v>
      </c>
      <c r="F5586" s="16">
        <v>0.0</v>
      </c>
      <c r="G5586" s="16">
        <v>0.0</v>
      </c>
      <c r="H5586" s="16">
        <v>0.0</v>
      </c>
      <c r="I5586" s="16">
        <v>0.0</v>
      </c>
      <c r="J5586" s="16">
        <v>0.0</v>
      </c>
      <c r="K5586" s="16">
        <v>0.0</v>
      </c>
      <c r="L5586" s="16">
        <v>0.0</v>
      </c>
      <c r="M5586" s="16">
        <v>0.0</v>
      </c>
      <c r="N5586" s="16">
        <v>3.72</v>
      </c>
      <c r="O5586" s="13" t="s">
        <v>58</v>
      </c>
      <c r="P5586" s="18">
        <f t="shared" si="1"/>
        <v>0</v>
      </c>
    </row>
    <row r="5587" ht="15.75" customHeight="1">
      <c r="A5587" s="19" t="s">
        <v>257</v>
      </c>
      <c r="B5587" s="19" t="s">
        <v>99</v>
      </c>
      <c r="C5587" s="20" t="s">
        <v>118</v>
      </c>
      <c r="D5587" s="14" t="str">
        <f>VLOOKUP(C5587,'State Key'!$A$2:$B$210,2,False)</f>
        <v>Andhra Pradesh</v>
      </c>
      <c r="E5587" s="21">
        <v>1650.0</v>
      </c>
      <c r="F5587" s="22">
        <v>391.182</v>
      </c>
      <c r="G5587" s="22">
        <v>87.56</v>
      </c>
      <c r="H5587" s="22">
        <v>0.0</v>
      </c>
      <c r="I5587" s="22">
        <v>0.0</v>
      </c>
      <c r="J5587" s="22">
        <v>0.0</v>
      </c>
      <c r="K5587" s="22">
        <v>0.0</v>
      </c>
      <c r="L5587" s="22">
        <v>478.742</v>
      </c>
      <c r="M5587" s="22">
        <v>488.325</v>
      </c>
      <c r="N5587" s="22">
        <v>173.01</v>
      </c>
      <c r="O5587" s="23">
        <v>10.6</v>
      </c>
      <c r="P5587" s="18">
        <f t="shared" si="1"/>
        <v>478.742</v>
      </c>
    </row>
    <row r="5588" ht="15.75" customHeight="1">
      <c r="A5588" s="13" t="s">
        <v>257</v>
      </c>
      <c r="B5588" s="13" t="s">
        <v>99</v>
      </c>
      <c r="C5588" s="14" t="s">
        <v>119</v>
      </c>
      <c r="D5588" s="14" t="str">
        <f>VLOOKUP(C5588,'State Key'!$A$2:$B$210,2,False)</f>
        <v>Andhra Pradesh</v>
      </c>
      <c r="E5588" s="15">
        <v>1320.0</v>
      </c>
      <c r="F5588" s="16">
        <v>132.606</v>
      </c>
      <c r="G5588" s="16">
        <v>0.0</v>
      </c>
      <c r="H5588" s="16">
        <v>0.0</v>
      </c>
      <c r="I5588" s="16">
        <v>0.0</v>
      </c>
      <c r="J5588" s="16">
        <v>165.521</v>
      </c>
      <c r="K5588" s="16">
        <v>0.0</v>
      </c>
      <c r="L5588" s="16">
        <v>298.127</v>
      </c>
      <c r="M5588" s="16">
        <v>562.401</v>
      </c>
      <c r="N5588" s="16">
        <v>171.54</v>
      </c>
      <c r="O5588" s="23">
        <v>9.2</v>
      </c>
      <c r="P5588" s="18">
        <f t="shared" si="1"/>
        <v>298.127</v>
      </c>
    </row>
    <row r="5589" ht="15.75" customHeight="1">
      <c r="A5589" s="19" t="s">
        <v>257</v>
      </c>
      <c r="B5589" s="19" t="s">
        <v>99</v>
      </c>
      <c r="C5589" s="20" t="s">
        <v>120</v>
      </c>
      <c r="D5589" s="14" t="str">
        <f>VLOOKUP(C5589,'State Key'!$A$2:$B$210,2,False)</f>
        <v>Andhra Pradesh</v>
      </c>
      <c r="E5589" s="21">
        <v>2000.0</v>
      </c>
      <c r="F5589" s="22">
        <v>648.56</v>
      </c>
      <c r="G5589" s="22">
        <v>0.0</v>
      </c>
      <c r="H5589" s="22">
        <v>50.33</v>
      </c>
      <c r="I5589" s="22">
        <v>0.0</v>
      </c>
      <c r="J5589" s="22">
        <v>0.0</v>
      </c>
      <c r="K5589" s="22">
        <v>0.07</v>
      </c>
      <c r="L5589" s="22">
        <v>698.96</v>
      </c>
      <c r="M5589" s="22">
        <v>665.611</v>
      </c>
      <c r="N5589" s="22">
        <v>637.37</v>
      </c>
      <c r="O5589" s="24">
        <v>28.7</v>
      </c>
      <c r="P5589" s="18">
        <f t="shared" si="1"/>
        <v>698.96</v>
      </c>
    </row>
    <row r="5590" ht="15.75" customHeight="1">
      <c r="A5590" s="13" t="s">
        <v>257</v>
      </c>
      <c r="B5590" s="13" t="s">
        <v>99</v>
      </c>
      <c r="C5590" s="14" t="s">
        <v>121</v>
      </c>
      <c r="D5590" s="14" t="str">
        <f>VLOOKUP(C5590,'State Key'!$A$2:$B$210,2,False)</f>
        <v>Andhra Pradesh</v>
      </c>
      <c r="E5590" s="15">
        <v>600.0</v>
      </c>
      <c r="F5590" s="16">
        <v>0.0</v>
      </c>
      <c r="G5590" s="16">
        <v>0.0</v>
      </c>
      <c r="H5590" s="16">
        <v>0.0</v>
      </c>
      <c r="I5590" s="16">
        <v>0.0</v>
      </c>
      <c r="J5590" s="16">
        <v>0.0</v>
      </c>
      <c r="K5590" s="16">
        <v>0.0</v>
      </c>
      <c r="L5590" s="16">
        <v>0.0</v>
      </c>
      <c r="M5590" s="16">
        <v>66.803</v>
      </c>
      <c r="N5590" s="16">
        <v>135.83</v>
      </c>
      <c r="O5590" s="24">
        <v>61.0</v>
      </c>
      <c r="P5590" s="18">
        <f t="shared" si="1"/>
        <v>0</v>
      </c>
    </row>
    <row r="5591" ht="15.75" customHeight="1">
      <c r="A5591" s="19" t="s">
        <v>257</v>
      </c>
      <c r="B5591" s="19" t="s">
        <v>99</v>
      </c>
      <c r="C5591" s="20" t="s">
        <v>122</v>
      </c>
      <c r="D5591" s="14" t="str">
        <f>VLOOKUP(C5591,'State Key'!$A$2:$B$210,2,False)</f>
        <v>Telangana</v>
      </c>
      <c r="E5591" s="21">
        <v>1200.0</v>
      </c>
      <c r="F5591" s="22">
        <v>0.0</v>
      </c>
      <c r="G5591" s="22">
        <v>448.504</v>
      </c>
      <c r="H5591" s="22">
        <v>0.0</v>
      </c>
      <c r="I5591" s="22">
        <v>0.0</v>
      </c>
      <c r="J5591" s="22">
        <v>0.0</v>
      </c>
      <c r="K5591" s="22">
        <v>0.0</v>
      </c>
      <c r="L5591" s="22">
        <v>448.504</v>
      </c>
      <c r="M5591" s="22">
        <v>405.437</v>
      </c>
      <c r="N5591" s="22">
        <v>130.11</v>
      </c>
      <c r="O5591" s="23">
        <v>9.6</v>
      </c>
      <c r="P5591" s="18">
        <f t="shared" si="1"/>
        <v>448.504</v>
      </c>
    </row>
    <row r="5592" ht="15.75" customHeight="1">
      <c r="A5592" s="13" t="s">
        <v>257</v>
      </c>
      <c r="B5592" s="13" t="s">
        <v>99</v>
      </c>
      <c r="C5592" s="14" t="s">
        <v>243</v>
      </c>
      <c r="D5592" s="14" t="str">
        <f>VLOOKUP(C5592,'State Key'!$A$2:$B$210,2,False)</f>
        <v>Tamil Nadu</v>
      </c>
      <c r="E5592" s="15">
        <v>63.5</v>
      </c>
      <c r="F5592" s="16">
        <v>0.0</v>
      </c>
      <c r="G5592" s="16">
        <v>0.0</v>
      </c>
      <c r="H5592" s="16">
        <v>0.0</v>
      </c>
      <c r="I5592" s="16">
        <v>0.0</v>
      </c>
      <c r="J5592" s="16">
        <v>0.0</v>
      </c>
      <c r="K5592" s="16">
        <v>0.0</v>
      </c>
      <c r="L5592" s="16">
        <v>0.0</v>
      </c>
      <c r="M5592" s="16">
        <v>0.0</v>
      </c>
      <c r="N5592" s="16">
        <v>0.0</v>
      </c>
      <c r="O5592" s="13" t="s">
        <v>58</v>
      </c>
      <c r="P5592" s="18">
        <f t="shared" si="1"/>
        <v>0</v>
      </c>
    </row>
    <row r="5593" ht="15.75" customHeight="1">
      <c r="A5593" s="19" t="s">
        <v>257</v>
      </c>
      <c r="B5593" s="19" t="s">
        <v>99</v>
      </c>
      <c r="C5593" s="20" t="s">
        <v>220</v>
      </c>
      <c r="D5593" s="14" t="str">
        <f>VLOOKUP(C5593,'State Key'!$A$2:$B$210,2,False)</f>
        <v>Telangana</v>
      </c>
      <c r="E5593" s="21">
        <v>1600.0</v>
      </c>
      <c r="F5593" s="22">
        <v>42.8</v>
      </c>
      <c r="G5593" s="22">
        <v>325.82</v>
      </c>
      <c r="H5593" s="22">
        <v>56.49</v>
      </c>
      <c r="I5593" s="22">
        <v>0.0</v>
      </c>
      <c r="J5593" s="22">
        <v>0.0</v>
      </c>
      <c r="K5593" s="22">
        <v>4.19</v>
      </c>
      <c r="L5593" s="22">
        <v>429.3</v>
      </c>
      <c r="M5593" s="22">
        <v>471.15</v>
      </c>
      <c r="N5593" s="22">
        <v>335.52</v>
      </c>
      <c r="O5593" s="24">
        <v>21.4</v>
      </c>
      <c r="P5593" s="18">
        <f t="shared" si="1"/>
        <v>429.3</v>
      </c>
    </row>
    <row r="5594" ht="15.75" customHeight="1">
      <c r="A5594" s="13" t="s">
        <v>257</v>
      </c>
      <c r="B5594" s="13" t="s">
        <v>99</v>
      </c>
      <c r="C5594" s="14" t="s">
        <v>123</v>
      </c>
      <c r="D5594" s="14" t="str">
        <f>VLOOKUP(C5594,'State Key'!$A$2:$B$210,2,False)</f>
        <v>Andhra Pradesh</v>
      </c>
      <c r="E5594" s="15">
        <v>1000.0</v>
      </c>
      <c r="F5594" s="16">
        <v>0.554</v>
      </c>
      <c r="G5594" s="16">
        <v>0.0</v>
      </c>
      <c r="H5594" s="16">
        <v>0.0</v>
      </c>
      <c r="I5594" s="16">
        <v>0.0</v>
      </c>
      <c r="J5594" s="16">
        <v>109.33982</v>
      </c>
      <c r="K5594" s="16">
        <v>0.0</v>
      </c>
      <c r="L5594" s="16">
        <v>109.89382</v>
      </c>
      <c r="M5594" s="16">
        <v>92.1228</v>
      </c>
      <c r="N5594" s="16">
        <v>87.77</v>
      </c>
      <c r="O5594" s="24">
        <v>28.6</v>
      </c>
      <c r="P5594" s="18">
        <f t="shared" si="1"/>
        <v>109.89382</v>
      </c>
    </row>
    <row r="5595" ht="15.75" customHeight="1">
      <c r="A5595" s="19" t="s">
        <v>257</v>
      </c>
      <c r="B5595" s="19" t="s">
        <v>99</v>
      </c>
      <c r="C5595" s="20" t="s">
        <v>124</v>
      </c>
      <c r="D5595" s="14" t="str">
        <f>VLOOKUP(C5595,'State Key'!$A$2:$B$210,2,False)</f>
        <v>Karnataka</v>
      </c>
      <c r="E5595" s="21">
        <v>260.0</v>
      </c>
      <c r="F5595" s="22">
        <v>0.0</v>
      </c>
      <c r="G5595" s="22">
        <v>0.0</v>
      </c>
      <c r="H5595" s="22">
        <v>0.0</v>
      </c>
      <c r="I5595" s="22">
        <v>0.0</v>
      </c>
      <c r="J5595" s="22">
        <v>45.54</v>
      </c>
      <c r="K5595" s="22">
        <v>0.0</v>
      </c>
      <c r="L5595" s="22">
        <v>45.54</v>
      </c>
      <c r="M5595" s="22">
        <v>45.54</v>
      </c>
      <c r="N5595" s="22">
        <v>0.0</v>
      </c>
      <c r="O5595" s="17">
        <v>0.0</v>
      </c>
      <c r="P5595" s="18">
        <f t="shared" si="1"/>
        <v>45.54</v>
      </c>
    </row>
    <row r="5596" ht="15.75" customHeight="1">
      <c r="A5596" s="13" t="s">
        <v>257</v>
      </c>
      <c r="B5596" s="13" t="s">
        <v>99</v>
      </c>
      <c r="C5596" s="14" t="s">
        <v>125</v>
      </c>
      <c r="D5596" s="14" t="str">
        <f>VLOOKUP(C5596,'State Key'!$A$2:$B$210,2,False)</f>
        <v>Karnataka</v>
      </c>
      <c r="E5596" s="15">
        <v>600.0</v>
      </c>
      <c r="F5596" s="16">
        <v>0.0</v>
      </c>
      <c r="G5596" s="16">
        <v>0.0</v>
      </c>
      <c r="H5596" s="16">
        <v>0.0</v>
      </c>
      <c r="I5596" s="16">
        <v>0.0</v>
      </c>
      <c r="J5596" s="16">
        <v>91.3</v>
      </c>
      <c r="K5596" s="16">
        <v>0.0</v>
      </c>
      <c r="L5596" s="16">
        <v>91.3</v>
      </c>
      <c r="M5596" s="16">
        <v>86.36</v>
      </c>
      <c r="N5596" s="16">
        <v>7.92</v>
      </c>
      <c r="O5596" s="17">
        <v>2.8</v>
      </c>
      <c r="P5596" s="18">
        <f t="shared" si="1"/>
        <v>91.3</v>
      </c>
    </row>
    <row r="5597" ht="15.75" customHeight="1">
      <c r="A5597" s="19" t="s">
        <v>257</v>
      </c>
      <c r="B5597" s="19" t="s">
        <v>99</v>
      </c>
      <c r="C5597" s="20" t="s">
        <v>126</v>
      </c>
      <c r="D5597" s="14" t="str">
        <f>VLOOKUP(C5597,'State Key'!$A$2:$B$210,2,False)</f>
        <v>Tamil Nadu</v>
      </c>
      <c r="E5597" s="21">
        <v>300.0</v>
      </c>
      <c r="F5597" s="22">
        <v>0.0</v>
      </c>
      <c r="G5597" s="22">
        <v>0.0</v>
      </c>
      <c r="H5597" s="22">
        <v>0.0</v>
      </c>
      <c r="I5597" s="22">
        <v>0.0</v>
      </c>
      <c r="J5597" s="22">
        <v>0.0</v>
      </c>
      <c r="K5597" s="22">
        <v>0.0</v>
      </c>
      <c r="L5597" s="22">
        <v>0.0</v>
      </c>
      <c r="M5597" s="22">
        <v>0.0</v>
      </c>
      <c r="N5597" s="22">
        <v>0.0</v>
      </c>
      <c r="O5597" s="19" t="s">
        <v>58</v>
      </c>
      <c r="P5597" s="18">
        <f t="shared" si="1"/>
        <v>0</v>
      </c>
    </row>
    <row r="5598" ht="15.75" customHeight="1">
      <c r="A5598" s="13" t="s">
        <v>257</v>
      </c>
      <c r="B5598" s="13" t="s">
        <v>99</v>
      </c>
      <c r="C5598" s="14" t="s">
        <v>127</v>
      </c>
      <c r="D5598" s="14" t="str">
        <f>VLOOKUP(C5598,'State Key'!$A$2:$B$210,2,False)</f>
        <v>Tamil Nadu</v>
      </c>
      <c r="E5598" s="15">
        <v>525.0</v>
      </c>
      <c r="F5598" s="16">
        <v>0.0</v>
      </c>
      <c r="G5598" s="16">
        <v>0.0</v>
      </c>
      <c r="H5598" s="16">
        <v>0.0</v>
      </c>
      <c r="I5598" s="16">
        <v>0.0</v>
      </c>
      <c r="J5598" s="16">
        <v>149.281</v>
      </c>
      <c r="K5598" s="16">
        <v>0.0</v>
      </c>
      <c r="L5598" s="16">
        <v>149.281</v>
      </c>
      <c r="M5598" s="16">
        <v>148.136</v>
      </c>
      <c r="N5598" s="16">
        <v>4.62</v>
      </c>
      <c r="O5598" s="17">
        <v>0.9</v>
      </c>
      <c r="P5598" s="18">
        <f t="shared" si="1"/>
        <v>149.281</v>
      </c>
    </row>
    <row r="5599" ht="15.75" customHeight="1">
      <c r="A5599" s="19" t="s">
        <v>257</v>
      </c>
      <c r="B5599" s="19" t="s">
        <v>99</v>
      </c>
      <c r="C5599" s="20" t="s">
        <v>128</v>
      </c>
      <c r="D5599" s="14" t="str">
        <f>VLOOKUP(C5599,'State Key'!$A$2:$B$210,2,False)</f>
        <v>Tamil Nadu</v>
      </c>
      <c r="E5599" s="21">
        <v>1050.0</v>
      </c>
      <c r="F5599" s="22">
        <v>294.045</v>
      </c>
      <c r="G5599" s="22">
        <v>0.0</v>
      </c>
      <c r="H5599" s="22">
        <v>0.0</v>
      </c>
      <c r="I5599" s="22">
        <v>0.0</v>
      </c>
      <c r="J5599" s="22">
        <v>0.0</v>
      </c>
      <c r="K5599" s="22">
        <v>0.0</v>
      </c>
      <c r="L5599" s="22">
        <v>294.045</v>
      </c>
      <c r="M5599" s="22">
        <v>281.254</v>
      </c>
      <c r="N5599" s="22">
        <v>323.68</v>
      </c>
      <c r="O5599" s="24">
        <v>34.5</v>
      </c>
      <c r="P5599" s="18">
        <f t="shared" si="1"/>
        <v>294.045</v>
      </c>
    </row>
    <row r="5600" ht="15.75" customHeight="1">
      <c r="A5600" s="13" t="s">
        <v>257</v>
      </c>
      <c r="B5600" s="13" t="s">
        <v>99</v>
      </c>
      <c r="C5600" s="14" t="s">
        <v>130</v>
      </c>
      <c r="D5600" s="14" t="str">
        <f>VLOOKUP(C5600,'State Key'!$A$2:$B$210,2,False)</f>
        <v>Tamil Nadu</v>
      </c>
      <c r="E5600" s="15">
        <v>1500.0</v>
      </c>
      <c r="F5600" s="16">
        <v>567.35</v>
      </c>
      <c r="G5600" s="16">
        <v>0.0</v>
      </c>
      <c r="H5600" s="16">
        <v>0.0</v>
      </c>
      <c r="I5600" s="16">
        <v>0.0</v>
      </c>
      <c r="J5600" s="16">
        <v>0.0</v>
      </c>
      <c r="K5600" s="16">
        <v>0.0</v>
      </c>
      <c r="L5600" s="16">
        <v>567.35</v>
      </c>
      <c r="M5600" s="16">
        <v>526.172</v>
      </c>
      <c r="N5600" s="16">
        <v>518.57</v>
      </c>
      <c r="O5600" s="24">
        <v>29.6</v>
      </c>
      <c r="P5600" s="18">
        <f t="shared" si="1"/>
        <v>567.35</v>
      </c>
    </row>
    <row r="5601" ht="15.75" customHeight="1">
      <c r="A5601" s="19" t="s">
        <v>257</v>
      </c>
      <c r="B5601" s="19" t="s">
        <v>99</v>
      </c>
      <c r="C5601" s="20" t="s">
        <v>131</v>
      </c>
      <c r="D5601" s="14" t="str">
        <f>VLOOKUP(C5601,'State Key'!$A$2:$B$210,2,False)</f>
        <v>Andhra Pradesh</v>
      </c>
      <c r="E5601" s="21">
        <v>1040.0</v>
      </c>
      <c r="F5601" s="22">
        <v>242.12763</v>
      </c>
      <c r="G5601" s="22">
        <v>0.0</v>
      </c>
      <c r="H5601" s="22">
        <v>0.0</v>
      </c>
      <c r="I5601" s="22">
        <v>0.0</v>
      </c>
      <c r="J5601" s="22">
        <v>0.0</v>
      </c>
      <c r="K5601" s="22">
        <v>0.0</v>
      </c>
      <c r="L5601" s="22">
        <v>242.12763</v>
      </c>
      <c r="M5601" s="22">
        <v>221.009</v>
      </c>
      <c r="N5601" s="22">
        <v>179.1043</v>
      </c>
      <c r="O5601" s="24">
        <v>24.3</v>
      </c>
      <c r="P5601" s="18">
        <f t="shared" si="1"/>
        <v>242.12763</v>
      </c>
    </row>
    <row r="5602" ht="15.75" customHeight="1">
      <c r="A5602" s="13" t="s">
        <v>257</v>
      </c>
      <c r="B5602" s="13" t="s">
        <v>99</v>
      </c>
      <c r="C5602" s="14" t="s">
        <v>249</v>
      </c>
      <c r="D5602" s="14" t="str">
        <f>VLOOKUP(C5602,'State Key'!$A$2:$B$210,2,False)</f>
        <v>Telangana</v>
      </c>
      <c r="E5602" s="15">
        <v>1600.0</v>
      </c>
      <c r="F5602" s="16">
        <v>0.0</v>
      </c>
      <c r="G5602" s="16">
        <v>304.287</v>
      </c>
      <c r="H5602" s="16">
        <v>0.0</v>
      </c>
      <c r="I5602" s="16">
        <v>0.0</v>
      </c>
      <c r="J5602" s="16">
        <v>0.0</v>
      </c>
      <c r="K5602" s="16">
        <v>0.0</v>
      </c>
      <c r="L5602" s="16">
        <v>304.287</v>
      </c>
      <c r="M5602" s="16">
        <v>326.867</v>
      </c>
      <c r="N5602" s="16">
        <v>288.125</v>
      </c>
      <c r="O5602" s="24">
        <v>26.4</v>
      </c>
      <c r="P5602" s="18">
        <f t="shared" si="1"/>
        <v>304.287</v>
      </c>
    </row>
    <row r="5603" ht="15.75" customHeight="1">
      <c r="A5603" s="19" t="s">
        <v>257</v>
      </c>
      <c r="B5603" s="19" t="s">
        <v>99</v>
      </c>
      <c r="C5603" s="20" t="s">
        <v>132</v>
      </c>
      <c r="D5603" s="14" t="str">
        <f>VLOOKUP(C5603,'State Key'!$A$2:$B$210,2,False)</f>
        <v>Karnataka</v>
      </c>
      <c r="E5603" s="21">
        <v>1600.0</v>
      </c>
      <c r="F5603" s="22">
        <v>0.0</v>
      </c>
      <c r="G5603" s="22">
        <v>364.927</v>
      </c>
      <c r="H5603" s="22">
        <v>0.0</v>
      </c>
      <c r="I5603" s="22">
        <v>0.0</v>
      </c>
      <c r="J5603" s="22">
        <v>87.42</v>
      </c>
      <c r="K5603" s="22">
        <v>0.0</v>
      </c>
      <c r="L5603" s="22">
        <v>452.347</v>
      </c>
      <c r="M5603" s="22">
        <v>359.732</v>
      </c>
      <c r="N5603" s="22">
        <v>276.165</v>
      </c>
      <c r="O5603" s="24">
        <v>23.0</v>
      </c>
      <c r="P5603" s="18">
        <f t="shared" si="1"/>
        <v>452.347</v>
      </c>
    </row>
    <row r="5604" ht="15.75" customHeight="1">
      <c r="A5604" s="13" t="s">
        <v>257</v>
      </c>
      <c r="B5604" s="13" t="s">
        <v>133</v>
      </c>
      <c r="C5604" s="14" t="s">
        <v>211</v>
      </c>
      <c r="D5604" s="14" t="str">
        <f>VLOOKUP(C5604,'State Key'!$A$2:$B$210,2,False)</f>
        <v>Gujarat</v>
      </c>
      <c r="E5604" s="15">
        <v>2640.0</v>
      </c>
      <c r="F5604" s="16">
        <v>0.0</v>
      </c>
      <c r="G5604" s="16">
        <v>0.0</v>
      </c>
      <c r="H5604" s="16">
        <v>0.0</v>
      </c>
      <c r="I5604" s="16">
        <v>0.0</v>
      </c>
      <c r="J5604" s="16">
        <v>273.489</v>
      </c>
      <c r="K5604" s="16">
        <v>0.0</v>
      </c>
      <c r="L5604" s="16">
        <v>273.489</v>
      </c>
      <c r="M5604" s="16">
        <v>237.429</v>
      </c>
      <c r="N5604" s="16">
        <v>133.259</v>
      </c>
      <c r="O5604" s="24">
        <v>16.8</v>
      </c>
      <c r="P5604" s="18">
        <f t="shared" si="1"/>
        <v>273.489</v>
      </c>
    </row>
    <row r="5605" ht="15.75" customHeight="1">
      <c r="A5605" s="19" t="s">
        <v>257</v>
      </c>
      <c r="B5605" s="19" t="s">
        <v>133</v>
      </c>
      <c r="C5605" s="20" t="s">
        <v>212</v>
      </c>
      <c r="D5605" s="14" t="str">
        <f>VLOOKUP(C5605,'State Key'!$A$2:$B$210,2,False)</f>
        <v>Gujarat</v>
      </c>
      <c r="E5605" s="21">
        <v>1980.0</v>
      </c>
      <c r="F5605" s="22">
        <v>0.0</v>
      </c>
      <c r="G5605" s="22">
        <v>0.0</v>
      </c>
      <c r="H5605" s="22">
        <v>0.0</v>
      </c>
      <c r="I5605" s="22">
        <v>0.0</v>
      </c>
      <c r="J5605" s="22">
        <v>593.664</v>
      </c>
      <c r="K5605" s="22">
        <v>0.0</v>
      </c>
      <c r="L5605" s="22">
        <v>593.664</v>
      </c>
      <c r="M5605" s="22">
        <v>564.171</v>
      </c>
      <c r="N5605" s="22">
        <v>104.499</v>
      </c>
      <c r="O5605" s="17">
        <v>5.6</v>
      </c>
      <c r="P5605" s="18">
        <f t="shared" si="1"/>
        <v>593.664</v>
      </c>
    </row>
    <row r="5606" ht="15.75" customHeight="1">
      <c r="A5606" s="13" t="s">
        <v>257</v>
      </c>
      <c r="B5606" s="13" t="s">
        <v>133</v>
      </c>
      <c r="C5606" s="14" t="s">
        <v>213</v>
      </c>
      <c r="D5606" s="14" t="str">
        <f>VLOOKUP(C5606,'State Key'!$A$2:$B$210,2,False)</f>
        <v>Chhattisgarh</v>
      </c>
      <c r="E5606" s="15">
        <v>600.0</v>
      </c>
      <c r="F5606" s="16">
        <v>227.212</v>
      </c>
      <c r="G5606" s="16">
        <v>0.0</v>
      </c>
      <c r="H5606" s="16">
        <v>0.0</v>
      </c>
      <c r="I5606" s="16">
        <v>0.0</v>
      </c>
      <c r="J5606" s="16">
        <v>0.0</v>
      </c>
      <c r="K5606" s="16">
        <v>20.162</v>
      </c>
      <c r="L5606" s="16">
        <v>247.374</v>
      </c>
      <c r="M5606" s="16">
        <v>252.614</v>
      </c>
      <c r="N5606" s="16">
        <v>31.18</v>
      </c>
      <c r="O5606" s="17">
        <v>3.7</v>
      </c>
      <c r="P5606" s="18">
        <f t="shared" si="1"/>
        <v>247.374</v>
      </c>
    </row>
    <row r="5607" ht="15.75" customHeight="1">
      <c r="A5607" s="19" t="s">
        <v>257</v>
      </c>
      <c r="B5607" s="19" t="s">
        <v>133</v>
      </c>
      <c r="C5607" s="20" t="s">
        <v>214</v>
      </c>
      <c r="D5607" s="14" t="str">
        <f>VLOOKUP(C5607,'State Key'!$A$2:$B$210,2,False)</f>
        <v>Chhattisgarh</v>
      </c>
      <c r="E5607" s="21">
        <v>1370.0</v>
      </c>
      <c r="F5607" s="22">
        <v>476.005</v>
      </c>
      <c r="G5607" s="22">
        <v>0.0</v>
      </c>
      <c r="H5607" s="22">
        <v>0.0</v>
      </c>
      <c r="I5607" s="22">
        <v>3.808</v>
      </c>
      <c r="J5607" s="22">
        <v>0.0</v>
      </c>
      <c r="K5607" s="22">
        <v>105.336</v>
      </c>
      <c r="L5607" s="22">
        <v>585.149</v>
      </c>
      <c r="M5607" s="22">
        <v>399.814</v>
      </c>
      <c r="N5607" s="22">
        <v>255.15</v>
      </c>
      <c r="O5607" s="24">
        <v>19.1</v>
      </c>
      <c r="P5607" s="18">
        <f t="shared" si="1"/>
        <v>585.149</v>
      </c>
    </row>
    <row r="5608" ht="15.75" customHeight="1">
      <c r="A5608" s="13" t="s">
        <v>257</v>
      </c>
      <c r="B5608" s="13" t="s">
        <v>133</v>
      </c>
      <c r="C5608" s="14" t="s">
        <v>215</v>
      </c>
      <c r="D5608" s="14" t="str">
        <f>VLOOKUP(C5608,'State Key'!$A$2:$B$210,2,False)</f>
        <v>Maharashtra</v>
      </c>
      <c r="E5608" s="15">
        <v>3300.0</v>
      </c>
      <c r="F5608" s="16">
        <v>1141.877</v>
      </c>
      <c r="G5608" s="16">
        <v>0.0</v>
      </c>
      <c r="H5608" s="16">
        <v>0.0</v>
      </c>
      <c r="I5608" s="16">
        <v>0.0</v>
      </c>
      <c r="J5608" s="16">
        <v>58.377</v>
      </c>
      <c r="K5608" s="16">
        <v>0.0</v>
      </c>
      <c r="L5608" s="16">
        <v>1200.254</v>
      </c>
      <c r="M5608" s="16">
        <v>1141.665</v>
      </c>
      <c r="N5608" s="16">
        <v>70.75</v>
      </c>
      <c r="O5608" s="17">
        <v>1.9</v>
      </c>
      <c r="P5608" s="18">
        <f t="shared" si="1"/>
        <v>1200.254</v>
      </c>
    </row>
    <row r="5609" ht="15.75" customHeight="1">
      <c r="A5609" s="19" t="s">
        <v>257</v>
      </c>
      <c r="B5609" s="19" t="s">
        <v>133</v>
      </c>
      <c r="C5609" s="20" t="s">
        <v>134</v>
      </c>
      <c r="D5609" s="14" t="str">
        <f>VLOOKUP(C5609,'State Key'!$A$2:$B$210,2,False)</f>
        <v>Chhattisgarh</v>
      </c>
      <c r="E5609" s="21">
        <v>1800.0</v>
      </c>
      <c r="F5609" s="22">
        <v>507.9509</v>
      </c>
      <c r="G5609" s="22">
        <v>0.0</v>
      </c>
      <c r="H5609" s="22">
        <v>0.0</v>
      </c>
      <c r="I5609" s="22">
        <v>26.6779</v>
      </c>
      <c r="J5609" s="22">
        <v>0.0</v>
      </c>
      <c r="K5609" s="22">
        <v>0.0</v>
      </c>
      <c r="L5609" s="22">
        <v>534.6288</v>
      </c>
      <c r="M5609" s="22">
        <v>539.14</v>
      </c>
      <c r="N5609" s="22">
        <v>591.24</v>
      </c>
      <c r="O5609" s="24">
        <v>32.9</v>
      </c>
      <c r="P5609" s="18">
        <f t="shared" si="1"/>
        <v>534.6288</v>
      </c>
    </row>
    <row r="5610" ht="15.75" customHeight="1">
      <c r="A5610" s="13" t="s">
        <v>257</v>
      </c>
      <c r="B5610" s="13" t="s">
        <v>133</v>
      </c>
      <c r="C5610" s="14" t="s">
        <v>135</v>
      </c>
      <c r="D5610" s="14" t="str">
        <f>VLOOKUP(C5610,'State Key'!$A$2:$B$210,2,False)</f>
        <v>Madhya Pradesh</v>
      </c>
      <c r="E5610" s="15">
        <v>210.0</v>
      </c>
      <c r="F5610" s="16">
        <v>97.875</v>
      </c>
      <c r="G5610" s="16">
        <v>0.0</v>
      </c>
      <c r="H5610" s="16">
        <v>0.0</v>
      </c>
      <c r="I5610" s="16">
        <v>0.0</v>
      </c>
      <c r="J5610" s="16">
        <v>0.0</v>
      </c>
      <c r="K5610" s="16">
        <v>0.0</v>
      </c>
      <c r="L5610" s="16">
        <v>97.875</v>
      </c>
      <c r="M5610" s="16">
        <v>96.381</v>
      </c>
      <c r="N5610" s="16">
        <v>47.831</v>
      </c>
      <c r="O5610" s="24">
        <v>14.9</v>
      </c>
      <c r="P5610" s="18">
        <f t="shared" si="1"/>
        <v>97.875</v>
      </c>
    </row>
    <row r="5611" ht="15.75" customHeight="1">
      <c r="A5611" s="19" t="s">
        <v>257</v>
      </c>
      <c r="B5611" s="19" t="s">
        <v>133</v>
      </c>
      <c r="C5611" s="20" t="s">
        <v>136</v>
      </c>
      <c r="D5611" s="14" t="str">
        <f>VLOOKUP(C5611,'State Key'!$A$2:$B$210,2,False)</f>
        <v>Maharashtra</v>
      </c>
      <c r="E5611" s="21">
        <v>1350.0</v>
      </c>
      <c r="F5611" s="22">
        <v>440.31</v>
      </c>
      <c r="G5611" s="22">
        <v>0.0</v>
      </c>
      <c r="H5611" s="22">
        <v>0.0</v>
      </c>
      <c r="I5611" s="22">
        <v>0.0</v>
      </c>
      <c r="J5611" s="22">
        <v>0.0</v>
      </c>
      <c r="K5611" s="22">
        <v>0.0</v>
      </c>
      <c r="L5611" s="22">
        <v>440.31</v>
      </c>
      <c r="M5611" s="22">
        <v>568.575</v>
      </c>
      <c r="N5611" s="22">
        <v>169.22</v>
      </c>
      <c r="O5611" s="23">
        <v>8.9</v>
      </c>
      <c r="P5611" s="18">
        <f t="shared" si="1"/>
        <v>440.31</v>
      </c>
    </row>
    <row r="5612" ht="15.75" customHeight="1">
      <c r="A5612" s="13" t="s">
        <v>257</v>
      </c>
      <c r="B5612" s="13" t="s">
        <v>133</v>
      </c>
      <c r="C5612" s="14" t="s">
        <v>137</v>
      </c>
      <c r="D5612" s="14" t="str">
        <f>VLOOKUP(C5612,'State Key'!$A$2:$B$210,2,False)</f>
        <v>Madhya Pradesh</v>
      </c>
      <c r="E5612" s="15">
        <v>1250.0</v>
      </c>
      <c r="F5612" s="16">
        <v>344.31</v>
      </c>
      <c r="G5612" s="16">
        <v>0.0</v>
      </c>
      <c r="H5612" s="16">
        <v>0.0</v>
      </c>
      <c r="I5612" s="16">
        <v>101.68</v>
      </c>
      <c r="J5612" s="16">
        <v>0.0</v>
      </c>
      <c r="K5612" s="16">
        <v>104.11</v>
      </c>
      <c r="L5612" s="16">
        <v>550.1</v>
      </c>
      <c r="M5612" s="16">
        <v>419.06</v>
      </c>
      <c r="N5612" s="16">
        <v>150.82</v>
      </c>
      <c r="O5612" s="23">
        <v>10.8</v>
      </c>
      <c r="P5612" s="18">
        <f t="shared" si="1"/>
        <v>550.1</v>
      </c>
    </row>
    <row r="5613" ht="15.75" customHeight="1">
      <c r="A5613" s="19" t="s">
        <v>257</v>
      </c>
      <c r="B5613" s="19" t="s">
        <v>133</v>
      </c>
      <c r="C5613" s="20" t="s">
        <v>139</v>
      </c>
      <c r="D5613" s="14" t="str">
        <f>VLOOKUP(C5613,'State Key'!$A$2:$B$210,2,False)</f>
        <v>Chhattisgarh</v>
      </c>
      <c r="E5613" s="21">
        <v>600.0</v>
      </c>
      <c r="F5613" s="22">
        <v>102.9</v>
      </c>
      <c r="G5613" s="22">
        <v>0.0</v>
      </c>
      <c r="H5613" s="22">
        <v>0.0</v>
      </c>
      <c r="I5613" s="22">
        <v>35.9</v>
      </c>
      <c r="J5613" s="22">
        <v>0.0</v>
      </c>
      <c r="K5613" s="22">
        <v>0.0</v>
      </c>
      <c r="L5613" s="22">
        <v>138.8</v>
      </c>
      <c r="M5613" s="22">
        <v>136.0</v>
      </c>
      <c r="N5613" s="22">
        <v>16.94</v>
      </c>
      <c r="O5613" s="17">
        <v>3.7</v>
      </c>
      <c r="P5613" s="18">
        <f t="shared" si="1"/>
        <v>138.8</v>
      </c>
    </row>
    <row r="5614" ht="15.75" customHeight="1">
      <c r="A5614" s="13" t="s">
        <v>257</v>
      </c>
      <c r="B5614" s="13" t="s">
        <v>133</v>
      </c>
      <c r="C5614" s="14" t="s">
        <v>140</v>
      </c>
      <c r="D5614" s="14" t="str">
        <f>VLOOKUP(C5614,'State Key'!$A$2:$B$210,2,False)</f>
        <v>Chhattisgarh</v>
      </c>
      <c r="E5614" s="15">
        <v>300.0</v>
      </c>
      <c r="F5614" s="16">
        <v>121.12</v>
      </c>
      <c r="G5614" s="16">
        <v>0.0</v>
      </c>
      <c r="H5614" s="16">
        <v>0.0</v>
      </c>
      <c r="I5614" s="16">
        <v>45.191</v>
      </c>
      <c r="J5614" s="16">
        <v>0.0</v>
      </c>
      <c r="K5614" s="16">
        <v>0.0</v>
      </c>
      <c r="L5614" s="16">
        <v>166.311</v>
      </c>
      <c r="M5614" s="16">
        <v>142.506</v>
      </c>
      <c r="N5614" s="16">
        <v>172.22</v>
      </c>
      <c r="O5614" s="24">
        <v>36.3</v>
      </c>
      <c r="P5614" s="18">
        <f t="shared" si="1"/>
        <v>166.311</v>
      </c>
    </row>
    <row r="5615" ht="15.75" customHeight="1">
      <c r="A5615" s="19" t="s">
        <v>257</v>
      </c>
      <c r="B5615" s="19" t="s">
        <v>133</v>
      </c>
      <c r="C5615" s="20" t="s">
        <v>141</v>
      </c>
      <c r="D5615" s="14" t="str">
        <f>VLOOKUP(C5615,'State Key'!$A$2:$B$210,2,False)</f>
        <v>Chhattisgarh</v>
      </c>
      <c r="E5615" s="21">
        <v>1200.0</v>
      </c>
      <c r="F5615" s="22">
        <v>642.61</v>
      </c>
      <c r="G5615" s="22">
        <v>0.0</v>
      </c>
      <c r="H5615" s="22">
        <v>0.0</v>
      </c>
      <c r="I5615" s="22">
        <v>0.0</v>
      </c>
      <c r="J5615" s="22">
        <v>0.0</v>
      </c>
      <c r="K5615" s="22">
        <v>0.0</v>
      </c>
      <c r="L5615" s="22">
        <v>642.61</v>
      </c>
      <c r="M5615" s="22">
        <v>534.184</v>
      </c>
      <c r="N5615" s="22">
        <v>182.97</v>
      </c>
      <c r="O5615" s="23">
        <v>10.3</v>
      </c>
      <c r="P5615" s="18">
        <f t="shared" si="1"/>
        <v>642.61</v>
      </c>
    </row>
    <row r="5616" ht="15.75" customHeight="1">
      <c r="A5616" s="13" t="s">
        <v>257</v>
      </c>
      <c r="B5616" s="13" t="s">
        <v>133</v>
      </c>
      <c r="C5616" s="14" t="s">
        <v>142</v>
      </c>
      <c r="D5616" s="14" t="str">
        <f>VLOOKUP(C5616,'State Key'!$A$2:$B$210,2,False)</f>
        <v>Maharashtra</v>
      </c>
      <c r="E5616" s="15">
        <v>270.0</v>
      </c>
      <c r="F5616" s="16">
        <v>65.786</v>
      </c>
      <c r="G5616" s="16">
        <v>0.0</v>
      </c>
      <c r="H5616" s="16">
        <v>0.0</v>
      </c>
      <c r="I5616" s="16">
        <v>53.985</v>
      </c>
      <c r="J5616" s="16">
        <v>0.0</v>
      </c>
      <c r="K5616" s="16">
        <v>0.0</v>
      </c>
      <c r="L5616" s="16">
        <v>119.771</v>
      </c>
      <c r="M5616" s="16">
        <v>108.717</v>
      </c>
      <c r="N5616" s="16">
        <v>33.9</v>
      </c>
      <c r="O5616" s="23">
        <v>9.4</v>
      </c>
      <c r="P5616" s="18">
        <f t="shared" si="1"/>
        <v>119.771</v>
      </c>
    </row>
    <row r="5617" ht="15.75" customHeight="1">
      <c r="A5617" s="19" t="s">
        <v>257</v>
      </c>
      <c r="B5617" s="19" t="s">
        <v>133</v>
      </c>
      <c r="C5617" s="20" t="s">
        <v>143</v>
      </c>
      <c r="D5617" s="14" t="str">
        <f>VLOOKUP(C5617,'State Key'!$A$2:$B$210,2,False)</f>
        <v>Chhattisgarh</v>
      </c>
      <c r="E5617" s="21">
        <v>500.0</v>
      </c>
      <c r="F5617" s="22">
        <v>262.219</v>
      </c>
      <c r="G5617" s="22">
        <v>8.096</v>
      </c>
      <c r="H5617" s="22">
        <v>0.0</v>
      </c>
      <c r="I5617" s="22">
        <v>0.0</v>
      </c>
      <c r="J5617" s="22">
        <v>0.0</v>
      </c>
      <c r="K5617" s="22">
        <v>0.0</v>
      </c>
      <c r="L5617" s="22">
        <v>270.315</v>
      </c>
      <c r="M5617" s="22">
        <v>259.267</v>
      </c>
      <c r="N5617" s="22">
        <v>207.556</v>
      </c>
      <c r="O5617" s="24">
        <v>24.0</v>
      </c>
      <c r="P5617" s="18">
        <f t="shared" si="1"/>
        <v>270.315</v>
      </c>
    </row>
    <row r="5618" ht="15.75" customHeight="1">
      <c r="A5618" s="13" t="s">
        <v>257</v>
      </c>
      <c r="B5618" s="13" t="s">
        <v>133</v>
      </c>
      <c r="C5618" s="14" t="s">
        <v>144</v>
      </c>
      <c r="D5618" s="14" t="str">
        <f>VLOOKUP(C5618,'State Key'!$A$2:$B$210,2,False)</f>
        <v>Maharashtra</v>
      </c>
      <c r="E5618" s="15">
        <v>1870.0</v>
      </c>
      <c r="F5618" s="16">
        <v>607.553</v>
      </c>
      <c r="G5618" s="16">
        <v>113.506</v>
      </c>
      <c r="H5618" s="16">
        <v>0.0</v>
      </c>
      <c r="I5618" s="16">
        <v>0.0</v>
      </c>
      <c r="J5618" s="16">
        <v>0.0</v>
      </c>
      <c r="K5618" s="16">
        <v>0.0</v>
      </c>
      <c r="L5618" s="16">
        <v>721.059</v>
      </c>
      <c r="M5618" s="16">
        <v>406.488</v>
      </c>
      <c r="N5618" s="16">
        <v>664.78</v>
      </c>
      <c r="O5618" s="24">
        <v>49.1</v>
      </c>
      <c r="P5618" s="18">
        <f t="shared" si="1"/>
        <v>721.059</v>
      </c>
    </row>
    <row r="5619" ht="15.75" customHeight="1">
      <c r="A5619" s="19" t="s">
        <v>257</v>
      </c>
      <c r="B5619" s="19" t="s">
        <v>133</v>
      </c>
      <c r="C5619" s="20" t="s">
        <v>145</v>
      </c>
      <c r="D5619" s="14" t="str">
        <f>VLOOKUP(C5619,'State Key'!$A$2:$B$210,2,False)</f>
        <v>Madhya Pradesh</v>
      </c>
      <c r="E5619" s="21">
        <v>500.0</v>
      </c>
      <c r="F5619" s="22">
        <v>167.30325614</v>
      </c>
      <c r="G5619" s="22">
        <v>0.0</v>
      </c>
      <c r="H5619" s="22">
        <v>0.0</v>
      </c>
      <c r="I5619" s="22">
        <v>46.0965483</v>
      </c>
      <c r="J5619" s="22">
        <v>0.0</v>
      </c>
      <c r="K5619" s="22">
        <v>0.16342208</v>
      </c>
      <c r="L5619" s="22">
        <v>213.56322652</v>
      </c>
      <c r="M5619" s="22">
        <v>196.675</v>
      </c>
      <c r="N5619" s="22">
        <v>193.04</v>
      </c>
      <c r="O5619" s="24">
        <v>29.4</v>
      </c>
      <c r="P5619" s="18">
        <f t="shared" si="1"/>
        <v>213.5632265</v>
      </c>
    </row>
    <row r="5620" ht="15.75" customHeight="1">
      <c r="A5620" s="13" t="s">
        <v>257</v>
      </c>
      <c r="B5620" s="13" t="s">
        <v>133</v>
      </c>
      <c r="C5620" s="14" t="s">
        <v>146</v>
      </c>
      <c r="D5620" s="14" t="str">
        <f>VLOOKUP(C5620,'State Key'!$A$2:$B$210,2,False)</f>
        <v>Chhattisgarh</v>
      </c>
      <c r="E5620" s="15">
        <v>600.0</v>
      </c>
      <c r="F5620" s="16">
        <v>0.0</v>
      </c>
      <c r="G5620" s="16">
        <v>0.0</v>
      </c>
      <c r="H5620" s="16">
        <v>81.48</v>
      </c>
      <c r="I5620" s="16">
        <v>251.388</v>
      </c>
      <c r="J5620" s="16">
        <v>0.0</v>
      </c>
      <c r="K5620" s="16">
        <v>8.594</v>
      </c>
      <c r="L5620" s="16">
        <v>341.462</v>
      </c>
      <c r="M5620" s="16">
        <v>248.267</v>
      </c>
      <c r="N5620" s="16">
        <v>145.82</v>
      </c>
      <c r="O5620" s="24">
        <v>17.6</v>
      </c>
      <c r="P5620" s="18">
        <f t="shared" si="1"/>
        <v>341.462</v>
      </c>
    </row>
    <row r="5621" ht="15.75" customHeight="1">
      <c r="A5621" s="19" t="s">
        <v>257</v>
      </c>
      <c r="B5621" s="19" t="s">
        <v>133</v>
      </c>
      <c r="C5621" s="20" t="s">
        <v>147</v>
      </c>
      <c r="D5621" s="14" t="str">
        <f>VLOOKUP(C5621,'State Key'!$A$2:$B$210,2,False)</f>
        <v>Maharashtra</v>
      </c>
      <c r="E5621" s="21">
        <v>600.0</v>
      </c>
      <c r="F5621" s="22">
        <v>181.008</v>
      </c>
      <c r="G5621" s="22">
        <v>0.0</v>
      </c>
      <c r="H5621" s="22">
        <v>0.0</v>
      </c>
      <c r="I5621" s="22">
        <v>0.0</v>
      </c>
      <c r="J5621" s="22">
        <v>0.0</v>
      </c>
      <c r="K5621" s="22">
        <v>52.698</v>
      </c>
      <c r="L5621" s="22">
        <v>233.706</v>
      </c>
      <c r="M5621" s="22">
        <v>237.783</v>
      </c>
      <c r="N5621" s="22">
        <v>51.5</v>
      </c>
      <c r="O5621" s="17">
        <v>6.5</v>
      </c>
      <c r="P5621" s="18">
        <f t="shared" si="1"/>
        <v>233.706</v>
      </c>
    </row>
    <row r="5622" ht="15.75" customHeight="1">
      <c r="A5622" s="13" t="s">
        <v>257</v>
      </c>
      <c r="B5622" s="13" t="s">
        <v>133</v>
      </c>
      <c r="C5622" s="14" t="s">
        <v>148</v>
      </c>
      <c r="D5622" s="14" t="str">
        <f>VLOOKUP(C5622,'State Key'!$A$2:$B$210,2,False)</f>
        <v>Chhattisgarh</v>
      </c>
      <c r="E5622" s="15">
        <v>30.0</v>
      </c>
      <c r="F5622" s="16">
        <v>6.667</v>
      </c>
      <c r="G5622" s="16">
        <v>0.0</v>
      </c>
      <c r="H5622" s="16">
        <v>0.0</v>
      </c>
      <c r="I5622" s="16">
        <v>0.0</v>
      </c>
      <c r="J5622" s="16">
        <v>0.0</v>
      </c>
      <c r="K5622" s="16">
        <v>47.8121</v>
      </c>
      <c r="L5622" s="16">
        <v>54.4791</v>
      </c>
      <c r="M5622" s="16">
        <v>49.87</v>
      </c>
      <c r="N5622" s="16">
        <v>13.32</v>
      </c>
      <c r="O5622" s="23">
        <v>8.0</v>
      </c>
      <c r="P5622" s="18">
        <f t="shared" si="1"/>
        <v>54.4791</v>
      </c>
    </row>
    <row r="5623" ht="15.75" customHeight="1">
      <c r="A5623" s="19" t="s">
        <v>257</v>
      </c>
      <c r="B5623" s="19" t="s">
        <v>133</v>
      </c>
      <c r="C5623" s="20" t="s">
        <v>149</v>
      </c>
      <c r="D5623" s="14" t="str">
        <f>VLOOKUP(C5623,'State Key'!$A$2:$B$210,2,False)</f>
        <v>Maharashtra</v>
      </c>
      <c r="E5623" s="21">
        <v>2920.0</v>
      </c>
      <c r="F5623" s="22">
        <v>760.319</v>
      </c>
      <c r="G5623" s="22">
        <v>284.565</v>
      </c>
      <c r="H5623" s="22">
        <v>0.0</v>
      </c>
      <c r="I5623" s="22">
        <v>0.0</v>
      </c>
      <c r="J5623" s="22">
        <v>0.0</v>
      </c>
      <c r="K5623" s="22">
        <v>0.0</v>
      </c>
      <c r="L5623" s="22">
        <v>1044.884</v>
      </c>
      <c r="M5623" s="22">
        <v>888.337</v>
      </c>
      <c r="N5623" s="22">
        <v>412.71</v>
      </c>
      <c r="O5623" s="23">
        <v>13.9</v>
      </c>
      <c r="P5623" s="18">
        <f t="shared" si="1"/>
        <v>1044.884</v>
      </c>
    </row>
    <row r="5624" ht="15.75" customHeight="1">
      <c r="A5624" s="13" t="s">
        <v>257</v>
      </c>
      <c r="B5624" s="13" t="s">
        <v>133</v>
      </c>
      <c r="C5624" s="14" t="s">
        <v>150</v>
      </c>
      <c r="D5624" s="14" t="str">
        <f>VLOOKUP(C5624,'State Key'!$A$2:$B$210,2,False)</f>
        <v>Maharashtra</v>
      </c>
      <c r="E5624" s="15">
        <v>500.0</v>
      </c>
      <c r="F5624" s="16">
        <v>182.967</v>
      </c>
      <c r="G5624" s="16">
        <v>0.0</v>
      </c>
      <c r="H5624" s="16">
        <v>0.0</v>
      </c>
      <c r="I5624" s="16">
        <v>0.0</v>
      </c>
      <c r="J5624" s="16">
        <v>0.0</v>
      </c>
      <c r="K5624" s="16">
        <v>0.0</v>
      </c>
      <c r="L5624" s="16">
        <v>182.967</v>
      </c>
      <c r="M5624" s="16">
        <v>158.536</v>
      </c>
      <c r="N5624" s="16">
        <v>45.85</v>
      </c>
      <c r="O5624" s="23">
        <v>8.7</v>
      </c>
      <c r="P5624" s="18">
        <f t="shared" si="1"/>
        <v>182.967</v>
      </c>
    </row>
    <row r="5625" ht="15.75" customHeight="1">
      <c r="A5625" s="19" t="s">
        <v>257</v>
      </c>
      <c r="B5625" s="19" t="s">
        <v>133</v>
      </c>
      <c r="C5625" s="20" t="s">
        <v>151</v>
      </c>
      <c r="D5625" s="14" t="str">
        <f>VLOOKUP(C5625,'State Key'!$A$2:$B$210,2,False)</f>
        <v>Maharashtra</v>
      </c>
      <c r="E5625" s="21">
        <v>600.0</v>
      </c>
      <c r="F5625" s="22">
        <v>130.101</v>
      </c>
      <c r="G5625" s="22">
        <v>0.0</v>
      </c>
      <c r="H5625" s="22">
        <v>0.0</v>
      </c>
      <c r="I5625" s="22">
        <v>127.411</v>
      </c>
      <c r="J5625" s="22">
        <v>0.0</v>
      </c>
      <c r="K5625" s="22">
        <v>0.0</v>
      </c>
      <c r="L5625" s="22">
        <v>257.512</v>
      </c>
      <c r="M5625" s="22">
        <v>217.162</v>
      </c>
      <c r="N5625" s="22">
        <v>149.6</v>
      </c>
      <c r="O5625" s="24">
        <v>20.7</v>
      </c>
      <c r="P5625" s="18">
        <f t="shared" si="1"/>
        <v>257.512</v>
      </c>
    </row>
    <row r="5626" ht="15.75" customHeight="1">
      <c r="A5626" s="13" t="s">
        <v>257</v>
      </c>
      <c r="B5626" s="13" t="s">
        <v>133</v>
      </c>
      <c r="C5626" s="14" t="s">
        <v>152</v>
      </c>
      <c r="D5626" s="14" t="str">
        <f>VLOOKUP(C5626,'State Key'!$A$2:$B$210,2,False)</f>
        <v>Chhattisgarh</v>
      </c>
      <c r="E5626" s="15">
        <v>500.0</v>
      </c>
      <c r="F5626" s="16">
        <v>0.0</v>
      </c>
      <c r="G5626" s="16">
        <v>339.17</v>
      </c>
      <c r="H5626" s="16">
        <v>0.0</v>
      </c>
      <c r="I5626" s="16">
        <v>0.0</v>
      </c>
      <c r="J5626" s="16">
        <v>0.0</v>
      </c>
      <c r="K5626" s="16">
        <v>0.0</v>
      </c>
      <c r="L5626" s="16">
        <v>339.17</v>
      </c>
      <c r="M5626" s="16">
        <v>229.901</v>
      </c>
      <c r="N5626" s="16">
        <v>178.262</v>
      </c>
      <c r="O5626" s="24">
        <v>23.3</v>
      </c>
      <c r="P5626" s="18">
        <f t="shared" si="1"/>
        <v>339.17</v>
      </c>
    </row>
    <row r="5627" ht="15.75" customHeight="1">
      <c r="A5627" s="19" t="s">
        <v>257</v>
      </c>
      <c r="B5627" s="19" t="s">
        <v>133</v>
      </c>
      <c r="C5627" s="20" t="s">
        <v>153</v>
      </c>
      <c r="D5627" s="14" t="str">
        <f>VLOOKUP(C5627,'State Key'!$A$2:$B$210,2,False)</f>
        <v>Madhya Pradesh</v>
      </c>
      <c r="E5627" s="21">
        <v>1600.0</v>
      </c>
      <c r="F5627" s="22">
        <v>454.38</v>
      </c>
      <c r="G5627" s="22">
        <v>0.0</v>
      </c>
      <c r="H5627" s="22">
        <v>52.65</v>
      </c>
      <c r="I5627" s="22">
        <v>0.0</v>
      </c>
      <c r="J5627" s="22">
        <v>0.0</v>
      </c>
      <c r="K5627" s="22">
        <v>28.03</v>
      </c>
      <c r="L5627" s="22">
        <v>535.06</v>
      </c>
      <c r="M5627" s="22">
        <v>556.01</v>
      </c>
      <c r="N5627" s="22">
        <v>160.75</v>
      </c>
      <c r="O5627" s="23">
        <v>8.7</v>
      </c>
      <c r="P5627" s="18">
        <f t="shared" si="1"/>
        <v>535.06</v>
      </c>
    </row>
    <row r="5628" ht="15.75" customHeight="1">
      <c r="A5628" s="13" t="s">
        <v>257</v>
      </c>
      <c r="B5628" s="13" t="s">
        <v>133</v>
      </c>
      <c r="C5628" s="14" t="s">
        <v>154</v>
      </c>
      <c r="D5628" s="14" t="str">
        <f>VLOOKUP(C5628,'State Key'!$A$2:$B$210,2,False)</f>
        <v>Gujarat</v>
      </c>
      <c r="E5628" s="15">
        <v>630.0</v>
      </c>
      <c r="F5628" s="16">
        <v>16.272</v>
      </c>
      <c r="G5628" s="16">
        <v>0.0</v>
      </c>
      <c r="H5628" s="16">
        <v>0.0</v>
      </c>
      <c r="I5628" s="16">
        <v>0.0</v>
      </c>
      <c r="J5628" s="16">
        <v>0.0</v>
      </c>
      <c r="K5628" s="16">
        <v>0.0</v>
      </c>
      <c r="L5628" s="16">
        <v>16.272</v>
      </c>
      <c r="M5628" s="16">
        <v>0.0</v>
      </c>
      <c r="N5628" s="16">
        <v>322.85</v>
      </c>
      <c r="O5628" s="13" t="s">
        <v>58</v>
      </c>
      <c r="P5628" s="18">
        <f t="shared" si="1"/>
        <v>16.272</v>
      </c>
    </row>
    <row r="5629" ht="15.75" customHeight="1">
      <c r="A5629" s="19" t="s">
        <v>257</v>
      </c>
      <c r="B5629" s="19" t="s">
        <v>133</v>
      </c>
      <c r="C5629" s="20" t="s">
        <v>155</v>
      </c>
      <c r="D5629" s="14" t="str">
        <f>VLOOKUP(C5629,'State Key'!$A$2:$B$210,2,False)</f>
        <v>Maharashtra</v>
      </c>
      <c r="E5629" s="21">
        <v>120.0</v>
      </c>
      <c r="F5629" s="22">
        <v>0.0</v>
      </c>
      <c r="G5629" s="22">
        <v>0.0</v>
      </c>
      <c r="H5629" s="22">
        <v>0.0</v>
      </c>
      <c r="I5629" s="22">
        <v>0.0</v>
      </c>
      <c r="J5629" s="22">
        <v>0.0</v>
      </c>
      <c r="K5629" s="22">
        <v>0.0</v>
      </c>
      <c r="L5629" s="22">
        <v>0.0</v>
      </c>
      <c r="M5629" s="22">
        <v>0.0</v>
      </c>
      <c r="N5629" s="22">
        <v>0.0</v>
      </c>
      <c r="O5629" s="19" t="s">
        <v>58</v>
      </c>
      <c r="P5629" s="18">
        <f t="shared" si="1"/>
        <v>0</v>
      </c>
    </row>
    <row r="5630" ht="15.75" customHeight="1">
      <c r="A5630" s="13" t="s">
        <v>257</v>
      </c>
      <c r="B5630" s="13" t="s">
        <v>133</v>
      </c>
      <c r="C5630" s="14" t="s">
        <v>156</v>
      </c>
      <c r="D5630" s="14" t="str">
        <f>VLOOKUP(C5630,'State Key'!$A$2:$B$210,2,False)</f>
        <v>Maharashtra</v>
      </c>
      <c r="E5630" s="15">
        <v>600.0</v>
      </c>
      <c r="F5630" s="16">
        <v>190.573</v>
      </c>
      <c r="G5630" s="16">
        <v>0.0</v>
      </c>
      <c r="H5630" s="16">
        <v>0.0</v>
      </c>
      <c r="I5630" s="16">
        <v>44.77</v>
      </c>
      <c r="J5630" s="16">
        <v>0.0</v>
      </c>
      <c r="K5630" s="16">
        <v>0.0</v>
      </c>
      <c r="L5630" s="16">
        <v>235.343</v>
      </c>
      <c r="M5630" s="16">
        <v>270.257</v>
      </c>
      <c r="N5630" s="16">
        <v>79.67</v>
      </c>
      <c r="O5630" s="23">
        <v>8.8</v>
      </c>
      <c r="P5630" s="18">
        <f t="shared" si="1"/>
        <v>235.343</v>
      </c>
    </row>
    <row r="5631" ht="15.75" customHeight="1">
      <c r="A5631" s="19" t="s">
        <v>257</v>
      </c>
      <c r="B5631" s="19" t="s">
        <v>133</v>
      </c>
      <c r="C5631" s="20" t="s">
        <v>157</v>
      </c>
      <c r="D5631" s="14" t="str">
        <f>VLOOKUP(C5631,'State Key'!$A$2:$B$210,2,False)</f>
        <v>Maharashtra</v>
      </c>
      <c r="E5631" s="21">
        <v>300.0</v>
      </c>
      <c r="F5631" s="22">
        <v>0.0</v>
      </c>
      <c r="G5631" s="22">
        <v>0.0</v>
      </c>
      <c r="H5631" s="22">
        <v>0.0</v>
      </c>
      <c r="I5631" s="22">
        <v>0.0</v>
      </c>
      <c r="J5631" s="22">
        <v>55.0</v>
      </c>
      <c r="K5631" s="22">
        <v>0.0</v>
      </c>
      <c r="L5631" s="22">
        <v>55.0</v>
      </c>
      <c r="M5631" s="22">
        <v>65.12</v>
      </c>
      <c r="N5631" s="22">
        <v>39.84</v>
      </c>
      <c r="O5631" s="24">
        <v>18.4</v>
      </c>
      <c r="P5631" s="18">
        <f t="shared" si="1"/>
        <v>55</v>
      </c>
    </row>
    <row r="5632" ht="15.75" customHeight="1">
      <c r="A5632" s="13" t="s">
        <v>257</v>
      </c>
      <c r="B5632" s="13" t="s">
        <v>133</v>
      </c>
      <c r="C5632" s="14" t="s">
        <v>158</v>
      </c>
      <c r="D5632" s="14" t="str">
        <f>VLOOKUP(C5632,'State Key'!$A$2:$B$210,2,False)</f>
        <v>Chhattisgarh</v>
      </c>
      <c r="E5632" s="15">
        <v>270.0</v>
      </c>
      <c r="F5632" s="16">
        <v>51.3046</v>
      </c>
      <c r="G5632" s="16">
        <v>0.0</v>
      </c>
      <c r="H5632" s="16">
        <v>0.0</v>
      </c>
      <c r="I5632" s="16">
        <v>0.0</v>
      </c>
      <c r="J5632" s="16">
        <v>0.0</v>
      </c>
      <c r="K5632" s="16">
        <v>66.157</v>
      </c>
      <c r="L5632" s="16">
        <v>117.4616</v>
      </c>
      <c r="M5632" s="16">
        <v>81.44</v>
      </c>
      <c r="N5632" s="16">
        <v>69.06</v>
      </c>
      <c r="O5632" s="24">
        <v>25.4</v>
      </c>
      <c r="P5632" s="18">
        <f t="shared" si="1"/>
        <v>117.4616</v>
      </c>
    </row>
    <row r="5633" ht="15.75" customHeight="1">
      <c r="A5633" s="19" t="s">
        <v>257</v>
      </c>
      <c r="B5633" s="19" t="s">
        <v>133</v>
      </c>
      <c r="C5633" s="20" t="s">
        <v>160</v>
      </c>
      <c r="D5633" s="14" t="str">
        <f>VLOOKUP(C5633,'State Key'!$A$2:$B$210,2,False)</f>
        <v>Maharashtra</v>
      </c>
      <c r="E5633" s="21">
        <v>1340.0</v>
      </c>
      <c r="F5633" s="22">
        <v>497.884</v>
      </c>
      <c r="G5633" s="22">
        <v>0.0</v>
      </c>
      <c r="H5633" s="22">
        <v>0.0</v>
      </c>
      <c r="I5633" s="22">
        <v>0.0</v>
      </c>
      <c r="J5633" s="22">
        <v>0.0</v>
      </c>
      <c r="K5633" s="22">
        <v>0.202</v>
      </c>
      <c r="L5633" s="22">
        <v>498.086</v>
      </c>
      <c r="M5633" s="22">
        <v>586.182</v>
      </c>
      <c r="N5633" s="22">
        <v>246.04</v>
      </c>
      <c r="O5633" s="23">
        <v>12.6</v>
      </c>
      <c r="P5633" s="18">
        <f t="shared" si="1"/>
        <v>498.086</v>
      </c>
    </row>
    <row r="5634" ht="15.75" customHeight="1">
      <c r="A5634" s="13" t="s">
        <v>257</v>
      </c>
      <c r="B5634" s="13" t="s">
        <v>133</v>
      </c>
      <c r="C5634" s="14" t="s">
        <v>161</v>
      </c>
      <c r="D5634" s="14" t="str">
        <f>VLOOKUP(C5634,'State Key'!$A$2:$B$210,2,False)</f>
        <v>Madhya Pradesh</v>
      </c>
      <c r="E5634" s="15">
        <v>1320.0</v>
      </c>
      <c r="F5634" s="16">
        <v>234.69</v>
      </c>
      <c r="G5634" s="16">
        <v>0.0</v>
      </c>
      <c r="H5634" s="16">
        <v>41.83</v>
      </c>
      <c r="I5634" s="16">
        <v>0.0</v>
      </c>
      <c r="J5634" s="16">
        <v>0.0</v>
      </c>
      <c r="K5634" s="16">
        <v>161.0</v>
      </c>
      <c r="L5634" s="16">
        <v>437.52</v>
      </c>
      <c r="M5634" s="16">
        <v>363.5</v>
      </c>
      <c r="N5634" s="16">
        <v>466.38</v>
      </c>
      <c r="O5634" s="24">
        <v>38.5</v>
      </c>
      <c r="P5634" s="18">
        <f t="shared" si="1"/>
        <v>437.52</v>
      </c>
    </row>
    <row r="5635" ht="15.75" customHeight="1">
      <c r="A5635" s="19" t="s">
        <v>257</v>
      </c>
      <c r="B5635" s="19" t="s">
        <v>133</v>
      </c>
      <c r="C5635" s="20" t="s">
        <v>162</v>
      </c>
      <c r="D5635" s="14" t="str">
        <f>VLOOKUP(C5635,'State Key'!$A$2:$B$210,2,False)</f>
        <v>Maharashtra</v>
      </c>
      <c r="E5635" s="21">
        <v>2190.0</v>
      </c>
      <c r="F5635" s="22">
        <v>698.56</v>
      </c>
      <c r="G5635" s="22">
        <v>5.53</v>
      </c>
      <c r="H5635" s="22">
        <v>0.0</v>
      </c>
      <c r="I5635" s="22">
        <v>0.0</v>
      </c>
      <c r="J5635" s="22">
        <v>0.0</v>
      </c>
      <c r="K5635" s="22">
        <v>0.0</v>
      </c>
      <c r="L5635" s="22">
        <v>704.09</v>
      </c>
      <c r="M5635" s="22">
        <v>927.346</v>
      </c>
      <c r="N5635" s="22">
        <v>164.727</v>
      </c>
      <c r="O5635" s="17">
        <v>5.3</v>
      </c>
      <c r="P5635" s="18">
        <f t="shared" si="1"/>
        <v>704.09</v>
      </c>
    </row>
    <row r="5636" ht="15.75" customHeight="1">
      <c r="A5636" s="13" t="s">
        <v>257</v>
      </c>
      <c r="B5636" s="13" t="s">
        <v>133</v>
      </c>
      <c r="C5636" s="14" t="s">
        <v>163</v>
      </c>
      <c r="D5636" s="14" t="str">
        <f>VLOOKUP(C5636,'State Key'!$A$2:$B$210,2,False)</f>
        <v>Chhattisgarh</v>
      </c>
      <c r="E5636" s="15">
        <v>2600.0</v>
      </c>
      <c r="F5636" s="16">
        <v>1040.8</v>
      </c>
      <c r="G5636" s="16">
        <v>0.0</v>
      </c>
      <c r="H5636" s="16">
        <v>0.0</v>
      </c>
      <c r="I5636" s="16">
        <v>0.0</v>
      </c>
      <c r="J5636" s="16">
        <v>0.0</v>
      </c>
      <c r="K5636" s="16">
        <v>0.0</v>
      </c>
      <c r="L5636" s="16">
        <v>1040.8</v>
      </c>
      <c r="M5636" s="16">
        <v>1260.318</v>
      </c>
      <c r="N5636" s="16">
        <v>102.37</v>
      </c>
      <c r="O5636" s="17">
        <v>2.4</v>
      </c>
      <c r="P5636" s="18">
        <f t="shared" si="1"/>
        <v>1040.8</v>
      </c>
    </row>
    <row r="5637" ht="15.75" customHeight="1">
      <c r="A5637" s="19" t="s">
        <v>257</v>
      </c>
      <c r="B5637" s="19" t="s">
        <v>133</v>
      </c>
      <c r="C5637" s="20" t="s">
        <v>164</v>
      </c>
      <c r="D5637" s="14" t="str">
        <f>VLOOKUP(C5637,'State Key'!$A$2:$B$210,2,False)</f>
        <v>Chhattisgarh</v>
      </c>
      <c r="E5637" s="21">
        <v>1340.0</v>
      </c>
      <c r="F5637" s="22">
        <v>581.831</v>
      </c>
      <c r="G5637" s="22">
        <v>0.0</v>
      </c>
      <c r="H5637" s="22">
        <v>0.0</v>
      </c>
      <c r="I5637" s="22">
        <v>0.0</v>
      </c>
      <c r="J5637" s="22">
        <v>0.0</v>
      </c>
      <c r="K5637" s="22">
        <v>0.0</v>
      </c>
      <c r="L5637" s="22">
        <v>581.831</v>
      </c>
      <c r="M5637" s="22">
        <v>503.15</v>
      </c>
      <c r="N5637" s="22">
        <v>191.23</v>
      </c>
      <c r="O5637" s="23">
        <v>11.4</v>
      </c>
      <c r="P5637" s="18">
        <f t="shared" si="1"/>
        <v>581.831</v>
      </c>
    </row>
    <row r="5638" ht="15.75" customHeight="1">
      <c r="A5638" s="13" t="s">
        <v>257</v>
      </c>
      <c r="B5638" s="13" t="s">
        <v>133</v>
      </c>
      <c r="C5638" s="14" t="s">
        <v>165</v>
      </c>
      <c r="D5638" s="14" t="str">
        <f>VLOOKUP(C5638,'State Key'!$A$2:$B$210,2,False)</f>
        <v>Chhattisgarh</v>
      </c>
      <c r="E5638" s="15">
        <v>1600.0</v>
      </c>
      <c r="F5638" s="16">
        <v>11.31</v>
      </c>
      <c r="G5638" s="16">
        <v>0.0</v>
      </c>
      <c r="H5638" s="16">
        <v>613.2</v>
      </c>
      <c r="I5638" s="16">
        <v>0.0</v>
      </c>
      <c r="J5638" s="16">
        <v>0.0</v>
      </c>
      <c r="K5638" s="16">
        <v>0.0</v>
      </c>
      <c r="L5638" s="16">
        <v>624.51</v>
      </c>
      <c r="M5638" s="16">
        <v>624.839</v>
      </c>
      <c r="N5638" s="16">
        <v>497.33</v>
      </c>
      <c r="O5638" s="24">
        <v>23.9</v>
      </c>
      <c r="P5638" s="18">
        <f t="shared" si="1"/>
        <v>624.51</v>
      </c>
    </row>
    <row r="5639" ht="15.75" customHeight="1">
      <c r="A5639" s="19" t="s">
        <v>257</v>
      </c>
      <c r="B5639" s="19" t="s">
        <v>133</v>
      </c>
      <c r="C5639" s="20" t="s">
        <v>166</v>
      </c>
      <c r="D5639" s="14" t="str">
        <f>VLOOKUP(C5639,'State Key'!$A$2:$B$210,2,False)</f>
        <v>Madhya Pradesh</v>
      </c>
      <c r="E5639" s="21">
        <v>1200.0</v>
      </c>
      <c r="F5639" s="22">
        <v>131.144</v>
      </c>
      <c r="G5639" s="22">
        <v>0.0</v>
      </c>
      <c r="H5639" s="22">
        <v>0.0</v>
      </c>
      <c r="I5639" s="22">
        <v>0.0</v>
      </c>
      <c r="J5639" s="22">
        <v>0.0</v>
      </c>
      <c r="K5639" s="22">
        <v>250.275</v>
      </c>
      <c r="L5639" s="22">
        <v>381.419</v>
      </c>
      <c r="M5639" s="22">
        <v>379.007</v>
      </c>
      <c r="N5639" s="22">
        <v>22.43</v>
      </c>
      <c r="O5639" s="17">
        <v>1.8</v>
      </c>
      <c r="P5639" s="18">
        <f t="shared" si="1"/>
        <v>381.419</v>
      </c>
    </row>
    <row r="5640" ht="15.75" customHeight="1">
      <c r="A5640" s="13" t="s">
        <v>257</v>
      </c>
      <c r="B5640" s="13" t="s">
        <v>133</v>
      </c>
      <c r="C5640" s="14" t="s">
        <v>167</v>
      </c>
      <c r="D5640" s="14" t="str">
        <f>VLOOKUP(C5640,'State Key'!$A$2:$B$210,2,False)</f>
        <v>Chhattisgarh</v>
      </c>
      <c r="E5640" s="15">
        <v>1000.0</v>
      </c>
      <c r="F5640" s="16">
        <v>7.096</v>
      </c>
      <c r="G5640" s="16">
        <v>0.0</v>
      </c>
      <c r="H5640" s="16">
        <v>298.093</v>
      </c>
      <c r="I5640" s="16">
        <v>0.0</v>
      </c>
      <c r="J5640" s="16">
        <v>0.0</v>
      </c>
      <c r="K5640" s="16">
        <v>0.0</v>
      </c>
      <c r="L5640" s="16">
        <v>305.189</v>
      </c>
      <c r="M5640" s="16">
        <v>425.669</v>
      </c>
      <c r="N5640" s="16">
        <v>248.28</v>
      </c>
      <c r="O5640" s="24">
        <v>17.5</v>
      </c>
      <c r="P5640" s="18">
        <f t="shared" si="1"/>
        <v>305.189</v>
      </c>
    </row>
    <row r="5641" ht="15.75" customHeight="1">
      <c r="A5641" s="19" t="s">
        <v>257</v>
      </c>
      <c r="B5641" s="19" t="s">
        <v>133</v>
      </c>
      <c r="C5641" s="20" t="s">
        <v>168</v>
      </c>
      <c r="D5641" s="14" t="str">
        <f>VLOOKUP(C5641,'State Key'!$A$2:$B$210,2,False)</f>
        <v>Maharashtra</v>
      </c>
      <c r="E5641" s="21">
        <v>2320.0</v>
      </c>
      <c r="F5641" s="22">
        <v>874.81</v>
      </c>
      <c r="G5641" s="22">
        <v>0.07</v>
      </c>
      <c r="H5641" s="22">
        <v>80.88</v>
      </c>
      <c r="I5641" s="22">
        <v>0.0</v>
      </c>
      <c r="J5641" s="22">
        <v>0.0</v>
      </c>
      <c r="K5641" s="22">
        <v>4.08</v>
      </c>
      <c r="L5641" s="22">
        <v>959.84</v>
      </c>
      <c r="M5641" s="22">
        <v>973.493</v>
      </c>
      <c r="N5641" s="22">
        <v>367.26</v>
      </c>
      <c r="O5641" s="23">
        <v>11.3</v>
      </c>
      <c r="P5641" s="18">
        <f t="shared" si="1"/>
        <v>959.84</v>
      </c>
    </row>
    <row r="5642" ht="15.75" customHeight="1">
      <c r="A5642" s="13" t="s">
        <v>257</v>
      </c>
      <c r="B5642" s="13" t="s">
        <v>133</v>
      </c>
      <c r="C5642" s="14" t="s">
        <v>169</v>
      </c>
      <c r="D5642" s="14" t="str">
        <f>VLOOKUP(C5642,'State Key'!$A$2:$B$210,2,False)</f>
        <v>Madhya Pradesh</v>
      </c>
      <c r="E5642" s="15">
        <v>246.01</v>
      </c>
      <c r="F5642" s="16">
        <v>0.0</v>
      </c>
      <c r="G5642" s="16">
        <v>0.0</v>
      </c>
      <c r="H5642" s="16">
        <v>0.0</v>
      </c>
      <c r="I5642" s="16">
        <v>0.0</v>
      </c>
      <c r="J5642" s="16">
        <v>0.0</v>
      </c>
      <c r="K5642" s="16">
        <v>0.0</v>
      </c>
      <c r="L5642" s="16">
        <v>0.0</v>
      </c>
      <c r="M5642" s="16">
        <v>0.0</v>
      </c>
      <c r="N5642" s="16">
        <v>0.0</v>
      </c>
      <c r="O5642" s="13" t="s">
        <v>58</v>
      </c>
      <c r="P5642" s="18">
        <f t="shared" si="1"/>
        <v>0</v>
      </c>
    </row>
    <row r="5643" ht="15.75" customHeight="1">
      <c r="A5643" s="19" t="s">
        <v>257</v>
      </c>
      <c r="B5643" s="19" t="s">
        <v>133</v>
      </c>
      <c r="C5643" s="20" t="s">
        <v>172</v>
      </c>
      <c r="D5643" s="14" t="str">
        <f>VLOOKUP(C5643,'State Key'!$A$2:$B$210,2,False)</f>
        <v>Gujarat</v>
      </c>
      <c r="E5643" s="21">
        <v>4000.0</v>
      </c>
      <c r="F5643" s="22">
        <v>0.0</v>
      </c>
      <c r="G5643" s="22">
        <v>0.0</v>
      </c>
      <c r="H5643" s="22">
        <v>0.0</v>
      </c>
      <c r="I5643" s="22">
        <v>0.0</v>
      </c>
      <c r="J5643" s="22">
        <v>0.0</v>
      </c>
      <c r="K5643" s="22">
        <v>0.0</v>
      </c>
      <c r="L5643" s="22">
        <v>0.0</v>
      </c>
      <c r="M5643" s="22">
        <v>0.0</v>
      </c>
      <c r="N5643" s="22">
        <v>2065.29</v>
      </c>
      <c r="O5643" s="19" t="s">
        <v>58</v>
      </c>
      <c r="P5643" s="18">
        <f t="shared" si="1"/>
        <v>0</v>
      </c>
    </row>
    <row r="5644" ht="15.75" customHeight="1">
      <c r="A5644" s="13" t="s">
        <v>257</v>
      </c>
      <c r="B5644" s="13" t="s">
        <v>133</v>
      </c>
      <c r="C5644" s="14" t="s">
        <v>174</v>
      </c>
      <c r="D5644" s="14" t="str">
        <f>VLOOKUP(C5644,'State Key'!$A$2:$B$210,2,False)</f>
        <v>Maharashtra</v>
      </c>
      <c r="E5644" s="15">
        <v>630.0</v>
      </c>
      <c r="F5644" s="16">
        <v>65.6267</v>
      </c>
      <c r="G5644" s="16">
        <v>118.269</v>
      </c>
      <c r="H5644" s="16">
        <v>0.0</v>
      </c>
      <c r="I5644" s="16">
        <v>0.0</v>
      </c>
      <c r="J5644" s="16">
        <v>0.0</v>
      </c>
      <c r="K5644" s="16">
        <v>0.0</v>
      </c>
      <c r="L5644" s="16">
        <v>183.8957</v>
      </c>
      <c r="M5644" s="16">
        <v>188.65</v>
      </c>
      <c r="N5644" s="16">
        <v>220.82</v>
      </c>
      <c r="O5644" s="24">
        <v>35.1</v>
      </c>
      <c r="P5644" s="18">
        <f t="shared" si="1"/>
        <v>183.8957</v>
      </c>
    </row>
    <row r="5645" ht="15.75" customHeight="1">
      <c r="A5645" s="19" t="s">
        <v>257</v>
      </c>
      <c r="B5645" s="19" t="s">
        <v>133</v>
      </c>
      <c r="C5645" s="20" t="s">
        <v>175</v>
      </c>
      <c r="D5645" s="14" t="str">
        <f>VLOOKUP(C5645,'State Key'!$A$2:$B$210,2,False)</f>
        <v>Chhattisgarh</v>
      </c>
      <c r="E5645" s="21">
        <v>600.0</v>
      </c>
      <c r="F5645" s="22">
        <v>246.642</v>
      </c>
      <c r="G5645" s="22">
        <v>0.0</v>
      </c>
      <c r="H5645" s="22">
        <v>0.0</v>
      </c>
      <c r="I5645" s="22">
        <v>11.473</v>
      </c>
      <c r="J5645" s="22">
        <v>0.0</v>
      </c>
      <c r="K5645" s="22">
        <v>0.0</v>
      </c>
      <c r="L5645" s="22">
        <v>258.115</v>
      </c>
      <c r="M5645" s="22">
        <v>217.937</v>
      </c>
      <c r="N5645" s="22">
        <v>256.54</v>
      </c>
      <c r="O5645" s="24">
        <v>35.3</v>
      </c>
      <c r="P5645" s="18">
        <f t="shared" si="1"/>
        <v>258.115</v>
      </c>
    </row>
    <row r="5646" ht="15.75" customHeight="1">
      <c r="A5646" s="13" t="s">
        <v>257</v>
      </c>
      <c r="B5646" s="13" t="s">
        <v>133</v>
      </c>
      <c r="C5646" s="14" t="s">
        <v>176</v>
      </c>
      <c r="D5646" s="14" t="str">
        <f>VLOOKUP(C5646,'State Key'!$A$2:$B$210,2,False)</f>
        <v>Madhya Pradesh</v>
      </c>
      <c r="E5646" s="15">
        <v>1320.0</v>
      </c>
      <c r="F5646" s="16">
        <v>0.0</v>
      </c>
      <c r="G5646" s="16">
        <v>0.0</v>
      </c>
      <c r="H5646" s="16">
        <v>335.6671</v>
      </c>
      <c r="I5646" s="16">
        <v>105.4323</v>
      </c>
      <c r="J5646" s="16">
        <v>0.0</v>
      </c>
      <c r="K5646" s="16">
        <v>0.0</v>
      </c>
      <c r="L5646" s="16">
        <v>441.0994</v>
      </c>
      <c r="M5646" s="16">
        <v>430.001</v>
      </c>
      <c r="N5646" s="16">
        <v>252.7619</v>
      </c>
      <c r="O5646" s="24">
        <v>17.6</v>
      </c>
      <c r="P5646" s="18">
        <f t="shared" si="1"/>
        <v>441.0994</v>
      </c>
    </row>
    <row r="5647" ht="15.75" customHeight="1">
      <c r="A5647" s="19" t="s">
        <v>257</v>
      </c>
      <c r="B5647" s="19" t="s">
        <v>133</v>
      </c>
      <c r="C5647" s="20" t="s">
        <v>177</v>
      </c>
      <c r="D5647" s="14" t="str">
        <f>VLOOKUP(C5647,'State Key'!$A$2:$B$210,2,False)</f>
        <v>Madhya Pradesh</v>
      </c>
      <c r="E5647" s="21">
        <v>90.0</v>
      </c>
      <c r="F5647" s="22">
        <v>37.27</v>
      </c>
      <c r="G5647" s="22">
        <v>0.0</v>
      </c>
      <c r="H5647" s="22">
        <v>0.0</v>
      </c>
      <c r="I5647" s="22">
        <v>0.0</v>
      </c>
      <c r="J5647" s="22">
        <v>0.0</v>
      </c>
      <c r="K5647" s="22">
        <v>0.0</v>
      </c>
      <c r="L5647" s="22">
        <v>37.27</v>
      </c>
      <c r="M5647" s="22">
        <v>48.25</v>
      </c>
      <c r="N5647" s="22">
        <v>48.47</v>
      </c>
      <c r="O5647" s="24">
        <v>30.1</v>
      </c>
      <c r="P5647" s="18">
        <f t="shared" si="1"/>
        <v>37.27</v>
      </c>
    </row>
    <row r="5648" ht="15.75" customHeight="1">
      <c r="A5648" s="13" t="s">
        <v>257</v>
      </c>
      <c r="B5648" s="13" t="s">
        <v>133</v>
      </c>
      <c r="C5648" s="14" t="s">
        <v>178</v>
      </c>
      <c r="D5648" s="14" t="str">
        <f>VLOOKUP(C5648,'State Key'!$A$2:$B$210,2,False)</f>
        <v>Chhattisgarh</v>
      </c>
      <c r="E5648" s="15">
        <v>1000.0</v>
      </c>
      <c r="F5648" s="16">
        <v>50.233</v>
      </c>
      <c r="G5648" s="16">
        <v>0.0</v>
      </c>
      <c r="H5648" s="16">
        <v>491.328</v>
      </c>
      <c r="I5648" s="16">
        <v>0.0</v>
      </c>
      <c r="J5648" s="16">
        <v>0.0</v>
      </c>
      <c r="K5648" s="16">
        <v>97.466</v>
      </c>
      <c r="L5648" s="16">
        <v>639.027</v>
      </c>
      <c r="M5648" s="16">
        <v>488.764</v>
      </c>
      <c r="N5648" s="16">
        <v>817.221</v>
      </c>
      <c r="O5648" s="24">
        <v>50.2</v>
      </c>
      <c r="P5648" s="18">
        <f t="shared" si="1"/>
        <v>639.027</v>
      </c>
    </row>
    <row r="5649" ht="15.75" customHeight="1">
      <c r="A5649" s="19" t="s">
        <v>257</v>
      </c>
      <c r="B5649" s="19" t="s">
        <v>133</v>
      </c>
      <c r="C5649" s="20" t="s">
        <v>179</v>
      </c>
      <c r="D5649" s="14" t="str">
        <f>VLOOKUP(C5649,'State Key'!$A$2:$B$210,2,False)</f>
        <v>Maharashtra</v>
      </c>
      <c r="E5649" s="21">
        <v>500.0</v>
      </c>
      <c r="F5649" s="22">
        <v>154.814</v>
      </c>
      <c r="G5649" s="22">
        <v>36.7</v>
      </c>
      <c r="H5649" s="22">
        <v>0.0</v>
      </c>
      <c r="I5649" s="22">
        <v>0.0</v>
      </c>
      <c r="J5649" s="22">
        <v>0.0</v>
      </c>
      <c r="K5649" s="22">
        <v>0.0</v>
      </c>
      <c r="L5649" s="22">
        <v>191.514</v>
      </c>
      <c r="M5649" s="22">
        <v>169.94</v>
      </c>
      <c r="N5649" s="22">
        <v>175.51</v>
      </c>
      <c r="O5649" s="24">
        <v>31.0</v>
      </c>
      <c r="P5649" s="18">
        <f t="shared" si="1"/>
        <v>191.514</v>
      </c>
    </row>
    <row r="5650" ht="15.75" customHeight="1">
      <c r="A5650" s="13" t="s">
        <v>257</v>
      </c>
      <c r="B5650" s="13" t="s">
        <v>133</v>
      </c>
      <c r="C5650" s="14" t="s">
        <v>180</v>
      </c>
      <c r="D5650" s="14" t="str">
        <f>VLOOKUP(C5650,'State Key'!$A$2:$B$210,2,False)</f>
        <v>Maharashtra</v>
      </c>
      <c r="E5650" s="15">
        <v>750.0</v>
      </c>
      <c r="F5650" s="16">
        <v>14.83</v>
      </c>
      <c r="G5650" s="16">
        <v>100.542</v>
      </c>
      <c r="H5650" s="16">
        <v>0.0</v>
      </c>
      <c r="I5650" s="16">
        <v>0.0</v>
      </c>
      <c r="J5650" s="16">
        <v>0.0</v>
      </c>
      <c r="K5650" s="16">
        <v>0.0</v>
      </c>
      <c r="L5650" s="16">
        <v>115.372</v>
      </c>
      <c r="M5650" s="16">
        <v>28.824</v>
      </c>
      <c r="N5650" s="16">
        <v>205.6</v>
      </c>
      <c r="O5650" s="24">
        <v>214.0</v>
      </c>
      <c r="P5650" s="18">
        <f t="shared" si="1"/>
        <v>115.372</v>
      </c>
    </row>
    <row r="5651" ht="15.75" customHeight="1">
      <c r="A5651" s="19" t="s">
        <v>257</v>
      </c>
      <c r="B5651" s="19" t="s">
        <v>133</v>
      </c>
      <c r="C5651" s="20" t="s">
        <v>181</v>
      </c>
      <c r="D5651" s="14" t="str">
        <f>VLOOKUP(C5651,'State Key'!$A$2:$B$210,2,False)</f>
        <v>Chhattisgarh</v>
      </c>
      <c r="E5651" s="21">
        <v>600.0</v>
      </c>
      <c r="F5651" s="22">
        <v>260.029</v>
      </c>
      <c r="G5651" s="22">
        <v>0.0</v>
      </c>
      <c r="H5651" s="22">
        <v>0.0</v>
      </c>
      <c r="I5651" s="22">
        <v>0.0</v>
      </c>
      <c r="J5651" s="22">
        <v>0.0</v>
      </c>
      <c r="K5651" s="22">
        <v>0.0</v>
      </c>
      <c r="L5651" s="22">
        <v>260.029</v>
      </c>
      <c r="M5651" s="22">
        <v>253.653</v>
      </c>
      <c r="N5651" s="22">
        <v>176.71</v>
      </c>
      <c r="O5651" s="24">
        <v>20.9</v>
      </c>
      <c r="P5651" s="18">
        <f t="shared" si="1"/>
        <v>260.029</v>
      </c>
    </row>
    <row r="5652" ht="15.75" customHeight="1">
      <c r="A5652" s="13" t="s">
        <v>257</v>
      </c>
      <c r="B5652" s="13" t="s">
        <v>133</v>
      </c>
      <c r="C5652" s="14" t="s">
        <v>183</v>
      </c>
      <c r="D5652" s="14" t="str">
        <f>VLOOKUP(C5652,'State Key'!$A$2:$B$210,2,False)</f>
        <v>Chhattisgarh</v>
      </c>
      <c r="E5652" s="15">
        <v>100.0</v>
      </c>
      <c r="F5652" s="16">
        <v>8.089</v>
      </c>
      <c r="G5652" s="16">
        <v>0.0</v>
      </c>
      <c r="H5652" s="16">
        <v>0.0</v>
      </c>
      <c r="I5652" s="16">
        <v>0.0</v>
      </c>
      <c r="J5652" s="16">
        <v>0.0</v>
      </c>
      <c r="K5652" s="16">
        <v>29.9</v>
      </c>
      <c r="L5652" s="16">
        <v>37.989</v>
      </c>
      <c r="M5652" s="16">
        <v>47.33</v>
      </c>
      <c r="N5652" s="16">
        <v>14.64</v>
      </c>
      <c r="O5652" s="23">
        <v>9.3</v>
      </c>
      <c r="P5652" s="18">
        <f t="shared" si="1"/>
        <v>37.989</v>
      </c>
    </row>
    <row r="5653" ht="15.75" customHeight="1">
      <c r="A5653" s="19" t="s">
        <v>257</v>
      </c>
      <c r="B5653" s="19" t="s">
        <v>133</v>
      </c>
      <c r="C5653" s="20" t="s">
        <v>184</v>
      </c>
      <c r="D5653" s="14" t="str">
        <f>VLOOKUP(C5653,'State Key'!$A$2:$B$210,2,False)</f>
        <v>Gujarat</v>
      </c>
      <c r="E5653" s="21">
        <v>362.0</v>
      </c>
      <c r="F5653" s="22">
        <v>112.198</v>
      </c>
      <c r="G5653" s="22">
        <v>0.0</v>
      </c>
      <c r="H5653" s="22">
        <v>0.0</v>
      </c>
      <c r="I5653" s="22">
        <v>0.0</v>
      </c>
      <c r="J5653" s="22">
        <v>0.0</v>
      </c>
      <c r="K5653" s="22">
        <v>0.0</v>
      </c>
      <c r="L5653" s="22">
        <v>112.198</v>
      </c>
      <c r="M5653" s="22">
        <v>102.911</v>
      </c>
      <c r="N5653" s="22">
        <v>71.25</v>
      </c>
      <c r="O5653" s="24">
        <v>20.8</v>
      </c>
      <c r="P5653" s="18">
        <f t="shared" si="1"/>
        <v>112.198</v>
      </c>
    </row>
    <row r="5654" ht="15.75" customHeight="1">
      <c r="A5654" s="13" t="s">
        <v>257</v>
      </c>
      <c r="B5654" s="13" t="s">
        <v>133</v>
      </c>
      <c r="C5654" s="14" t="s">
        <v>185</v>
      </c>
      <c r="D5654" s="14" t="str">
        <f>VLOOKUP(C5654,'State Key'!$A$2:$B$210,2,False)</f>
        <v>Gujarat</v>
      </c>
      <c r="E5654" s="15">
        <v>1200.0</v>
      </c>
      <c r="F5654" s="16">
        <v>0.0</v>
      </c>
      <c r="G5654" s="16">
        <v>0.0</v>
      </c>
      <c r="H5654" s="16">
        <v>0.0</v>
      </c>
      <c r="I5654" s="16">
        <v>0.0</v>
      </c>
      <c r="J5654" s="16">
        <v>0.0</v>
      </c>
      <c r="K5654" s="16">
        <v>0.0</v>
      </c>
      <c r="L5654" s="16">
        <v>0.0</v>
      </c>
      <c r="M5654" s="16">
        <v>175.985</v>
      </c>
      <c r="N5654" s="16">
        <v>203.89</v>
      </c>
      <c r="O5654" s="24">
        <v>34.8</v>
      </c>
      <c r="P5654" s="18">
        <f t="shared" si="1"/>
        <v>0</v>
      </c>
    </row>
    <row r="5655" ht="15.75" customHeight="1">
      <c r="A5655" s="19" t="s">
        <v>257</v>
      </c>
      <c r="B5655" s="19" t="s">
        <v>133</v>
      </c>
      <c r="C5655" s="20" t="s">
        <v>187</v>
      </c>
      <c r="D5655" s="14" t="str">
        <f>VLOOKUP(C5655,'State Key'!$A$2:$B$210,2,False)</f>
        <v>Madhya Pradesh</v>
      </c>
      <c r="E5655" s="21">
        <v>1340.0</v>
      </c>
      <c r="F5655" s="22">
        <v>473.583</v>
      </c>
      <c r="G5655" s="22">
        <v>0.0</v>
      </c>
      <c r="H5655" s="22">
        <v>0.0</v>
      </c>
      <c r="I5655" s="22">
        <v>0.0</v>
      </c>
      <c r="J5655" s="22">
        <v>0.0</v>
      </c>
      <c r="K5655" s="22">
        <v>0.0</v>
      </c>
      <c r="L5655" s="22">
        <v>473.583</v>
      </c>
      <c r="M5655" s="22">
        <v>517.334</v>
      </c>
      <c r="N5655" s="22">
        <v>295.5</v>
      </c>
      <c r="O5655" s="24">
        <v>17.1</v>
      </c>
      <c r="P5655" s="18">
        <f t="shared" si="1"/>
        <v>473.583</v>
      </c>
    </row>
    <row r="5656" ht="15.75" customHeight="1">
      <c r="A5656" s="13" t="s">
        <v>257</v>
      </c>
      <c r="B5656" s="13" t="s">
        <v>133</v>
      </c>
      <c r="C5656" s="14" t="s">
        <v>188</v>
      </c>
      <c r="D5656" s="14" t="str">
        <f>VLOOKUP(C5656,'State Key'!$A$2:$B$210,2,False)</f>
        <v>Madhya Pradesh</v>
      </c>
      <c r="E5656" s="15">
        <v>3960.0</v>
      </c>
      <c r="F5656" s="16">
        <v>0.0</v>
      </c>
      <c r="G5656" s="16">
        <v>0.0</v>
      </c>
      <c r="H5656" s="16">
        <v>1375.434</v>
      </c>
      <c r="I5656" s="16">
        <v>0.0</v>
      </c>
      <c r="J5656" s="16">
        <v>0.0</v>
      </c>
      <c r="K5656" s="16">
        <v>0.0</v>
      </c>
      <c r="L5656" s="16">
        <v>1375.434</v>
      </c>
      <c r="M5656" s="16">
        <v>1451.234</v>
      </c>
      <c r="N5656" s="16">
        <v>265.88</v>
      </c>
      <c r="O5656" s="17">
        <v>5.5</v>
      </c>
      <c r="P5656" s="18">
        <f t="shared" si="1"/>
        <v>1375.434</v>
      </c>
    </row>
    <row r="5657" ht="15.75" customHeight="1">
      <c r="A5657" s="19" t="s">
        <v>257</v>
      </c>
      <c r="B5657" s="19" t="s">
        <v>133</v>
      </c>
      <c r="C5657" s="20" t="s">
        <v>189</v>
      </c>
      <c r="D5657" s="14" t="str">
        <f>VLOOKUP(C5657,'State Key'!$A$2:$B$210,2,False)</f>
        <v>Madhya Pradesh</v>
      </c>
      <c r="E5657" s="21">
        <v>500.0</v>
      </c>
      <c r="F5657" s="22">
        <v>169.04579</v>
      </c>
      <c r="G5657" s="22">
        <v>0.0</v>
      </c>
      <c r="H5657" s="22">
        <v>0.0</v>
      </c>
      <c r="I5657" s="22">
        <v>0.0</v>
      </c>
      <c r="J5657" s="22">
        <v>0.0</v>
      </c>
      <c r="K5657" s="22">
        <v>0.0</v>
      </c>
      <c r="L5657" s="22">
        <v>169.04579</v>
      </c>
      <c r="M5657" s="22">
        <v>130.22</v>
      </c>
      <c r="N5657" s="22">
        <v>228.07</v>
      </c>
      <c r="O5657" s="24">
        <v>52.5</v>
      </c>
      <c r="P5657" s="18">
        <f t="shared" si="1"/>
        <v>169.04579</v>
      </c>
    </row>
    <row r="5658" ht="15.75" customHeight="1">
      <c r="A5658" s="13" t="s">
        <v>257</v>
      </c>
      <c r="B5658" s="13" t="s">
        <v>133</v>
      </c>
      <c r="C5658" s="14" t="s">
        <v>190</v>
      </c>
      <c r="D5658" s="14" t="str">
        <f>VLOOKUP(C5658,'State Key'!$A$2:$B$210,2,False)</f>
        <v>Madhya Pradesh</v>
      </c>
      <c r="E5658" s="15">
        <v>600.0</v>
      </c>
      <c r="F5658" s="16">
        <v>113.108</v>
      </c>
      <c r="G5658" s="16">
        <v>0.0</v>
      </c>
      <c r="H5658" s="16">
        <v>0.0</v>
      </c>
      <c r="I5658" s="16">
        <v>115.843</v>
      </c>
      <c r="J5658" s="16">
        <v>0.0</v>
      </c>
      <c r="K5658" s="16">
        <v>0.0</v>
      </c>
      <c r="L5658" s="16">
        <v>228.951</v>
      </c>
      <c r="M5658" s="16">
        <v>245.518</v>
      </c>
      <c r="N5658" s="16">
        <v>44.39</v>
      </c>
      <c r="O5658" s="17">
        <v>5.4</v>
      </c>
      <c r="P5658" s="18">
        <f t="shared" si="1"/>
        <v>228.951</v>
      </c>
    </row>
    <row r="5659" ht="15.75" customHeight="1">
      <c r="A5659" s="19" t="s">
        <v>257</v>
      </c>
      <c r="B5659" s="19" t="s">
        <v>133</v>
      </c>
      <c r="C5659" s="20" t="s">
        <v>191</v>
      </c>
      <c r="D5659" s="14" t="str">
        <f>VLOOKUP(C5659,'State Key'!$A$2:$B$210,2,False)</f>
        <v>Maharashtra</v>
      </c>
      <c r="E5659" s="21">
        <v>300.0</v>
      </c>
      <c r="F5659" s="22">
        <v>0.0</v>
      </c>
      <c r="G5659" s="22">
        <v>0.0</v>
      </c>
      <c r="H5659" s="22">
        <v>0.0</v>
      </c>
      <c r="I5659" s="22">
        <v>0.0</v>
      </c>
      <c r="J5659" s="22">
        <v>0.0</v>
      </c>
      <c r="K5659" s="22">
        <v>104.996</v>
      </c>
      <c r="L5659" s="22">
        <v>104.996</v>
      </c>
      <c r="M5659" s="22">
        <v>67.519</v>
      </c>
      <c r="N5659" s="22">
        <v>98.78</v>
      </c>
      <c r="O5659" s="24">
        <v>43.9</v>
      </c>
      <c r="P5659" s="18">
        <f t="shared" si="1"/>
        <v>104.996</v>
      </c>
    </row>
    <row r="5660" ht="15.75" customHeight="1">
      <c r="A5660" s="13" t="s">
        <v>257</v>
      </c>
      <c r="B5660" s="13" t="s">
        <v>133</v>
      </c>
      <c r="C5660" s="14" t="s">
        <v>192</v>
      </c>
      <c r="D5660" s="14" t="str">
        <f>VLOOKUP(C5660,'State Key'!$A$2:$B$210,2,False)</f>
        <v>Madhya Pradesh</v>
      </c>
      <c r="E5660" s="15">
        <v>2520.0</v>
      </c>
      <c r="F5660" s="16">
        <v>525.929</v>
      </c>
      <c r="G5660" s="16">
        <v>0.0</v>
      </c>
      <c r="H5660" s="16">
        <v>0.0</v>
      </c>
      <c r="I5660" s="16">
        <v>0.0</v>
      </c>
      <c r="J5660" s="16">
        <v>0.0</v>
      </c>
      <c r="K5660" s="16">
        <v>0.0</v>
      </c>
      <c r="L5660" s="16">
        <v>525.929</v>
      </c>
      <c r="M5660" s="16">
        <v>304.192</v>
      </c>
      <c r="N5660" s="16">
        <v>711.4</v>
      </c>
      <c r="O5660" s="24">
        <v>70.2</v>
      </c>
      <c r="P5660" s="18">
        <f t="shared" si="1"/>
        <v>525.929</v>
      </c>
    </row>
    <row r="5661" ht="15.75" customHeight="1">
      <c r="A5661" s="19" t="s">
        <v>257</v>
      </c>
      <c r="B5661" s="19" t="s">
        <v>133</v>
      </c>
      <c r="C5661" s="20" t="s">
        <v>193</v>
      </c>
      <c r="D5661" s="14" t="str">
        <f>VLOOKUP(C5661,'State Key'!$A$2:$B$210,2,False)</f>
        <v>Gujarat</v>
      </c>
      <c r="E5661" s="21">
        <v>500.0</v>
      </c>
      <c r="F5661" s="22">
        <v>0.0</v>
      </c>
      <c r="G5661" s="22">
        <v>0.0</v>
      </c>
      <c r="H5661" s="22">
        <v>0.0</v>
      </c>
      <c r="I5661" s="22">
        <v>0.0</v>
      </c>
      <c r="J5661" s="22">
        <v>0.0</v>
      </c>
      <c r="K5661" s="22">
        <v>0.0</v>
      </c>
      <c r="L5661" s="22">
        <v>0.0</v>
      </c>
      <c r="M5661" s="22">
        <v>0.0</v>
      </c>
      <c r="N5661" s="22">
        <v>93.31</v>
      </c>
      <c r="O5661" s="19" t="s">
        <v>58</v>
      </c>
      <c r="P5661" s="18">
        <f t="shared" si="1"/>
        <v>0</v>
      </c>
    </row>
    <row r="5662" ht="15.75" customHeight="1">
      <c r="A5662" s="13" t="s">
        <v>257</v>
      </c>
      <c r="B5662" s="13" t="s">
        <v>133</v>
      </c>
      <c r="C5662" s="14" t="s">
        <v>194</v>
      </c>
      <c r="D5662" s="14" t="str">
        <f>VLOOKUP(C5662,'State Key'!$A$2:$B$210,2,False)</f>
        <v>Chhattisgarh</v>
      </c>
      <c r="E5662" s="15">
        <v>2980.0</v>
      </c>
      <c r="F5662" s="16">
        <v>914.889</v>
      </c>
      <c r="G5662" s="16">
        <v>0.0</v>
      </c>
      <c r="H5662" s="16">
        <v>0.0</v>
      </c>
      <c r="I5662" s="16">
        <v>0.0</v>
      </c>
      <c r="J5662" s="16">
        <v>0.0</v>
      </c>
      <c r="K5662" s="16">
        <v>0.0</v>
      </c>
      <c r="L5662" s="16">
        <v>914.889</v>
      </c>
      <c r="M5662" s="16">
        <v>1224.332</v>
      </c>
      <c r="N5662" s="16">
        <v>246.98</v>
      </c>
      <c r="O5662" s="17">
        <v>6.1</v>
      </c>
      <c r="P5662" s="18">
        <f t="shared" si="1"/>
        <v>914.889</v>
      </c>
    </row>
    <row r="5663" ht="15.75" customHeight="1">
      <c r="A5663" s="19" t="s">
        <v>257</v>
      </c>
      <c r="B5663" s="19" t="s">
        <v>133</v>
      </c>
      <c r="C5663" s="20" t="s">
        <v>195</v>
      </c>
      <c r="D5663" s="14" t="str">
        <f>VLOOKUP(C5663,'State Key'!$A$2:$B$210,2,False)</f>
        <v>Maharashtra</v>
      </c>
      <c r="E5663" s="21">
        <v>1320.0</v>
      </c>
      <c r="F5663" s="22">
        <v>263.36</v>
      </c>
      <c r="G5663" s="22">
        <v>82.32</v>
      </c>
      <c r="H5663" s="22">
        <v>11.02</v>
      </c>
      <c r="I5663" s="22">
        <v>0.0</v>
      </c>
      <c r="J5663" s="22">
        <v>0.0</v>
      </c>
      <c r="K5663" s="22">
        <v>19.1</v>
      </c>
      <c r="L5663" s="22">
        <v>375.8</v>
      </c>
      <c r="M5663" s="22">
        <v>472.116</v>
      </c>
      <c r="N5663" s="22">
        <v>290.53</v>
      </c>
      <c r="O5663" s="24">
        <v>18.5</v>
      </c>
      <c r="P5663" s="18">
        <f t="shared" si="1"/>
        <v>375.8</v>
      </c>
    </row>
    <row r="5664" ht="15.75" customHeight="1">
      <c r="A5664" s="13" t="s">
        <v>257</v>
      </c>
      <c r="B5664" s="13" t="s">
        <v>133</v>
      </c>
      <c r="C5664" s="14" t="s">
        <v>196</v>
      </c>
      <c r="D5664" s="14" t="str">
        <f>VLOOKUP(C5664,'State Key'!$A$2:$B$210,2,False)</f>
        <v>Chhattisgarh</v>
      </c>
      <c r="E5664" s="15">
        <v>63.0</v>
      </c>
      <c r="F5664" s="16">
        <v>7.4295</v>
      </c>
      <c r="G5664" s="16">
        <v>0.0</v>
      </c>
      <c r="H5664" s="16">
        <v>0.0</v>
      </c>
      <c r="I5664" s="16">
        <v>0.0</v>
      </c>
      <c r="J5664" s="16">
        <v>0.0</v>
      </c>
      <c r="K5664" s="16">
        <v>4.286</v>
      </c>
      <c r="L5664" s="16">
        <v>11.7155</v>
      </c>
      <c r="M5664" s="16">
        <v>40.1741</v>
      </c>
      <c r="N5664" s="16">
        <v>13.71</v>
      </c>
      <c r="O5664" s="23">
        <v>10.2</v>
      </c>
      <c r="P5664" s="18">
        <f t="shared" si="1"/>
        <v>11.7155</v>
      </c>
    </row>
    <row r="5665" ht="15.75" customHeight="1">
      <c r="A5665" s="19" t="s">
        <v>257</v>
      </c>
      <c r="B5665" s="19" t="s">
        <v>133</v>
      </c>
      <c r="C5665" s="20" t="s">
        <v>198</v>
      </c>
      <c r="D5665" s="14" t="str">
        <f>VLOOKUP(C5665,'State Key'!$A$2:$B$210,2,False)</f>
        <v>Chhattisgarh</v>
      </c>
      <c r="E5665" s="21">
        <v>2400.0</v>
      </c>
      <c r="F5665" s="22">
        <v>520.057</v>
      </c>
      <c r="G5665" s="22">
        <v>0.0</v>
      </c>
      <c r="H5665" s="22">
        <v>612.508</v>
      </c>
      <c r="I5665" s="22">
        <v>0.0</v>
      </c>
      <c r="J5665" s="22">
        <v>0.0</v>
      </c>
      <c r="K5665" s="22">
        <v>0.0</v>
      </c>
      <c r="L5665" s="22">
        <v>1132.565</v>
      </c>
      <c r="M5665" s="22">
        <v>1018.941</v>
      </c>
      <c r="N5665" s="22">
        <v>679.618</v>
      </c>
      <c r="O5665" s="24">
        <v>20.0</v>
      </c>
      <c r="P5665" s="18">
        <f t="shared" si="1"/>
        <v>1132.565</v>
      </c>
    </row>
    <row r="5666" ht="15.75" customHeight="1">
      <c r="A5666" s="13" t="s">
        <v>257</v>
      </c>
      <c r="B5666" s="13" t="s">
        <v>133</v>
      </c>
      <c r="C5666" s="14" t="s">
        <v>200</v>
      </c>
      <c r="D5666" s="14" t="str">
        <f>VLOOKUP(C5666,'State Key'!$A$2:$B$210,2,False)</f>
        <v>Maharashtra</v>
      </c>
      <c r="E5666" s="15">
        <v>750.0</v>
      </c>
      <c r="F5666" s="16">
        <v>0.0</v>
      </c>
      <c r="G5666" s="16">
        <v>0.0</v>
      </c>
      <c r="H5666" s="16">
        <v>0.0</v>
      </c>
      <c r="I5666" s="16">
        <v>0.0</v>
      </c>
      <c r="J5666" s="16">
        <v>298.753911</v>
      </c>
      <c r="K5666" s="16">
        <v>0.0</v>
      </c>
      <c r="L5666" s="16">
        <v>298.753911</v>
      </c>
      <c r="M5666" s="16">
        <v>198.831</v>
      </c>
      <c r="N5666" s="16">
        <v>220.9</v>
      </c>
      <c r="O5666" s="24">
        <v>33.3</v>
      </c>
      <c r="P5666" s="18">
        <f t="shared" si="1"/>
        <v>298.753911</v>
      </c>
    </row>
    <row r="5667" ht="15.75" customHeight="1">
      <c r="A5667" s="19" t="s">
        <v>257</v>
      </c>
      <c r="B5667" s="19" t="s">
        <v>133</v>
      </c>
      <c r="C5667" s="20" t="s">
        <v>201</v>
      </c>
      <c r="D5667" s="14" t="str">
        <f>VLOOKUP(C5667,'State Key'!$A$2:$B$210,2,False)</f>
        <v>Chhattisgarh</v>
      </c>
      <c r="E5667" s="21">
        <v>1440.0</v>
      </c>
      <c r="F5667" s="22">
        <v>343.184</v>
      </c>
      <c r="G5667" s="22">
        <v>0.0</v>
      </c>
      <c r="H5667" s="22">
        <v>0.0</v>
      </c>
      <c r="I5667" s="22">
        <v>0.0</v>
      </c>
      <c r="J5667" s="22">
        <v>0.0</v>
      </c>
      <c r="K5667" s="22">
        <v>0.0</v>
      </c>
      <c r="L5667" s="22">
        <v>343.184</v>
      </c>
      <c r="M5667" s="22">
        <v>500.091</v>
      </c>
      <c r="N5667" s="22">
        <v>1171.27</v>
      </c>
      <c r="O5667" s="24">
        <v>70.3</v>
      </c>
      <c r="P5667" s="18">
        <f t="shared" si="1"/>
        <v>343.184</v>
      </c>
    </row>
    <row r="5668" ht="15.75" customHeight="1">
      <c r="A5668" s="13" t="s">
        <v>257</v>
      </c>
      <c r="B5668" s="13" t="s">
        <v>133</v>
      </c>
      <c r="C5668" s="14" t="s">
        <v>202</v>
      </c>
      <c r="D5668" s="14" t="str">
        <f>VLOOKUP(C5668,'State Key'!$A$2:$B$210,2,False)</f>
        <v>Gujarat</v>
      </c>
      <c r="E5668" s="15">
        <v>1110.0</v>
      </c>
      <c r="F5668" s="16">
        <v>346.425</v>
      </c>
      <c r="G5668" s="16">
        <v>0.0</v>
      </c>
      <c r="H5668" s="16">
        <v>0.0</v>
      </c>
      <c r="I5668" s="16">
        <v>0.0</v>
      </c>
      <c r="J5668" s="16">
        <v>0.0</v>
      </c>
      <c r="K5668" s="16">
        <v>0.0</v>
      </c>
      <c r="L5668" s="16">
        <v>346.425</v>
      </c>
      <c r="M5668" s="16">
        <v>236.503</v>
      </c>
      <c r="N5668" s="16">
        <v>472.22</v>
      </c>
      <c r="O5668" s="24">
        <v>59.9</v>
      </c>
      <c r="P5668" s="18">
        <f t="shared" si="1"/>
        <v>346.425</v>
      </c>
    </row>
    <row r="5669" ht="15.75" customHeight="1">
      <c r="A5669" s="19" t="s">
        <v>257</v>
      </c>
      <c r="B5669" s="19" t="s">
        <v>133</v>
      </c>
      <c r="C5669" s="20" t="s">
        <v>203</v>
      </c>
      <c r="D5669" s="14" t="str">
        <f>VLOOKUP(C5669,'State Key'!$A$2:$B$210,2,False)</f>
        <v>Madhya Pradesh</v>
      </c>
      <c r="E5669" s="21">
        <v>4760.0</v>
      </c>
      <c r="F5669" s="22">
        <v>1943.68</v>
      </c>
      <c r="G5669" s="22">
        <v>0.0</v>
      </c>
      <c r="H5669" s="22">
        <v>0.0</v>
      </c>
      <c r="I5669" s="22">
        <v>0.0</v>
      </c>
      <c r="J5669" s="22">
        <v>0.0</v>
      </c>
      <c r="K5669" s="22">
        <v>0.0</v>
      </c>
      <c r="L5669" s="22">
        <v>1943.68</v>
      </c>
      <c r="M5669" s="22">
        <v>1866.749</v>
      </c>
      <c r="N5669" s="22">
        <v>719.01</v>
      </c>
      <c r="O5669" s="23">
        <v>11.6</v>
      </c>
      <c r="P5669" s="18">
        <f t="shared" si="1"/>
        <v>1943.68</v>
      </c>
    </row>
    <row r="5670" ht="15.75" customHeight="1">
      <c r="A5670" s="13" t="s">
        <v>257</v>
      </c>
      <c r="B5670" s="13" t="s">
        <v>133</v>
      </c>
      <c r="C5670" s="14" t="s">
        <v>255</v>
      </c>
      <c r="D5670" s="14" t="str">
        <f>VLOOKUP(C5670,'State Key'!$A$2:$B$210,2,False)</f>
        <v>Chhattisgarh</v>
      </c>
      <c r="E5670" s="15">
        <v>600.0</v>
      </c>
      <c r="F5670" s="16">
        <v>0.0</v>
      </c>
      <c r="G5670" s="16">
        <v>0.0</v>
      </c>
      <c r="H5670" s="16">
        <v>0.0</v>
      </c>
      <c r="I5670" s="16">
        <v>163.446</v>
      </c>
      <c r="J5670" s="16">
        <v>0.0</v>
      </c>
      <c r="K5670" s="16">
        <v>1.494</v>
      </c>
      <c r="L5670" s="16">
        <v>164.94</v>
      </c>
      <c r="M5670" s="16">
        <v>160.241</v>
      </c>
      <c r="N5670" s="16">
        <v>139.58</v>
      </c>
      <c r="O5670" s="24">
        <v>26.1</v>
      </c>
      <c r="P5670" s="18">
        <f t="shared" si="1"/>
        <v>164.94</v>
      </c>
    </row>
    <row r="5671" ht="15.75" customHeight="1">
      <c r="A5671" s="19" t="s">
        <v>257</v>
      </c>
      <c r="B5671" s="19" t="s">
        <v>133</v>
      </c>
      <c r="C5671" s="20" t="s">
        <v>204</v>
      </c>
      <c r="D5671" s="14" t="str">
        <f>VLOOKUP(C5671,'State Key'!$A$2:$B$210,2,False)</f>
        <v>Gujarat</v>
      </c>
      <c r="E5671" s="21">
        <v>2270.0</v>
      </c>
      <c r="F5671" s="22">
        <v>252.124</v>
      </c>
      <c r="G5671" s="22">
        <v>0.0</v>
      </c>
      <c r="H5671" s="22">
        <v>0.0</v>
      </c>
      <c r="I5671" s="22">
        <v>0.0</v>
      </c>
      <c r="J5671" s="22">
        <v>0.0</v>
      </c>
      <c r="K5671" s="22">
        <v>0.0</v>
      </c>
      <c r="L5671" s="22">
        <v>252.124</v>
      </c>
      <c r="M5671" s="22">
        <v>145.071</v>
      </c>
      <c r="N5671" s="22">
        <v>823.74</v>
      </c>
      <c r="O5671" s="24">
        <v>170.3</v>
      </c>
      <c r="P5671" s="18">
        <f t="shared" si="1"/>
        <v>252.124</v>
      </c>
    </row>
    <row r="5672" ht="15.75" customHeight="1">
      <c r="A5672" s="13" t="s">
        <v>257</v>
      </c>
      <c r="B5672" s="13" t="s">
        <v>133</v>
      </c>
      <c r="C5672" s="14" t="s">
        <v>205</v>
      </c>
      <c r="D5672" s="14" t="str">
        <f>VLOOKUP(C5672,'State Key'!$A$2:$B$210,2,False)</f>
        <v>Maharashtra</v>
      </c>
      <c r="E5672" s="15">
        <v>540.0</v>
      </c>
      <c r="F5672" s="16">
        <v>179.95</v>
      </c>
      <c r="G5672" s="16">
        <v>0.0</v>
      </c>
      <c r="H5672" s="16">
        <v>0.0</v>
      </c>
      <c r="I5672" s="16">
        <v>0.0</v>
      </c>
      <c r="J5672" s="16">
        <v>0.0</v>
      </c>
      <c r="K5672" s="16">
        <v>0.0</v>
      </c>
      <c r="L5672" s="16">
        <v>179.95</v>
      </c>
      <c r="M5672" s="16">
        <v>227.744</v>
      </c>
      <c r="N5672" s="16">
        <v>77.51</v>
      </c>
      <c r="O5672" s="23">
        <v>10.2</v>
      </c>
      <c r="P5672" s="18">
        <f t="shared" si="1"/>
        <v>179.95</v>
      </c>
    </row>
    <row r="5673" ht="15.75" customHeight="1">
      <c r="A5673" s="19" t="s">
        <v>258</v>
      </c>
      <c r="B5673" s="19" t="s">
        <v>22</v>
      </c>
      <c r="C5673" s="20" t="s">
        <v>23</v>
      </c>
      <c r="D5673" s="14" t="str">
        <f>VLOOKUP(C5673,'State Key'!$A$2:$B$210,2,False)</f>
        <v>West Bengal</v>
      </c>
      <c r="E5673" s="21">
        <v>1050.0</v>
      </c>
      <c r="F5673" s="22">
        <v>0.0</v>
      </c>
      <c r="G5673" s="22">
        <v>0.0</v>
      </c>
      <c r="H5673" s="22">
        <v>438.41</v>
      </c>
      <c r="I5673" s="22">
        <v>0.0</v>
      </c>
      <c r="J5673" s="22">
        <v>0.0</v>
      </c>
      <c r="K5673" s="22">
        <v>0.0</v>
      </c>
      <c r="L5673" s="22">
        <v>438.41</v>
      </c>
      <c r="M5673" s="22">
        <v>415.805</v>
      </c>
      <c r="N5673" s="22">
        <v>104.81</v>
      </c>
      <c r="O5673" s="23">
        <v>7.6</v>
      </c>
      <c r="P5673" s="18">
        <f t="shared" si="1"/>
        <v>438.41</v>
      </c>
    </row>
    <row r="5674" ht="15.75" customHeight="1">
      <c r="A5674" s="13" t="s">
        <v>258</v>
      </c>
      <c r="B5674" s="13" t="s">
        <v>22</v>
      </c>
      <c r="C5674" s="14" t="s">
        <v>24</v>
      </c>
      <c r="D5674" s="14" t="str">
        <f>VLOOKUP(C5674,'State Key'!$A$2:$B$210,2,False)</f>
        <v>West Bengal</v>
      </c>
      <c r="E5674" s="15">
        <v>270.0</v>
      </c>
      <c r="F5674" s="16">
        <v>0.0</v>
      </c>
      <c r="G5674" s="16">
        <v>0.0</v>
      </c>
      <c r="H5674" s="16">
        <v>113.754</v>
      </c>
      <c r="I5674" s="16">
        <v>0.0</v>
      </c>
      <c r="J5674" s="16">
        <v>0.0</v>
      </c>
      <c r="K5674" s="16">
        <v>0.0</v>
      </c>
      <c r="L5674" s="16">
        <v>113.754</v>
      </c>
      <c r="M5674" s="16">
        <v>103.146</v>
      </c>
      <c r="N5674" s="16">
        <v>81.52</v>
      </c>
      <c r="O5674" s="24">
        <v>23.7</v>
      </c>
      <c r="P5674" s="18">
        <f t="shared" si="1"/>
        <v>113.754</v>
      </c>
    </row>
    <row r="5675" ht="15.75" customHeight="1">
      <c r="A5675" s="19" t="s">
        <v>258</v>
      </c>
      <c r="B5675" s="19" t="s">
        <v>22</v>
      </c>
      <c r="C5675" s="20" t="s">
        <v>25</v>
      </c>
      <c r="D5675" s="14" t="str">
        <f>VLOOKUP(C5675,'State Key'!$A$2:$B$210,2,False)</f>
        <v>Bihar</v>
      </c>
      <c r="E5675" s="21">
        <v>500.0</v>
      </c>
      <c r="F5675" s="22">
        <v>21.0</v>
      </c>
      <c r="G5675" s="22">
        <v>0.0</v>
      </c>
      <c r="H5675" s="22">
        <v>154.28</v>
      </c>
      <c r="I5675" s="22">
        <v>0.0</v>
      </c>
      <c r="J5675" s="22">
        <v>0.0</v>
      </c>
      <c r="K5675" s="22">
        <v>0.0</v>
      </c>
      <c r="L5675" s="22">
        <v>175.28</v>
      </c>
      <c r="M5675" s="22">
        <v>147.363</v>
      </c>
      <c r="N5675" s="22">
        <v>167.98</v>
      </c>
      <c r="O5675" s="24">
        <v>34.2</v>
      </c>
      <c r="P5675" s="18">
        <f t="shared" si="1"/>
        <v>175.28</v>
      </c>
    </row>
    <row r="5676" ht="15.75" customHeight="1">
      <c r="A5676" s="13" t="s">
        <v>258</v>
      </c>
      <c r="B5676" s="13" t="s">
        <v>22</v>
      </c>
      <c r="C5676" s="14" t="s">
        <v>26</v>
      </c>
      <c r="D5676" s="14" t="str">
        <f>VLOOKUP(C5676,'State Key'!$A$2:$B$210,2,False)</f>
        <v>Bihar</v>
      </c>
      <c r="E5676" s="15">
        <v>3300.0</v>
      </c>
      <c r="F5676" s="16">
        <v>447.16</v>
      </c>
      <c r="G5676" s="16">
        <v>0.0</v>
      </c>
      <c r="H5676" s="16">
        <v>590.28</v>
      </c>
      <c r="I5676" s="16">
        <v>0.0</v>
      </c>
      <c r="J5676" s="16">
        <v>0.0</v>
      </c>
      <c r="K5676" s="16">
        <v>15.72</v>
      </c>
      <c r="L5676" s="16">
        <v>1053.16</v>
      </c>
      <c r="M5676" s="16">
        <v>992.129</v>
      </c>
      <c r="N5676" s="16">
        <v>582.03</v>
      </c>
      <c r="O5676" s="24">
        <v>17.6</v>
      </c>
      <c r="P5676" s="18">
        <f t="shared" si="1"/>
        <v>1053.16</v>
      </c>
    </row>
    <row r="5677" ht="15.75" customHeight="1">
      <c r="A5677" s="19" t="s">
        <v>258</v>
      </c>
      <c r="B5677" s="19" t="s">
        <v>22</v>
      </c>
      <c r="C5677" s="20" t="s">
        <v>27</v>
      </c>
      <c r="D5677" s="14" t="str">
        <f>VLOOKUP(C5677,'State Key'!$A$2:$B$210,2,False)</f>
        <v>Jharkhand</v>
      </c>
      <c r="E5677" s="21">
        <v>500.0</v>
      </c>
      <c r="F5677" s="22">
        <v>165.973</v>
      </c>
      <c r="G5677" s="22">
        <v>0.0</v>
      </c>
      <c r="H5677" s="22">
        <v>11.158</v>
      </c>
      <c r="I5677" s="22">
        <v>0.0</v>
      </c>
      <c r="J5677" s="22">
        <v>0.0</v>
      </c>
      <c r="K5677" s="22">
        <v>0.0</v>
      </c>
      <c r="L5677" s="22">
        <v>177.131</v>
      </c>
      <c r="M5677" s="22">
        <v>73.048</v>
      </c>
      <c r="N5677" s="22">
        <v>164.56</v>
      </c>
      <c r="O5677" s="24">
        <v>67.6</v>
      </c>
      <c r="P5677" s="18">
        <f t="shared" si="1"/>
        <v>177.131</v>
      </c>
    </row>
    <row r="5678" ht="15.75" customHeight="1">
      <c r="A5678" s="13" t="s">
        <v>258</v>
      </c>
      <c r="B5678" s="13" t="s">
        <v>22</v>
      </c>
      <c r="C5678" s="14" t="s">
        <v>28</v>
      </c>
      <c r="D5678" s="14" t="str">
        <f>VLOOKUP(C5678,'State Key'!$A$2:$B$210,2,False)</f>
        <v>West Bengal</v>
      </c>
      <c r="E5678" s="15">
        <v>750.0</v>
      </c>
      <c r="F5678" s="16">
        <v>106.458</v>
      </c>
      <c r="G5678" s="16">
        <v>0.0</v>
      </c>
      <c r="H5678" s="16">
        <v>91.512</v>
      </c>
      <c r="I5678" s="16">
        <v>23.373</v>
      </c>
      <c r="J5678" s="16">
        <v>0.0</v>
      </c>
      <c r="K5678" s="16">
        <v>0.0</v>
      </c>
      <c r="L5678" s="16">
        <v>221.343</v>
      </c>
      <c r="M5678" s="16">
        <v>185.772</v>
      </c>
      <c r="N5678" s="16">
        <v>127.04</v>
      </c>
      <c r="O5678" s="24">
        <v>20.5</v>
      </c>
      <c r="P5678" s="18">
        <f t="shared" si="1"/>
        <v>221.343</v>
      </c>
    </row>
    <row r="5679" ht="15.75" customHeight="1">
      <c r="A5679" s="19" t="s">
        <v>258</v>
      </c>
      <c r="B5679" s="19" t="s">
        <v>22</v>
      </c>
      <c r="C5679" s="20" t="s">
        <v>259</v>
      </c>
      <c r="D5679" s="14" t="str">
        <f>VLOOKUP(C5679,'State Key'!$A$2:$B$210,2,False)</f>
        <v>Bihar</v>
      </c>
      <c r="E5679" s="21">
        <v>660.0</v>
      </c>
      <c r="F5679" s="22">
        <v>68.189</v>
      </c>
      <c r="G5679" s="22">
        <v>0.0</v>
      </c>
      <c r="H5679" s="22">
        <v>0.0</v>
      </c>
      <c r="I5679" s="22">
        <v>0.0</v>
      </c>
      <c r="J5679" s="22">
        <v>0.0</v>
      </c>
      <c r="K5679" s="22">
        <v>0.0</v>
      </c>
      <c r="L5679" s="22">
        <v>68.189</v>
      </c>
      <c r="M5679" s="22">
        <v>95.538</v>
      </c>
      <c r="N5679" s="22">
        <v>0.0</v>
      </c>
      <c r="O5679" s="17">
        <v>0.0</v>
      </c>
      <c r="P5679" s="18">
        <f t="shared" si="1"/>
        <v>68.189</v>
      </c>
    </row>
    <row r="5680" ht="15.75" customHeight="1">
      <c r="A5680" s="13" t="s">
        <v>258</v>
      </c>
      <c r="B5680" s="13" t="s">
        <v>22</v>
      </c>
      <c r="C5680" s="14" t="s">
        <v>29</v>
      </c>
      <c r="D5680" s="14" t="str">
        <f>VLOOKUP(C5680,'State Key'!$A$2:$B$210,2,False)</f>
        <v>Jharkhand</v>
      </c>
      <c r="E5680" s="15">
        <v>500.0</v>
      </c>
      <c r="F5680" s="16">
        <v>113.495</v>
      </c>
      <c r="G5680" s="16">
        <v>0.0</v>
      </c>
      <c r="H5680" s="16">
        <v>116.547</v>
      </c>
      <c r="I5680" s="16">
        <v>0.0</v>
      </c>
      <c r="J5680" s="16">
        <v>0.0</v>
      </c>
      <c r="K5680" s="16">
        <v>0.0</v>
      </c>
      <c r="L5680" s="16">
        <v>230.042</v>
      </c>
      <c r="M5680" s="16">
        <v>200.901</v>
      </c>
      <c r="N5680" s="16">
        <v>166.2</v>
      </c>
      <c r="O5680" s="24">
        <v>24.8</v>
      </c>
      <c r="P5680" s="18">
        <f t="shared" si="1"/>
        <v>230.042</v>
      </c>
    </row>
    <row r="5681" ht="15.75" customHeight="1">
      <c r="A5681" s="19" t="s">
        <v>258</v>
      </c>
      <c r="B5681" s="19" t="s">
        <v>22</v>
      </c>
      <c r="C5681" s="20" t="s">
        <v>30</v>
      </c>
      <c r="D5681" s="14" t="str">
        <f>VLOOKUP(C5681,'State Key'!$A$2:$B$210,2,False)</f>
        <v>West Bengal</v>
      </c>
      <c r="E5681" s="21">
        <v>550.0</v>
      </c>
      <c r="F5681" s="22">
        <v>159.95639</v>
      </c>
      <c r="G5681" s="22">
        <v>0.0</v>
      </c>
      <c r="H5681" s="22">
        <v>33.8042</v>
      </c>
      <c r="I5681" s="22">
        <v>0.0</v>
      </c>
      <c r="J5681" s="22">
        <v>0.0</v>
      </c>
      <c r="K5681" s="22">
        <v>0.0</v>
      </c>
      <c r="L5681" s="22">
        <v>193.76059</v>
      </c>
      <c r="M5681" s="22">
        <v>189.302</v>
      </c>
      <c r="N5681" s="22">
        <v>72.16</v>
      </c>
      <c r="O5681" s="23">
        <v>11.4</v>
      </c>
      <c r="P5681" s="18">
        <f t="shared" si="1"/>
        <v>193.76059</v>
      </c>
    </row>
    <row r="5682" ht="15.75" customHeight="1">
      <c r="A5682" s="13" t="s">
        <v>258</v>
      </c>
      <c r="B5682" s="13" t="s">
        <v>22</v>
      </c>
      <c r="C5682" s="14" t="s">
        <v>31</v>
      </c>
      <c r="D5682" s="14" t="str">
        <f>VLOOKUP(C5682,'State Key'!$A$2:$B$210,2,False)</f>
        <v>Odisha</v>
      </c>
      <c r="E5682" s="15">
        <v>1600.0</v>
      </c>
      <c r="F5682" s="16">
        <v>0.0</v>
      </c>
      <c r="G5682" s="16">
        <v>0.0</v>
      </c>
      <c r="H5682" s="16">
        <v>748.6</v>
      </c>
      <c r="I5682" s="16">
        <v>0.0</v>
      </c>
      <c r="J5682" s="16">
        <v>0.0</v>
      </c>
      <c r="K5682" s="16">
        <v>0.0</v>
      </c>
      <c r="L5682" s="16">
        <v>748.6</v>
      </c>
      <c r="M5682" s="16">
        <v>741.022</v>
      </c>
      <c r="N5682" s="16">
        <v>474.93</v>
      </c>
      <c r="O5682" s="24">
        <v>19.2</v>
      </c>
      <c r="P5682" s="18">
        <f t="shared" si="1"/>
        <v>748.6</v>
      </c>
    </row>
    <row r="5683" ht="15.75" customHeight="1">
      <c r="A5683" s="19" t="s">
        <v>258</v>
      </c>
      <c r="B5683" s="19" t="s">
        <v>22</v>
      </c>
      <c r="C5683" s="20" t="s">
        <v>32</v>
      </c>
      <c r="D5683" s="14" t="str">
        <f>VLOOKUP(C5683,'State Key'!$A$2:$B$210,2,False)</f>
        <v>Odisha</v>
      </c>
      <c r="E5683" s="21">
        <v>1200.0</v>
      </c>
      <c r="F5683" s="22">
        <v>475.866</v>
      </c>
      <c r="G5683" s="22">
        <v>0.0</v>
      </c>
      <c r="H5683" s="22">
        <v>0.0</v>
      </c>
      <c r="I5683" s="22">
        <v>163.66</v>
      </c>
      <c r="J5683" s="22">
        <v>0.0</v>
      </c>
      <c r="K5683" s="22">
        <v>0.0</v>
      </c>
      <c r="L5683" s="22">
        <v>639.526</v>
      </c>
      <c r="M5683" s="22">
        <v>565.961</v>
      </c>
      <c r="N5683" s="22">
        <v>1045.44</v>
      </c>
      <c r="O5683" s="24">
        <v>55.4</v>
      </c>
      <c r="P5683" s="18">
        <f t="shared" si="1"/>
        <v>639.526</v>
      </c>
    </row>
    <row r="5684" ht="15.75" customHeight="1">
      <c r="A5684" s="13" t="s">
        <v>258</v>
      </c>
      <c r="B5684" s="13" t="s">
        <v>22</v>
      </c>
      <c r="C5684" s="14" t="s">
        <v>34</v>
      </c>
      <c r="D5684" s="14" t="str">
        <f>VLOOKUP(C5684,'State Key'!$A$2:$B$210,2,False)</f>
        <v>West Bengal</v>
      </c>
      <c r="E5684" s="15">
        <v>1000.0</v>
      </c>
      <c r="F5684" s="16">
        <v>403.289</v>
      </c>
      <c r="G5684" s="16">
        <v>0.0</v>
      </c>
      <c r="H5684" s="16">
        <v>14.947</v>
      </c>
      <c r="I5684" s="16">
        <v>0.0</v>
      </c>
      <c r="J5684" s="16">
        <v>0.0</v>
      </c>
      <c r="K5684" s="16">
        <v>0.835</v>
      </c>
      <c r="L5684" s="16">
        <v>419.071</v>
      </c>
      <c r="M5684" s="16">
        <v>306.099</v>
      </c>
      <c r="N5684" s="16">
        <v>230.39</v>
      </c>
      <c r="O5684" s="24">
        <v>22.6</v>
      </c>
      <c r="P5684" s="18">
        <f t="shared" si="1"/>
        <v>419.071</v>
      </c>
    </row>
    <row r="5685" ht="15.75" customHeight="1">
      <c r="A5685" s="19" t="s">
        <v>258</v>
      </c>
      <c r="B5685" s="19" t="s">
        <v>22</v>
      </c>
      <c r="C5685" s="20" t="s">
        <v>35</v>
      </c>
      <c r="D5685" s="14" t="str">
        <f>VLOOKUP(C5685,'State Key'!$A$2:$B$210,2,False)</f>
        <v>West Bengal</v>
      </c>
      <c r="E5685" s="21">
        <v>2100.0</v>
      </c>
      <c r="F5685" s="22">
        <v>552.33</v>
      </c>
      <c r="G5685" s="22">
        <v>0.0</v>
      </c>
      <c r="H5685" s="22">
        <v>65.6</v>
      </c>
      <c r="I5685" s="22">
        <v>0.0</v>
      </c>
      <c r="J5685" s="22">
        <v>0.0</v>
      </c>
      <c r="K5685" s="22">
        <v>0.0</v>
      </c>
      <c r="L5685" s="22">
        <v>617.93</v>
      </c>
      <c r="M5685" s="22">
        <v>548.151</v>
      </c>
      <c r="N5685" s="22">
        <v>335.62</v>
      </c>
      <c r="O5685" s="24">
        <v>18.4</v>
      </c>
      <c r="P5685" s="18">
        <f t="shared" si="1"/>
        <v>617.93</v>
      </c>
    </row>
    <row r="5686" ht="15.75" customHeight="1">
      <c r="A5686" s="13" t="s">
        <v>258</v>
      </c>
      <c r="B5686" s="13" t="s">
        <v>22</v>
      </c>
      <c r="C5686" s="14" t="s">
        <v>36</v>
      </c>
      <c r="D5686" s="14" t="str">
        <f>VLOOKUP(C5686,'State Key'!$A$2:$B$210,2,False)</f>
        <v>West Bengal</v>
      </c>
      <c r="E5686" s="15">
        <v>600.0</v>
      </c>
      <c r="F5686" s="16">
        <v>260.205</v>
      </c>
      <c r="G5686" s="16">
        <v>0.0</v>
      </c>
      <c r="H5686" s="16">
        <v>0.0</v>
      </c>
      <c r="I5686" s="16">
        <v>0.0</v>
      </c>
      <c r="J5686" s="16">
        <v>0.0</v>
      </c>
      <c r="K5686" s="16">
        <v>0.0</v>
      </c>
      <c r="L5686" s="16">
        <v>260.205</v>
      </c>
      <c r="M5686" s="16">
        <v>264.086</v>
      </c>
      <c r="N5686" s="16">
        <v>56.71</v>
      </c>
      <c r="O5686" s="17">
        <v>6.4</v>
      </c>
      <c r="P5686" s="18">
        <f t="shared" si="1"/>
        <v>260.205</v>
      </c>
    </row>
    <row r="5687" ht="15.75" customHeight="1">
      <c r="A5687" s="19" t="s">
        <v>258</v>
      </c>
      <c r="B5687" s="19" t="s">
        <v>22</v>
      </c>
      <c r="C5687" s="20" t="s">
        <v>37</v>
      </c>
      <c r="D5687" s="14" t="str">
        <f>VLOOKUP(C5687,'State Key'!$A$2:$B$210,2,False)</f>
        <v>West Bengal</v>
      </c>
      <c r="E5687" s="21">
        <v>300.0</v>
      </c>
      <c r="F5687" s="22">
        <v>132.793</v>
      </c>
      <c r="G5687" s="22">
        <v>0.0</v>
      </c>
      <c r="H5687" s="22">
        <v>0.0</v>
      </c>
      <c r="I5687" s="22">
        <v>0.0</v>
      </c>
      <c r="J5687" s="22">
        <v>0.0</v>
      </c>
      <c r="K5687" s="22">
        <v>0.0</v>
      </c>
      <c r="L5687" s="22">
        <v>132.793</v>
      </c>
      <c r="M5687" s="22">
        <v>139.187</v>
      </c>
      <c r="N5687" s="22">
        <v>220.33</v>
      </c>
      <c r="O5687" s="24">
        <v>47.5</v>
      </c>
      <c r="P5687" s="18">
        <f t="shared" si="1"/>
        <v>132.793</v>
      </c>
    </row>
    <row r="5688" ht="15.75" customHeight="1">
      <c r="A5688" s="13" t="s">
        <v>258</v>
      </c>
      <c r="B5688" s="13" t="s">
        <v>22</v>
      </c>
      <c r="C5688" s="14" t="s">
        <v>38</v>
      </c>
      <c r="D5688" s="14" t="str">
        <f>VLOOKUP(C5688,'State Key'!$A$2:$B$210,2,False)</f>
        <v>Odisha</v>
      </c>
      <c r="E5688" s="15">
        <v>1740.0</v>
      </c>
      <c r="F5688" s="16">
        <v>79.24</v>
      </c>
      <c r="G5688" s="16">
        <v>0.0</v>
      </c>
      <c r="H5688" s="16">
        <v>740.1</v>
      </c>
      <c r="I5688" s="16">
        <v>0.0</v>
      </c>
      <c r="J5688" s="16">
        <v>0.0</v>
      </c>
      <c r="K5688" s="16">
        <v>0.0</v>
      </c>
      <c r="L5688" s="16">
        <v>819.34</v>
      </c>
      <c r="M5688" s="16">
        <v>818.16</v>
      </c>
      <c r="N5688" s="16">
        <v>427.17</v>
      </c>
      <c r="O5688" s="24">
        <v>15.7</v>
      </c>
      <c r="P5688" s="18">
        <f t="shared" si="1"/>
        <v>819.34</v>
      </c>
    </row>
    <row r="5689" ht="15.75" customHeight="1">
      <c r="A5689" s="19" t="s">
        <v>258</v>
      </c>
      <c r="B5689" s="19" t="s">
        <v>22</v>
      </c>
      <c r="C5689" s="20" t="s">
        <v>39</v>
      </c>
      <c r="D5689" s="14" t="str">
        <f>VLOOKUP(C5689,'State Key'!$A$2:$B$210,2,False)</f>
        <v>Jharkhand</v>
      </c>
      <c r="E5689" s="21">
        <v>240.0</v>
      </c>
      <c r="F5689" s="22">
        <v>56.165</v>
      </c>
      <c r="G5689" s="22">
        <v>0.0</v>
      </c>
      <c r="H5689" s="22">
        <v>0.0</v>
      </c>
      <c r="I5689" s="22">
        <v>0.0</v>
      </c>
      <c r="J5689" s="22">
        <v>0.0</v>
      </c>
      <c r="K5689" s="22">
        <v>0.0</v>
      </c>
      <c r="L5689" s="22">
        <v>56.165</v>
      </c>
      <c r="M5689" s="22">
        <v>95.091</v>
      </c>
      <c r="N5689" s="22">
        <v>83.71</v>
      </c>
      <c r="O5689" s="24">
        <v>26.4</v>
      </c>
      <c r="P5689" s="18">
        <f t="shared" si="1"/>
        <v>56.165</v>
      </c>
    </row>
    <row r="5690" ht="15.75" customHeight="1">
      <c r="A5690" s="13" t="s">
        <v>258</v>
      </c>
      <c r="B5690" s="13" t="s">
        <v>22</v>
      </c>
      <c r="C5690" s="14" t="s">
        <v>245</v>
      </c>
      <c r="D5690" s="14" t="str">
        <f>VLOOKUP(C5690,'State Key'!$A$2:$B$210,2,False)</f>
        <v>Odisha</v>
      </c>
      <c r="E5690" s="15">
        <v>700.0</v>
      </c>
      <c r="F5690" s="16">
        <v>0.0</v>
      </c>
      <c r="G5690" s="16">
        <v>0.0</v>
      </c>
      <c r="H5690" s="16">
        <v>0.0</v>
      </c>
      <c r="I5690" s="16">
        <v>334.81</v>
      </c>
      <c r="J5690" s="16">
        <v>0.0</v>
      </c>
      <c r="K5690" s="16">
        <v>0.0</v>
      </c>
      <c r="L5690" s="16">
        <v>334.81</v>
      </c>
      <c r="M5690" s="16">
        <v>334.183</v>
      </c>
      <c r="N5690" s="16">
        <v>24.92</v>
      </c>
      <c r="O5690" s="17">
        <v>2.2</v>
      </c>
      <c r="P5690" s="18">
        <f t="shared" si="1"/>
        <v>334.81</v>
      </c>
    </row>
    <row r="5691" ht="15.75" customHeight="1">
      <c r="A5691" s="19" t="s">
        <v>258</v>
      </c>
      <c r="B5691" s="19" t="s">
        <v>22</v>
      </c>
      <c r="C5691" s="20" t="s">
        <v>40</v>
      </c>
      <c r="D5691" s="14" t="str">
        <f>VLOOKUP(C5691,'State Key'!$A$2:$B$210,2,False)</f>
        <v>Bihar</v>
      </c>
      <c r="E5691" s="21">
        <v>2340.0</v>
      </c>
      <c r="F5691" s="22">
        <v>946.74</v>
      </c>
      <c r="G5691" s="22">
        <v>0.0</v>
      </c>
      <c r="H5691" s="22">
        <v>0.0</v>
      </c>
      <c r="I5691" s="22">
        <v>0.0</v>
      </c>
      <c r="J5691" s="22">
        <v>0.0</v>
      </c>
      <c r="K5691" s="22">
        <v>0.0</v>
      </c>
      <c r="L5691" s="22">
        <v>946.74</v>
      </c>
      <c r="M5691" s="22">
        <v>996.311</v>
      </c>
      <c r="N5691" s="22">
        <v>658.01</v>
      </c>
      <c r="O5691" s="24">
        <v>19.8</v>
      </c>
      <c r="P5691" s="18">
        <f t="shared" si="1"/>
        <v>946.74</v>
      </c>
    </row>
    <row r="5692" ht="15.75" customHeight="1">
      <c r="A5692" s="13" t="s">
        <v>258</v>
      </c>
      <c r="B5692" s="13" t="s">
        <v>22</v>
      </c>
      <c r="C5692" s="14" t="s">
        <v>41</v>
      </c>
      <c r="D5692" s="14" t="str">
        <f>VLOOKUP(C5692,'State Key'!$A$2:$B$210,2,False)</f>
        <v>Odisha</v>
      </c>
      <c r="E5692" s="15">
        <v>1050.0</v>
      </c>
      <c r="F5692" s="16">
        <v>404.458</v>
      </c>
      <c r="G5692" s="16">
        <v>0.0</v>
      </c>
      <c r="H5692" s="16">
        <v>0.0</v>
      </c>
      <c r="I5692" s="16">
        <v>137.90312</v>
      </c>
      <c r="J5692" s="16">
        <v>0.0</v>
      </c>
      <c r="K5692" s="16">
        <v>0.0</v>
      </c>
      <c r="L5692" s="16">
        <v>542.36112</v>
      </c>
      <c r="M5692" s="16">
        <v>401.265</v>
      </c>
      <c r="N5692" s="16">
        <v>283.39</v>
      </c>
      <c r="O5692" s="24">
        <v>21.2</v>
      </c>
      <c r="P5692" s="18">
        <f t="shared" si="1"/>
        <v>542.36112</v>
      </c>
    </row>
    <row r="5693" ht="15.75" customHeight="1">
      <c r="A5693" s="19" t="s">
        <v>258</v>
      </c>
      <c r="B5693" s="19" t="s">
        <v>22</v>
      </c>
      <c r="C5693" s="20" t="s">
        <v>42</v>
      </c>
      <c r="D5693" s="14" t="str">
        <f>VLOOKUP(C5693,'State Key'!$A$2:$B$210,2,False)</f>
        <v>Jharkhand</v>
      </c>
      <c r="E5693" s="21">
        <v>1000.0</v>
      </c>
      <c r="F5693" s="22">
        <v>274.66</v>
      </c>
      <c r="G5693" s="22">
        <v>0.0</v>
      </c>
      <c r="H5693" s="22">
        <v>114.796</v>
      </c>
      <c r="I5693" s="22">
        <v>0.0</v>
      </c>
      <c r="J5693" s="22">
        <v>0.0</v>
      </c>
      <c r="K5693" s="22">
        <v>3.183</v>
      </c>
      <c r="L5693" s="22">
        <v>392.639</v>
      </c>
      <c r="M5693" s="22">
        <v>378.446</v>
      </c>
      <c r="N5693" s="22">
        <v>280.19</v>
      </c>
      <c r="O5693" s="24">
        <v>22.2</v>
      </c>
      <c r="P5693" s="18">
        <f t="shared" si="1"/>
        <v>392.639</v>
      </c>
    </row>
    <row r="5694" ht="15.75" customHeight="1">
      <c r="A5694" s="13" t="s">
        <v>258</v>
      </c>
      <c r="B5694" s="13" t="s">
        <v>22</v>
      </c>
      <c r="C5694" s="14" t="s">
        <v>43</v>
      </c>
      <c r="D5694" s="14" t="str">
        <f>VLOOKUP(C5694,'State Key'!$A$2:$B$210,2,False)</f>
        <v>West Bengal</v>
      </c>
      <c r="E5694" s="15">
        <v>840.0</v>
      </c>
      <c r="F5694" s="16">
        <v>0.0</v>
      </c>
      <c r="G5694" s="16">
        <v>0.0</v>
      </c>
      <c r="H5694" s="16">
        <v>376.83</v>
      </c>
      <c r="I5694" s="16">
        <v>0.0</v>
      </c>
      <c r="J5694" s="16">
        <v>0.0</v>
      </c>
      <c r="K5694" s="16">
        <v>0.0</v>
      </c>
      <c r="L5694" s="16">
        <v>376.83</v>
      </c>
      <c r="M5694" s="16">
        <v>317.988</v>
      </c>
      <c r="N5694" s="16">
        <v>163.58</v>
      </c>
      <c r="O5694" s="24">
        <v>15.4</v>
      </c>
      <c r="P5694" s="18">
        <f t="shared" si="1"/>
        <v>376.83</v>
      </c>
    </row>
    <row r="5695" ht="15.75" customHeight="1">
      <c r="A5695" s="19" t="s">
        <v>258</v>
      </c>
      <c r="B5695" s="19" t="s">
        <v>22</v>
      </c>
      <c r="C5695" s="20" t="s">
        <v>44</v>
      </c>
      <c r="D5695" s="14" t="str">
        <f>VLOOKUP(C5695,'State Key'!$A$2:$B$210,2,False)</f>
        <v>Jharkhand</v>
      </c>
      <c r="E5695" s="21">
        <v>540.0</v>
      </c>
      <c r="F5695" s="22">
        <v>180.717</v>
      </c>
      <c r="G5695" s="22">
        <v>0.0</v>
      </c>
      <c r="H5695" s="22">
        <v>0.0</v>
      </c>
      <c r="I5695" s="22">
        <v>0.0</v>
      </c>
      <c r="J5695" s="22">
        <v>0.0</v>
      </c>
      <c r="K5695" s="22">
        <v>29.271</v>
      </c>
      <c r="L5695" s="22">
        <v>209.988</v>
      </c>
      <c r="M5695" s="22">
        <v>212.192</v>
      </c>
      <c r="N5695" s="22">
        <v>69.78</v>
      </c>
      <c r="O5695" s="23">
        <v>9.9</v>
      </c>
      <c r="P5695" s="18">
        <f t="shared" si="1"/>
        <v>209.988</v>
      </c>
    </row>
    <row r="5696" ht="15.75" customHeight="1">
      <c r="A5696" s="13" t="s">
        <v>258</v>
      </c>
      <c r="B5696" s="13" t="s">
        <v>22</v>
      </c>
      <c r="C5696" s="14" t="s">
        <v>45</v>
      </c>
      <c r="D5696" s="14" t="str">
        <f>VLOOKUP(C5696,'State Key'!$A$2:$B$210,2,False)</f>
        <v>Jharkhand</v>
      </c>
      <c r="E5696" s="15">
        <v>1050.0</v>
      </c>
      <c r="F5696" s="16">
        <v>314.164</v>
      </c>
      <c r="G5696" s="16">
        <v>0.0</v>
      </c>
      <c r="H5696" s="16">
        <v>0.0</v>
      </c>
      <c r="I5696" s="16">
        <v>0.0</v>
      </c>
      <c r="J5696" s="16">
        <v>0.0</v>
      </c>
      <c r="K5696" s="16">
        <v>0.0</v>
      </c>
      <c r="L5696" s="16">
        <v>314.164</v>
      </c>
      <c r="M5696" s="16">
        <v>233.108</v>
      </c>
      <c r="N5696" s="16">
        <v>372.46</v>
      </c>
      <c r="O5696" s="24">
        <v>47.9</v>
      </c>
      <c r="P5696" s="18">
        <f t="shared" si="1"/>
        <v>314.164</v>
      </c>
    </row>
    <row r="5697" ht="15.75" customHeight="1">
      <c r="A5697" s="19" t="s">
        <v>258</v>
      </c>
      <c r="B5697" s="19" t="s">
        <v>22</v>
      </c>
      <c r="C5697" s="20" t="s">
        <v>46</v>
      </c>
      <c r="D5697" s="14" t="str">
        <f>VLOOKUP(C5697,'State Key'!$A$2:$B$210,2,False)</f>
        <v>West Bengal</v>
      </c>
      <c r="E5697" s="21">
        <v>2340.0</v>
      </c>
      <c r="F5697" s="22">
        <v>638.772</v>
      </c>
      <c r="G5697" s="22">
        <v>0.0</v>
      </c>
      <c r="H5697" s="22">
        <v>144.642</v>
      </c>
      <c r="I5697" s="22">
        <v>0.0</v>
      </c>
      <c r="J5697" s="22">
        <v>0.0</v>
      </c>
      <c r="K5697" s="22">
        <v>196.61</v>
      </c>
      <c r="L5697" s="22">
        <v>980.024</v>
      </c>
      <c r="M5697" s="22">
        <v>794.103</v>
      </c>
      <c r="N5697" s="22">
        <v>470.21</v>
      </c>
      <c r="O5697" s="24">
        <v>17.8</v>
      </c>
      <c r="P5697" s="18">
        <f t="shared" si="1"/>
        <v>980.024</v>
      </c>
    </row>
    <row r="5698" ht="15.75" customHeight="1">
      <c r="A5698" s="13" t="s">
        <v>258</v>
      </c>
      <c r="B5698" s="13" t="s">
        <v>22</v>
      </c>
      <c r="C5698" s="14" t="s">
        <v>47</v>
      </c>
      <c r="D5698" s="14" t="str">
        <f>VLOOKUP(C5698,'State Key'!$A$2:$B$210,2,False)</f>
        <v>Bihar</v>
      </c>
      <c r="E5698" s="15">
        <v>390.0</v>
      </c>
      <c r="F5698" s="16">
        <v>0.0</v>
      </c>
      <c r="G5698" s="16">
        <v>0.0</v>
      </c>
      <c r="H5698" s="16">
        <v>81.847</v>
      </c>
      <c r="I5698" s="16">
        <v>42.046</v>
      </c>
      <c r="J5698" s="16">
        <v>0.0</v>
      </c>
      <c r="K5698" s="16">
        <v>0.0</v>
      </c>
      <c r="L5698" s="16">
        <v>123.893</v>
      </c>
      <c r="M5698" s="16">
        <v>113.406</v>
      </c>
      <c r="N5698" s="16">
        <v>174.94</v>
      </c>
      <c r="O5698" s="24">
        <v>46.3</v>
      </c>
      <c r="P5698" s="18">
        <f t="shared" si="1"/>
        <v>123.893</v>
      </c>
    </row>
    <row r="5699" ht="15.75" customHeight="1">
      <c r="A5699" s="19" t="s">
        <v>258</v>
      </c>
      <c r="B5699" s="19" t="s">
        <v>22</v>
      </c>
      <c r="C5699" s="20" t="s">
        <v>241</v>
      </c>
      <c r="D5699" s="14" t="str">
        <f>VLOOKUP(C5699,'State Key'!$A$2:$B$210,2,False)</f>
        <v>Odisha</v>
      </c>
      <c r="E5699" s="21">
        <v>60.0</v>
      </c>
      <c r="F5699" s="22">
        <v>24.08</v>
      </c>
      <c r="G5699" s="22">
        <v>0.0</v>
      </c>
      <c r="H5699" s="22">
        <v>0.0</v>
      </c>
      <c r="I5699" s="22">
        <v>0.0</v>
      </c>
      <c r="J5699" s="22">
        <v>0.0</v>
      </c>
      <c r="K5699" s="22">
        <v>17.08</v>
      </c>
      <c r="L5699" s="22">
        <v>41.16</v>
      </c>
      <c r="M5699" s="22">
        <v>34.95</v>
      </c>
      <c r="N5699" s="22">
        <v>15.15</v>
      </c>
      <c r="O5699" s="23">
        <v>13.0</v>
      </c>
      <c r="P5699" s="18">
        <f t="shared" si="1"/>
        <v>41.16</v>
      </c>
    </row>
    <row r="5700" ht="15.75" customHeight="1">
      <c r="A5700" s="13" t="s">
        <v>258</v>
      </c>
      <c r="B5700" s="13" t="s">
        <v>22</v>
      </c>
      <c r="C5700" s="14" t="s">
        <v>48</v>
      </c>
      <c r="D5700" s="14" t="str">
        <f>VLOOKUP(C5700,'State Key'!$A$2:$B$210,2,False)</f>
        <v>Bihar</v>
      </c>
      <c r="E5700" s="15">
        <v>1980.0</v>
      </c>
      <c r="F5700" s="16">
        <v>607.38</v>
      </c>
      <c r="G5700" s="16">
        <v>0.0</v>
      </c>
      <c r="H5700" s="16">
        <v>253.15</v>
      </c>
      <c r="I5700" s="16">
        <v>25.174</v>
      </c>
      <c r="J5700" s="16">
        <v>0.0</v>
      </c>
      <c r="K5700" s="16">
        <v>0.0</v>
      </c>
      <c r="L5700" s="16">
        <v>885.704</v>
      </c>
      <c r="M5700" s="16">
        <v>667.124</v>
      </c>
      <c r="N5700" s="16">
        <v>587.83</v>
      </c>
      <c r="O5700" s="24">
        <v>26.4</v>
      </c>
      <c r="P5700" s="18">
        <f t="shared" si="1"/>
        <v>885.704</v>
      </c>
    </row>
    <row r="5701" ht="15.75" customHeight="1">
      <c r="A5701" s="19" t="s">
        <v>258</v>
      </c>
      <c r="B5701" s="19" t="s">
        <v>22</v>
      </c>
      <c r="C5701" s="20" t="s">
        <v>49</v>
      </c>
      <c r="D5701" s="14" t="str">
        <f>VLOOKUP(C5701,'State Key'!$A$2:$B$210,2,False)</f>
        <v>Bihar</v>
      </c>
      <c r="E5701" s="21">
        <v>1000.0</v>
      </c>
      <c r="F5701" s="22">
        <v>354.822</v>
      </c>
      <c r="G5701" s="22">
        <v>0.0</v>
      </c>
      <c r="H5701" s="22">
        <v>0.0</v>
      </c>
      <c r="I5701" s="22">
        <v>0.0</v>
      </c>
      <c r="J5701" s="22">
        <v>0.0</v>
      </c>
      <c r="K5701" s="22">
        <v>0.0</v>
      </c>
      <c r="L5701" s="22">
        <v>354.822</v>
      </c>
      <c r="M5701" s="22">
        <v>276.912</v>
      </c>
      <c r="N5701" s="22">
        <v>228.25</v>
      </c>
      <c r="O5701" s="24">
        <v>24.7</v>
      </c>
      <c r="P5701" s="18">
        <f t="shared" si="1"/>
        <v>354.822</v>
      </c>
    </row>
    <row r="5702" ht="15.75" customHeight="1">
      <c r="A5702" s="13" t="s">
        <v>258</v>
      </c>
      <c r="B5702" s="13" t="s">
        <v>22</v>
      </c>
      <c r="C5702" s="14" t="s">
        <v>50</v>
      </c>
      <c r="D5702" s="14" t="str">
        <f>VLOOKUP(C5702,'State Key'!$A$2:$B$210,2,False)</f>
        <v>Jharkhand</v>
      </c>
      <c r="E5702" s="15">
        <v>1980.0</v>
      </c>
      <c r="F5702" s="16">
        <v>449.23</v>
      </c>
      <c r="G5702" s="16">
        <v>0.0</v>
      </c>
      <c r="H5702" s="16">
        <v>311.39</v>
      </c>
      <c r="I5702" s="16">
        <v>0.0</v>
      </c>
      <c r="J5702" s="16">
        <v>0.0</v>
      </c>
      <c r="K5702" s="16">
        <v>0.0</v>
      </c>
      <c r="L5702" s="16">
        <v>760.62</v>
      </c>
      <c r="M5702" s="16">
        <v>795.64</v>
      </c>
      <c r="N5702" s="16">
        <v>186.54</v>
      </c>
      <c r="O5702" s="23">
        <v>7.0</v>
      </c>
      <c r="P5702" s="18">
        <f t="shared" si="1"/>
        <v>760.62</v>
      </c>
    </row>
    <row r="5703" ht="15.75" customHeight="1">
      <c r="A5703" s="19" t="s">
        <v>258</v>
      </c>
      <c r="B5703" s="19" t="s">
        <v>22</v>
      </c>
      <c r="C5703" s="20" t="s">
        <v>260</v>
      </c>
      <c r="D5703" s="14" t="str">
        <f>VLOOKUP(C5703,'State Key'!$A$2:$B$210,2,False)</f>
        <v>Jharkhand</v>
      </c>
      <c r="E5703" s="21">
        <v>800.0</v>
      </c>
      <c r="F5703" s="22">
        <v>0.0</v>
      </c>
      <c r="G5703" s="22">
        <v>0.0</v>
      </c>
      <c r="H5703" s="22">
        <v>0.0</v>
      </c>
      <c r="I5703" s="22">
        <v>0.0</v>
      </c>
      <c r="J5703" s="22">
        <v>0.0</v>
      </c>
      <c r="K5703" s="22">
        <v>0.0</v>
      </c>
      <c r="L5703" s="22">
        <v>0.0</v>
      </c>
      <c r="M5703" s="22">
        <v>224.719</v>
      </c>
      <c r="N5703" s="22">
        <v>197.462</v>
      </c>
      <c r="O5703" s="24">
        <v>26.4</v>
      </c>
      <c r="P5703" s="18">
        <f t="shared" si="1"/>
        <v>0</v>
      </c>
    </row>
    <row r="5704" ht="15.75" customHeight="1">
      <c r="A5704" s="13" t="s">
        <v>258</v>
      </c>
      <c r="B5704" s="13" t="s">
        <v>22</v>
      </c>
      <c r="C5704" s="14" t="s">
        <v>51</v>
      </c>
      <c r="D5704" s="14" t="str">
        <f>VLOOKUP(C5704,'State Key'!$A$2:$B$210,2,False)</f>
        <v>West Bengal</v>
      </c>
      <c r="E5704" s="15">
        <v>1200.0</v>
      </c>
      <c r="F5704" s="16">
        <v>329.56</v>
      </c>
      <c r="G5704" s="16">
        <v>0.0</v>
      </c>
      <c r="H5704" s="16">
        <v>40.18</v>
      </c>
      <c r="I5704" s="16">
        <v>0.0</v>
      </c>
      <c r="J5704" s="16">
        <v>0.0</v>
      </c>
      <c r="K5704" s="16">
        <v>0.0</v>
      </c>
      <c r="L5704" s="16">
        <v>369.74</v>
      </c>
      <c r="M5704" s="16">
        <v>311.335</v>
      </c>
      <c r="N5704" s="16">
        <v>336.53</v>
      </c>
      <c r="O5704" s="24">
        <v>32.4</v>
      </c>
      <c r="P5704" s="18">
        <f t="shared" si="1"/>
        <v>369.74</v>
      </c>
    </row>
    <row r="5705" ht="15.75" customHeight="1">
      <c r="A5705" s="19" t="s">
        <v>258</v>
      </c>
      <c r="B5705" s="19" t="s">
        <v>22</v>
      </c>
      <c r="C5705" s="20" t="s">
        <v>52</v>
      </c>
      <c r="D5705" s="14" t="str">
        <f>VLOOKUP(C5705,'State Key'!$A$2:$B$210,2,False)</f>
        <v>West Bengal</v>
      </c>
      <c r="E5705" s="21">
        <v>1600.0</v>
      </c>
      <c r="F5705" s="22">
        <v>0.0</v>
      </c>
      <c r="G5705" s="22">
        <v>0.0</v>
      </c>
      <c r="H5705" s="22">
        <v>775.61</v>
      </c>
      <c r="I5705" s="22">
        <v>37.775</v>
      </c>
      <c r="J5705" s="22">
        <v>0.0</v>
      </c>
      <c r="K5705" s="22">
        <v>0.0</v>
      </c>
      <c r="L5705" s="22">
        <v>813.385</v>
      </c>
      <c r="M5705" s="22">
        <v>438.293</v>
      </c>
      <c r="N5705" s="22">
        <v>514.44</v>
      </c>
      <c r="O5705" s="24">
        <v>35.2</v>
      </c>
      <c r="P5705" s="18">
        <f t="shared" si="1"/>
        <v>813.385</v>
      </c>
    </row>
    <row r="5706" ht="15.75" customHeight="1">
      <c r="A5706" s="13" t="s">
        <v>258</v>
      </c>
      <c r="B5706" s="13" t="s">
        <v>22</v>
      </c>
      <c r="C5706" s="14" t="s">
        <v>53</v>
      </c>
      <c r="D5706" s="14" t="str">
        <f>VLOOKUP(C5706,'State Key'!$A$2:$B$210,2,False)</f>
        <v>West Bengal</v>
      </c>
      <c r="E5706" s="15">
        <v>500.0</v>
      </c>
      <c r="F5706" s="16">
        <v>0.0</v>
      </c>
      <c r="G5706" s="16">
        <v>0.0</v>
      </c>
      <c r="H5706" s="16">
        <v>235.438</v>
      </c>
      <c r="I5706" s="16">
        <v>0.0</v>
      </c>
      <c r="J5706" s="16">
        <v>0.0</v>
      </c>
      <c r="K5706" s="16">
        <v>0.0</v>
      </c>
      <c r="L5706" s="16">
        <v>235.438</v>
      </c>
      <c r="M5706" s="16">
        <v>213.235</v>
      </c>
      <c r="N5706" s="16">
        <v>106.5</v>
      </c>
      <c r="O5706" s="24">
        <v>15.0</v>
      </c>
      <c r="P5706" s="18">
        <f t="shared" si="1"/>
        <v>235.438</v>
      </c>
    </row>
    <row r="5707" ht="15.75" customHeight="1">
      <c r="A5707" s="19" t="s">
        <v>258</v>
      </c>
      <c r="B5707" s="19" t="s">
        <v>22</v>
      </c>
      <c r="C5707" s="20" t="s">
        <v>54</v>
      </c>
      <c r="D5707" s="14" t="str">
        <f>VLOOKUP(C5707,'State Key'!$A$2:$B$210,2,False)</f>
        <v>West Bengal</v>
      </c>
      <c r="E5707" s="21">
        <v>135.0</v>
      </c>
      <c r="F5707" s="22">
        <v>0.0</v>
      </c>
      <c r="G5707" s="22">
        <v>0.0</v>
      </c>
      <c r="H5707" s="22">
        <v>0.0</v>
      </c>
      <c r="I5707" s="22">
        <v>0.0</v>
      </c>
      <c r="J5707" s="22">
        <v>0.0</v>
      </c>
      <c r="K5707" s="22">
        <v>0.0</v>
      </c>
      <c r="L5707" s="22">
        <v>0.0</v>
      </c>
      <c r="M5707" s="22">
        <v>1.316</v>
      </c>
      <c r="N5707" s="22">
        <v>23.07</v>
      </c>
      <c r="O5707" s="24">
        <v>525.9</v>
      </c>
      <c r="P5707" s="18">
        <f t="shared" si="1"/>
        <v>0</v>
      </c>
    </row>
    <row r="5708" ht="15.75" customHeight="1">
      <c r="A5708" s="13" t="s">
        <v>258</v>
      </c>
      <c r="B5708" s="13" t="s">
        <v>22</v>
      </c>
      <c r="C5708" s="14" t="s">
        <v>55</v>
      </c>
      <c r="D5708" s="14" t="str">
        <f>VLOOKUP(C5708,'State Key'!$A$2:$B$210,2,False)</f>
        <v>Odisha</v>
      </c>
      <c r="E5708" s="15">
        <v>3000.0</v>
      </c>
      <c r="F5708" s="16">
        <v>1228.03</v>
      </c>
      <c r="G5708" s="16">
        <v>0.0</v>
      </c>
      <c r="H5708" s="16">
        <v>91.25</v>
      </c>
      <c r="I5708" s="16">
        <v>0.0</v>
      </c>
      <c r="J5708" s="16">
        <v>0.0</v>
      </c>
      <c r="K5708" s="16">
        <v>0.0</v>
      </c>
      <c r="L5708" s="16">
        <v>1319.28</v>
      </c>
      <c r="M5708" s="16">
        <v>1409.671</v>
      </c>
      <c r="N5708" s="16">
        <v>508.62</v>
      </c>
      <c r="O5708" s="23">
        <v>10.8</v>
      </c>
      <c r="P5708" s="18">
        <f t="shared" si="1"/>
        <v>1319.28</v>
      </c>
    </row>
    <row r="5709" ht="15.75" customHeight="1">
      <c r="A5709" s="19" t="s">
        <v>258</v>
      </c>
      <c r="B5709" s="19" t="s">
        <v>22</v>
      </c>
      <c r="C5709" s="20" t="s">
        <v>56</v>
      </c>
      <c r="D5709" s="14" t="str">
        <f>VLOOKUP(C5709,'State Key'!$A$2:$B$210,2,False)</f>
        <v>Jharkhand</v>
      </c>
      <c r="E5709" s="21">
        <v>420.0</v>
      </c>
      <c r="F5709" s="22">
        <v>221.77</v>
      </c>
      <c r="G5709" s="22">
        <v>0.0</v>
      </c>
      <c r="H5709" s="22">
        <v>0.0</v>
      </c>
      <c r="I5709" s="22">
        <v>0.0</v>
      </c>
      <c r="J5709" s="22">
        <v>0.0</v>
      </c>
      <c r="K5709" s="22">
        <v>0.0</v>
      </c>
      <c r="L5709" s="22">
        <v>221.77</v>
      </c>
      <c r="M5709" s="22">
        <v>164.08</v>
      </c>
      <c r="N5709" s="22">
        <v>96.41</v>
      </c>
      <c r="O5709" s="24">
        <v>17.6</v>
      </c>
      <c r="P5709" s="18">
        <f t="shared" si="1"/>
        <v>221.77</v>
      </c>
    </row>
    <row r="5710" ht="15.75" customHeight="1">
      <c r="A5710" s="13" t="s">
        <v>258</v>
      </c>
      <c r="B5710" s="13" t="s">
        <v>22</v>
      </c>
      <c r="C5710" s="14" t="s">
        <v>60</v>
      </c>
      <c r="D5710" s="14" t="str">
        <f>VLOOKUP(C5710,'State Key'!$A$2:$B$210,2,False)</f>
        <v>Odisha</v>
      </c>
      <c r="E5710" s="15">
        <v>600.0</v>
      </c>
      <c r="F5710" s="16">
        <v>260.36879</v>
      </c>
      <c r="G5710" s="16">
        <v>0.0</v>
      </c>
      <c r="H5710" s="16">
        <v>0.0</v>
      </c>
      <c r="I5710" s="16">
        <v>0.0</v>
      </c>
      <c r="J5710" s="16">
        <v>0.0</v>
      </c>
      <c r="K5710" s="16">
        <v>0.0</v>
      </c>
      <c r="L5710" s="16">
        <v>260.36879</v>
      </c>
      <c r="M5710" s="16">
        <v>280.3506</v>
      </c>
      <c r="N5710" s="16">
        <v>77.5</v>
      </c>
      <c r="O5710" s="23">
        <v>8.3</v>
      </c>
      <c r="P5710" s="18">
        <f t="shared" si="1"/>
        <v>260.36879</v>
      </c>
    </row>
    <row r="5711" ht="15.75" customHeight="1">
      <c r="A5711" s="19" t="s">
        <v>258</v>
      </c>
      <c r="B5711" s="19" t="s">
        <v>61</v>
      </c>
      <c r="C5711" s="20" t="s">
        <v>209</v>
      </c>
      <c r="D5711" s="14" t="str">
        <f>VLOOKUP(C5711,'State Key'!$A$2:$B$210,2,False)</f>
        <v>Rajasthan</v>
      </c>
      <c r="E5711" s="21">
        <v>1320.0</v>
      </c>
      <c r="F5711" s="22">
        <v>302.957</v>
      </c>
      <c r="G5711" s="22">
        <v>0.0</v>
      </c>
      <c r="H5711" s="22">
        <v>0.0</v>
      </c>
      <c r="I5711" s="22">
        <v>0.0</v>
      </c>
      <c r="J5711" s="22">
        <v>123.374</v>
      </c>
      <c r="K5711" s="22">
        <v>0.0</v>
      </c>
      <c r="L5711" s="22">
        <v>426.331</v>
      </c>
      <c r="M5711" s="22">
        <v>458.236</v>
      </c>
      <c r="N5711" s="22">
        <v>372.91</v>
      </c>
      <c r="O5711" s="24">
        <v>24.4</v>
      </c>
      <c r="P5711" s="18">
        <f t="shared" si="1"/>
        <v>426.331</v>
      </c>
    </row>
    <row r="5712" ht="15.75" customHeight="1">
      <c r="A5712" s="13" t="s">
        <v>258</v>
      </c>
      <c r="B5712" s="13" t="s">
        <v>61</v>
      </c>
      <c r="C5712" s="14" t="s">
        <v>62</v>
      </c>
      <c r="D5712" s="14" t="str">
        <f>VLOOKUP(C5712,'State Key'!$A$2:$B$210,2,False)</f>
        <v>Uttar Pradesh</v>
      </c>
      <c r="E5712" s="15">
        <v>1200.0</v>
      </c>
      <c r="F5712" s="16">
        <v>292.128</v>
      </c>
      <c r="G5712" s="16">
        <v>0.0</v>
      </c>
      <c r="H5712" s="16">
        <v>0.0</v>
      </c>
      <c r="I5712" s="16">
        <v>0.0</v>
      </c>
      <c r="J5712" s="16">
        <v>0.0</v>
      </c>
      <c r="K5712" s="16">
        <v>0.0</v>
      </c>
      <c r="L5712" s="16">
        <v>292.128</v>
      </c>
      <c r="M5712" s="16">
        <v>247.225</v>
      </c>
      <c r="N5712" s="16">
        <v>142.25</v>
      </c>
      <c r="O5712" s="24">
        <v>17.3</v>
      </c>
      <c r="P5712" s="18">
        <f t="shared" si="1"/>
        <v>292.128</v>
      </c>
    </row>
    <row r="5713" ht="15.75" customHeight="1">
      <c r="A5713" s="19" t="s">
        <v>258</v>
      </c>
      <c r="B5713" s="19" t="s">
        <v>61</v>
      </c>
      <c r="C5713" s="20" t="s">
        <v>63</v>
      </c>
      <c r="D5713" s="14" t="str">
        <f>VLOOKUP(C5713,'State Key'!$A$2:$B$210,2,False)</f>
        <v>Uttar Pradesh</v>
      </c>
      <c r="E5713" s="21">
        <v>2630.0</v>
      </c>
      <c r="F5713" s="22">
        <v>1085.901</v>
      </c>
      <c r="G5713" s="22">
        <v>0.0</v>
      </c>
      <c r="H5713" s="22">
        <v>0.0</v>
      </c>
      <c r="I5713" s="22">
        <v>0.0</v>
      </c>
      <c r="J5713" s="22">
        <v>0.0</v>
      </c>
      <c r="K5713" s="22">
        <v>0.0</v>
      </c>
      <c r="L5713" s="22">
        <v>1085.901</v>
      </c>
      <c r="M5713" s="22">
        <v>883.685</v>
      </c>
      <c r="N5713" s="22">
        <v>561.73</v>
      </c>
      <c r="O5713" s="24">
        <v>19.1</v>
      </c>
      <c r="P5713" s="18">
        <f t="shared" si="1"/>
        <v>1085.901</v>
      </c>
    </row>
    <row r="5714" ht="15.75" customHeight="1">
      <c r="A5714" s="13" t="s">
        <v>258</v>
      </c>
      <c r="B5714" s="13" t="s">
        <v>61</v>
      </c>
      <c r="C5714" s="14" t="s">
        <v>64</v>
      </c>
      <c r="D5714" s="14" t="str">
        <f>VLOOKUP(C5714,'State Key'!$A$2:$B$210,2,False)</f>
        <v>Uttar Pradesh</v>
      </c>
      <c r="E5714" s="15">
        <v>90.0</v>
      </c>
      <c r="F5714" s="16">
        <v>3.97</v>
      </c>
      <c r="G5714" s="16">
        <v>0.0</v>
      </c>
      <c r="H5714" s="16">
        <v>0.0</v>
      </c>
      <c r="I5714" s="16">
        <v>0.0</v>
      </c>
      <c r="J5714" s="16">
        <v>0.0</v>
      </c>
      <c r="K5714" s="16">
        <v>0.0</v>
      </c>
      <c r="L5714" s="16">
        <v>3.97</v>
      </c>
      <c r="M5714" s="16">
        <v>5.54</v>
      </c>
      <c r="N5714" s="16">
        <v>51.39</v>
      </c>
      <c r="O5714" s="24">
        <v>278.3</v>
      </c>
      <c r="P5714" s="18">
        <f t="shared" si="1"/>
        <v>3.97</v>
      </c>
    </row>
    <row r="5715" ht="15.75" customHeight="1">
      <c r="A5715" s="19" t="s">
        <v>258</v>
      </c>
      <c r="B5715" s="19" t="s">
        <v>61</v>
      </c>
      <c r="C5715" s="20" t="s">
        <v>65</v>
      </c>
      <c r="D5715" s="14" t="str">
        <f>VLOOKUP(C5715,'State Key'!$A$2:$B$210,2,False)</f>
        <v>Rajasthan</v>
      </c>
      <c r="E5715" s="21">
        <v>500.0</v>
      </c>
      <c r="F5715" s="22">
        <v>11.9721</v>
      </c>
      <c r="G5715" s="22">
        <v>0.0</v>
      </c>
      <c r="H5715" s="22">
        <v>0.0</v>
      </c>
      <c r="I5715" s="22">
        <v>0.0</v>
      </c>
      <c r="J5715" s="22">
        <v>0.0</v>
      </c>
      <c r="K5715" s="22">
        <v>0.0</v>
      </c>
      <c r="L5715" s="22">
        <v>11.9721</v>
      </c>
      <c r="M5715" s="22">
        <v>201.7412</v>
      </c>
      <c r="N5715" s="22">
        <v>200.7141</v>
      </c>
      <c r="O5715" s="24">
        <v>29.8</v>
      </c>
      <c r="P5715" s="18">
        <f t="shared" si="1"/>
        <v>11.9721</v>
      </c>
    </row>
    <row r="5716" ht="15.75" customHeight="1">
      <c r="A5716" s="13" t="s">
        <v>258</v>
      </c>
      <c r="B5716" s="13" t="s">
        <v>61</v>
      </c>
      <c r="C5716" s="14" t="s">
        <v>66</v>
      </c>
      <c r="D5716" s="14" t="str">
        <f>VLOOKUP(C5716,'State Key'!$A$2:$B$210,2,False)</f>
        <v>Rajasthan</v>
      </c>
      <c r="E5716" s="15">
        <v>500.0</v>
      </c>
      <c r="F5716" s="16">
        <v>0.0</v>
      </c>
      <c r="G5716" s="16">
        <v>0.0</v>
      </c>
      <c r="H5716" s="16">
        <v>166.3706</v>
      </c>
      <c r="I5716" s="16">
        <v>0.0</v>
      </c>
      <c r="J5716" s="16">
        <v>0.0</v>
      </c>
      <c r="K5716" s="16">
        <v>0.0</v>
      </c>
      <c r="L5716" s="16">
        <v>166.3706</v>
      </c>
      <c r="M5716" s="16">
        <v>105.0836</v>
      </c>
      <c r="N5716" s="16">
        <v>224.1919</v>
      </c>
      <c r="O5716" s="24">
        <v>64.0</v>
      </c>
      <c r="P5716" s="18">
        <f t="shared" si="1"/>
        <v>166.3706</v>
      </c>
    </row>
    <row r="5717" ht="15.75" customHeight="1">
      <c r="A5717" s="19" t="s">
        <v>258</v>
      </c>
      <c r="B5717" s="19" t="s">
        <v>61</v>
      </c>
      <c r="C5717" s="20" t="s">
        <v>67</v>
      </c>
      <c r="D5717" s="14" t="str">
        <f>VLOOKUP(C5717,'State Key'!$A$2:$B$210,2,False)</f>
        <v>Rajasthan</v>
      </c>
      <c r="E5717" s="21">
        <v>1320.0</v>
      </c>
      <c r="F5717" s="22">
        <v>0.0</v>
      </c>
      <c r="G5717" s="22">
        <v>0.0</v>
      </c>
      <c r="H5717" s="22">
        <v>198.09607</v>
      </c>
      <c r="I5717" s="22">
        <v>0.0</v>
      </c>
      <c r="J5717" s="22">
        <v>0.0</v>
      </c>
      <c r="K5717" s="22">
        <v>0.0</v>
      </c>
      <c r="L5717" s="22">
        <v>198.09607</v>
      </c>
      <c r="M5717" s="22">
        <v>215.7673</v>
      </c>
      <c r="N5717" s="22">
        <v>580.135</v>
      </c>
      <c r="O5717" s="24">
        <v>80.7</v>
      </c>
      <c r="P5717" s="18">
        <f t="shared" si="1"/>
        <v>198.09607</v>
      </c>
    </row>
    <row r="5718" ht="15.75" customHeight="1">
      <c r="A5718" s="13" t="s">
        <v>258</v>
      </c>
      <c r="B5718" s="13" t="s">
        <v>61</v>
      </c>
      <c r="C5718" s="14" t="s">
        <v>68</v>
      </c>
      <c r="D5718" s="14" t="str">
        <f>VLOOKUP(C5718,'State Key'!$A$2:$B$210,2,False)</f>
        <v>Uttar Pradesh</v>
      </c>
      <c r="E5718" s="15">
        <v>1820.0</v>
      </c>
      <c r="F5718" s="16">
        <v>348.72</v>
      </c>
      <c r="G5718" s="16">
        <v>0.0</v>
      </c>
      <c r="H5718" s="16">
        <v>91.79</v>
      </c>
      <c r="I5718" s="16">
        <v>0.0</v>
      </c>
      <c r="J5718" s="16">
        <v>0.0</v>
      </c>
      <c r="K5718" s="16">
        <v>46.68</v>
      </c>
      <c r="L5718" s="16">
        <v>487.19</v>
      </c>
      <c r="M5718" s="16">
        <v>448.032</v>
      </c>
      <c r="N5718" s="16">
        <v>451.52</v>
      </c>
      <c r="O5718" s="24">
        <v>30.2</v>
      </c>
      <c r="P5718" s="18">
        <f t="shared" si="1"/>
        <v>487.19</v>
      </c>
    </row>
    <row r="5719" ht="15.75" customHeight="1">
      <c r="A5719" s="19" t="s">
        <v>258</v>
      </c>
      <c r="B5719" s="19" t="s">
        <v>61</v>
      </c>
      <c r="C5719" s="20" t="s">
        <v>69</v>
      </c>
      <c r="D5719" s="14" t="str">
        <f>VLOOKUP(C5719,'State Key'!$A$2:$B$210,2,False)</f>
        <v>Punjab</v>
      </c>
      <c r="E5719" s="21">
        <v>920.0</v>
      </c>
      <c r="F5719" s="22">
        <v>88.861</v>
      </c>
      <c r="G5719" s="22">
        <v>0.0</v>
      </c>
      <c r="H5719" s="22">
        <v>181.28</v>
      </c>
      <c r="I5719" s="22">
        <v>0.0</v>
      </c>
      <c r="J5719" s="22">
        <v>0.0</v>
      </c>
      <c r="K5719" s="22">
        <v>0.144</v>
      </c>
      <c r="L5719" s="22">
        <v>270.285</v>
      </c>
      <c r="M5719" s="22">
        <v>266.281</v>
      </c>
      <c r="N5719" s="22">
        <v>294.31</v>
      </c>
      <c r="O5719" s="24">
        <v>33.2</v>
      </c>
      <c r="P5719" s="18">
        <f t="shared" si="1"/>
        <v>270.285</v>
      </c>
    </row>
    <row r="5720" ht="15.75" customHeight="1">
      <c r="A5720" s="13" t="s">
        <v>258</v>
      </c>
      <c r="B5720" s="13" t="s">
        <v>61</v>
      </c>
      <c r="C5720" s="14" t="s">
        <v>242</v>
      </c>
      <c r="D5720" s="14" t="str">
        <f>VLOOKUP(C5720,'State Key'!$A$2:$B$210,2,False)</f>
        <v>Uttar Pradesh</v>
      </c>
      <c r="E5720" s="15">
        <v>660.0</v>
      </c>
      <c r="F5720" s="16">
        <v>264.478</v>
      </c>
      <c r="G5720" s="16">
        <v>0.0</v>
      </c>
      <c r="H5720" s="16">
        <v>0.0</v>
      </c>
      <c r="I5720" s="16">
        <v>0.0</v>
      </c>
      <c r="J5720" s="16">
        <v>0.0</v>
      </c>
      <c r="K5720" s="16">
        <v>0.0</v>
      </c>
      <c r="L5720" s="16">
        <v>264.478</v>
      </c>
      <c r="M5720" s="16">
        <v>193.241</v>
      </c>
      <c r="N5720" s="16">
        <v>144.5</v>
      </c>
      <c r="O5720" s="24">
        <v>22.4</v>
      </c>
      <c r="P5720" s="18">
        <f t="shared" si="1"/>
        <v>264.478</v>
      </c>
    </row>
    <row r="5721" ht="15.75" customHeight="1">
      <c r="A5721" s="19" t="s">
        <v>258</v>
      </c>
      <c r="B5721" s="19" t="s">
        <v>61</v>
      </c>
      <c r="C5721" s="20" t="s">
        <v>70</v>
      </c>
      <c r="D5721" s="14" t="str">
        <f>VLOOKUP(C5721,'State Key'!$A$2:$B$210,2,False)</f>
        <v>Punjab</v>
      </c>
      <c r="E5721" s="21">
        <v>540.0</v>
      </c>
      <c r="F5721" s="22">
        <v>0.0</v>
      </c>
      <c r="G5721" s="22">
        <v>0.0</v>
      </c>
      <c r="H5721" s="22">
        <v>140.364</v>
      </c>
      <c r="I5721" s="22">
        <v>0.0</v>
      </c>
      <c r="J5721" s="22">
        <v>0.0</v>
      </c>
      <c r="K5721" s="22">
        <v>0.0</v>
      </c>
      <c r="L5721" s="22">
        <v>140.364</v>
      </c>
      <c r="M5721" s="22">
        <v>119.265</v>
      </c>
      <c r="N5721" s="22">
        <v>130.27</v>
      </c>
      <c r="O5721" s="24">
        <v>32.8</v>
      </c>
      <c r="P5721" s="18">
        <f t="shared" si="1"/>
        <v>140.364</v>
      </c>
    </row>
    <row r="5722" ht="15.75" customHeight="1">
      <c r="A5722" s="13" t="s">
        <v>258</v>
      </c>
      <c r="B5722" s="13" t="s">
        <v>61</v>
      </c>
      <c r="C5722" s="14" t="s">
        <v>71</v>
      </c>
      <c r="D5722" s="14" t="str">
        <f>VLOOKUP(C5722,'State Key'!$A$2:$B$210,2,False)</f>
        <v>Uttar Pradesh</v>
      </c>
      <c r="E5722" s="15">
        <v>1265.0</v>
      </c>
      <c r="F5722" s="16">
        <v>251.94</v>
      </c>
      <c r="G5722" s="16">
        <v>0.0</v>
      </c>
      <c r="H5722" s="16">
        <v>0.0</v>
      </c>
      <c r="I5722" s="16">
        <v>0.0</v>
      </c>
      <c r="J5722" s="16">
        <v>0.0</v>
      </c>
      <c r="K5722" s="16">
        <v>0.0</v>
      </c>
      <c r="L5722" s="16">
        <v>251.94</v>
      </c>
      <c r="M5722" s="16">
        <v>89.483</v>
      </c>
      <c r="N5722" s="16">
        <v>575.69</v>
      </c>
      <c r="O5722" s="24">
        <v>193.0</v>
      </c>
      <c r="P5722" s="18">
        <f t="shared" si="1"/>
        <v>251.94</v>
      </c>
    </row>
    <row r="5723" ht="15.75" customHeight="1">
      <c r="A5723" s="19" t="s">
        <v>258</v>
      </c>
      <c r="B5723" s="19" t="s">
        <v>61</v>
      </c>
      <c r="C5723" s="20" t="s">
        <v>72</v>
      </c>
      <c r="D5723" s="14" t="str">
        <f>VLOOKUP(C5723,'State Key'!$A$2:$B$210,2,False)</f>
        <v>Haryana</v>
      </c>
      <c r="E5723" s="21">
        <v>1500.0</v>
      </c>
      <c r="F5723" s="22">
        <v>482.731</v>
      </c>
      <c r="G5723" s="22">
        <v>0.0</v>
      </c>
      <c r="H5723" s="22">
        <v>0.0</v>
      </c>
      <c r="I5723" s="22">
        <v>0.0</v>
      </c>
      <c r="J5723" s="22">
        <v>0.0</v>
      </c>
      <c r="K5723" s="22">
        <v>0.07</v>
      </c>
      <c r="L5723" s="22">
        <v>482.801</v>
      </c>
      <c r="M5723" s="22">
        <v>314.436</v>
      </c>
      <c r="N5723" s="22">
        <v>596.71</v>
      </c>
      <c r="O5723" s="24">
        <v>56.9</v>
      </c>
      <c r="P5723" s="18">
        <f t="shared" si="1"/>
        <v>482.801</v>
      </c>
    </row>
    <row r="5724" ht="15.75" customHeight="1">
      <c r="A5724" s="13" t="s">
        <v>258</v>
      </c>
      <c r="B5724" s="13" t="s">
        <v>61</v>
      </c>
      <c r="C5724" s="14" t="s">
        <v>226</v>
      </c>
      <c r="D5724" s="14" t="str">
        <f>VLOOKUP(C5724,'State Key'!$A$2:$B$210,2,False)</f>
        <v>Uttar Pradesh</v>
      </c>
      <c r="E5724" s="15">
        <v>1320.0</v>
      </c>
      <c r="F5724" s="16">
        <v>0.0</v>
      </c>
      <c r="G5724" s="16">
        <v>0.0</v>
      </c>
      <c r="H5724" s="16">
        <v>0.0</v>
      </c>
      <c r="I5724" s="16">
        <v>0.0</v>
      </c>
      <c r="J5724" s="16">
        <v>0.0</v>
      </c>
      <c r="K5724" s="16">
        <v>0.0</v>
      </c>
      <c r="L5724" s="16">
        <v>0.0</v>
      </c>
      <c r="M5724" s="16">
        <v>0.0</v>
      </c>
      <c r="N5724" s="16">
        <v>470.67</v>
      </c>
      <c r="O5724" s="13" t="s">
        <v>58</v>
      </c>
      <c r="P5724" s="18">
        <f t="shared" si="1"/>
        <v>0</v>
      </c>
    </row>
    <row r="5725" ht="15.75" customHeight="1">
      <c r="A5725" s="19" t="s">
        <v>258</v>
      </c>
      <c r="B5725" s="19" t="s">
        <v>61</v>
      </c>
      <c r="C5725" s="20" t="s">
        <v>73</v>
      </c>
      <c r="D5725" s="14" t="str">
        <f>VLOOKUP(C5725,'State Key'!$A$2:$B$210,2,False)</f>
        <v>Rajasthan</v>
      </c>
      <c r="E5725" s="21">
        <v>1200.0</v>
      </c>
      <c r="F5725" s="22">
        <v>0.0</v>
      </c>
      <c r="G5725" s="22">
        <v>0.0</v>
      </c>
      <c r="H5725" s="22">
        <v>359.43622</v>
      </c>
      <c r="I5725" s="22">
        <v>0.0</v>
      </c>
      <c r="J5725" s="22">
        <v>0.0</v>
      </c>
      <c r="K5725" s="22">
        <v>0.0</v>
      </c>
      <c r="L5725" s="22">
        <v>359.43622</v>
      </c>
      <c r="M5725" s="22">
        <v>350.969</v>
      </c>
      <c r="N5725" s="22">
        <v>378.65</v>
      </c>
      <c r="O5725" s="24">
        <v>32.4</v>
      </c>
      <c r="P5725" s="18">
        <f t="shared" si="1"/>
        <v>359.43622</v>
      </c>
    </row>
    <row r="5726" ht="15.75" customHeight="1">
      <c r="A5726" s="13" t="s">
        <v>258</v>
      </c>
      <c r="B5726" s="13" t="s">
        <v>61</v>
      </c>
      <c r="C5726" s="14" t="s">
        <v>75</v>
      </c>
      <c r="D5726" s="14" t="str">
        <f>VLOOKUP(C5726,'State Key'!$A$2:$B$210,2,False)</f>
        <v>Uttar Pradesh</v>
      </c>
      <c r="E5726" s="15">
        <v>90.0</v>
      </c>
      <c r="F5726" s="16">
        <v>0.0</v>
      </c>
      <c r="G5726" s="16">
        <v>0.0</v>
      </c>
      <c r="H5726" s="16">
        <v>0.0</v>
      </c>
      <c r="I5726" s="16">
        <v>0.0</v>
      </c>
      <c r="J5726" s="16">
        <v>0.0</v>
      </c>
      <c r="K5726" s="16">
        <v>0.0</v>
      </c>
      <c r="L5726" s="16">
        <v>0.0</v>
      </c>
      <c r="M5726" s="16">
        <v>4.58</v>
      </c>
      <c r="N5726" s="16">
        <v>58.61</v>
      </c>
      <c r="O5726" s="24">
        <v>383.9</v>
      </c>
      <c r="P5726" s="18">
        <f t="shared" si="1"/>
        <v>0</v>
      </c>
    </row>
    <row r="5727" ht="15.75" customHeight="1">
      <c r="A5727" s="19" t="s">
        <v>258</v>
      </c>
      <c r="B5727" s="19" t="s">
        <v>61</v>
      </c>
      <c r="C5727" s="20" t="s">
        <v>246</v>
      </c>
      <c r="D5727" s="14" t="str">
        <f>VLOOKUP(C5727,'State Key'!$A$2:$B$210,2,False)</f>
        <v>Uttar Pradesh</v>
      </c>
      <c r="E5727" s="21">
        <v>1320.0</v>
      </c>
      <c r="F5727" s="22">
        <v>0.0</v>
      </c>
      <c r="G5727" s="22">
        <v>0.0</v>
      </c>
      <c r="H5727" s="22">
        <v>342.683</v>
      </c>
      <c r="I5727" s="22">
        <v>0.0</v>
      </c>
      <c r="J5727" s="22">
        <v>0.0</v>
      </c>
      <c r="K5727" s="22">
        <v>0.0</v>
      </c>
      <c r="L5727" s="22">
        <v>342.683</v>
      </c>
      <c r="M5727" s="22">
        <v>347.554</v>
      </c>
      <c r="N5727" s="22">
        <v>311.33</v>
      </c>
      <c r="O5727" s="24">
        <v>26.9</v>
      </c>
      <c r="P5727" s="18">
        <f t="shared" si="1"/>
        <v>342.683</v>
      </c>
    </row>
    <row r="5728" ht="15.75" customHeight="1">
      <c r="A5728" s="13" t="s">
        <v>258</v>
      </c>
      <c r="B5728" s="13" t="s">
        <v>61</v>
      </c>
      <c r="C5728" s="14" t="s">
        <v>76</v>
      </c>
      <c r="D5728" s="14" t="str">
        <f>VLOOKUP(C5728,'State Key'!$A$2:$B$210,2,False)</f>
        <v>Rajasthan</v>
      </c>
      <c r="E5728" s="15">
        <v>1240.0</v>
      </c>
      <c r="F5728" s="16">
        <v>334.493</v>
      </c>
      <c r="G5728" s="16">
        <v>0.0</v>
      </c>
      <c r="H5728" s="16">
        <v>0.0</v>
      </c>
      <c r="I5728" s="16">
        <v>0.0</v>
      </c>
      <c r="J5728" s="16">
        <v>0.0</v>
      </c>
      <c r="K5728" s="16">
        <v>97.862</v>
      </c>
      <c r="L5728" s="16">
        <v>432.355</v>
      </c>
      <c r="M5728" s="16">
        <v>508.828</v>
      </c>
      <c r="N5728" s="16">
        <v>419.034</v>
      </c>
      <c r="O5728" s="24">
        <v>24.7</v>
      </c>
      <c r="P5728" s="18">
        <f t="shared" si="1"/>
        <v>432.355</v>
      </c>
    </row>
    <row r="5729" ht="15.75" customHeight="1">
      <c r="A5729" s="19" t="s">
        <v>258</v>
      </c>
      <c r="B5729" s="19" t="s">
        <v>61</v>
      </c>
      <c r="C5729" s="20" t="s">
        <v>77</v>
      </c>
      <c r="D5729" s="14" t="str">
        <f>VLOOKUP(C5729,'State Key'!$A$2:$B$210,2,False)</f>
        <v>Uttar Pradesh</v>
      </c>
      <c r="E5729" s="21">
        <v>90.0</v>
      </c>
      <c r="F5729" s="22">
        <v>4.096</v>
      </c>
      <c r="G5729" s="22">
        <v>0.0</v>
      </c>
      <c r="H5729" s="22">
        <v>0.0</v>
      </c>
      <c r="I5729" s="22">
        <v>0.0</v>
      </c>
      <c r="J5729" s="22">
        <v>0.0</v>
      </c>
      <c r="K5729" s="22">
        <v>0.0</v>
      </c>
      <c r="L5729" s="22">
        <v>4.096</v>
      </c>
      <c r="M5729" s="22">
        <v>11.324</v>
      </c>
      <c r="N5729" s="22">
        <v>47.02</v>
      </c>
      <c r="O5729" s="24">
        <v>124.6</v>
      </c>
      <c r="P5729" s="18">
        <f t="shared" si="1"/>
        <v>4.096</v>
      </c>
    </row>
    <row r="5730" ht="15.75" customHeight="1">
      <c r="A5730" s="13" t="s">
        <v>258</v>
      </c>
      <c r="B5730" s="13" t="s">
        <v>61</v>
      </c>
      <c r="C5730" s="14" t="s">
        <v>78</v>
      </c>
      <c r="D5730" s="14" t="str">
        <f>VLOOKUP(C5730,'State Key'!$A$2:$B$210,2,False)</f>
        <v>Uttar Pradesh</v>
      </c>
      <c r="E5730" s="15">
        <v>1980.0</v>
      </c>
      <c r="F5730" s="16">
        <v>594.667</v>
      </c>
      <c r="G5730" s="16">
        <v>0.0</v>
      </c>
      <c r="H5730" s="16">
        <v>0.0</v>
      </c>
      <c r="I5730" s="16">
        <v>0.0</v>
      </c>
      <c r="J5730" s="16">
        <v>0.0</v>
      </c>
      <c r="K5730" s="16">
        <v>0.0</v>
      </c>
      <c r="L5730" s="16">
        <v>594.667</v>
      </c>
      <c r="M5730" s="16">
        <v>475.781</v>
      </c>
      <c r="N5730" s="16">
        <v>520.62</v>
      </c>
      <c r="O5730" s="24">
        <v>32.8</v>
      </c>
      <c r="P5730" s="18">
        <f t="shared" si="1"/>
        <v>594.667</v>
      </c>
    </row>
    <row r="5731" ht="15.75" customHeight="1">
      <c r="A5731" s="19" t="s">
        <v>258</v>
      </c>
      <c r="B5731" s="19" t="s">
        <v>61</v>
      </c>
      <c r="C5731" s="20" t="s">
        <v>79</v>
      </c>
      <c r="D5731" s="14" t="str">
        <f>VLOOKUP(C5731,'State Key'!$A$2:$B$210,2,False)</f>
        <v>Haryana</v>
      </c>
      <c r="E5731" s="21">
        <v>1320.0</v>
      </c>
      <c r="F5731" s="22">
        <v>217.666</v>
      </c>
      <c r="G5731" s="22">
        <v>0.0</v>
      </c>
      <c r="H5731" s="22">
        <v>0.0</v>
      </c>
      <c r="I5731" s="22">
        <v>0.0</v>
      </c>
      <c r="J5731" s="22">
        <v>0.0</v>
      </c>
      <c r="K5731" s="22">
        <v>0.0</v>
      </c>
      <c r="L5731" s="22">
        <v>217.666</v>
      </c>
      <c r="M5731" s="22">
        <v>204.867</v>
      </c>
      <c r="N5731" s="22">
        <v>401.93</v>
      </c>
      <c r="O5731" s="24">
        <v>58.9</v>
      </c>
      <c r="P5731" s="18">
        <f t="shared" si="1"/>
        <v>217.666</v>
      </c>
    </row>
    <row r="5732" ht="15.75" customHeight="1">
      <c r="A5732" s="13" t="s">
        <v>258</v>
      </c>
      <c r="B5732" s="13" t="s">
        <v>61</v>
      </c>
      <c r="C5732" s="14" t="s">
        <v>80</v>
      </c>
      <c r="D5732" s="14" t="str">
        <f>VLOOKUP(C5732,'State Key'!$A$2:$B$210,2,False)</f>
        <v>Uttar Pradesh</v>
      </c>
      <c r="E5732" s="15">
        <v>90.0</v>
      </c>
      <c r="F5732" s="16">
        <v>0.0</v>
      </c>
      <c r="G5732" s="16">
        <v>0.0</v>
      </c>
      <c r="H5732" s="16">
        <v>0.0</v>
      </c>
      <c r="I5732" s="16">
        <v>0.0</v>
      </c>
      <c r="J5732" s="16">
        <v>0.0</v>
      </c>
      <c r="K5732" s="16">
        <v>0.0</v>
      </c>
      <c r="L5732" s="16">
        <v>0.0</v>
      </c>
      <c r="M5732" s="16">
        <v>5.529</v>
      </c>
      <c r="N5732" s="16">
        <v>56.62</v>
      </c>
      <c r="O5732" s="24">
        <v>307.2</v>
      </c>
      <c r="P5732" s="18">
        <f t="shared" si="1"/>
        <v>0</v>
      </c>
    </row>
    <row r="5733" ht="15.75" customHeight="1">
      <c r="A5733" s="19" t="s">
        <v>258</v>
      </c>
      <c r="B5733" s="19" t="s">
        <v>61</v>
      </c>
      <c r="C5733" s="20" t="s">
        <v>81</v>
      </c>
      <c r="D5733" s="14" t="str">
        <f>VLOOKUP(C5733,'State Key'!$A$2:$B$210,2,False)</f>
        <v>Uttar Pradesh</v>
      </c>
      <c r="E5733" s="21">
        <v>1320.0</v>
      </c>
      <c r="F5733" s="22">
        <v>408.8982</v>
      </c>
      <c r="G5733" s="22">
        <v>0.0</v>
      </c>
      <c r="H5733" s="22">
        <v>3.8079</v>
      </c>
      <c r="I5733" s="22">
        <v>0.0</v>
      </c>
      <c r="J5733" s="22">
        <v>0.0</v>
      </c>
      <c r="K5733" s="22">
        <v>0.0</v>
      </c>
      <c r="L5733" s="22">
        <v>412.7061</v>
      </c>
      <c r="M5733" s="22">
        <v>386.011</v>
      </c>
      <c r="N5733" s="22">
        <v>285.61</v>
      </c>
      <c r="O5733" s="24">
        <v>22.2</v>
      </c>
      <c r="P5733" s="18">
        <f t="shared" si="1"/>
        <v>412.7061</v>
      </c>
    </row>
    <row r="5734" ht="15.75" customHeight="1">
      <c r="A5734" s="13" t="s">
        <v>258</v>
      </c>
      <c r="B5734" s="13" t="s">
        <v>61</v>
      </c>
      <c r="C5734" s="14" t="s">
        <v>82</v>
      </c>
      <c r="D5734" s="14" t="str">
        <f>VLOOKUP(C5734,'State Key'!$A$2:$B$210,2,False)</f>
        <v>Uttar Pradesh</v>
      </c>
      <c r="E5734" s="15">
        <v>2320.0</v>
      </c>
      <c r="F5734" s="16">
        <v>845.205</v>
      </c>
      <c r="G5734" s="16">
        <v>0.0</v>
      </c>
      <c r="H5734" s="16">
        <v>0.0</v>
      </c>
      <c r="I5734" s="16">
        <v>0.0</v>
      </c>
      <c r="J5734" s="16">
        <v>0.0</v>
      </c>
      <c r="K5734" s="16">
        <v>0.0</v>
      </c>
      <c r="L5734" s="16">
        <v>845.205</v>
      </c>
      <c r="M5734" s="16">
        <v>633.045</v>
      </c>
      <c r="N5734" s="16">
        <v>455.1</v>
      </c>
      <c r="O5734" s="24">
        <v>21.6</v>
      </c>
      <c r="P5734" s="18">
        <f t="shared" si="1"/>
        <v>845.205</v>
      </c>
    </row>
    <row r="5735" ht="15.75" customHeight="1">
      <c r="A5735" s="19" t="s">
        <v>258</v>
      </c>
      <c r="B5735" s="19" t="s">
        <v>61</v>
      </c>
      <c r="C5735" s="20" t="s">
        <v>83</v>
      </c>
      <c r="D5735" s="14" t="str">
        <f>VLOOKUP(C5735,'State Key'!$A$2:$B$210,2,False)</f>
        <v>Haryana</v>
      </c>
      <c r="E5735" s="21">
        <v>710.0</v>
      </c>
      <c r="F5735" s="22">
        <v>35.901</v>
      </c>
      <c r="G5735" s="22">
        <v>0.0</v>
      </c>
      <c r="H5735" s="22">
        <v>0.0</v>
      </c>
      <c r="I5735" s="22">
        <v>0.0</v>
      </c>
      <c r="J5735" s="22">
        <v>0.0</v>
      </c>
      <c r="K5735" s="22">
        <v>0.0</v>
      </c>
      <c r="L5735" s="22">
        <v>35.901</v>
      </c>
      <c r="M5735" s="22">
        <v>104.587</v>
      </c>
      <c r="N5735" s="22">
        <v>482.93</v>
      </c>
      <c r="O5735" s="24">
        <v>138.5</v>
      </c>
      <c r="P5735" s="18">
        <f t="shared" si="1"/>
        <v>35.901</v>
      </c>
    </row>
    <row r="5736" ht="15.75" customHeight="1">
      <c r="A5736" s="13" t="s">
        <v>258</v>
      </c>
      <c r="B5736" s="13" t="s">
        <v>61</v>
      </c>
      <c r="C5736" s="14" t="s">
        <v>248</v>
      </c>
      <c r="D5736" s="14" t="str">
        <f>VLOOKUP(C5736,'State Key'!$A$2:$B$210,2,False)</f>
        <v>Uttar Pradesh</v>
      </c>
      <c r="E5736" s="15">
        <v>660.0</v>
      </c>
      <c r="F5736" s="16">
        <v>253.852</v>
      </c>
      <c r="G5736" s="16">
        <v>0.0</v>
      </c>
      <c r="H5736" s="16">
        <v>0.0</v>
      </c>
      <c r="I5736" s="16">
        <v>0.0</v>
      </c>
      <c r="J5736" s="16">
        <v>0.0</v>
      </c>
      <c r="K5736" s="16">
        <v>0.0</v>
      </c>
      <c r="L5736" s="16">
        <v>253.852</v>
      </c>
      <c r="M5736" s="16">
        <v>213.09</v>
      </c>
      <c r="N5736" s="16">
        <v>127.8</v>
      </c>
      <c r="O5736" s="24">
        <v>18.0</v>
      </c>
      <c r="P5736" s="18">
        <f t="shared" si="1"/>
        <v>253.852</v>
      </c>
    </row>
    <row r="5737" ht="15.75" customHeight="1">
      <c r="A5737" s="19" t="s">
        <v>258</v>
      </c>
      <c r="B5737" s="19" t="s">
        <v>61</v>
      </c>
      <c r="C5737" s="20" t="s">
        <v>84</v>
      </c>
      <c r="D5737" s="14" t="str">
        <f>VLOOKUP(C5737,'State Key'!$A$2:$B$210,2,False)</f>
        <v>Uttar Pradesh</v>
      </c>
      <c r="E5737" s="21">
        <v>920.0</v>
      </c>
      <c r="F5737" s="22">
        <v>208.918</v>
      </c>
      <c r="G5737" s="22">
        <v>0.0</v>
      </c>
      <c r="H5737" s="22">
        <v>0.0</v>
      </c>
      <c r="I5737" s="22">
        <v>0.0</v>
      </c>
      <c r="J5737" s="22">
        <v>0.0</v>
      </c>
      <c r="K5737" s="22">
        <v>0.0</v>
      </c>
      <c r="L5737" s="22">
        <v>208.918</v>
      </c>
      <c r="M5737" s="22">
        <v>225.005</v>
      </c>
      <c r="N5737" s="22">
        <v>240.311</v>
      </c>
      <c r="O5737" s="24">
        <v>32.0</v>
      </c>
      <c r="P5737" s="18">
        <f t="shared" si="1"/>
        <v>208.918</v>
      </c>
    </row>
    <row r="5738" ht="15.75" customHeight="1">
      <c r="A5738" s="13" t="s">
        <v>258</v>
      </c>
      <c r="B5738" s="13" t="s">
        <v>61</v>
      </c>
      <c r="C5738" s="14" t="s">
        <v>85</v>
      </c>
      <c r="D5738" s="14" t="str">
        <f>VLOOKUP(C5738,'State Key'!$A$2:$B$210,2,False)</f>
        <v>Uttar Pradesh</v>
      </c>
      <c r="E5738" s="15">
        <v>1980.0</v>
      </c>
      <c r="F5738" s="16">
        <v>670.503</v>
      </c>
      <c r="G5738" s="16">
        <v>0.0</v>
      </c>
      <c r="H5738" s="16">
        <v>0.0</v>
      </c>
      <c r="I5738" s="16">
        <v>0.0</v>
      </c>
      <c r="J5738" s="16">
        <v>0.0</v>
      </c>
      <c r="K5738" s="16">
        <v>0.0</v>
      </c>
      <c r="L5738" s="16">
        <v>670.503</v>
      </c>
      <c r="M5738" s="16">
        <v>474.257</v>
      </c>
      <c r="N5738" s="16">
        <v>624.09</v>
      </c>
      <c r="O5738" s="24">
        <v>39.5</v>
      </c>
      <c r="P5738" s="18">
        <f t="shared" si="1"/>
        <v>670.503</v>
      </c>
    </row>
    <row r="5739" ht="15.75" customHeight="1">
      <c r="A5739" s="19" t="s">
        <v>258</v>
      </c>
      <c r="B5739" s="19" t="s">
        <v>61</v>
      </c>
      <c r="C5739" s="20" t="s">
        <v>86</v>
      </c>
      <c r="D5739" s="14" t="str">
        <f>VLOOKUP(C5739,'State Key'!$A$2:$B$210,2,False)</f>
        <v>Haryana</v>
      </c>
      <c r="E5739" s="21">
        <v>1200.0</v>
      </c>
      <c r="F5739" s="22">
        <v>65.743</v>
      </c>
      <c r="G5739" s="22">
        <v>0.0</v>
      </c>
      <c r="H5739" s="22">
        <v>0.0</v>
      </c>
      <c r="I5739" s="22">
        <v>0.0</v>
      </c>
      <c r="J5739" s="22">
        <v>0.0</v>
      </c>
      <c r="K5739" s="22">
        <v>0.0</v>
      </c>
      <c r="L5739" s="22">
        <v>65.743</v>
      </c>
      <c r="M5739" s="22">
        <v>0.0</v>
      </c>
      <c r="N5739" s="22">
        <v>742.949</v>
      </c>
      <c r="O5739" s="19" t="s">
        <v>58</v>
      </c>
      <c r="P5739" s="18">
        <f t="shared" si="1"/>
        <v>65.743</v>
      </c>
    </row>
    <row r="5740" ht="15.75" customHeight="1">
      <c r="A5740" s="13" t="s">
        <v>258</v>
      </c>
      <c r="B5740" s="13" t="s">
        <v>61</v>
      </c>
      <c r="C5740" s="14" t="s">
        <v>87</v>
      </c>
      <c r="D5740" s="14" t="str">
        <f>VLOOKUP(C5740,'State Key'!$A$2:$B$210,2,False)</f>
        <v>Punjab</v>
      </c>
      <c r="E5740" s="15">
        <v>1400.0</v>
      </c>
      <c r="F5740" s="16">
        <v>383.8561</v>
      </c>
      <c r="G5740" s="16">
        <v>0.0</v>
      </c>
      <c r="H5740" s="16">
        <v>0.0</v>
      </c>
      <c r="I5740" s="16">
        <v>0.0</v>
      </c>
      <c r="J5740" s="16">
        <v>0.0</v>
      </c>
      <c r="K5740" s="16">
        <v>0.0</v>
      </c>
      <c r="L5740" s="16">
        <v>383.8561</v>
      </c>
      <c r="M5740" s="16">
        <v>283.922</v>
      </c>
      <c r="N5740" s="16">
        <v>347.33</v>
      </c>
      <c r="O5740" s="24">
        <v>36.7</v>
      </c>
      <c r="P5740" s="18">
        <f t="shared" si="1"/>
        <v>383.8561</v>
      </c>
    </row>
    <row r="5741" ht="15.75" customHeight="1">
      <c r="A5741" s="19" t="s">
        <v>258</v>
      </c>
      <c r="B5741" s="19" t="s">
        <v>61</v>
      </c>
      <c r="C5741" s="20" t="s">
        <v>88</v>
      </c>
      <c r="D5741" s="14" t="str">
        <f>VLOOKUP(C5741,'State Key'!$A$2:$B$210,2,False)</f>
        <v>Uttar Pradesh</v>
      </c>
      <c r="E5741" s="21">
        <v>3000.0</v>
      </c>
      <c r="F5741" s="22">
        <v>1139.14</v>
      </c>
      <c r="G5741" s="22">
        <v>0.0</v>
      </c>
      <c r="H5741" s="22">
        <v>0.0</v>
      </c>
      <c r="I5741" s="22">
        <v>0.0</v>
      </c>
      <c r="J5741" s="22">
        <v>0.0</v>
      </c>
      <c r="K5741" s="22">
        <v>0.0</v>
      </c>
      <c r="L5741" s="22">
        <v>1139.14</v>
      </c>
      <c r="M5741" s="22">
        <v>1027.228</v>
      </c>
      <c r="N5741" s="22">
        <v>886.43</v>
      </c>
      <c r="O5741" s="24">
        <v>25.9</v>
      </c>
      <c r="P5741" s="18">
        <f t="shared" si="1"/>
        <v>1139.14</v>
      </c>
    </row>
    <row r="5742" ht="15.75" customHeight="1">
      <c r="A5742" s="13" t="s">
        <v>258</v>
      </c>
      <c r="B5742" s="13" t="s">
        <v>61</v>
      </c>
      <c r="C5742" s="14" t="s">
        <v>89</v>
      </c>
      <c r="D5742" s="14" t="str">
        <f>VLOOKUP(C5742,'State Key'!$A$2:$B$210,2,False)</f>
        <v>Punjab</v>
      </c>
      <c r="E5742" s="15">
        <v>840.0</v>
      </c>
      <c r="F5742" s="16">
        <v>102.277</v>
      </c>
      <c r="G5742" s="16">
        <v>0.0</v>
      </c>
      <c r="H5742" s="16">
        <v>154.468</v>
      </c>
      <c r="I5742" s="16">
        <v>0.0</v>
      </c>
      <c r="J5742" s="16">
        <v>0.0</v>
      </c>
      <c r="K5742" s="16">
        <v>0.0</v>
      </c>
      <c r="L5742" s="16">
        <v>256.745</v>
      </c>
      <c r="M5742" s="16">
        <v>275.682</v>
      </c>
      <c r="N5742" s="16">
        <v>194.19</v>
      </c>
      <c r="O5742" s="24">
        <v>21.1</v>
      </c>
      <c r="P5742" s="18">
        <f t="shared" si="1"/>
        <v>256.745</v>
      </c>
    </row>
    <row r="5743" ht="15.75" customHeight="1">
      <c r="A5743" s="19" t="s">
        <v>258</v>
      </c>
      <c r="B5743" s="19" t="s">
        <v>61</v>
      </c>
      <c r="C5743" s="20" t="s">
        <v>90</v>
      </c>
      <c r="D5743" s="14" t="str">
        <f>VLOOKUP(C5743,'State Key'!$A$2:$B$210,2,False)</f>
        <v>Uttar Pradesh</v>
      </c>
      <c r="E5743" s="21">
        <v>1200.0</v>
      </c>
      <c r="F5743" s="22">
        <v>431.537</v>
      </c>
      <c r="G5743" s="22">
        <v>0.0</v>
      </c>
      <c r="H5743" s="22">
        <v>0.0</v>
      </c>
      <c r="I5743" s="22">
        <v>0.0</v>
      </c>
      <c r="J5743" s="22">
        <v>0.0</v>
      </c>
      <c r="K5743" s="22">
        <v>0.0</v>
      </c>
      <c r="L5743" s="22">
        <v>431.537</v>
      </c>
      <c r="M5743" s="22">
        <v>277.195</v>
      </c>
      <c r="N5743" s="22">
        <v>365.48</v>
      </c>
      <c r="O5743" s="24">
        <v>39.6</v>
      </c>
      <c r="P5743" s="18">
        <f t="shared" si="1"/>
        <v>431.537</v>
      </c>
    </row>
    <row r="5744" ht="15.75" customHeight="1">
      <c r="A5744" s="13" t="s">
        <v>258</v>
      </c>
      <c r="B5744" s="13" t="s">
        <v>61</v>
      </c>
      <c r="C5744" s="14" t="s">
        <v>219</v>
      </c>
      <c r="D5744" s="14" t="str">
        <f>VLOOKUP(C5744,'State Key'!$A$2:$B$210,2,False)</f>
        <v>Rajasthan</v>
      </c>
      <c r="E5744" s="15">
        <v>344.0</v>
      </c>
      <c r="F5744" s="16">
        <v>0.076</v>
      </c>
      <c r="G5744" s="16">
        <v>0.0</v>
      </c>
      <c r="H5744" s="16">
        <v>0.0</v>
      </c>
      <c r="I5744" s="16">
        <v>0.0</v>
      </c>
      <c r="J5744" s="16">
        <v>2.385</v>
      </c>
      <c r="K5744" s="16">
        <v>0.0</v>
      </c>
      <c r="L5744" s="16">
        <v>2.461</v>
      </c>
      <c r="M5744" s="16">
        <v>2.461</v>
      </c>
      <c r="N5744" s="16">
        <v>0.0</v>
      </c>
      <c r="O5744" s="17">
        <v>0.0</v>
      </c>
      <c r="P5744" s="18">
        <f t="shared" si="1"/>
        <v>2.461</v>
      </c>
    </row>
    <row r="5745" ht="15.75" customHeight="1">
      <c r="A5745" s="19" t="s">
        <v>258</v>
      </c>
      <c r="B5745" s="19" t="s">
        <v>61</v>
      </c>
      <c r="C5745" s="20" t="s">
        <v>91</v>
      </c>
      <c r="D5745" s="14" t="str">
        <f>VLOOKUP(C5745,'State Key'!$A$2:$B$210,2,False)</f>
        <v>Uttar Pradesh</v>
      </c>
      <c r="E5745" s="21">
        <v>2000.0</v>
      </c>
      <c r="F5745" s="22">
        <v>692.95</v>
      </c>
      <c r="G5745" s="22">
        <v>0.0</v>
      </c>
      <c r="H5745" s="22">
        <v>0.0</v>
      </c>
      <c r="I5745" s="22">
        <v>0.0</v>
      </c>
      <c r="J5745" s="22">
        <v>0.0</v>
      </c>
      <c r="K5745" s="22">
        <v>0.0</v>
      </c>
      <c r="L5745" s="22">
        <v>692.95</v>
      </c>
      <c r="M5745" s="22">
        <v>812.641</v>
      </c>
      <c r="N5745" s="22">
        <v>313.1</v>
      </c>
      <c r="O5745" s="23">
        <v>11.6</v>
      </c>
      <c r="P5745" s="18">
        <f t="shared" si="1"/>
        <v>692.95</v>
      </c>
    </row>
    <row r="5746" ht="15.75" customHeight="1">
      <c r="A5746" s="13" t="s">
        <v>258</v>
      </c>
      <c r="B5746" s="13" t="s">
        <v>61</v>
      </c>
      <c r="C5746" s="14" t="s">
        <v>92</v>
      </c>
      <c r="D5746" s="14" t="str">
        <f>VLOOKUP(C5746,'State Key'!$A$2:$B$210,2,False)</f>
        <v>Rajasthan</v>
      </c>
      <c r="E5746" s="15">
        <v>1320.0</v>
      </c>
      <c r="F5746" s="16">
        <v>0.0</v>
      </c>
      <c r="G5746" s="16">
        <v>0.0</v>
      </c>
      <c r="H5746" s="16">
        <v>255.27059</v>
      </c>
      <c r="I5746" s="16">
        <v>0.0</v>
      </c>
      <c r="J5746" s="16">
        <v>0.0</v>
      </c>
      <c r="K5746" s="16">
        <v>0.0</v>
      </c>
      <c r="L5746" s="16">
        <v>255.27059</v>
      </c>
      <c r="M5746" s="16">
        <v>420.806</v>
      </c>
      <c r="N5746" s="16">
        <v>273.35</v>
      </c>
      <c r="O5746" s="24">
        <v>19.5</v>
      </c>
      <c r="P5746" s="18">
        <f t="shared" si="1"/>
        <v>255.27059</v>
      </c>
    </row>
    <row r="5747" ht="15.75" customHeight="1">
      <c r="A5747" s="19" t="s">
        <v>258</v>
      </c>
      <c r="B5747" s="19" t="s">
        <v>61</v>
      </c>
      <c r="C5747" s="20" t="s">
        <v>93</v>
      </c>
      <c r="D5747" s="14" t="str">
        <f>VLOOKUP(C5747,'State Key'!$A$2:$B$210,2,False)</f>
        <v>Rajasthan</v>
      </c>
      <c r="E5747" s="21">
        <v>1500.0</v>
      </c>
      <c r="F5747" s="22">
        <v>186.511</v>
      </c>
      <c r="G5747" s="22">
        <v>0.0</v>
      </c>
      <c r="H5747" s="22">
        <v>114.165</v>
      </c>
      <c r="I5747" s="22">
        <v>0.0</v>
      </c>
      <c r="J5747" s="22">
        <v>0.0</v>
      </c>
      <c r="K5747" s="22">
        <v>0.0</v>
      </c>
      <c r="L5747" s="22">
        <v>300.676</v>
      </c>
      <c r="M5747" s="22">
        <v>427.39</v>
      </c>
      <c r="N5747" s="22">
        <v>232.15</v>
      </c>
      <c r="O5747" s="24">
        <v>16.3</v>
      </c>
      <c r="P5747" s="18">
        <f t="shared" si="1"/>
        <v>300.676</v>
      </c>
    </row>
    <row r="5748" ht="15.75" customHeight="1">
      <c r="A5748" s="13" t="s">
        <v>258</v>
      </c>
      <c r="B5748" s="13" t="s">
        <v>61</v>
      </c>
      <c r="C5748" s="14" t="s">
        <v>94</v>
      </c>
      <c r="D5748" s="14" t="str">
        <f>VLOOKUP(C5748,'State Key'!$A$2:$B$210,2,False)</f>
        <v>Punjab</v>
      </c>
      <c r="E5748" s="15">
        <v>1980.0</v>
      </c>
      <c r="F5748" s="16">
        <v>413.21213</v>
      </c>
      <c r="G5748" s="16">
        <v>0.0</v>
      </c>
      <c r="H5748" s="16">
        <v>0.0</v>
      </c>
      <c r="I5748" s="16">
        <v>0.0</v>
      </c>
      <c r="J5748" s="16">
        <v>0.0</v>
      </c>
      <c r="K5748" s="16">
        <v>0.0</v>
      </c>
      <c r="L5748" s="16">
        <v>413.21213</v>
      </c>
      <c r="M5748" s="16">
        <v>426.088</v>
      </c>
      <c r="N5748" s="16">
        <v>369.93</v>
      </c>
      <c r="O5748" s="24">
        <v>26.0</v>
      </c>
      <c r="P5748" s="18">
        <f t="shared" si="1"/>
        <v>413.21213</v>
      </c>
    </row>
    <row r="5749" ht="15.75" customHeight="1">
      <c r="A5749" s="19" t="s">
        <v>258</v>
      </c>
      <c r="B5749" s="19" t="s">
        <v>61</v>
      </c>
      <c r="C5749" s="20" t="s">
        <v>95</v>
      </c>
      <c r="D5749" s="14" t="str">
        <f>VLOOKUP(C5749,'State Key'!$A$2:$B$210,2,False)</f>
        <v>Uttar Pradesh</v>
      </c>
      <c r="E5749" s="21">
        <v>1760.0</v>
      </c>
      <c r="F5749" s="22">
        <v>36.52</v>
      </c>
      <c r="G5749" s="22">
        <v>0.0</v>
      </c>
      <c r="H5749" s="22">
        <v>294.11</v>
      </c>
      <c r="I5749" s="22">
        <v>0.0</v>
      </c>
      <c r="J5749" s="22">
        <v>0.0</v>
      </c>
      <c r="K5749" s="22">
        <v>8.04</v>
      </c>
      <c r="L5749" s="22">
        <v>338.67</v>
      </c>
      <c r="M5749" s="22">
        <v>409.08</v>
      </c>
      <c r="N5749" s="22">
        <v>440.9</v>
      </c>
      <c r="O5749" s="24">
        <v>32.3</v>
      </c>
      <c r="P5749" s="18">
        <f t="shared" si="1"/>
        <v>338.67</v>
      </c>
    </row>
    <row r="5750" ht="15.75" customHeight="1">
      <c r="A5750" s="13" t="s">
        <v>258</v>
      </c>
      <c r="B5750" s="13" t="s">
        <v>61</v>
      </c>
      <c r="C5750" s="14" t="s">
        <v>96</v>
      </c>
      <c r="D5750" s="14" t="str">
        <f>VLOOKUP(C5750,'State Key'!$A$2:$B$210,2,False)</f>
        <v>Uttar Pradesh</v>
      </c>
      <c r="E5750" s="15">
        <v>1550.0</v>
      </c>
      <c r="F5750" s="16">
        <v>312.45</v>
      </c>
      <c r="G5750" s="16">
        <v>0.0</v>
      </c>
      <c r="H5750" s="16">
        <v>140.55</v>
      </c>
      <c r="I5750" s="16">
        <v>0.0</v>
      </c>
      <c r="J5750" s="16">
        <v>0.0</v>
      </c>
      <c r="K5750" s="16">
        <v>82.87</v>
      </c>
      <c r="L5750" s="16">
        <v>535.87</v>
      </c>
      <c r="M5750" s="16">
        <v>453.211</v>
      </c>
      <c r="N5750" s="16">
        <v>419.21</v>
      </c>
      <c r="O5750" s="24">
        <v>27.7</v>
      </c>
      <c r="P5750" s="18">
        <f t="shared" si="1"/>
        <v>535.87</v>
      </c>
    </row>
    <row r="5751" ht="15.75" customHeight="1">
      <c r="A5751" s="19" t="s">
        <v>258</v>
      </c>
      <c r="B5751" s="19" t="s">
        <v>61</v>
      </c>
      <c r="C5751" s="20" t="s">
        <v>97</v>
      </c>
      <c r="D5751" s="14" t="str">
        <f>VLOOKUP(C5751,'State Key'!$A$2:$B$210,2,False)</f>
        <v>Uttar Pradesh</v>
      </c>
      <c r="E5751" s="21">
        <v>90.0</v>
      </c>
      <c r="F5751" s="22">
        <v>0.0</v>
      </c>
      <c r="G5751" s="22">
        <v>0.0</v>
      </c>
      <c r="H5751" s="22">
        <v>0.0</v>
      </c>
      <c r="I5751" s="22">
        <v>0.0</v>
      </c>
      <c r="J5751" s="22">
        <v>0.0</v>
      </c>
      <c r="K5751" s="22">
        <v>0.0</v>
      </c>
      <c r="L5751" s="22">
        <v>0.0</v>
      </c>
      <c r="M5751" s="22">
        <v>4.146</v>
      </c>
      <c r="N5751" s="22">
        <v>58.45</v>
      </c>
      <c r="O5751" s="24">
        <v>422.9</v>
      </c>
      <c r="P5751" s="18">
        <f t="shared" si="1"/>
        <v>0</v>
      </c>
    </row>
    <row r="5752" ht="15.75" customHeight="1">
      <c r="A5752" s="13" t="s">
        <v>258</v>
      </c>
      <c r="B5752" s="13" t="s">
        <v>61</v>
      </c>
      <c r="C5752" s="14" t="s">
        <v>98</v>
      </c>
      <c r="D5752" s="14" t="str">
        <f>VLOOKUP(C5752,'State Key'!$A$2:$B$210,2,False)</f>
        <v>Haryana</v>
      </c>
      <c r="E5752" s="15">
        <v>600.0</v>
      </c>
      <c r="F5752" s="16">
        <v>173.766</v>
      </c>
      <c r="G5752" s="16">
        <v>0.0</v>
      </c>
      <c r="H5752" s="16">
        <v>0.0</v>
      </c>
      <c r="I5752" s="16">
        <v>0.0</v>
      </c>
      <c r="J5752" s="16">
        <v>0.0</v>
      </c>
      <c r="K5752" s="16">
        <v>0.0</v>
      </c>
      <c r="L5752" s="16">
        <v>173.766</v>
      </c>
      <c r="M5752" s="16">
        <v>210.17</v>
      </c>
      <c r="N5752" s="16">
        <v>245.09</v>
      </c>
      <c r="O5752" s="24">
        <v>35.0</v>
      </c>
      <c r="P5752" s="18">
        <f t="shared" si="1"/>
        <v>173.766</v>
      </c>
    </row>
    <row r="5753" ht="15.75" customHeight="1">
      <c r="A5753" s="19" t="s">
        <v>258</v>
      </c>
      <c r="B5753" s="19" t="s">
        <v>99</v>
      </c>
      <c r="C5753" s="20" t="s">
        <v>210</v>
      </c>
      <c r="D5753" s="14" t="str">
        <f>VLOOKUP(C5753,'State Key'!$A$2:$B$210,2,False)</f>
        <v>Karnataka</v>
      </c>
      <c r="E5753" s="21">
        <v>1200.0</v>
      </c>
      <c r="F5753" s="22">
        <v>0.0</v>
      </c>
      <c r="G5753" s="22">
        <v>0.0</v>
      </c>
      <c r="H5753" s="22">
        <v>0.0</v>
      </c>
      <c r="I5753" s="22">
        <v>0.0</v>
      </c>
      <c r="J5753" s="22">
        <v>170.875</v>
      </c>
      <c r="K5753" s="22">
        <v>0.0</v>
      </c>
      <c r="L5753" s="22">
        <v>170.875</v>
      </c>
      <c r="M5753" s="22">
        <v>236.165</v>
      </c>
      <c r="N5753" s="22">
        <v>57.808</v>
      </c>
      <c r="O5753" s="23">
        <v>7.3</v>
      </c>
      <c r="P5753" s="18">
        <f t="shared" si="1"/>
        <v>170.875</v>
      </c>
    </row>
    <row r="5754" ht="15.75" customHeight="1">
      <c r="A5754" s="13" t="s">
        <v>258</v>
      </c>
      <c r="B5754" s="13" t="s">
        <v>99</v>
      </c>
      <c r="C5754" s="14" t="s">
        <v>100</v>
      </c>
      <c r="D5754" s="14" t="str">
        <f>VLOOKUP(C5754,'State Key'!$A$2:$B$210,2,False)</f>
        <v>Karnataka</v>
      </c>
      <c r="E5754" s="15">
        <v>1700.0</v>
      </c>
      <c r="F5754" s="16">
        <v>26.7924</v>
      </c>
      <c r="G5754" s="16">
        <v>233.06645</v>
      </c>
      <c r="H5754" s="16">
        <v>302.26506</v>
      </c>
      <c r="I5754" s="16">
        <v>0.0</v>
      </c>
      <c r="J5754" s="16">
        <v>0.0</v>
      </c>
      <c r="K5754" s="16">
        <v>0.0</v>
      </c>
      <c r="L5754" s="16">
        <v>562.12391</v>
      </c>
      <c r="M5754" s="16">
        <v>464.248</v>
      </c>
      <c r="N5754" s="16">
        <v>453.9464</v>
      </c>
      <c r="O5754" s="24">
        <v>29.3</v>
      </c>
      <c r="P5754" s="18">
        <f t="shared" si="1"/>
        <v>562.12391</v>
      </c>
    </row>
    <row r="5755" ht="15.75" customHeight="1">
      <c r="A5755" s="19" t="s">
        <v>258</v>
      </c>
      <c r="B5755" s="19" t="s">
        <v>99</v>
      </c>
      <c r="C5755" s="20" t="s">
        <v>101</v>
      </c>
      <c r="D5755" s="14" t="str">
        <f>VLOOKUP(C5755,'State Key'!$A$2:$B$210,2,False)</f>
        <v>Telangana</v>
      </c>
      <c r="E5755" s="21">
        <v>1080.0</v>
      </c>
      <c r="F5755" s="22">
        <v>0.0</v>
      </c>
      <c r="G5755" s="22">
        <v>116.462</v>
      </c>
      <c r="H5755" s="22">
        <v>0.0</v>
      </c>
      <c r="I5755" s="22">
        <v>0.0</v>
      </c>
      <c r="J5755" s="22">
        <v>0.0</v>
      </c>
      <c r="K5755" s="22">
        <v>0.0</v>
      </c>
      <c r="L5755" s="22">
        <v>116.462</v>
      </c>
      <c r="M5755" s="22">
        <v>160.268</v>
      </c>
      <c r="N5755" s="22">
        <v>236.065</v>
      </c>
      <c r="O5755" s="24">
        <v>44.2</v>
      </c>
      <c r="P5755" s="18">
        <f t="shared" si="1"/>
        <v>116.462</v>
      </c>
    </row>
    <row r="5756" ht="15.75" customHeight="1">
      <c r="A5756" s="13" t="s">
        <v>258</v>
      </c>
      <c r="B5756" s="13" t="s">
        <v>99</v>
      </c>
      <c r="C5756" s="14" t="s">
        <v>102</v>
      </c>
      <c r="D5756" s="14" t="str">
        <f>VLOOKUP(C5756,'State Key'!$A$2:$B$210,2,False)</f>
        <v>Andhra Pradesh</v>
      </c>
      <c r="E5756" s="15">
        <v>2400.0</v>
      </c>
      <c r="F5756" s="16">
        <v>661.41096</v>
      </c>
      <c r="G5756" s="16">
        <v>0.0</v>
      </c>
      <c r="H5756" s="16">
        <v>0.0</v>
      </c>
      <c r="I5756" s="16">
        <v>0.0</v>
      </c>
      <c r="J5756" s="16">
        <v>0.0</v>
      </c>
      <c r="K5756" s="16">
        <v>0.0</v>
      </c>
      <c r="L5756" s="16">
        <v>661.41096</v>
      </c>
      <c r="M5756" s="16">
        <v>507.574</v>
      </c>
      <c r="N5756" s="16">
        <v>175.66</v>
      </c>
      <c r="O5756" s="23">
        <v>10.4</v>
      </c>
      <c r="P5756" s="18">
        <f t="shared" si="1"/>
        <v>661.41096</v>
      </c>
    </row>
    <row r="5757" ht="15.75" customHeight="1">
      <c r="A5757" s="19" t="s">
        <v>258</v>
      </c>
      <c r="B5757" s="19" t="s">
        <v>99</v>
      </c>
      <c r="C5757" s="20" t="s">
        <v>103</v>
      </c>
      <c r="D5757" s="14" t="str">
        <f>VLOOKUP(C5757,'State Key'!$A$2:$B$210,2,False)</f>
        <v>Andhra Pradesh</v>
      </c>
      <c r="E5757" s="21">
        <v>2560.0</v>
      </c>
      <c r="F5757" s="22">
        <v>798.088</v>
      </c>
      <c r="G5757" s="22">
        <v>156.195</v>
      </c>
      <c r="H5757" s="22">
        <v>0.0</v>
      </c>
      <c r="I5757" s="22">
        <v>0.0</v>
      </c>
      <c r="J5757" s="22">
        <v>0.0</v>
      </c>
      <c r="K5757" s="22">
        <v>0.0</v>
      </c>
      <c r="L5757" s="22">
        <v>954.283</v>
      </c>
      <c r="M5757" s="22">
        <v>973.515</v>
      </c>
      <c r="N5757" s="22">
        <v>397.77</v>
      </c>
      <c r="O5757" s="23">
        <v>12.3</v>
      </c>
      <c r="P5757" s="18">
        <f t="shared" si="1"/>
        <v>954.283</v>
      </c>
    </row>
    <row r="5758" ht="15.75" customHeight="1">
      <c r="A5758" s="13" t="s">
        <v>258</v>
      </c>
      <c r="B5758" s="13" t="s">
        <v>99</v>
      </c>
      <c r="C5758" s="14" t="s">
        <v>104</v>
      </c>
      <c r="D5758" s="14" t="str">
        <f>VLOOKUP(C5758,'State Key'!$A$2:$B$210,2,False)</f>
        <v>Tamil Nadu</v>
      </c>
      <c r="E5758" s="15">
        <v>1200.0</v>
      </c>
      <c r="F5758" s="16">
        <v>0.0</v>
      </c>
      <c r="G5758" s="16">
        <v>0.0</v>
      </c>
      <c r="H5758" s="16">
        <v>0.0</v>
      </c>
      <c r="I5758" s="16">
        <v>0.0</v>
      </c>
      <c r="J5758" s="16">
        <v>228.2709</v>
      </c>
      <c r="K5758" s="16">
        <v>0.0</v>
      </c>
      <c r="L5758" s="16">
        <v>228.2709</v>
      </c>
      <c r="M5758" s="16">
        <v>211.231</v>
      </c>
      <c r="N5758" s="16">
        <v>330.01</v>
      </c>
      <c r="O5758" s="24">
        <v>46.9</v>
      </c>
      <c r="P5758" s="18">
        <f t="shared" si="1"/>
        <v>228.2709</v>
      </c>
    </row>
    <row r="5759" ht="15.75" customHeight="1">
      <c r="A5759" s="19" t="s">
        <v>258</v>
      </c>
      <c r="B5759" s="19" t="s">
        <v>99</v>
      </c>
      <c r="C5759" s="20" t="s">
        <v>105</v>
      </c>
      <c r="D5759" s="14" t="str">
        <f>VLOOKUP(C5759,'State Key'!$A$2:$B$210,2,False)</f>
        <v>Telangana</v>
      </c>
      <c r="E5759" s="21">
        <v>1100.0</v>
      </c>
      <c r="F5759" s="22">
        <v>0.0</v>
      </c>
      <c r="G5759" s="22">
        <v>155.744</v>
      </c>
      <c r="H5759" s="22">
        <v>219.97</v>
      </c>
      <c r="I5759" s="22">
        <v>0.0</v>
      </c>
      <c r="J5759" s="22">
        <v>0.0</v>
      </c>
      <c r="K5759" s="22">
        <v>0.0</v>
      </c>
      <c r="L5759" s="22">
        <v>375.714</v>
      </c>
      <c r="M5759" s="22">
        <v>272.664</v>
      </c>
      <c r="N5759" s="22">
        <v>280.474</v>
      </c>
      <c r="O5759" s="24">
        <v>30.9</v>
      </c>
      <c r="P5759" s="18">
        <f t="shared" si="1"/>
        <v>375.714</v>
      </c>
    </row>
    <row r="5760" ht="15.75" customHeight="1">
      <c r="A5760" s="13" t="s">
        <v>258</v>
      </c>
      <c r="B5760" s="13" t="s">
        <v>99</v>
      </c>
      <c r="C5760" s="14" t="s">
        <v>106</v>
      </c>
      <c r="D5760" s="14" t="str">
        <f>VLOOKUP(C5760,'State Key'!$A$2:$B$210,2,False)</f>
        <v>Telangana</v>
      </c>
      <c r="E5760" s="15">
        <v>1000.0</v>
      </c>
      <c r="F5760" s="16">
        <v>0.0</v>
      </c>
      <c r="G5760" s="16">
        <v>220.461</v>
      </c>
      <c r="H5760" s="16">
        <v>0.0</v>
      </c>
      <c r="I5760" s="16">
        <v>0.0</v>
      </c>
      <c r="J5760" s="16">
        <v>0.0</v>
      </c>
      <c r="K5760" s="16">
        <v>0.0</v>
      </c>
      <c r="L5760" s="16">
        <v>220.461</v>
      </c>
      <c r="M5760" s="16">
        <v>120.07</v>
      </c>
      <c r="N5760" s="16">
        <v>369.957</v>
      </c>
      <c r="O5760" s="24">
        <v>92.4</v>
      </c>
      <c r="P5760" s="18">
        <f t="shared" si="1"/>
        <v>220.461</v>
      </c>
    </row>
    <row r="5761" ht="15.75" customHeight="1">
      <c r="A5761" s="19" t="s">
        <v>258</v>
      </c>
      <c r="B5761" s="19" t="s">
        <v>99</v>
      </c>
      <c r="C5761" s="20" t="s">
        <v>107</v>
      </c>
      <c r="D5761" s="14" t="str">
        <f>VLOOKUP(C5761,'State Key'!$A$2:$B$210,2,False)</f>
        <v>Telangana</v>
      </c>
      <c r="E5761" s="21">
        <v>800.0</v>
      </c>
      <c r="F5761" s="22">
        <v>0.0</v>
      </c>
      <c r="G5761" s="22">
        <v>248.964</v>
      </c>
      <c r="H5761" s="22">
        <v>0.0</v>
      </c>
      <c r="I5761" s="22">
        <v>0.0</v>
      </c>
      <c r="J5761" s="22">
        <v>0.0</v>
      </c>
      <c r="K5761" s="22">
        <v>0.0</v>
      </c>
      <c r="L5761" s="22">
        <v>248.964</v>
      </c>
      <c r="M5761" s="22">
        <v>220.767</v>
      </c>
      <c r="N5761" s="22">
        <v>176.424</v>
      </c>
      <c r="O5761" s="24">
        <v>24.0</v>
      </c>
      <c r="P5761" s="18">
        <f t="shared" si="1"/>
        <v>248.964</v>
      </c>
    </row>
    <row r="5762" ht="15.75" customHeight="1">
      <c r="A5762" s="13" t="s">
        <v>258</v>
      </c>
      <c r="B5762" s="13" t="s">
        <v>99</v>
      </c>
      <c r="C5762" s="14" t="s">
        <v>108</v>
      </c>
      <c r="D5762" s="14" t="str">
        <f>VLOOKUP(C5762,'State Key'!$A$2:$B$210,2,False)</f>
        <v>Karnataka</v>
      </c>
      <c r="E5762" s="15">
        <v>2400.0</v>
      </c>
      <c r="F5762" s="16">
        <v>438.01</v>
      </c>
      <c r="G5762" s="16">
        <v>234.24</v>
      </c>
      <c r="H5762" s="16">
        <v>38.26</v>
      </c>
      <c r="I5762" s="16">
        <v>0.0</v>
      </c>
      <c r="J5762" s="16">
        <v>0.0</v>
      </c>
      <c r="K5762" s="16">
        <v>4.03</v>
      </c>
      <c r="L5762" s="16">
        <v>714.54</v>
      </c>
      <c r="M5762" s="16">
        <v>765.269</v>
      </c>
      <c r="N5762" s="16">
        <v>527.4</v>
      </c>
      <c r="O5762" s="24">
        <v>20.7</v>
      </c>
      <c r="P5762" s="18">
        <f t="shared" si="1"/>
        <v>714.54</v>
      </c>
    </row>
    <row r="5763" ht="15.75" customHeight="1">
      <c r="A5763" s="19" t="s">
        <v>258</v>
      </c>
      <c r="B5763" s="19" t="s">
        <v>99</v>
      </c>
      <c r="C5763" s="20" t="s">
        <v>109</v>
      </c>
      <c r="D5763" s="14" t="str">
        <f>VLOOKUP(C5763,'State Key'!$A$2:$B$210,2,False)</f>
        <v>Tamil Nadu</v>
      </c>
      <c r="E5763" s="21">
        <v>840.0</v>
      </c>
      <c r="F5763" s="22">
        <v>235.99479</v>
      </c>
      <c r="G5763" s="22">
        <v>0.0</v>
      </c>
      <c r="H5763" s="22">
        <v>0.0</v>
      </c>
      <c r="I5763" s="22">
        <v>0.0</v>
      </c>
      <c r="J5763" s="22">
        <v>0.0</v>
      </c>
      <c r="K5763" s="22">
        <v>0.0</v>
      </c>
      <c r="L5763" s="22">
        <v>235.99479</v>
      </c>
      <c r="M5763" s="22">
        <v>309.762</v>
      </c>
      <c r="N5763" s="22">
        <v>114.87</v>
      </c>
      <c r="O5763" s="23">
        <v>11.1</v>
      </c>
      <c r="P5763" s="18">
        <f t="shared" si="1"/>
        <v>235.99479</v>
      </c>
    </row>
    <row r="5764" ht="15.75" customHeight="1">
      <c r="A5764" s="13" t="s">
        <v>258</v>
      </c>
      <c r="B5764" s="13" t="s">
        <v>99</v>
      </c>
      <c r="C5764" s="14" t="s">
        <v>261</v>
      </c>
      <c r="D5764" s="14" t="str">
        <f>VLOOKUP(C5764,'State Key'!$A$2:$B$210,2,False)</f>
        <v>Tamil Nadu</v>
      </c>
      <c r="E5764" s="15">
        <v>600.0</v>
      </c>
      <c r="F5764" s="16">
        <v>117.75</v>
      </c>
      <c r="G5764" s="16">
        <v>0.0</v>
      </c>
      <c r="H5764" s="16">
        <v>0.0</v>
      </c>
      <c r="I5764" s="16">
        <v>0.0</v>
      </c>
      <c r="J5764" s="16">
        <v>0.0</v>
      </c>
      <c r="K5764" s="16">
        <v>0.0</v>
      </c>
      <c r="L5764" s="16">
        <v>117.75</v>
      </c>
      <c r="M5764" s="16">
        <v>205.503</v>
      </c>
      <c r="N5764" s="16">
        <v>102.09</v>
      </c>
      <c r="O5764" s="24">
        <v>14.9</v>
      </c>
      <c r="P5764" s="18">
        <f t="shared" si="1"/>
        <v>117.75</v>
      </c>
    </row>
    <row r="5765" ht="15.75" customHeight="1">
      <c r="A5765" s="19" t="s">
        <v>258</v>
      </c>
      <c r="B5765" s="19" t="s">
        <v>99</v>
      </c>
      <c r="C5765" s="20" t="s">
        <v>111</v>
      </c>
      <c r="D5765" s="14" t="str">
        <f>VLOOKUP(C5765,'State Key'!$A$2:$B$210,2,False)</f>
        <v>Tamil Nadu</v>
      </c>
      <c r="E5765" s="21">
        <v>1200.0</v>
      </c>
      <c r="F5765" s="22">
        <v>74.81</v>
      </c>
      <c r="G5765" s="22">
        <v>0.0</v>
      </c>
      <c r="H5765" s="22">
        <v>0.0</v>
      </c>
      <c r="I5765" s="22">
        <v>0.0</v>
      </c>
      <c r="J5765" s="22">
        <v>196.001</v>
      </c>
      <c r="K5765" s="22">
        <v>0.0</v>
      </c>
      <c r="L5765" s="22">
        <v>270.811</v>
      </c>
      <c r="M5765" s="22">
        <v>366.889</v>
      </c>
      <c r="N5765" s="22">
        <v>188.81</v>
      </c>
      <c r="O5765" s="24">
        <v>15.4</v>
      </c>
      <c r="P5765" s="18">
        <f t="shared" si="1"/>
        <v>270.811</v>
      </c>
    </row>
    <row r="5766" ht="15.75" customHeight="1">
      <c r="A5766" s="13" t="s">
        <v>258</v>
      </c>
      <c r="B5766" s="13" t="s">
        <v>99</v>
      </c>
      <c r="C5766" s="14" t="s">
        <v>262</v>
      </c>
      <c r="D5766" s="14" t="str">
        <f>VLOOKUP(C5766,'State Key'!$A$2:$B$210,2,False)</f>
        <v>Tamil Nadu</v>
      </c>
      <c r="E5766" s="15">
        <v>630.0</v>
      </c>
      <c r="F5766" s="16">
        <v>333.288</v>
      </c>
      <c r="G5766" s="16">
        <v>0.0</v>
      </c>
      <c r="H5766" s="16">
        <v>0.0</v>
      </c>
      <c r="I5766" s="16">
        <v>0.0</v>
      </c>
      <c r="J5766" s="16">
        <v>0.0</v>
      </c>
      <c r="K5766" s="16">
        <v>0.0</v>
      </c>
      <c r="L5766" s="16">
        <v>333.288</v>
      </c>
      <c r="M5766" s="16">
        <v>225.786</v>
      </c>
      <c r="N5766" s="16">
        <v>199.524</v>
      </c>
      <c r="O5766" s="24">
        <v>26.5</v>
      </c>
      <c r="P5766" s="18">
        <f t="shared" si="1"/>
        <v>333.288</v>
      </c>
    </row>
    <row r="5767" ht="15.75" customHeight="1">
      <c r="A5767" s="19" t="s">
        <v>258</v>
      </c>
      <c r="B5767" s="19" t="s">
        <v>99</v>
      </c>
      <c r="C5767" s="20" t="s">
        <v>263</v>
      </c>
      <c r="D5767" s="14" t="str">
        <f>VLOOKUP(C5767,'State Key'!$A$2:$B$210,2,False)</f>
        <v>Tamil Nadu</v>
      </c>
      <c r="E5767" s="21">
        <v>1200.0</v>
      </c>
      <c r="F5767" s="22">
        <v>469.142</v>
      </c>
      <c r="G5767" s="22">
        <v>0.0</v>
      </c>
      <c r="H5767" s="22">
        <v>0.0</v>
      </c>
      <c r="I5767" s="22">
        <v>0.0</v>
      </c>
      <c r="J5767" s="22">
        <v>0.0</v>
      </c>
      <c r="K5767" s="22">
        <v>0.0</v>
      </c>
      <c r="L5767" s="22">
        <v>469.142</v>
      </c>
      <c r="M5767" s="22">
        <v>499.02</v>
      </c>
      <c r="N5767" s="22">
        <v>85.57</v>
      </c>
      <c r="O5767" s="17">
        <v>5.1</v>
      </c>
      <c r="P5767" s="18">
        <f t="shared" si="1"/>
        <v>469.142</v>
      </c>
    </row>
    <row r="5768" ht="15.75" customHeight="1">
      <c r="A5768" s="13" t="s">
        <v>258</v>
      </c>
      <c r="B5768" s="13" t="s">
        <v>99</v>
      </c>
      <c r="C5768" s="14" t="s">
        <v>113</v>
      </c>
      <c r="D5768" s="14" t="str">
        <f>VLOOKUP(C5768,'State Key'!$A$2:$B$210,2,False)</f>
        <v>Tamil Nadu</v>
      </c>
      <c r="E5768" s="15">
        <v>1000.0</v>
      </c>
      <c r="F5768" s="16">
        <v>0.0</v>
      </c>
      <c r="G5768" s="16">
        <v>0.0</v>
      </c>
      <c r="H5768" s="16">
        <v>151.64</v>
      </c>
      <c r="I5768" s="16">
        <v>0.0</v>
      </c>
      <c r="J5768" s="16">
        <v>72.79</v>
      </c>
      <c r="K5768" s="16">
        <v>0.0</v>
      </c>
      <c r="L5768" s="16">
        <v>224.43</v>
      </c>
      <c r="M5768" s="16">
        <v>293.638</v>
      </c>
      <c r="N5768" s="16">
        <v>246.03</v>
      </c>
      <c r="O5768" s="24">
        <v>25.1</v>
      </c>
      <c r="P5768" s="18">
        <f t="shared" si="1"/>
        <v>224.43</v>
      </c>
    </row>
    <row r="5769" ht="15.75" customHeight="1">
      <c r="A5769" s="19" t="s">
        <v>258</v>
      </c>
      <c r="B5769" s="19" t="s">
        <v>99</v>
      </c>
      <c r="C5769" s="20" t="s">
        <v>228</v>
      </c>
      <c r="D5769" s="14" t="str">
        <f>VLOOKUP(C5769,'State Key'!$A$2:$B$210,2,False)</f>
        <v>Tamil Nadu</v>
      </c>
      <c r="E5769" s="21">
        <v>414.0</v>
      </c>
      <c r="F5769" s="22">
        <v>26.508</v>
      </c>
      <c r="G5769" s="22">
        <v>0.0</v>
      </c>
      <c r="H5769" s="22">
        <v>0.0</v>
      </c>
      <c r="I5769" s="22">
        <v>0.0</v>
      </c>
      <c r="J5769" s="22">
        <v>40.457</v>
      </c>
      <c r="K5769" s="22">
        <v>0.0</v>
      </c>
      <c r="L5769" s="22">
        <v>66.965</v>
      </c>
      <c r="M5769" s="22">
        <v>34.107</v>
      </c>
      <c r="N5769" s="22">
        <v>133.07</v>
      </c>
      <c r="O5769" s="24">
        <v>117.0</v>
      </c>
      <c r="P5769" s="18">
        <f t="shared" si="1"/>
        <v>66.965</v>
      </c>
    </row>
    <row r="5770" ht="15.75" customHeight="1">
      <c r="A5770" s="13" t="s">
        <v>258</v>
      </c>
      <c r="B5770" s="13" t="s">
        <v>99</v>
      </c>
      <c r="C5770" s="14" t="s">
        <v>114</v>
      </c>
      <c r="D5770" s="14" t="str">
        <f>VLOOKUP(C5770,'State Key'!$A$2:$B$210,2,False)</f>
        <v>Andhra Pradesh</v>
      </c>
      <c r="E5770" s="15">
        <v>1320.0</v>
      </c>
      <c r="F5770" s="16">
        <v>307.931</v>
      </c>
      <c r="G5770" s="16">
        <v>0.0</v>
      </c>
      <c r="H5770" s="16">
        <v>0.0</v>
      </c>
      <c r="I5770" s="16">
        <v>0.0</v>
      </c>
      <c r="J5770" s="16">
        <v>25.0</v>
      </c>
      <c r="K5770" s="16">
        <v>0.0</v>
      </c>
      <c r="L5770" s="16">
        <v>332.931</v>
      </c>
      <c r="M5770" s="16">
        <v>512.94</v>
      </c>
      <c r="N5770" s="16">
        <v>200.92</v>
      </c>
      <c r="O5770" s="23">
        <v>11.8</v>
      </c>
      <c r="P5770" s="18">
        <f t="shared" si="1"/>
        <v>332.931</v>
      </c>
    </row>
    <row r="5771" ht="15.75" customHeight="1">
      <c r="A5771" s="19" t="s">
        <v>258</v>
      </c>
      <c r="B5771" s="19" t="s">
        <v>99</v>
      </c>
      <c r="C5771" s="20" t="s">
        <v>115</v>
      </c>
      <c r="D5771" s="14" t="str">
        <f>VLOOKUP(C5771,'State Key'!$A$2:$B$210,2,False)</f>
        <v>Karnataka</v>
      </c>
      <c r="E5771" s="21">
        <v>1720.0</v>
      </c>
      <c r="F5771" s="22">
        <v>398.036</v>
      </c>
      <c r="G5771" s="22">
        <v>292.998</v>
      </c>
      <c r="H5771" s="22">
        <v>28.924</v>
      </c>
      <c r="I5771" s="22">
        <v>0.0</v>
      </c>
      <c r="J5771" s="22">
        <v>0.0</v>
      </c>
      <c r="K5771" s="22">
        <v>0.0</v>
      </c>
      <c r="L5771" s="22">
        <v>719.958</v>
      </c>
      <c r="M5771" s="22">
        <v>542.686</v>
      </c>
      <c r="N5771" s="22">
        <v>522.01</v>
      </c>
      <c r="O5771" s="24">
        <v>28.9</v>
      </c>
      <c r="P5771" s="18">
        <f t="shared" si="1"/>
        <v>719.958</v>
      </c>
    </row>
    <row r="5772" ht="15.75" customHeight="1">
      <c r="A5772" s="13" t="s">
        <v>258</v>
      </c>
      <c r="B5772" s="13" t="s">
        <v>99</v>
      </c>
      <c r="C5772" s="14" t="s">
        <v>116</v>
      </c>
      <c r="D5772" s="14" t="str">
        <f>VLOOKUP(C5772,'State Key'!$A$2:$B$210,2,False)</f>
        <v>Telangana</v>
      </c>
      <c r="E5772" s="15">
        <v>2600.0</v>
      </c>
      <c r="F5772" s="16">
        <v>0.0</v>
      </c>
      <c r="G5772" s="16">
        <v>699.61</v>
      </c>
      <c r="H5772" s="16">
        <v>0.0</v>
      </c>
      <c r="I5772" s="16">
        <v>0.0</v>
      </c>
      <c r="J5772" s="16">
        <v>0.0</v>
      </c>
      <c r="K5772" s="16">
        <v>0.0</v>
      </c>
      <c r="L5772" s="16">
        <v>699.61</v>
      </c>
      <c r="M5772" s="16">
        <v>696.305</v>
      </c>
      <c r="N5772" s="16">
        <v>675.43</v>
      </c>
      <c r="O5772" s="24">
        <v>29.1</v>
      </c>
      <c r="P5772" s="18">
        <f t="shared" si="1"/>
        <v>699.61</v>
      </c>
    </row>
    <row r="5773" ht="15.75" customHeight="1">
      <c r="A5773" s="19" t="s">
        <v>258</v>
      </c>
      <c r="B5773" s="19" t="s">
        <v>99</v>
      </c>
      <c r="C5773" s="20" t="s">
        <v>117</v>
      </c>
      <c r="D5773" s="14" t="str">
        <f>VLOOKUP(C5773,'State Key'!$A$2:$B$210,2,False)</f>
        <v>Telangana</v>
      </c>
      <c r="E5773" s="21">
        <v>62.5</v>
      </c>
      <c r="F5773" s="22">
        <v>0.0</v>
      </c>
      <c r="G5773" s="22">
        <v>0.0</v>
      </c>
      <c r="H5773" s="22">
        <v>0.0</v>
      </c>
      <c r="I5773" s="22">
        <v>0.0</v>
      </c>
      <c r="J5773" s="22">
        <v>0.0</v>
      </c>
      <c r="K5773" s="22">
        <v>0.0</v>
      </c>
      <c r="L5773" s="22">
        <v>0.0</v>
      </c>
      <c r="M5773" s="22">
        <v>0.0</v>
      </c>
      <c r="N5773" s="22">
        <v>3.72</v>
      </c>
      <c r="O5773" s="19" t="s">
        <v>58</v>
      </c>
      <c r="P5773" s="18">
        <f t="shared" si="1"/>
        <v>0</v>
      </c>
    </row>
    <row r="5774" ht="15.75" customHeight="1">
      <c r="A5774" s="13" t="s">
        <v>258</v>
      </c>
      <c r="B5774" s="13" t="s">
        <v>99</v>
      </c>
      <c r="C5774" s="14" t="s">
        <v>118</v>
      </c>
      <c r="D5774" s="14" t="str">
        <f>VLOOKUP(C5774,'State Key'!$A$2:$B$210,2,False)</f>
        <v>Andhra Pradesh</v>
      </c>
      <c r="E5774" s="15">
        <v>1650.0</v>
      </c>
      <c r="F5774" s="16">
        <v>465.821</v>
      </c>
      <c r="G5774" s="16">
        <v>100.661</v>
      </c>
      <c r="H5774" s="16">
        <v>0.0</v>
      </c>
      <c r="I5774" s="16">
        <v>0.0</v>
      </c>
      <c r="J5774" s="16">
        <v>0.0</v>
      </c>
      <c r="K5774" s="16">
        <v>0.0</v>
      </c>
      <c r="L5774" s="16">
        <v>566.482</v>
      </c>
      <c r="M5774" s="16">
        <v>568.234</v>
      </c>
      <c r="N5774" s="16">
        <v>171.255</v>
      </c>
      <c r="O5774" s="23">
        <v>9.0</v>
      </c>
      <c r="P5774" s="18">
        <f t="shared" si="1"/>
        <v>566.482</v>
      </c>
    </row>
    <row r="5775" ht="15.75" customHeight="1">
      <c r="A5775" s="19" t="s">
        <v>258</v>
      </c>
      <c r="B5775" s="19" t="s">
        <v>99</v>
      </c>
      <c r="C5775" s="20" t="s">
        <v>119</v>
      </c>
      <c r="D5775" s="14" t="str">
        <f>VLOOKUP(C5775,'State Key'!$A$2:$B$210,2,False)</f>
        <v>Andhra Pradesh</v>
      </c>
      <c r="E5775" s="21">
        <v>1320.0</v>
      </c>
      <c r="F5775" s="22">
        <v>404.26</v>
      </c>
      <c r="G5775" s="22">
        <v>0.0</v>
      </c>
      <c r="H5775" s="22">
        <v>0.0</v>
      </c>
      <c r="I5775" s="22">
        <v>0.0</v>
      </c>
      <c r="J5775" s="22">
        <v>208.21</v>
      </c>
      <c r="K5775" s="22">
        <v>0.0</v>
      </c>
      <c r="L5775" s="22">
        <v>612.47</v>
      </c>
      <c r="M5775" s="22">
        <v>526.851</v>
      </c>
      <c r="N5775" s="22">
        <v>257.16</v>
      </c>
      <c r="O5775" s="24">
        <v>14.6</v>
      </c>
      <c r="P5775" s="18">
        <f t="shared" si="1"/>
        <v>612.47</v>
      </c>
    </row>
    <row r="5776" ht="15.75" customHeight="1">
      <c r="A5776" s="13" t="s">
        <v>258</v>
      </c>
      <c r="B5776" s="13" t="s">
        <v>99</v>
      </c>
      <c r="C5776" s="14" t="s">
        <v>120</v>
      </c>
      <c r="D5776" s="14" t="str">
        <f>VLOOKUP(C5776,'State Key'!$A$2:$B$210,2,False)</f>
        <v>Andhra Pradesh</v>
      </c>
      <c r="E5776" s="15">
        <v>2000.0</v>
      </c>
      <c r="F5776" s="16">
        <v>533.2</v>
      </c>
      <c r="G5776" s="16">
        <v>24.63</v>
      </c>
      <c r="H5776" s="16">
        <v>95.95</v>
      </c>
      <c r="I5776" s="16">
        <v>0.0</v>
      </c>
      <c r="J5776" s="16">
        <v>0.0</v>
      </c>
      <c r="K5776" s="16">
        <v>35.22</v>
      </c>
      <c r="L5776" s="16">
        <v>689.0</v>
      </c>
      <c r="M5776" s="16">
        <v>721.217</v>
      </c>
      <c r="N5776" s="16">
        <v>601.96</v>
      </c>
      <c r="O5776" s="24">
        <v>25.0</v>
      </c>
      <c r="P5776" s="18">
        <f t="shared" si="1"/>
        <v>689</v>
      </c>
    </row>
    <row r="5777" ht="15.75" customHeight="1">
      <c r="A5777" s="19" t="s">
        <v>258</v>
      </c>
      <c r="B5777" s="19" t="s">
        <v>99</v>
      </c>
      <c r="C5777" s="20" t="s">
        <v>121</v>
      </c>
      <c r="D5777" s="14" t="str">
        <f>VLOOKUP(C5777,'State Key'!$A$2:$B$210,2,False)</f>
        <v>Andhra Pradesh</v>
      </c>
      <c r="E5777" s="21">
        <v>600.0</v>
      </c>
      <c r="F5777" s="22">
        <v>0.0</v>
      </c>
      <c r="G5777" s="22">
        <v>0.0</v>
      </c>
      <c r="H5777" s="22">
        <v>0.0</v>
      </c>
      <c r="I5777" s="22">
        <v>0.0</v>
      </c>
      <c r="J5777" s="22">
        <v>161.12</v>
      </c>
      <c r="K5777" s="22">
        <v>0.0</v>
      </c>
      <c r="L5777" s="22">
        <v>161.12</v>
      </c>
      <c r="M5777" s="22">
        <v>78.0776</v>
      </c>
      <c r="N5777" s="22">
        <v>219.066</v>
      </c>
      <c r="O5777" s="24">
        <v>84.2</v>
      </c>
      <c r="P5777" s="18">
        <f t="shared" si="1"/>
        <v>161.12</v>
      </c>
    </row>
    <row r="5778" ht="15.75" customHeight="1">
      <c r="A5778" s="13" t="s">
        <v>258</v>
      </c>
      <c r="B5778" s="13" t="s">
        <v>99</v>
      </c>
      <c r="C5778" s="14" t="s">
        <v>122</v>
      </c>
      <c r="D5778" s="14" t="str">
        <f>VLOOKUP(C5778,'State Key'!$A$2:$B$210,2,False)</f>
        <v>Telangana</v>
      </c>
      <c r="E5778" s="15">
        <v>1200.0</v>
      </c>
      <c r="F5778" s="16">
        <v>0.0</v>
      </c>
      <c r="G5778" s="16">
        <v>389.905</v>
      </c>
      <c r="H5778" s="16">
        <v>0.0</v>
      </c>
      <c r="I5778" s="16">
        <v>0.0</v>
      </c>
      <c r="J5778" s="16">
        <v>0.0</v>
      </c>
      <c r="K5778" s="16">
        <v>0.0</v>
      </c>
      <c r="L5778" s="16">
        <v>389.905</v>
      </c>
      <c r="M5778" s="16">
        <v>348.993</v>
      </c>
      <c r="N5778" s="16">
        <v>171.02</v>
      </c>
      <c r="O5778" s="24">
        <v>14.7</v>
      </c>
      <c r="P5778" s="18">
        <f t="shared" si="1"/>
        <v>389.905</v>
      </c>
    </row>
    <row r="5779" ht="15.75" customHeight="1">
      <c r="A5779" s="19" t="s">
        <v>258</v>
      </c>
      <c r="B5779" s="19" t="s">
        <v>99</v>
      </c>
      <c r="C5779" s="20" t="s">
        <v>243</v>
      </c>
      <c r="D5779" s="14" t="str">
        <f>VLOOKUP(C5779,'State Key'!$A$2:$B$210,2,False)</f>
        <v>Tamil Nadu</v>
      </c>
      <c r="E5779" s="21">
        <v>63.5</v>
      </c>
      <c r="F5779" s="22">
        <v>0.0</v>
      </c>
      <c r="G5779" s="22">
        <v>0.0</v>
      </c>
      <c r="H5779" s="22">
        <v>0.0</v>
      </c>
      <c r="I5779" s="22">
        <v>0.0</v>
      </c>
      <c r="J5779" s="22">
        <v>0.0</v>
      </c>
      <c r="K5779" s="22">
        <v>0.0</v>
      </c>
      <c r="L5779" s="22">
        <v>0.0</v>
      </c>
      <c r="M5779" s="22">
        <v>0.0</v>
      </c>
      <c r="N5779" s="22">
        <v>0.0</v>
      </c>
      <c r="O5779" s="19" t="s">
        <v>58</v>
      </c>
      <c r="P5779" s="18">
        <f t="shared" si="1"/>
        <v>0</v>
      </c>
    </row>
    <row r="5780" ht="15.75" customHeight="1">
      <c r="A5780" s="13" t="s">
        <v>258</v>
      </c>
      <c r="B5780" s="13" t="s">
        <v>99</v>
      </c>
      <c r="C5780" s="14" t="s">
        <v>220</v>
      </c>
      <c r="D5780" s="14" t="str">
        <f>VLOOKUP(C5780,'State Key'!$A$2:$B$210,2,False)</f>
        <v>Telangana</v>
      </c>
      <c r="E5780" s="15">
        <v>1600.0</v>
      </c>
      <c r="F5780" s="16">
        <v>12.59</v>
      </c>
      <c r="G5780" s="16">
        <v>522.1</v>
      </c>
      <c r="H5780" s="16">
        <v>11.5</v>
      </c>
      <c r="I5780" s="16">
        <v>0.0</v>
      </c>
      <c r="J5780" s="16">
        <v>0.0</v>
      </c>
      <c r="K5780" s="16">
        <v>0.0</v>
      </c>
      <c r="L5780" s="16">
        <v>546.19</v>
      </c>
      <c r="M5780" s="16">
        <v>412.229</v>
      </c>
      <c r="N5780" s="16">
        <v>469.34</v>
      </c>
      <c r="O5780" s="24">
        <v>34.2</v>
      </c>
      <c r="P5780" s="18">
        <f t="shared" si="1"/>
        <v>546.19</v>
      </c>
    </row>
    <row r="5781" ht="15.75" customHeight="1">
      <c r="A5781" s="19" t="s">
        <v>258</v>
      </c>
      <c r="B5781" s="19" t="s">
        <v>99</v>
      </c>
      <c r="C5781" s="20" t="s">
        <v>123</v>
      </c>
      <c r="D5781" s="14" t="str">
        <f>VLOOKUP(C5781,'State Key'!$A$2:$B$210,2,False)</f>
        <v>Andhra Pradesh</v>
      </c>
      <c r="E5781" s="21">
        <v>1000.0</v>
      </c>
      <c r="F5781" s="22">
        <v>3.59</v>
      </c>
      <c r="G5781" s="22">
        <v>0.0</v>
      </c>
      <c r="H5781" s="22">
        <v>0.0</v>
      </c>
      <c r="I5781" s="22">
        <v>0.0</v>
      </c>
      <c r="J5781" s="22">
        <v>0.0</v>
      </c>
      <c r="K5781" s="22">
        <v>0.0</v>
      </c>
      <c r="L5781" s="22">
        <v>3.59</v>
      </c>
      <c r="M5781" s="22">
        <v>0.0</v>
      </c>
      <c r="N5781" s="22">
        <v>91.31</v>
      </c>
      <c r="O5781" s="19" t="s">
        <v>58</v>
      </c>
      <c r="P5781" s="18">
        <f t="shared" si="1"/>
        <v>3.59</v>
      </c>
    </row>
    <row r="5782" ht="15.75" customHeight="1">
      <c r="A5782" s="13" t="s">
        <v>258</v>
      </c>
      <c r="B5782" s="13" t="s">
        <v>99</v>
      </c>
      <c r="C5782" s="14" t="s">
        <v>124</v>
      </c>
      <c r="D5782" s="14" t="str">
        <f>VLOOKUP(C5782,'State Key'!$A$2:$B$210,2,False)</f>
        <v>Karnataka</v>
      </c>
      <c r="E5782" s="15">
        <v>260.0</v>
      </c>
      <c r="F5782" s="16">
        <v>0.0</v>
      </c>
      <c r="G5782" s="16">
        <v>0.0</v>
      </c>
      <c r="H5782" s="16">
        <v>0.0</v>
      </c>
      <c r="I5782" s="16">
        <v>0.0</v>
      </c>
      <c r="J5782" s="16">
        <v>45.26</v>
      </c>
      <c r="K5782" s="16">
        <v>0.0</v>
      </c>
      <c r="L5782" s="16">
        <v>45.26</v>
      </c>
      <c r="M5782" s="16">
        <v>45.26</v>
      </c>
      <c r="N5782" s="16">
        <v>0.0</v>
      </c>
      <c r="O5782" s="17">
        <v>0.0</v>
      </c>
      <c r="P5782" s="18">
        <f t="shared" si="1"/>
        <v>45.26</v>
      </c>
    </row>
    <row r="5783" ht="15.75" customHeight="1">
      <c r="A5783" s="19" t="s">
        <v>258</v>
      </c>
      <c r="B5783" s="19" t="s">
        <v>99</v>
      </c>
      <c r="C5783" s="20" t="s">
        <v>125</v>
      </c>
      <c r="D5783" s="14" t="str">
        <f>VLOOKUP(C5783,'State Key'!$A$2:$B$210,2,False)</f>
        <v>Karnataka</v>
      </c>
      <c r="E5783" s="21">
        <v>600.0</v>
      </c>
      <c r="F5783" s="22">
        <v>0.0</v>
      </c>
      <c r="G5783" s="22">
        <v>0.0</v>
      </c>
      <c r="H5783" s="22">
        <v>0.0</v>
      </c>
      <c r="I5783" s="22">
        <v>0.0</v>
      </c>
      <c r="J5783" s="22">
        <v>132.81</v>
      </c>
      <c r="K5783" s="22">
        <v>0.0</v>
      </c>
      <c r="L5783" s="22">
        <v>132.81</v>
      </c>
      <c r="M5783" s="22">
        <v>133.66</v>
      </c>
      <c r="N5783" s="22">
        <v>7.07</v>
      </c>
      <c r="O5783" s="17">
        <v>1.6</v>
      </c>
      <c r="P5783" s="18">
        <f t="shared" si="1"/>
        <v>132.81</v>
      </c>
    </row>
    <row r="5784" ht="15.75" customHeight="1">
      <c r="A5784" s="13" t="s">
        <v>258</v>
      </c>
      <c r="B5784" s="13" t="s">
        <v>99</v>
      </c>
      <c r="C5784" s="14" t="s">
        <v>126</v>
      </c>
      <c r="D5784" s="14" t="str">
        <f>VLOOKUP(C5784,'State Key'!$A$2:$B$210,2,False)</f>
        <v>Tamil Nadu</v>
      </c>
      <c r="E5784" s="15">
        <v>300.0</v>
      </c>
      <c r="F5784" s="16">
        <v>0.0</v>
      </c>
      <c r="G5784" s="16">
        <v>0.0</v>
      </c>
      <c r="H5784" s="16">
        <v>0.0</v>
      </c>
      <c r="I5784" s="16">
        <v>0.0</v>
      </c>
      <c r="J5784" s="16">
        <v>0.0</v>
      </c>
      <c r="K5784" s="16">
        <v>0.0</v>
      </c>
      <c r="L5784" s="16">
        <v>0.0</v>
      </c>
      <c r="M5784" s="16">
        <v>0.0</v>
      </c>
      <c r="N5784" s="16">
        <v>0.0</v>
      </c>
      <c r="O5784" s="13" t="s">
        <v>58</v>
      </c>
      <c r="P5784" s="18">
        <f t="shared" si="1"/>
        <v>0</v>
      </c>
    </row>
    <row r="5785" ht="15.75" customHeight="1">
      <c r="A5785" s="19" t="s">
        <v>258</v>
      </c>
      <c r="B5785" s="19" t="s">
        <v>99</v>
      </c>
      <c r="C5785" s="20" t="s">
        <v>127</v>
      </c>
      <c r="D5785" s="14" t="str">
        <f>VLOOKUP(C5785,'State Key'!$A$2:$B$210,2,False)</f>
        <v>Tamil Nadu</v>
      </c>
      <c r="E5785" s="21">
        <v>525.0</v>
      </c>
      <c r="F5785" s="22">
        <v>0.0</v>
      </c>
      <c r="G5785" s="22">
        <v>0.0</v>
      </c>
      <c r="H5785" s="22">
        <v>0.0</v>
      </c>
      <c r="I5785" s="22">
        <v>0.0</v>
      </c>
      <c r="J5785" s="22">
        <v>145.288</v>
      </c>
      <c r="K5785" s="22">
        <v>0.0</v>
      </c>
      <c r="L5785" s="22">
        <v>145.288</v>
      </c>
      <c r="M5785" s="22">
        <v>138.08</v>
      </c>
      <c r="N5785" s="22">
        <v>11.83</v>
      </c>
      <c r="O5785" s="17">
        <v>2.6</v>
      </c>
      <c r="P5785" s="18">
        <f t="shared" si="1"/>
        <v>145.288</v>
      </c>
    </row>
    <row r="5786" ht="15.75" customHeight="1">
      <c r="A5786" s="13" t="s">
        <v>258</v>
      </c>
      <c r="B5786" s="13" t="s">
        <v>99</v>
      </c>
      <c r="C5786" s="14" t="s">
        <v>128</v>
      </c>
      <c r="D5786" s="14" t="str">
        <f>VLOOKUP(C5786,'State Key'!$A$2:$B$210,2,False)</f>
        <v>Tamil Nadu</v>
      </c>
      <c r="E5786" s="15">
        <v>1050.0</v>
      </c>
      <c r="F5786" s="16">
        <v>147.47</v>
      </c>
      <c r="G5786" s="16">
        <v>0.0</v>
      </c>
      <c r="H5786" s="16">
        <v>0.0</v>
      </c>
      <c r="I5786" s="16">
        <v>0.0</v>
      </c>
      <c r="J5786" s="16">
        <v>0.0</v>
      </c>
      <c r="K5786" s="16">
        <v>0.0</v>
      </c>
      <c r="L5786" s="16">
        <v>147.47</v>
      </c>
      <c r="M5786" s="16">
        <v>175.77</v>
      </c>
      <c r="N5786" s="16">
        <v>295.37</v>
      </c>
      <c r="O5786" s="24">
        <v>50.4</v>
      </c>
      <c r="P5786" s="18">
        <f t="shared" si="1"/>
        <v>147.47</v>
      </c>
    </row>
    <row r="5787" ht="15.75" customHeight="1">
      <c r="A5787" s="19" t="s">
        <v>258</v>
      </c>
      <c r="B5787" s="19" t="s">
        <v>99</v>
      </c>
      <c r="C5787" s="20" t="s">
        <v>130</v>
      </c>
      <c r="D5787" s="14" t="str">
        <f>VLOOKUP(C5787,'State Key'!$A$2:$B$210,2,False)</f>
        <v>Tamil Nadu</v>
      </c>
      <c r="E5787" s="21">
        <v>1500.0</v>
      </c>
      <c r="F5787" s="22">
        <v>638.064</v>
      </c>
      <c r="G5787" s="22">
        <v>0.0</v>
      </c>
      <c r="H5787" s="22">
        <v>0.0</v>
      </c>
      <c r="I5787" s="22">
        <v>0.0</v>
      </c>
      <c r="J5787" s="22">
        <v>0.0</v>
      </c>
      <c r="K5787" s="22">
        <v>0.0</v>
      </c>
      <c r="L5787" s="22">
        <v>638.064</v>
      </c>
      <c r="M5787" s="22">
        <v>589.463</v>
      </c>
      <c r="N5787" s="22">
        <v>567.17</v>
      </c>
      <c r="O5787" s="24">
        <v>28.9</v>
      </c>
      <c r="P5787" s="18">
        <f t="shared" si="1"/>
        <v>638.064</v>
      </c>
    </row>
    <row r="5788" ht="15.75" customHeight="1">
      <c r="A5788" s="13" t="s">
        <v>258</v>
      </c>
      <c r="B5788" s="13" t="s">
        <v>99</v>
      </c>
      <c r="C5788" s="14" t="s">
        <v>131</v>
      </c>
      <c r="D5788" s="14" t="str">
        <f>VLOOKUP(C5788,'State Key'!$A$2:$B$210,2,False)</f>
        <v>Andhra Pradesh</v>
      </c>
      <c r="E5788" s="15">
        <v>1040.0</v>
      </c>
      <c r="F5788" s="16">
        <v>242.26368</v>
      </c>
      <c r="G5788" s="16">
        <v>0.0</v>
      </c>
      <c r="H5788" s="16">
        <v>0.0</v>
      </c>
      <c r="I5788" s="16">
        <v>0.0</v>
      </c>
      <c r="J5788" s="16">
        <v>0.0</v>
      </c>
      <c r="K5788" s="16">
        <v>0.0</v>
      </c>
      <c r="L5788" s="16">
        <v>242.26368</v>
      </c>
      <c r="M5788" s="16">
        <v>335.735</v>
      </c>
      <c r="N5788" s="16">
        <v>85.6887</v>
      </c>
      <c r="O5788" s="23">
        <v>7.7</v>
      </c>
      <c r="P5788" s="18">
        <f t="shared" si="1"/>
        <v>242.26368</v>
      </c>
    </row>
    <row r="5789" ht="15.75" customHeight="1">
      <c r="A5789" s="19" t="s">
        <v>258</v>
      </c>
      <c r="B5789" s="19" t="s">
        <v>99</v>
      </c>
      <c r="C5789" s="20" t="s">
        <v>249</v>
      </c>
      <c r="D5789" s="14" t="str">
        <f>VLOOKUP(C5789,'State Key'!$A$2:$B$210,2,False)</f>
        <v>Telangana</v>
      </c>
      <c r="E5789" s="21">
        <v>1600.0</v>
      </c>
      <c r="F5789" s="22">
        <v>0.0</v>
      </c>
      <c r="G5789" s="22">
        <v>300.75</v>
      </c>
      <c r="H5789" s="22">
        <v>0.0</v>
      </c>
      <c r="I5789" s="22">
        <v>0.0</v>
      </c>
      <c r="J5789" s="22">
        <v>0.0</v>
      </c>
      <c r="K5789" s="22">
        <v>0.0</v>
      </c>
      <c r="L5789" s="22">
        <v>300.75</v>
      </c>
      <c r="M5789" s="22">
        <v>161.385</v>
      </c>
      <c r="N5789" s="22">
        <v>427.497</v>
      </c>
      <c r="O5789" s="24">
        <v>79.5</v>
      </c>
      <c r="P5789" s="18">
        <f t="shared" si="1"/>
        <v>300.75</v>
      </c>
    </row>
    <row r="5790" ht="15.75" customHeight="1">
      <c r="A5790" s="13" t="s">
        <v>258</v>
      </c>
      <c r="B5790" s="13" t="s">
        <v>99</v>
      </c>
      <c r="C5790" s="14" t="s">
        <v>132</v>
      </c>
      <c r="D5790" s="14" t="str">
        <f>VLOOKUP(C5790,'State Key'!$A$2:$B$210,2,False)</f>
        <v>Karnataka</v>
      </c>
      <c r="E5790" s="15">
        <v>1600.0</v>
      </c>
      <c r="F5790" s="16">
        <v>0.0</v>
      </c>
      <c r="G5790" s="16">
        <v>265.823</v>
      </c>
      <c r="H5790" s="16">
        <v>0.0</v>
      </c>
      <c r="I5790" s="16">
        <v>0.0</v>
      </c>
      <c r="J5790" s="16">
        <v>4.07</v>
      </c>
      <c r="K5790" s="16">
        <v>0.0</v>
      </c>
      <c r="L5790" s="16">
        <v>269.893</v>
      </c>
      <c r="M5790" s="16">
        <v>227.626</v>
      </c>
      <c r="N5790" s="16">
        <v>317.041</v>
      </c>
      <c r="O5790" s="24">
        <v>41.8</v>
      </c>
      <c r="P5790" s="18">
        <f t="shared" si="1"/>
        <v>269.893</v>
      </c>
    </row>
    <row r="5791" ht="15.75" customHeight="1">
      <c r="A5791" s="19" t="s">
        <v>258</v>
      </c>
      <c r="B5791" s="19" t="s">
        <v>133</v>
      </c>
      <c r="C5791" s="20" t="s">
        <v>211</v>
      </c>
      <c r="D5791" s="14" t="str">
        <f>VLOOKUP(C5791,'State Key'!$A$2:$B$210,2,False)</f>
        <v>Gujarat</v>
      </c>
      <c r="E5791" s="21">
        <v>2640.0</v>
      </c>
      <c r="F5791" s="22">
        <v>0.0</v>
      </c>
      <c r="G5791" s="22">
        <v>0.0</v>
      </c>
      <c r="H5791" s="22">
        <v>0.0</v>
      </c>
      <c r="I5791" s="22">
        <v>0.0</v>
      </c>
      <c r="J5791" s="22">
        <v>450.347</v>
      </c>
      <c r="K5791" s="22">
        <v>0.0</v>
      </c>
      <c r="L5791" s="22">
        <v>450.347</v>
      </c>
      <c r="M5791" s="22">
        <v>502.214</v>
      </c>
      <c r="N5791" s="22">
        <v>77.028</v>
      </c>
      <c r="O5791" s="17">
        <v>4.6</v>
      </c>
      <c r="P5791" s="18">
        <f t="shared" si="1"/>
        <v>450.347</v>
      </c>
    </row>
    <row r="5792" ht="15.75" customHeight="1">
      <c r="A5792" s="13" t="s">
        <v>258</v>
      </c>
      <c r="B5792" s="13" t="s">
        <v>133</v>
      </c>
      <c r="C5792" s="14" t="s">
        <v>212</v>
      </c>
      <c r="D5792" s="14" t="str">
        <f>VLOOKUP(C5792,'State Key'!$A$2:$B$210,2,False)</f>
        <v>Gujarat</v>
      </c>
      <c r="E5792" s="15">
        <v>1980.0</v>
      </c>
      <c r="F5792" s="16">
        <v>0.0</v>
      </c>
      <c r="G5792" s="16">
        <v>0.0</v>
      </c>
      <c r="H5792" s="16">
        <v>0.0</v>
      </c>
      <c r="I5792" s="16">
        <v>0.0</v>
      </c>
      <c r="J5792" s="16">
        <v>419.398</v>
      </c>
      <c r="K5792" s="16">
        <v>0.0</v>
      </c>
      <c r="L5792" s="16">
        <v>419.398</v>
      </c>
      <c r="M5792" s="16">
        <v>402.651</v>
      </c>
      <c r="N5792" s="16">
        <v>119.866</v>
      </c>
      <c r="O5792" s="23">
        <v>8.9</v>
      </c>
      <c r="P5792" s="18">
        <f t="shared" si="1"/>
        <v>419.398</v>
      </c>
    </row>
    <row r="5793" ht="15.75" customHeight="1">
      <c r="A5793" s="19" t="s">
        <v>258</v>
      </c>
      <c r="B5793" s="19" t="s">
        <v>133</v>
      </c>
      <c r="C5793" s="20" t="s">
        <v>213</v>
      </c>
      <c r="D5793" s="14" t="str">
        <f>VLOOKUP(C5793,'State Key'!$A$2:$B$210,2,False)</f>
        <v>Chhattisgarh</v>
      </c>
      <c r="E5793" s="21">
        <v>600.0</v>
      </c>
      <c r="F5793" s="22">
        <v>286.071</v>
      </c>
      <c r="G5793" s="22">
        <v>0.0</v>
      </c>
      <c r="H5793" s="22">
        <v>0.0</v>
      </c>
      <c r="I5793" s="22">
        <v>0.0</v>
      </c>
      <c r="J5793" s="22">
        <v>0.0</v>
      </c>
      <c r="K5793" s="22">
        <v>20.18</v>
      </c>
      <c r="L5793" s="22">
        <v>306.251</v>
      </c>
      <c r="M5793" s="22">
        <v>260.878</v>
      </c>
      <c r="N5793" s="22">
        <v>100.88</v>
      </c>
      <c r="O5793" s="23">
        <v>11.6</v>
      </c>
      <c r="P5793" s="18">
        <f t="shared" si="1"/>
        <v>306.251</v>
      </c>
    </row>
    <row r="5794" ht="15.75" customHeight="1">
      <c r="A5794" s="13" t="s">
        <v>258</v>
      </c>
      <c r="B5794" s="13" t="s">
        <v>133</v>
      </c>
      <c r="C5794" s="14" t="s">
        <v>214</v>
      </c>
      <c r="D5794" s="14" t="str">
        <f>VLOOKUP(C5794,'State Key'!$A$2:$B$210,2,False)</f>
        <v>Chhattisgarh</v>
      </c>
      <c r="E5794" s="15">
        <v>1370.0</v>
      </c>
      <c r="F5794" s="16">
        <v>418.928</v>
      </c>
      <c r="G5794" s="16">
        <v>0.0</v>
      </c>
      <c r="H5794" s="16">
        <v>0.0</v>
      </c>
      <c r="I5794" s="16">
        <v>0.0</v>
      </c>
      <c r="J5794" s="16">
        <v>0.0</v>
      </c>
      <c r="K5794" s="16">
        <v>8.213</v>
      </c>
      <c r="L5794" s="16">
        <v>427.141</v>
      </c>
      <c r="M5794" s="16">
        <v>301.016</v>
      </c>
      <c r="N5794" s="16">
        <v>381.28</v>
      </c>
      <c r="O5794" s="24">
        <v>38.0</v>
      </c>
      <c r="P5794" s="18">
        <f t="shared" si="1"/>
        <v>427.141</v>
      </c>
    </row>
    <row r="5795" ht="15.75" customHeight="1">
      <c r="A5795" s="19" t="s">
        <v>258</v>
      </c>
      <c r="B5795" s="19" t="s">
        <v>133</v>
      </c>
      <c r="C5795" s="20" t="s">
        <v>215</v>
      </c>
      <c r="D5795" s="14" t="str">
        <f>VLOOKUP(C5795,'State Key'!$A$2:$B$210,2,False)</f>
        <v>Maharashtra</v>
      </c>
      <c r="E5795" s="21">
        <v>3300.0</v>
      </c>
      <c r="F5795" s="22">
        <v>1219.668</v>
      </c>
      <c r="G5795" s="22">
        <v>0.0</v>
      </c>
      <c r="H5795" s="22">
        <v>0.0</v>
      </c>
      <c r="I5795" s="22">
        <v>0.0</v>
      </c>
      <c r="J5795" s="22">
        <v>23.69</v>
      </c>
      <c r="K5795" s="22">
        <v>0.0</v>
      </c>
      <c r="L5795" s="22">
        <v>1243.358</v>
      </c>
      <c r="M5795" s="22">
        <v>1095.572</v>
      </c>
      <c r="N5795" s="22">
        <v>218.53</v>
      </c>
      <c r="O5795" s="17">
        <v>6.0</v>
      </c>
      <c r="P5795" s="18">
        <f t="shared" si="1"/>
        <v>1243.358</v>
      </c>
    </row>
    <row r="5796" ht="15.75" customHeight="1">
      <c r="A5796" s="13" t="s">
        <v>258</v>
      </c>
      <c r="B5796" s="13" t="s">
        <v>133</v>
      </c>
      <c r="C5796" s="14" t="s">
        <v>134</v>
      </c>
      <c r="D5796" s="14" t="str">
        <f>VLOOKUP(C5796,'State Key'!$A$2:$B$210,2,False)</f>
        <v>Chhattisgarh</v>
      </c>
      <c r="E5796" s="15">
        <v>1800.0</v>
      </c>
      <c r="F5796" s="16">
        <v>444.9487</v>
      </c>
      <c r="G5796" s="16">
        <v>0.0</v>
      </c>
      <c r="H5796" s="16">
        <v>0.0</v>
      </c>
      <c r="I5796" s="16">
        <v>85.75</v>
      </c>
      <c r="J5796" s="16">
        <v>0.0</v>
      </c>
      <c r="K5796" s="16">
        <v>0.0</v>
      </c>
      <c r="L5796" s="16">
        <v>530.6987</v>
      </c>
      <c r="M5796" s="16">
        <v>469.811</v>
      </c>
      <c r="N5796" s="16">
        <v>651.78</v>
      </c>
      <c r="O5796" s="24">
        <v>41.6</v>
      </c>
      <c r="P5796" s="18">
        <f t="shared" si="1"/>
        <v>530.6987</v>
      </c>
    </row>
    <row r="5797" ht="15.75" customHeight="1">
      <c r="A5797" s="19" t="s">
        <v>258</v>
      </c>
      <c r="B5797" s="19" t="s">
        <v>133</v>
      </c>
      <c r="C5797" s="20" t="s">
        <v>135</v>
      </c>
      <c r="D5797" s="14" t="str">
        <f>VLOOKUP(C5797,'State Key'!$A$2:$B$210,2,False)</f>
        <v>Madhya Pradesh</v>
      </c>
      <c r="E5797" s="21">
        <v>210.0</v>
      </c>
      <c r="F5797" s="22">
        <v>101.513</v>
      </c>
      <c r="G5797" s="22">
        <v>0.0</v>
      </c>
      <c r="H5797" s="22">
        <v>0.0</v>
      </c>
      <c r="I5797" s="22">
        <v>0.0</v>
      </c>
      <c r="J5797" s="22">
        <v>0.0</v>
      </c>
      <c r="K5797" s="22">
        <v>0.0</v>
      </c>
      <c r="L5797" s="22">
        <v>101.513</v>
      </c>
      <c r="M5797" s="22">
        <v>92.781</v>
      </c>
      <c r="N5797" s="22">
        <v>55.359</v>
      </c>
      <c r="O5797" s="24">
        <v>17.9</v>
      </c>
      <c r="P5797" s="18">
        <f t="shared" si="1"/>
        <v>101.513</v>
      </c>
    </row>
    <row r="5798" ht="15.75" customHeight="1">
      <c r="A5798" s="13" t="s">
        <v>258</v>
      </c>
      <c r="B5798" s="13" t="s">
        <v>133</v>
      </c>
      <c r="C5798" s="14" t="s">
        <v>136</v>
      </c>
      <c r="D5798" s="14" t="str">
        <f>VLOOKUP(C5798,'State Key'!$A$2:$B$210,2,False)</f>
        <v>Maharashtra</v>
      </c>
      <c r="E5798" s="15">
        <v>1350.0</v>
      </c>
      <c r="F5798" s="16">
        <v>550.07</v>
      </c>
      <c r="G5798" s="16">
        <v>0.0</v>
      </c>
      <c r="H5798" s="16">
        <v>0.0</v>
      </c>
      <c r="I5798" s="16">
        <v>0.0</v>
      </c>
      <c r="J5798" s="16">
        <v>0.0</v>
      </c>
      <c r="K5798" s="16">
        <v>0.0</v>
      </c>
      <c r="L5798" s="16">
        <v>550.07</v>
      </c>
      <c r="M5798" s="16">
        <v>516.432</v>
      </c>
      <c r="N5798" s="16">
        <v>202.86</v>
      </c>
      <c r="O5798" s="23">
        <v>11.8</v>
      </c>
      <c r="P5798" s="18">
        <f t="shared" si="1"/>
        <v>550.07</v>
      </c>
    </row>
    <row r="5799" ht="15.75" customHeight="1">
      <c r="A5799" s="19" t="s">
        <v>258</v>
      </c>
      <c r="B5799" s="19" t="s">
        <v>133</v>
      </c>
      <c r="C5799" s="20" t="s">
        <v>137</v>
      </c>
      <c r="D5799" s="14" t="str">
        <f>VLOOKUP(C5799,'State Key'!$A$2:$B$210,2,False)</f>
        <v>Madhya Pradesh</v>
      </c>
      <c r="E5799" s="21">
        <v>1250.0</v>
      </c>
      <c r="F5799" s="22">
        <v>526.64</v>
      </c>
      <c r="G5799" s="22">
        <v>0.0</v>
      </c>
      <c r="H5799" s="22">
        <v>0.0</v>
      </c>
      <c r="I5799" s="22">
        <v>0.0</v>
      </c>
      <c r="J5799" s="22">
        <v>0.0</v>
      </c>
      <c r="K5799" s="22">
        <v>133.21</v>
      </c>
      <c r="L5799" s="22">
        <v>659.85</v>
      </c>
      <c r="M5799" s="22">
        <v>465.06</v>
      </c>
      <c r="N5799" s="22">
        <v>345.61</v>
      </c>
      <c r="O5799" s="24">
        <v>22.3</v>
      </c>
      <c r="P5799" s="18">
        <f t="shared" si="1"/>
        <v>659.85</v>
      </c>
    </row>
    <row r="5800" ht="15.75" customHeight="1">
      <c r="A5800" s="13" t="s">
        <v>258</v>
      </c>
      <c r="B5800" s="13" t="s">
        <v>133</v>
      </c>
      <c r="C5800" s="14" t="s">
        <v>139</v>
      </c>
      <c r="D5800" s="14" t="str">
        <f>VLOOKUP(C5800,'State Key'!$A$2:$B$210,2,False)</f>
        <v>Chhattisgarh</v>
      </c>
      <c r="E5800" s="15">
        <v>600.0</v>
      </c>
      <c r="F5800" s="16">
        <v>125.1</v>
      </c>
      <c r="G5800" s="16">
        <v>0.0</v>
      </c>
      <c r="H5800" s="16">
        <v>0.0</v>
      </c>
      <c r="I5800" s="16">
        <v>0.0</v>
      </c>
      <c r="J5800" s="16">
        <v>0.0</v>
      </c>
      <c r="K5800" s="16">
        <v>16.0</v>
      </c>
      <c r="L5800" s="16">
        <v>141.1</v>
      </c>
      <c r="M5800" s="16">
        <v>132.3</v>
      </c>
      <c r="N5800" s="16">
        <v>25.74</v>
      </c>
      <c r="O5800" s="17">
        <v>5.8</v>
      </c>
      <c r="P5800" s="18">
        <f t="shared" si="1"/>
        <v>141.1</v>
      </c>
    </row>
    <row r="5801" ht="15.75" customHeight="1">
      <c r="A5801" s="19" t="s">
        <v>258</v>
      </c>
      <c r="B5801" s="19" t="s">
        <v>133</v>
      </c>
      <c r="C5801" s="20" t="s">
        <v>140</v>
      </c>
      <c r="D5801" s="14" t="str">
        <f>VLOOKUP(C5801,'State Key'!$A$2:$B$210,2,False)</f>
        <v>Chhattisgarh</v>
      </c>
      <c r="E5801" s="21">
        <v>300.0</v>
      </c>
      <c r="F5801" s="22">
        <v>84.108</v>
      </c>
      <c r="G5801" s="22">
        <v>0.0</v>
      </c>
      <c r="H5801" s="22">
        <v>0.0</v>
      </c>
      <c r="I5801" s="22">
        <v>28.446</v>
      </c>
      <c r="J5801" s="22">
        <v>0.0</v>
      </c>
      <c r="K5801" s="22">
        <v>0.0</v>
      </c>
      <c r="L5801" s="22">
        <v>112.554</v>
      </c>
      <c r="M5801" s="22">
        <v>77.364</v>
      </c>
      <c r="N5801" s="22">
        <v>207.41</v>
      </c>
      <c r="O5801" s="24">
        <v>80.4</v>
      </c>
      <c r="P5801" s="18">
        <f t="shared" si="1"/>
        <v>112.554</v>
      </c>
    </row>
    <row r="5802" ht="15.75" customHeight="1">
      <c r="A5802" s="13" t="s">
        <v>258</v>
      </c>
      <c r="B5802" s="13" t="s">
        <v>133</v>
      </c>
      <c r="C5802" s="14" t="s">
        <v>141</v>
      </c>
      <c r="D5802" s="14" t="str">
        <f>VLOOKUP(C5802,'State Key'!$A$2:$B$210,2,False)</f>
        <v>Chhattisgarh</v>
      </c>
      <c r="E5802" s="15">
        <v>1200.0</v>
      </c>
      <c r="F5802" s="16">
        <v>544.12159</v>
      </c>
      <c r="G5802" s="16">
        <v>0.0</v>
      </c>
      <c r="H5802" s="16">
        <v>0.0</v>
      </c>
      <c r="I5802" s="16">
        <v>0.0</v>
      </c>
      <c r="J5802" s="16">
        <v>0.0</v>
      </c>
      <c r="K5802" s="16">
        <v>0.0</v>
      </c>
      <c r="L5802" s="16">
        <v>544.12159</v>
      </c>
      <c r="M5802" s="16">
        <v>300.524</v>
      </c>
      <c r="N5802" s="16">
        <v>426.57</v>
      </c>
      <c r="O5802" s="24">
        <v>42.6</v>
      </c>
      <c r="P5802" s="18">
        <f t="shared" si="1"/>
        <v>544.12159</v>
      </c>
    </row>
    <row r="5803" ht="15.75" customHeight="1">
      <c r="A5803" s="19" t="s">
        <v>258</v>
      </c>
      <c r="B5803" s="19" t="s">
        <v>133</v>
      </c>
      <c r="C5803" s="20" t="s">
        <v>142</v>
      </c>
      <c r="D5803" s="14" t="str">
        <f>VLOOKUP(C5803,'State Key'!$A$2:$B$210,2,False)</f>
        <v>Maharashtra</v>
      </c>
      <c r="E5803" s="21">
        <v>270.0</v>
      </c>
      <c r="F5803" s="22">
        <v>119.343</v>
      </c>
      <c r="G5803" s="22">
        <v>0.0</v>
      </c>
      <c r="H5803" s="22">
        <v>0.0</v>
      </c>
      <c r="I5803" s="22">
        <v>26.679</v>
      </c>
      <c r="J5803" s="22">
        <v>0.0</v>
      </c>
      <c r="K5803" s="22">
        <v>0.0</v>
      </c>
      <c r="L5803" s="22">
        <v>146.022</v>
      </c>
      <c r="M5803" s="22">
        <v>99.444</v>
      </c>
      <c r="N5803" s="22">
        <v>80.48</v>
      </c>
      <c r="O5803" s="24">
        <v>24.3</v>
      </c>
      <c r="P5803" s="18">
        <f t="shared" si="1"/>
        <v>146.022</v>
      </c>
    </row>
    <row r="5804" ht="15.75" customHeight="1">
      <c r="A5804" s="13" t="s">
        <v>258</v>
      </c>
      <c r="B5804" s="13" t="s">
        <v>133</v>
      </c>
      <c r="C5804" s="14" t="s">
        <v>143</v>
      </c>
      <c r="D5804" s="14" t="str">
        <f>VLOOKUP(C5804,'State Key'!$A$2:$B$210,2,False)</f>
        <v>Chhattisgarh</v>
      </c>
      <c r="E5804" s="15">
        <v>500.0</v>
      </c>
      <c r="F5804" s="16">
        <v>208.179</v>
      </c>
      <c r="G5804" s="16">
        <v>49.094</v>
      </c>
      <c r="H5804" s="16">
        <v>0.0</v>
      </c>
      <c r="I5804" s="16">
        <v>0.0</v>
      </c>
      <c r="J5804" s="16">
        <v>0.0</v>
      </c>
      <c r="K5804" s="16">
        <v>0.0</v>
      </c>
      <c r="L5804" s="16">
        <v>257.273</v>
      </c>
      <c r="M5804" s="16">
        <v>224.171</v>
      </c>
      <c r="N5804" s="16">
        <v>248.64</v>
      </c>
      <c r="O5804" s="24">
        <v>33.3</v>
      </c>
      <c r="P5804" s="18">
        <f t="shared" si="1"/>
        <v>257.273</v>
      </c>
    </row>
    <row r="5805" ht="15.75" customHeight="1">
      <c r="A5805" s="19" t="s">
        <v>258</v>
      </c>
      <c r="B5805" s="19" t="s">
        <v>133</v>
      </c>
      <c r="C5805" s="20" t="s">
        <v>144</v>
      </c>
      <c r="D5805" s="14" t="str">
        <f>VLOOKUP(C5805,'State Key'!$A$2:$B$210,2,False)</f>
        <v>Maharashtra</v>
      </c>
      <c r="E5805" s="21">
        <v>1870.0</v>
      </c>
      <c r="F5805" s="22">
        <v>427.09</v>
      </c>
      <c r="G5805" s="22">
        <v>0.0</v>
      </c>
      <c r="H5805" s="22">
        <v>0.0</v>
      </c>
      <c r="I5805" s="22">
        <v>0.0</v>
      </c>
      <c r="J5805" s="22">
        <v>0.0</v>
      </c>
      <c r="K5805" s="22">
        <v>0.0</v>
      </c>
      <c r="L5805" s="22">
        <v>427.09</v>
      </c>
      <c r="M5805" s="22">
        <v>242.392</v>
      </c>
      <c r="N5805" s="22">
        <v>844.212</v>
      </c>
      <c r="O5805" s="24">
        <v>104.5</v>
      </c>
      <c r="P5805" s="18">
        <f t="shared" si="1"/>
        <v>427.09</v>
      </c>
    </row>
    <row r="5806" ht="15.75" customHeight="1">
      <c r="A5806" s="13" t="s">
        <v>258</v>
      </c>
      <c r="B5806" s="13" t="s">
        <v>133</v>
      </c>
      <c r="C5806" s="14" t="s">
        <v>145</v>
      </c>
      <c r="D5806" s="14" t="str">
        <f>VLOOKUP(C5806,'State Key'!$A$2:$B$210,2,False)</f>
        <v>Madhya Pradesh</v>
      </c>
      <c r="E5806" s="15">
        <v>500.0</v>
      </c>
      <c r="F5806" s="16">
        <v>166.82048064</v>
      </c>
      <c r="G5806" s="16">
        <v>0.0</v>
      </c>
      <c r="H5806" s="16">
        <v>0.0</v>
      </c>
      <c r="I5806" s="16">
        <v>22.5808506</v>
      </c>
      <c r="J5806" s="16">
        <v>0.0</v>
      </c>
      <c r="K5806" s="16">
        <v>0.23021344</v>
      </c>
      <c r="L5806" s="16">
        <v>189.63154468</v>
      </c>
      <c r="M5806" s="16">
        <v>207.793</v>
      </c>
      <c r="N5806" s="16">
        <v>174.88</v>
      </c>
      <c r="O5806" s="24">
        <v>25.2</v>
      </c>
      <c r="P5806" s="18">
        <f t="shared" si="1"/>
        <v>189.6315447</v>
      </c>
    </row>
    <row r="5807" ht="15.75" customHeight="1">
      <c r="A5807" s="19" t="s">
        <v>258</v>
      </c>
      <c r="B5807" s="19" t="s">
        <v>133</v>
      </c>
      <c r="C5807" s="20" t="s">
        <v>146</v>
      </c>
      <c r="D5807" s="14" t="str">
        <f>VLOOKUP(C5807,'State Key'!$A$2:$B$210,2,False)</f>
        <v>Chhattisgarh</v>
      </c>
      <c r="E5807" s="21">
        <v>600.0</v>
      </c>
      <c r="F5807" s="22">
        <v>24.12</v>
      </c>
      <c r="G5807" s="22">
        <v>0.0</v>
      </c>
      <c r="H5807" s="22">
        <v>65.275</v>
      </c>
      <c r="I5807" s="22">
        <v>266.67</v>
      </c>
      <c r="J5807" s="22">
        <v>0.0</v>
      </c>
      <c r="K5807" s="22">
        <v>13.497</v>
      </c>
      <c r="L5807" s="22">
        <v>369.562</v>
      </c>
      <c r="M5807" s="22">
        <v>226.449</v>
      </c>
      <c r="N5807" s="22">
        <v>283.42</v>
      </c>
      <c r="O5807" s="24">
        <v>37.5</v>
      </c>
      <c r="P5807" s="18">
        <f t="shared" si="1"/>
        <v>369.562</v>
      </c>
    </row>
    <row r="5808" ht="15.75" customHeight="1">
      <c r="A5808" s="13" t="s">
        <v>258</v>
      </c>
      <c r="B5808" s="13" t="s">
        <v>133</v>
      </c>
      <c r="C5808" s="14" t="s">
        <v>147</v>
      </c>
      <c r="D5808" s="14" t="str">
        <f>VLOOKUP(C5808,'State Key'!$A$2:$B$210,2,False)</f>
        <v>Maharashtra</v>
      </c>
      <c r="E5808" s="15">
        <v>600.0</v>
      </c>
      <c r="F5808" s="16">
        <v>192.493</v>
      </c>
      <c r="G5808" s="16">
        <v>0.0</v>
      </c>
      <c r="H5808" s="16">
        <v>0.0</v>
      </c>
      <c r="I5808" s="16">
        <v>0.0</v>
      </c>
      <c r="J5808" s="16">
        <v>0.0</v>
      </c>
      <c r="K5808" s="16">
        <v>0.0</v>
      </c>
      <c r="L5808" s="16">
        <v>192.493</v>
      </c>
      <c r="M5808" s="16">
        <v>267.692</v>
      </c>
      <c r="N5808" s="16">
        <v>130.01</v>
      </c>
      <c r="O5808" s="24">
        <v>14.6</v>
      </c>
      <c r="P5808" s="18">
        <f t="shared" si="1"/>
        <v>192.493</v>
      </c>
    </row>
    <row r="5809" ht="15.75" customHeight="1">
      <c r="A5809" s="19" t="s">
        <v>258</v>
      </c>
      <c r="B5809" s="19" t="s">
        <v>133</v>
      </c>
      <c r="C5809" s="20" t="s">
        <v>148</v>
      </c>
      <c r="D5809" s="14" t="str">
        <f>VLOOKUP(C5809,'State Key'!$A$2:$B$210,2,False)</f>
        <v>Chhattisgarh</v>
      </c>
      <c r="E5809" s="21">
        <v>30.0</v>
      </c>
      <c r="F5809" s="22">
        <v>4.835</v>
      </c>
      <c r="G5809" s="22">
        <v>0.0</v>
      </c>
      <c r="H5809" s="22">
        <v>0.0</v>
      </c>
      <c r="I5809" s="22">
        <v>0.0</v>
      </c>
      <c r="J5809" s="22">
        <v>0.0</v>
      </c>
      <c r="K5809" s="22">
        <v>41.412</v>
      </c>
      <c r="L5809" s="22">
        <v>46.247</v>
      </c>
      <c r="M5809" s="22">
        <v>48.39</v>
      </c>
      <c r="N5809" s="22">
        <v>11.18</v>
      </c>
      <c r="O5809" s="17">
        <v>6.9</v>
      </c>
      <c r="P5809" s="18">
        <f t="shared" si="1"/>
        <v>46.247</v>
      </c>
    </row>
    <row r="5810" ht="15.75" customHeight="1">
      <c r="A5810" s="13" t="s">
        <v>258</v>
      </c>
      <c r="B5810" s="13" t="s">
        <v>133</v>
      </c>
      <c r="C5810" s="14" t="s">
        <v>149</v>
      </c>
      <c r="D5810" s="14" t="str">
        <f>VLOOKUP(C5810,'State Key'!$A$2:$B$210,2,False)</f>
        <v>Maharashtra</v>
      </c>
      <c r="E5810" s="15">
        <v>2920.0</v>
      </c>
      <c r="F5810" s="16">
        <v>750.688</v>
      </c>
      <c r="G5810" s="16">
        <v>99.99</v>
      </c>
      <c r="H5810" s="16">
        <v>0.0</v>
      </c>
      <c r="I5810" s="16">
        <v>0.0</v>
      </c>
      <c r="J5810" s="16">
        <v>72.814</v>
      </c>
      <c r="K5810" s="16">
        <v>0.0</v>
      </c>
      <c r="L5810" s="16">
        <v>923.492</v>
      </c>
      <c r="M5810" s="16">
        <v>500.6</v>
      </c>
      <c r="N5810" s="16">
        <v>835.6</v>
      </c>
      <c r="O5810" s="24">
        <v>50.1</v>
      </c>
      <c r="P5810" s="18">
        <f t="shared" si="1"/>
        <v>923.492</v>
      </c>
    </row>
    <row r="5811" ht="15.75" customHeight="1">
      <c r="A5811" s="19" t="s">
        <v>258</v>
      </c>
      <c r="B5811" s="19" t="s">
        <v>133</v>
      </c>
      <c r="C5811" s="20" t="s">
        <v>150</v>
      </c>
      <c r="D5811" s="14" t="str">
        <f>VLOOKUP(C5811,'State Key'!$A$2:$B$210,2,False)</f>
        <v>Maharashtra</v>
      </c>
      <c r="E5811" s="21">
        <v>500.0</v>
      </c>
      <c r="F5811" s="22">
        <v>166.203</v>
      </c>
      <c r="G5811" s="22">
        <v>0.0</v>
      </c>
      <c r="H5811" s="22">
        <v>0.0</v>
      </c>
      <c r="I5811" s="22">
        <v>0.0</v>
      </c>
      <c r="J5811" s="22">
        <v>0.0</v>
      </c>
      <c r="K5811" s="22">
        <v>0.0</v>
      </c>
      <c r="L5811" s="22">
        <v>166.203</v>
      </c>
      <c r="M5811" s="22">
        <v>147.96</v>
      </c>
      <c r="N5811" s="22">
        <v>64.09</v>
      </c>
      <c r="O5811" s="23">
        <v>13.0</v>
      </c>
      <c r="P5811" s="18">
        <f t="shared" si="1"/>
        <v>166.203</v>
      </c>
    </row>
    <row r="5812" ht="15.75" customHeight="1">
      <c r="A5812" s="13" t="s">
        <v>258</v>
      </c>
      <c r="B5812" s="13" t="s">
        <v>133</v>
      </c>
      <c r="C5812" s="14" t="s">
        <v>151</v>
      </c>
      <c r="D5812" s="14" t="str">
        <f>VLOOKUP(C5812,'State Key'!$A$2:$B$210,2,False)</f>
        <v>Maharashtra</v>
      </c>
      <c r="E5812" s="15">
        <v>600.0</v>
      </c>
      <c r="F5812" s="16">
        <v>121.065</v>
      </c>
      <c r="G5812" s="16">
        <v>0.0</v>
      </c>
      <c r="H5812" s="16">
        <v>0.0</v>
      </c>
      <c r="I5812" s="16">
        <v>128.947</v>
      </c>
      <c r="J5812" s="16">
        <v>0.0</v>
      </c>
      <c r="K5812" s="16">
        <v>0.0</v>
      </c>
      <c r="L5812" s="16">
        <v>250.012</v>
      </c>
      <c r="M5812" s="16">
        <v>219.728</v>
      </c>
      <c r="N5812" s="16">
        <v>179.88</v>
      </c>
      <c r="O5812" s="24">
        <v>24.6</v>
      </c>
      <c r="P5812" s="18">
        <f t="shared" si="1"/>
        <v>250.012</v>
      </c>
    </row>
    <row r="5813" ht="15.75" customHeight="1">
      <c r="A5813" s="19" t="s">
        <v>258</v>
      </c>
      <c r="B5813" s="19" t="s">
        <v>133</v>
      </c>
      <c r="C5813" s="20" t="s">
        <v>152</v>
      </c>
      <c r="D5813" s="14" t="str">
        <f>VLOOKUP(C5813,'State Key'!$A$2:$B$210,2,False)</f>
        <v>Chhattisgarh</v>
      </c>
      <c r="E5813" s="21">
        <v>500.0</v>
      </c>
      <c r="F5813" s="22">
        <v>386.226</v>
      </c>
      <c r="G5813" s="22">
        <v>0.0</v>
      </c>
      <c r="H5813" s="22">
        <v>0.0</v>
      </c>
      <c r="I5813" s="22">
        <v>0.0</v>
      </c>
      <c r="J5813" s="22">
        <v>0.0</v>
      </c>
      <c r="K5813" s="22">
        <v>0.0</v>
      </c>
      <c r="L5813" s="22">
        <v>386.226</v>
      </c>
      <c r="M5813" s="22">
        <v>217.087</v>
      </c>
      <c r="N5813" s="22">
        <v>347.335</v>
      </c>
      <c r="O5813" s="24">
        <v>48.0</v>
      </c>
      <c r="P5813" s="18">
        <f t="shared" si="1"/>
        <v>386.226</v>
      </c>
    </row>
    <row r="5814" ht="15.75" customHeight="1">
      <c r="A5814" s="13" t="s">
        <v>258</v>
      </c>
      <c r="B5814" s="13" t="s">
        <v>133</v>
      </c>
      <c r="C5814" s="14" t="s">
        <v>153</v>
      </c>
      <c r="D5814" s="14" t="str">
        <f>VLOOKUP(C5814,'State Key'!$A$2:$B$210,2,False)</f>
        <v>Madhya Pradesh</v>
      </c>
      <c r="E5814" s="15">
        <v>1600.0</v>
      </c>
      <c r="F5814" s="16">
        <v>473.07</v>
      </c>
      <c r="G5814" s="16">
        <v>0.0</v>
      </c>
      <c r="H5814" s="16">
        <v>76.06</v>
      </c>
      <c r="I5814" s="16">
        <v>0.0</v>
      </c>
      <c r="J5814" s="16">
        <v>0.0</v>
      </c>
      <c r="K5814" s="16">
        <v>28.01</v>
      </c>
      <c r="L5814" s="16">
        <v>577.14</v>
      </c>
      <c r="M5814" s="16">
        <v>502.011</v>
      </c>
      <c r="N5814" s="16">
        <v>236.0</v>
      </c>
      <c r="O5814" s="24">
        <v>14.1</v>
      </c>
      <c r="P5814" s="18">
        <f t="shared" si="1"/>
        <v>577.14</v>
      </c>
    </row>
    <row r="5815" ht="15.75" customHeight="1">
      <c r="A5815" s="19" t="s">
        <v>258</v>
      </c>
      <c r="B5815" s="19" t="s">
        <v>133</v>
      </c>
      <c r="C5815" s="20" t="s">
        <v>154</v>
      </c>
      <c r="D5815" s="14" t="str">
        <f>VLOOKUP(C5815,'State Key'!$A$2:$B$210,2,False)</f>
        <v>Gujarat</v>
      </c>
      <c r="E5815" s="21">
        <v>630.0</v>
      </c>
      <c r="F5815" s="22">
        <v>4.085</v>
      </c>
      <c r="G5815" s="22">
        <v>0.0</v>
      </c>
      <c r="H5815" s="22">
        <v>0.0</v>
      </c>
      <c r="I5815" s="22">
        <v>0.0</v>
      </c>
      <c r="J5815" s="22">
        <v>0.0</v>
      </c>
      <c r="K5815" s="22">
        <v>0.0</v>
      </c>
      <c r="L5815" s="22">
        <v>4.085</v>
      </c>
      <c r="M5815" s="22">
        <v>7.924</v>
      </c>
      <c r="N5815" s="22">
        <v>319.01</v>
      </c>
      <c r="O5815" s="24">
        <v>1207.8</v>
      </c>
      <c r="P5815" s="18">
        <f t="shared" si="1"/>
        <v>4.085</v>
      </c>
    </row>
    <row r="5816" ht="15.75" customHeight="1">
      <c r="A5816" s="13" t="s">
        <v>258</v>
      </c>
      <c r="B5816" s="13" t="s">
        <v>133</v>
      </c>
      <c r="C5816" s="14" t="s">
        <v>155</v>
      </c>
      <c r="D5816" s="14" t="str">
        <f>VLOOKUP(C5816,'State Key'!$A$2:$B$210,2,False)</f>
        <v>Maharashtra</v>
      </c>
      <c r="E5816" s="15">
        <v>120.0</v>
      </c>
      <c r="F5816" s="16">
        <v>0.0</v>
      </c>
      <c r="G5816" s="16">
        <v>0.0</v>
      </c>
      <c r="H5816" s="16">
        <v>0.0</v>
      </c>
      <c r="I5816" s="16">
        <v>0.0</v>
      </c>
      <c r="J5816" s="16">
        <v>0.0</v>
      </c>
      <c r="K5816" s="16">
        <v>0.0</v>
      </c>
      <c r="L5816" s="16">
        <v>0.0</v>
      </c>
      <c r="M5816" s="16">
        <v>0.0</v>
      </c>
      <c r="N5816" s="16">
        <v>0.0</v>
      </c>
      <c r="O5816" s="13" t="s">
        <v>58</v>
      </c>
      <c r="P5816" s="18">
        <f t="shared" si="1"/>
        <v>0</v>
      </c>
    </row>
    <row r="5817" ht="15.75" customHeight="1">
      <c r="A5817" s="19" t="s">
        <v>258</v>
      </c>
      <c r="B5817" s="19" t="s">
        <v>133</v>
      </c>
      <c r="C5817" s="20" t="s">
        <v>156</v>
      </c>
      <c r="D5817" s="14" t="str">
        <f>VLOOKUP(C5817,'State Key'!$A$2:$B$210,2,False)</f>
        <v>Maharashtra</v>
      </c>
      <c r="E5817" s="21">
        <v>600.0</v>
      </c>
      <c r="F5817" s="22">
        <v>279.63</v>
      </c>
      <c r="G5817" s="22">
        <v>0.0</v>
      </c>
      <c r="H5817" s="22">
        <v>0.0</v>
      </c>
      <c r="I5817" s="22">
        <v>0.0</v>
      </c>
      <c r="J5817" s="22">
        <v>0.0</v>
      </c>
      <c r="K5817" s="22">
        <v>0.0</v>
      </c>
      <c r="L5817" s="22">
        <v>279.63</v>
      </c>
      <c r="M5817" s="22">
        <v>238.728</v>
      </c>
      <c r="N5817" s="22">
        <v>120.3</v>
      </c>
      <c r="O5817" s="24">
        <v>15.1</v>
      </c>
      <c r="P5817" s="18">
        <f t="shared" si="1"/>
        <v>279.63</v>
      </c>
    </row>
    <row r="5818" ht="15.75" customHeight="1">
      <c r="A5818" s="13" t="s">
        <v>258</v>
      </c>
      <c r="B5818" s="13" t="s">
        <v>133</v>
      </c>
      <c r="C5818" s="14" t="s">
        <v>157</v>
      </c>
      <c r="D5818" s="14" t="str">
        <f>VLOOKUP(C5818,'State Key'!$A$2:$B$210,2,False)</f>
        <v>Maharashtra</v>
      </c>
      <c r="E5818" s="15">
        <v>300.0</v>
      </c>
      <c r="F5818" s="16">
        <v>0.0</v>
      </c>
      <c r="G5818" s="16">
        <v>0.0</v>
      </c>
      <c r="H5818" s="16">
        <v>0.0</v>
      </c>
      <c r="I5818" s="16">
        <v>0.0</v>
      </c>
      <c r="J5818" s="16">
        <v>55.0</v>
      </c>
      <c r="K5818" s="16">
        <v>0.0</v>
      </c>
      <c r="L5818" s="16">
        <v>55.0</v>
      </c>
      <c r="M5818" s="16">
        <v>30.391</v>
      </c>
      <c r="N5818" s="16">
        <v>64.45</v>
      </c>
      <c r="O5818" s="24">
        <v>63.6</v>
      </c>
      <c r="P5818" s="18">
        <f t="shared" si="1"/>
        <v>55</v>
      </c>
    </row>
    <row r="5819" ht="15.75" customHeight="1">
      <c r="A5819" s="19" t="s">
        <v>258</v>
      </c>
      <c r="B5819" s="19" t="s">
        <v>133</v>
      </c>
      <c r="C5819" s="20" t="s">
        <v>158</v>
      </c>
      <c r="D5819" s="14" t="str">
        <f>VLOOKUP(C5819,'State Key'!$A$2:$B$210,2,False)</f>
        <v>Chhattisgarh</v>
      </c>
      <c r="E5819" s="21">
        <v>270.0</v>
      </c>
      <c r="F5819" s="22">
        <v>58.7677</v>
      </c>
      <c r="G5819" s="22">
        <v>0.0</v>
      </c>
      <c r="H5819" s="22">
        <v>0.0</v>
      </c>
      <c r="I5819" s="22">
        <v>0.0</v>
      </c>
      <c r="J5819" s="22">
        <v>0.0</v>
      </c>
      <c r="K5819" s="22">
        <v>68.3123</v>
      </c>
      <c r="L5819" s="22">
        <v>127.08</v>
      </c>
      <c r="M5819" s="22">
        <v>148.0</v>
      </c>
      <c r="N5819" s="22">
        <v>48.162</v>
      </c>
      <c r="O5819" s="23">
        <v>9.8</v>
      </c>
      <c r="P5819" s="18">
        <f t="shared" si="1"/>
        <v>127.08</v>
      </c>
    </row>
    <row r="5820" ht="15.75" customHeight="1">
      <c r="A5820" s="13" t="s">
        <v>258</v>
      </c>
      <c r="B5820" s="13" t="s">
        <v>133</v>
      </c>
      <c r="C5820" s="14" t="s">
        <v>160</v>
      </c>
      <c r="D5820" s="14" t="str">
        <f>VLOOKUP(C5820,'State Key'!$A$2:$B$210,2,False)</f>
        <v>Maharashtra</v>
      </c>
      <c r="E5820" s="15">
        <v>1340.0</v>
      </c>
      <c r="F5820" s="16">
        <v>624.908</v>
      </c>
      <c r="G5820" s="16">
        <v>0.0</v>
      </c>
      <c r="H5820" s="16">
        <v>0.0</v>
      </c>
      <c r="I5820" s="16">
        <v>0.0</v>
      </c>
      <c r="J5820" s="16">
        <v>0.0</v>
      </c>
      <c r="K5820" s="16">
        <v>0.175</v>
      </c>
      <c r="L5820" s="16">
        <v>625.083</v>
      </c>
      <c r="M5820" s="16">
        <v>552.066</v>
      </c>
      <c r="N5820" s="16">
        <v>322.565</v>
      </c>
      <c r="O5820" s="24">
        <v>17.5</v>
      </c>
      <c r="P5820" s="18">
        <f t="shared" si="1"/>
        <v>625.083</v>
      </c>
    </row>
    <row r="5821" ht="15.75" customHeight="1">
      <c r="A5821" s="19" t="s">
        <v>258</v>
      </c>
      <c r="B5821" s="19" t="s">
        <v>133</v>
      </c>
      <c r="C5821" s="20" t="s">
        <v>161</v>
      </c>
      <c r="D5821" s="14" t="str">
        <f>VLOOKUP(C5821,'State Key'!$A$2:$B$210,2,False)</f>
        <v>Madhya Pradesh</v>
      </c>
      <c r="E5821" s="21">
        <v>1320.0</v>
      </c>
      <c r="F5821" s="22">
        <v>210.76</v>
      </c>
      <c r="G5821" s="22">
        <v>20.15</v>
      </c>
      <c r="H5821" s="22">
        <v>15.36</v>
      </c>
      <c r="I5821" s="22">
        <v>0.0</v>
      </c>
      <c r="J5821" s="22">
        <v>0.0</v>
      </c>
      <c r="K5821" s="22">
        <v>80.57</v>
      </c>
      <c r="L5821" s="22">
        <v>326.84</v>
      </c>
      <c r="M5821" s="22">
        <v>422.221</v>
      </c>
      <c r="N5821" s="22">
        <v>370.65</v>
      </c>
      <c r="O5821" s="24">
        <v>26.3</v>
      </c>
      <c r="P5821" s="18">
        <f t="shared" si="1"/>
        <v>326.84</v>
      </c>
    </row>
    <row r="5822" ht="15.75" customHeight="1">
      <c r="A5822" s="13" t="s">
        <v>258</v>
      </c>
      <c r="B5822" s="13" t="s">
        <v>133</v>
      </c>
      <c r="C5822" s="14" t="s">
        <v>162</v>
      </c>
      <c r="D5822" s="14" t="str">
        <f>VLOOKUP(C5822,'State Key'!$A$2:$B$210,2,False)</f>
        <v>Maharashtra</v>
      </c>
      <c r="E5822" s="15">
        <v>2190.0</v>
      </c>
      <c r="F5822" s="16">
        <v>773.753</v>
      </c>
      <c r="G5822" s="16">
        <v>117.914</v>
      </c>
      <c r="H5822" s="16">
        <v>0.0</v>
      </c>
      <c r="I5822" s="16">
        <v>0.0</v>
      </c>
      <c r="J5822" s="16">
        <v>64.19</v>
      </c>
      <c r="K5822" s="16">
        <v>0.0</v>
      </c>
      <c r="L5822" s="16">
        <v>955.857</v>
      </c>
      <c r="M5822" s="16">
        <v>871.703</v>
      </c>
      <c r="N5822" s="16">
        <v>267.423</v>
      </c>
      <c r="O5822" s="23">
        <v>9.2</v>
      </c>
      <c r="P5822" s="18">
        <f t="shared" si="1"/>
        <v>955.857</v>
      </c>
    </row>
    <row r="5823" ht="15.75" customHeight="1">
      <c r="A5823" s="19" t="s">
        <v>258</v>
      </c>
      <c r="B5823" s="19" t="s">
        <v>133</v>
      </c>
      <c r="C5823" s="20" t="s">
        <v>163</v>
      </c>
      <c r="D5823" s="14" t="str">
        <f>VLOOKUP(C5823,'State Key'!$A$2:$B$210,2,False)</f>
        <v>Chhattisgarh</v>
      </c>
      <c r="E5823" s="21">
        <v>2600.0</v>
      </c>
      <c r="F5823" s="22">
        <v>1245.66</v>
      </c>
      <c r="G5823" s="22">
        <v>0.0</v>
      </c>
      <c r="H5823" s="22">
        <v>0.0</v>
      </c>
      <c r="I5823" s="22">
        <v>0.0</v>
      </c>
      <c r="J5823" s="22">
        <v>0.0</v>
      </c>
      <c r="K5823" s="22">
        <v>0.0</v>
      </c>
      <c r="L5823" s="22">
        <v>1245.66</v>
      </c>
      <c r="M5823" s="22">
        <v>1249.268</v>
      </c>
      <c r="N5823" s="22">
        <v>97.57</v>
      </c>
      <c r="O5823" s="17">
        <v>2.3</v>
      </c>
      <c r="P5823" s="18">
        <f t="shared" si="1"/>
        <v>1245.66</v>
      </c>
    </row>
    <row r="5824" ht="15.75" customHeight="1">
      <c r="A5824" s="13" t="s">
        <v>258</v>
      </c>
      <c r="B5824" s="13" t="s">
        <v>133</v>
      </c>
      <c r="C5824" s="14" t="s">
        <v>164</v>
      </c>
      <c r="D5824" s="14" t="str">
        <f>VLOOKUP(C5824,'State Key'!$A$2:$B$210,2,False)</f>
        <v>Chhattisgarh</v>
      </c>
      <c r="E5824" s="15">
        <v>1340.0</v>
      </c>
      <c r="F5824" s="16">
        <v>664.993</v>
      </c>
      <c r="G5824" s="16">
        <v>0.0</v>
      </c>
      <c r="H5824" s="16">
        <v>0.0</v>
      </c>
      <c r="I5824" s="16">
        <v>0.0</v>
      </c>
      <c r="J5824" s="16">
        <v>0.0</v>
      </c>
      <c r="K5824" s="16">
        <v>0.0</v>
      </c>
      <c r="L5824" s="16">
        <v>664.993</v>
      </c>
      <c r="M5824" s="16">
        <v>526.654</v>
      </c>
      <c r="N5824" s="16">
        <v>329.57</v>
      </c>
      <c r="O5824" s="24">
        <v>18.8</v>
      </c>
      <c r="P5824" s="18">
        <f t="shared" si="1"/>
        <v>664.993</v>
      </c>
    </row>
    <row r="5825" ht="15.75" customHeight="1">
      <c r="A5825" s="19" t="s">
        <v>258</v>
      </c>
      <c r="B5825" s="19" t="s">
        <v>133</v>
      </c>
      <c r="C5825" s="20" t="s">
        <v>165</v>
      </c>
      <c r="D5825" s="14" t="str">
        <f>VLOOKUP(C5825,'State Key'!$A$2:$B$210,2,False)</f>
        <v>Chhattisgarh</v>
      </c>
      <c r="E5825" s="21">
        <v>1600.0</v>
      </c>
      <c r="F5825" s="22">
        <v>0.0</v>
      </c>
      <c r="G5825" s="22">
        <v>0.0</v>
      </c>
      <c r="H5825" s="22">
        <v>677.08</v>
      </c>
      <c r="I5825" s="22">
        <v>0.0</v>
      </c>
      <c r="J5825" s="22">
        <v>0.0</v>
      </c>
      <c r="K5825" s="22">
        <v>0.0</v>
      </c>
      <c r="L5825" s="22">
        <v>677.08</v>
      </c>
      <c r="M5825" s="22">
        <v>686.575</v>
      </c>
      <c r="N5825" s="22">
        <v>486.61</v>
      </c>
      <c r="O5825" s="24">
        <v>21.3</v>
      </c>
      <c r="P5825" s="18">
        <f t="shared" si="1"/>
        <v>677.08</v>
      </c>
    </row>
    <row r="5826" ht="15.75" customHeight="1">
      <c r="A5826" s="13" t="s">
        <v>258</v>
      </c>
      <c r="B5826" s="13" t="s">
        <v>133</v>
      </c>
      <c r="C5826" s="14" t="s">
        <v>166</v>
      </c>
      <c r="D5826" s="14" t="str">
        <f>VLOOKUP(C5826,'State Key'!$A$2:$B$210,2,False)</f>
        <v>Madhya Pradesh</v>
      </c>
      <c r="E5826" s="15">
        <v>1200.0</v>
      </c>
      <c r="F5826" s="16">
        <v>191.155</v>
      </c>
      <c r="G5826" s="16">
        <v>0.0</v>
      </c>
      <c r="H5826" s="16">
        <v>0.0</v>
      </c>
      <c r="I5826" s="16">
        <v>0.0</v>
      </c>
      <c r="J5826" s="16">
        <v>0.0</v>
      </c>
      <c r="K5826" s="16">
        <v>266.005</v>
      </c>
      <c r="L5826" s="16">
        <v>457.16</v>
      </c>
      <c r="M5826" s="16">
        <v>441.316</v>
      </c>
      <c r="N5826" s="16">
        <v>38.27</v>
      </c>
      <c r="O5826" s="17">
        <v>2.6</v>
      </c>
      <c r="P5826" s="18">
        <f t="shared" si="1"/>
        <v>457.16</v>
      </c>
    </row>
    <row r="5827" ht="15.75" customHeight="1">
      <c r="A5827" s="19" t="s">
        <v>258</v>
      </c>
      <c r="B5827" s="19" t="s">
        <v>133</v>
      </c>
      <c r="C5827" s="20" t="s">
        <v>167</v>
      </c>
      <c r="D5827" s="14" t="str">
        <f>VLOOKUP(C5827,'State Key'!$A$2:$B$210,2,False)</f>
        <v>Chhattisgarh</v>
      </c>
      <c r="E5827" s="21">
        <v>1000.0</v>
      </c>
      <c r="F5827" s="22">
        <v>166.747</v>
      </c>
      <c r="G5827" s="22">
        <v>0.0</v>
      </c>
      <c r="H5827" s="22">
        <v>184.192</v>
      </c>
      <c r="I5827" s="22">
        <v>0.0</v>
      </c>
      <c r="J5827" s="22">
        <v>0.0</v>
      </c>
      <c r="K5827" s="22">
        <v>0.0</v>
      </c>
      <c r="L5827" s="22">
        <v>350.939</v>
      </c>
      <c r="M5827" s="22">
        <v>387.371</v>
      </c>
      <c r="N5827" s="22">
        <v>211.85</v>
      </c>
      <c r="O5827" s="24">
        <v>16.4</v>
      </c>
      <c r="P5827" s="18">
        <f t="shared" si="1"/>
        <v>350.939</v>
      </c>
    </row>
    <row r="5828" ht="15.75" customHeight="1">
      <c r="A5828" s="13" t="s">
        <v>258</v>
      </c>
      <c r="B5828" s="13" t="s">
        <v>133</v>
      </c>
      <c r="C5828" s="14" t="s">
        <v>168</v>
      </c>
      <c r="D5828" s="14" t="str">
        <f>VLOOKUP(C5828,'State Key'!$A$2:$B$210,2,False)</f>
        <v>Maharashtra</v>
      </c>
      <c r="E5828" s="15">
        <v>2320.0</v>
      </c>
      <c r="F5828" s="16">
        <v>821.81</v>
      </c>
      <c r="G5828" s="16">
        <v>73.99</v>
      </c>
      <c r="H5828" s="16">
        <v>55.32</v>
      </c>
      <c r="I5828" s="16">
        <v>0.0</v>
      </c>
      <c r="J5828" s="16">
        <v>0.0</v>
      </c>
      <c r="K5828" s="16">
        <v>4.37</v>
      </c>
      <c r="L5828" s="16">
        <v>955.49</v>
      </c>
      <c r="M5828" s="16">
        <v>919.138</v>
      </c>
      <c r="N5828" s="16">
        <v>400.69</v>
      </c>
      <c r="O5828" s="23">
        <v>13.1</v>
      </c>
      <c r="P5828" s="18">
        <f t="shared" si="1"/>
        <v>955.49</v>
      </c>
    </row>
    <row r="5829" ht="15.75" customHeight="1">
      <c r="A5829" s="19" t="s">
        <v>258</v>
      </c>
      <c r="B5829" s="19" t="s">
        <v>133</v>
      </c>
      <c r="C5829" s="20" t="s">
        <v>169</v>
      </c>
      <c r="D5829" s="14" t="str">
        <f>VLOOKUP(C5829,'State Key'!$A$2:$B$210,2,False)</f>
        <v>Madhya Pradesh</v>
      </c>
      <c r="E5829" s="21">
        <v>246.01</v>
      </c>
      <c r="F5829" s="22">
        <v>0.0</v>
      </c>
      <c r="G5829" s="22">
        <v>0.0</v>
      </c>
      <c r="H5829" s="22">
        <v>0.0</v>
      </c>
      <c r="I5829" s="22">
        <v>0.0</v>
      </c>
      <c r="J5829" s="22">
        <v>0.0</v>
      </c>
      <c r="K5829" s="22">
        <v>0.0</v>
      </c>
      <c r="L5829" s="22">
        <v>0.0</v>
      </c>
      <c r="M5829" s="22">
        <v>0.0</v>
      </c>
      <c r="N5829" s="22">
        <v>0.0</v>
      </c>
      <c r="O5829" s="19" t="s">
        <v>58</v>
      </c>
      <c r="P5829" s="18">
        <f t="shared" si="1"/>
        <v>0</v>
      </c>
    </row>
    <row r="5830" ht="15.75" customHeight="1">
      <c r="A5830" s="13" t="s">
        <v>258</v>
      </c>
      <c r="B5830" s="13" t="s">
        <v>133</v>
      </c>
      <c r="C5830" s="14" t="s">
        <v>172</v>
      </c>
      <c r="D5830" s="14" t="str">
        <f>VLOOKUP(C5830,'State Key'!$A$2:$B$210,2,False)</f>
        <v>Gujarat</v>
      </c>
      <c r="E5830" s="15">
        <v>4000.0</v>
      </c>
      <c r="F5830" s="16">
        <v>0.0</v>
      </c>
      <c r="G5830" s="16">
        <v>0.0</v>
      </c>
      <c r="H5830" s="16">
        <v>0.0</v>
      </c>
      <c r="I5830" s="16">
        <v>0.0</v>
      </c>
      <c r="J5830" s="16">
        <v>0.0</v>
      </c>
      <c r="K5830" s="16">
        <v>0.0</v>
      </c>
      <c r="L5830" s="16">
        <v>0.0</v>
      </c>
      <c r="M5830" s="16">
        <v>0.0</v>
      </c>
      <c r="N5830" s="16">
        <v>2065.29</v>
      </c>
      <c r="O5830" s="13" t="s">
        <v>58</v>
      </c>
      <c r="P5830" s="18">
        <f t="shared" si="1"/>
        <v>0</v>
      </c>
    </row>
    <row r="5831" ht="15.75" customHeight="1">
      <c r="A5831" s="19" t="s">
        <v>258</v>
      </c>
      <c r="B5831" s="19" t="s">
        <v>133</v>
      </c>
      <c r="C5831" s="20" t="s">
        <v>174</v>
      </c>
      <c r="D5831" s="14" t="str">
        <f>VLOOKUP(C5831,'State Key'!$A$2:$B$210,2,False)</f>
        <v>Maharashtra</v>
      </c>
      <c r="E5831" s="21">
        <v>630.0</v>
      </c>
      <c r="F5831" s="22">
        <v>227.95</v>
      </c>
      <c r="G5831" s="22">
        <v>76.985</v>
      </c>
      <c r="H5831" s="22">
        <v>0.0</v>
      </c>
      <c r="I5831" s="22">
        <v>0.0</v>
      </c>
      <c r="J5831" s="22">
        <v>0.0</v>
      </c>
      <c r="K5831" s="22">
        <v>0.0</v>
      </c>
      <c r="L5831" s="22">
        <v>304.935</v>
      </c>
      <c r="M5831" s="22">
        <v>222.915</v>
      </c>
      <c r="N5831" s="22">
        <v>302.84</v>
      </c>
      <c r="O5831" s="24">
        <v>40.8</v>
      </c>
      <c r="P5831" s="18">
        <f t="shared" si="1"/>
        <v>304.935</v>
      </c>
    </row>
    <row r="5832" ht="15.75" customHeight="1">
      <c r="A5832" s="13" t="s">
        <v>258</v>
      </c>
      <c r="B5832" s="13" t="s">
        <v>133</v>
      </c>
      <c r="C5832" s="14" t="s">
        <v>175</v>
      </c>
      <c r="D5832" s="14" t="str">
        <f>VLOOKUP(C5832,'State Key'!$A$2:$B$210,2,False)</f>
        <v>Chhattisgarh</v>
      </c>
      <c r="E5832" s="15">
        <v>600.0</v>
      </c>
      <c r="F5832" s="16">
        <v>273.266</v>
      </c>
      <c r="G5832" s="16">
        <v>0.0</v>
      </c>
      <c r="H5832" s="16">
        <v>0.0</v>
      </c>
      <c r="I5832" s="16">
        <v>17.056</v>
      </c>
      <c r="J5832" s="16">
        <v>0.0</v>
      </c>
      <c r="K5832" s="16">
        <v>0.0</v>
      </c>
      <c r="L5832" s="16">
        <v>290.322</v>
      </c>
      <c r="M5832" s="16">
        <v>230.73</v>
      </c>
      <c r="N5832" s="16">
        <v>316.13</v>
      </c>
      <c r="O5832" s="24">
        <v>41.1</v>
      </c>
      <c r="P5832" s="18">
        <f t="shared" si="1"/>
        <v>290.322</v>
      </c>
    </row>
    <row r="5833" ht="15.75" customHeight="1">
      <c r="A5833" s="19" t="s">
        <v>258</v>
      </c>
      <c r="B5833" s="19" t="s">
        <v>133</v>
      </c>
      <c r="C5833" s="20" t="s">
        <v>176</v>
      </c>
      <c r="D5833" s="14" t="str">
        <f>VLOOKUP(C5833,'State Key'!$A$2:$B$210,2,False)</f>
        <v>Madhya Pradesh</v>
      </c>
      <c r="E5833" s="21">
        <v>1320.0</v>
      </c>
      <c r="F5833" s="22">
        <v>0.0</v>
      </c>
      <c r="G5833" s="22">
        <v>0.0</v>
      </c>
      <c r="H5833" s="22">
        <v>333.2649</v>
      </c>
      <c r="I5833" s="22">
        <v>177.6045</v>
      </c>
      <c r="J5833" s="22">
        <v>0.0</v>
      </c>
      <c r="K5833" s="22">
        <v>0.0</v>
      </c>
      <c r="L5833" s="22">
        <v>510.8694</v>
      </c>
      <c r="M5833" s="22">
        <v>383.021</v>
      </c>
      <c r="N5833" s="22">
        <v>376.5233</v>
      </c>
      <c r="O5833" s="24">
        <v>29.5</v>
      </c>
      <c r="P5833" s="18">
        <f t="shared" si="1"/>
        <v>510.8694</v>
      </c>
    </row>
    <row r="5834" ht="15.75" customHeight="1">
      <c r="A5834" s="13" t="s">
        <v>258</v>
      </c>
      <c r="B5834" s="13" t="s">
        <v>133</v>
      </c>
      <c r="C5834" s="14" t="s">
        <v>177</v>
      </c>
      <c r="D5834" s="14" t="str">
        <f>VLOOKUP(C5834,'State Key'!$A$2:$B$210,2,False)</f>
        <v>Madhya Pradesh</v>
      </c>
      <c r="E5834" s="15">
        <v>90.0</v>
      </c>
      <c r="F5834" s="16">
        <v>38.75</v>
      </c>
      <c r="G5834" s="16">
        <v>0.0</v>
      </c>
      <c r="H5834" s="16">
        <v>0.0</v>
      </c>
      <c r="I5834" s="16">
        <v>0.0</v>
      </c>
      <c r="J5834" s="16">
        <v>0.0</v>
      </c>
      <c r="K5834" s="16">
        <v>0.0</v>
      </c>
      <c r="L5834" s="16">
        <v>38.75</v>
      </c>
      <c r="M5834" s="16">
        <v>26.86</v>
      </c>
      <c r="N5834" s="16">
        <v>60.36</v>
      </c>
      <c r="O5834" s="24">
        <v>67.4</v>
      </c>
      <c r="P5834" s="18">
        <f t="shared" si="1"/>
        <v>38.75</v>
      </c>
    </row>
    <row r="5835" ht="15.75" customHeight="1">
      <c r="A5835" s="19" t="s">
        <v>258</v>
      </c>
      <c r="B5835" s="19" t="s">
        <v>133</v>
      </c>
      <c r="C5835" s="20" t="s">
        <v>178</v>
      </c>
      <c r="D5835" s="14" t="str">
        <f>VLOOKUP(C5835,'State Key'!$A$2:$B$210,2,False)</f>
        <v>Chhattisgarh</v>
      </c>
      <c r="E5835" s="21">
        <v>1000.0</v>
      </c>
      <c r="F5835" s="22">
        <v>51.856</v>
      </c>
      <c r="G5835" s="22">
        <v>0.0</v>
      </c>
      <c r="H5835" s="22">
        <v>482.624</v>
      </c>
      <c r="I5835" s="22">
        <v>0.0</v>
      </c>
      <c r="J5835" s="22">
        <v>0.0</v>
      </c>
      <c r="K5835" s="22">
        <v>1.177</v>
      </c>
      <c r="L5835" s="22">
        <v>535.657</v>
      </c>
      <c r="M5835" s="22">
        <v>491.456</v>
      </c>
      <c r="N5835" s="22">
        <v>861.421</v>
      </c>
      <c r="O5835" s="24">
        <v>52.6</v>
      </c>
      <c r="P5835" s="18">
        <f t="shared" si="1"/>
        <v>535.657</v>
      </c>
    </row>
    <row r="5836" ht="15.75" customHeight="1">
      <c r="A5836" s="13" t="s">
        <v>258</v>
      </c>
      <c r="B5836" s="13" t="s">
        <v>133</v>
      </c>
      <c r="C5836" s="14" t="s">
        <v>179</v>
      </c>
      <c r="D5836" s="14" t="str">
        <f>VLOOKUP(C5836,'State Key'!$A$2:$B$210,2,False)</f>
        <v>Maharashtra</v>
      </c>
      <c r="E5836" s="15">
        <v>500.0</v>
      </c>
      <c r="F5836" s="16">
        <v>208.363</v>
      </c>
      <c r="G5836" s="16">
        <v>0.0</v>
      </c>
      <c r="H5836" s="16">
        <v>0.0</v>
      </c>
      <c r="I5836" s="16">
        <v>0.0</v>
      </c>
      <c r="J5836" s="16">
        <v>0.0</v>
      </c>
      <c r="K5836" s="16">
        <v>0.0</v>
      </c>
      <c r="L5836" s="16">
        <v>208.363</v>
      </c>
      <c r="M5836" s="16">
        <v>170.576</v>
      </c>
      <c r="N5836" s="16">
        <v>213.3</v>
      </c>
      <c r="O5836" s="24">
        <v>37.5</v>
      </c>
      <c r="P5836" s="18">
        <f t="shared" si="1"/>
        <v>208.363</v>
      </c>
    </row>
    <row r="5837" ht="15.75" customHeight="1">
      <c r="A5837" s="19" t="s">
        <v>258</v>
      </c>
      <c r="B5837" s="19" t="s">
        <v>133</v>
      </c>
      <c r="C5837" s="20" t="s">
        <v>180</v>
      </c>
      <c r="D5837" s="14" t="str">
        <f>VLOOKUP(C5837,'State Key'!$A$2:$B$210,2,False)</f>
        <v>Maharashtra</v>
      </c>
      <c r="E5837" s="21">
        <v>750.0</v>
      </c>
      <c r="F5837" s="22">
        <v>3.9853</v>
      </c>
      <c r="G5837" s="22">
        <v>0.0</v>
      </c>
      <c r="H5837" s="22">
        <v>0.0</v>
      </c>
      <c r="I5837" s="22">
        <v>0.0</v>
      </c>
      <c r="J5837" s="22">
        <v>0.0</v>
      </c>
      <c r="K5837" s="22">
        <v>0.0</v>
      </c>
      <c r="L5837" s="22">
        <v>3.9853</v>
      </c>
      <c r="M5837" s="22">
        <v>0.0</v>
      </c>
      <c r="N5837" s="22">
        <v>209.59</v>
      </c>
      <c r="O5837" s="19" t="s">
        <v>58</v>
      </c>
      <c r="P5837" s="18">
        <f t="shared" si="1"/>
        <v>3.9853</v>
      </c>
    </row>
    <row r="5838" ht="15.75" customHeight="1">
      <c r="A5838" s="13" t="s">
        <v>258</v>
      </c>
      <c r="B5838" s="13" t="s">
        <v>133</v>
      </c>
      <c r="C5838" s="14" t="s">
        <v>181</v>
      </c>
      <c r="D5838" s="14" t="str">
        <f>VLOOKUP(C5838,'State Key'!$A$2:$B$210,2,False)</f>
        <v>Chhattisgarh</v>
      </c>
      <c r="E5838" s="15">
        <v>600.0</v>
      </c>
      <c r="F5838" s="16">
        <v>232.145</v>
      </c>
      <c r="G5838" s="16">
        <v>0.0</v>
      </c>
      <c r="H5838" s="16">
        <v>0.0</v>
      </c>
      <c r="I5838" s="16">
        <v>4.984</v>
      </c>
      <c r="J5838" s="16">
        <v>0.0</v>
      </c>
      <c r="K5838" s="16">
        <v>0.0</v>
      </c>
      <c r="L5838" s="16">
        <v>237.129</v>
      </c>
      <c r="M5838" s="16">
        <v>219.798</v>
      </c>
      <c r="N5838" s="16">
        <v>193.62</v>
      </c>
      <c r="O5838" s="24">
        <v>26.4</v>
      </c>
      <c r="P5838" s="18">
        <f t="shared" si="1"/>
        <v>237.129</v>
      </c>
    </row>
    <row r="5839" ht="15.75" customHeight="1">
      <c r="A5839" s="19" t="s">
        <v>258</v>
      </c>
      <c r="B5839" s="19" t="s">
        <v>133</v>
      </c>
      <c r="C5839" s="20" t="s">
        <v>183</v>
      </c>
      <c r="D5839" s="14" t="str">
        <f>VLOOKUP(C5839,'State Key'!$A$2:$B$210,2,False)</f>
        <v>Chhattisgarh</v>
      </c>
      <c r="E5839" s="21">
        <v>100.0</v>
      </c>
      <c r="F5839" s="22">
        <v>6.051</v>
      </c>
      <c r="G5839" s="22">
        <v>0.0</v>
      </c>
      <c r="H5839" s="22">
        <v>0.0</v>
      </c>
      <c r="I5839" s="22">
        <v>0.0</v>
      </c>
      <c r="J5839" s="22">
        <v>0.0</v>
      </c>
      <c r="K5839" s="22">
        <v>32.621</v>
      </c>
      <c r="L5839" s="22">
        <v>38.672</v>
      </c>
      <c r="M5839" s="22">
        <v>49.32</v>
      </c>
      <c r="N5839" s="22">
        <v>3.99</v>
      </c>
      <c r="O5839" s="17">
        <v>2.4</v>
      </c>
      <c r="P5839" s="18">
        <f t="shared" si="1"/>
        <v>38.672</v>
      </c>
    </row>
    <row r="5840" ht="15.75" customHeight="1">
      <c r="A5840" s="13" t="s">
        <v>258</v>
      </c>
      <c r="B5840" s="13" t="s">
        <v>133</v>
      </c>
      <c r="C5840" s="14" t="s">
        <v>184</v>
      </c>
      <c r="D5840" s="14" t="str">
        <f>VLOOKUP(C5840,'State Key'!$A$2:$B$210,2,False)</f>
        <v>Gujarat</v>
      </c>
      <c r="E5840" s="15">
        <v>362.0</v>
      </c>
      <c r="F5840" s="16">
        <v>107.86</v>
      </c>
      <c r="G5840" s="16">
        <v>0.0</v>
      </c>
      <c r="H5840" s="16">
        <v>0.0</v>
      </c>
      <c r="I5840" s="16">
        <v>0.0</v>
      </c>
      <c r="J5840" s="16">
        <v>0.0</v>
      </c>
      <c r="K5840" s="16">
        <v>0.0</v>
      </c>
      <c r="L5840" s="16">
        <v>107.86</v>
      </c>
      <c r="M5840" s="16">
        <v>93.41</v>
      </c>
      <c r="N5840" s="16">
        <v>85.7</v>
      </c>
      <c r="O5840" s="24">
        <v>27.5</v>
      </c>
      <c r="P5840" s="18">
        <f t="shared" si="1"/>
        <v>107.86</v>
      </c>
    </row>
    <row r="5841" ht="15.75" customHeight="1">
      <c r="A5841" s="19" t="s">
        <v>258</v>
      </c>
      <c r="B5841" s="19" t="s">
        <v>133</v>
      </c>
      <c r="C5841" s="20" t="s">
        <v>185</v>
      </c>
      <c r="D5841" s="14" t="str">
        <f>VLOOKUP(C5841,'State Key'!$A$2:$B$210,2,False)</f>
        <v>Gujarat</v>
      </c>
      <c r="E5841" s="21">
        <v>1200.0</v>
      </c>
      <c r="F5841" s="22">
        <v>0.0</v>
      </c>
      <c r="G5841" s="22">
        <v>0.0</v>
      </c>
      <c r="H5841" s="22">
        <v>0.0</v>
      </c>
      <c r="I5841" s="22">
        <v>0.0</v>
      </c>
      <c r="J5841" s="22">
        <v>205.43</v>
      </c>
      <c r="K5841" s="22">
        <v>0.0</v>
      </c>
      <c r="L5841" s="22">
        <v>205.43</v>
      </c>
      <c r="M5841" s="22">
        <v>207.959</v>
      </c>
      <c r="N5841" s="22">
        <v>185.674</v>
      </c>
      <c r="O5841" s="24">
        <v>26.8</v>
      </c>
      <c r="P5841" s="18">
        <f t="shared" si="1"/>
        <v>205.43</v>
      </c>
    </row>
    <row r="5842" ht="15.75" customHeight="1">
      <c r="A5842" s="13" t="s">
        <v>258</v>
      </c>
      <c r="B5842" s="13" t="s">
        <v>133</v>
      </c>
      <c r="C5842" s="14" t="s">
        <v>187</v>
      </c>
      <c r="D5842" s="14" t="str">
        <f>VLOOKUP(C5842,'State Key'!$A$2:$B$210,2,False)</f>
        <v>Madhya Pradesh</v>
      </c>
      <c r="E5842" s="15">
        <v>1340.0</v>
      </c>
      <c r="F5842" s="16">
        <v>476.448</v>
      </c>
      <c r="G5842" s="16">
        <v>0.0</v>
      </c>
      <c r="H5842" s="16">
        <v>0.0</v>
      </c>
      <c r="I5842" s="16">
        <v>0.0</v>
      </c>
      <c r="J5842" s="16">
        <v>0.0</v>
      </c>
      <c r="K5842" s="16">
        <v>0.0</v>
      </c>
      <c r="L5842" s="16">
        <v>476.448</v>
      </c>
      <c r="M5842" s="16">
        <v>455.317</v>
      </c>
      <c r="N5842" s="16">
        <v>311.79</v>
      </c>
      <c r="O5842" s="24">
        <v>20.5</v>
      </c>
      <c r="P5842" s="18">
        <f t="shared" si="1"/>
        <v>476.448</v>
      </c>
    </row>
    <row r="5843" ht="15.75" customHeight="1">
      <c r="A5843" s="19" t="s">
        <v>258</v>
      </c>
      <c r="B5843" s="19" t="s">
        <v>133</v>
      </c>
      <c r="C5843" s="20" t="s">
        <v>188</v>
      </c>
      <c r="D5843" s="14" t="str">
        <f>VLOOKUP(C5843,'State Key'!$A$2:$B$210,2,False)</f>
        <v>Madhya Pradesh</v>
      </c>
      <c r="E5843" s="21">
        <v>3960.0</v>
      </c>
      <c r="F5843" s="22">
        <v>0.0</v>
      </c>
      <c r="G5843" s="22">
        <v>0.0</v>
      </c>
      <c r="H5843" s="22">
        <v>1476.52937</v>
      </c>
      <c r="I5843" s="22">
        <v>0.0</v>
      </c>
      <c r="J5843" s="22">
        <v>0.0</v>
      </c>
      <c r="K5843" s="22">
        <v>0.0</v>
      </c>
      <c r="L5843" s="22">
        <v>1476.52937</v>
      </c>
      <c r="M5843" s="22">
        <v>1485.764</v>
      </c>
      <c r="N5843" s="22">
        <v>256.64</v>
      </c>
      <c r="O5843" s="17">
        <v>5.2</v>
      </c>
      <c r="P5843" s="18">
        <f t="shared" si="1"/>
        <v>1476.52937</v>
      </c>
    </row>
    <row r="5844" ht="15.75" customHeight="1">
      <c r="A5844" s="13" t="s">
        <v>258</v>
      </c>
      <c r="B5844" s="13" t="s">
        <v>133</v>
      </c>
      <c r="C5844" s="14" t="s">
        <v>189</v>
      </c>
      <c r="D5844" s="14" t="str">
        <f>VLOOKUP(C5844,'State Key'!$A$2:$B$210,2,False)</f>
        <v>Madhya Pradesh</v>
      </c>
      <c r="E5844" s="15">
        <v>500.0</v>
      </c>
      <c r="F5844" s="16">
        <v>175.32</v>
      </c>
      <c r="G5844" s="16">
        <v>0.0</v>
      </c>
      <c r="H5844" s="16">
        <v>0.0</v>
      </c>
      <c r="I5844" s="16">
        <v>0.0</v>
      </c>
      <c r="J5844" s="16">
        <v>0.0</v>
      </c>
      <c r="K5844" s="16">
        <v>0.0</v>
      </c>
      <c r="L5844" s="16">
        <v>175.32</v>
      </c>
      <c r="M5844" s="16">
        <v>173.217</v>
      </c>
      <c r="N5844" s="16">
        <v>230.17</v>
      </c>
      <c r="O5844" s="24">
        <v>39.9</v>
      </c>
      <c r="P5844" s="18">
        <f t="shared" si="1"/>
        <v>175.32</v>
      </c>
    </row>
    <row r="5845" ht="15.75" customHeight="1">
      <c r="A5845" s="19" t="s">
        <v>258</v>
      </c>
      <c r="B5845" s="19" t="s">
        <v>133</v>
      </c>
      <c r="C5845" s="20" t="s">
        <v>190</v>
      </c>
      <c r="D5845" s="14" t="str">
        <f>VLOOKUP(C5845,'State Key'!$A$2:$B$210,2,False)</f>
        <v>Madhya Pradesh</v>
      </c>
      <c r="E5845" s="21">
        <v>600.0</v>
      </c>
      <c r="F5845" s="22">
        <v>161.872</v>
      </c>
      <c r="G5845" s="22">
        <v>0.0</v>
      </c>
      <c r="H5845" s="22">
        <v>0.0</v>
      </c>
      <c r="I5845" s="22">
        <v>128.858</v>
      </c>
      <c r="J5845" s="22">
        <v>0.0</v>
      </c>
      <c r="K5845" s="22">
        <v>0.0</v>
      </c>
      <c r="L5845" s="22">
        <v>290.73</v>
      </c>
      <c r="M5845" s="22">
        <v>202.191</v>
      </c>
      <c r="N5845" s="22">
        <v>132.93</v>
      </c>
      <c r="O5845" s="24">
        <v>19.7</v>
      </c>
      <c r="P5845" s="18">
        <f t="shared" si="1"/>
        <v>290.73</v>
      </c>
    </row>
    <row r="5846" ht="15.75" customHeight="1">
      <c r="A5846" s="13" t="s">
        <v>258</v>
      </c>
      <c r="B5846" s="13" t="s">
        <v>133</v>
      </c>
      <c r="C5846" s="14" t="s">
        <v>191</v>
      </c>
      <c r="D5846" s="14" t="str">
        <f>VLOOKUP(C5846,'State Key'!$A$2:$B$210,2,False)</f>
        <v>Maharashtra</v>
      </c>
      <c r="E5846" s="15">
        <v>300.0</v>
      </c>
      <c r="F5846" s="16">
        <v>0.0</v>
      </c>
      <c r="G5846" s="16">
        <v>0.0</v>
      </c>
      <c r="H5846" s="16">
        <v>0.0</v>
      </c>
      <c r="I5846" s="16">
        <v>0.0</v>
      </c>
      <c r="J5846" s="16">
        <v>0.0</v>
      </c>
      <c r="K5846" s="16">
        <v>101.924</v>
      </c>
      <c r="L5846" s="16">
        <v>101.924</v>
      </c>
      <c r="M5846" s="16">
        <v>118.947</v>
      </c>
      <c r="N5846" s="16">
        <v>81.749</v>
      </c>
      <c r="O5846" s="24">
        <v>20.6</v>
      </c>
      <c r="P5846" s="18">
        <f t="shared" si="1"/>
        <v>101.924</v>
      </c>
    </row>
    <row r="5847" ht="15.75" customHeight="1">
      <c r="A5847" s="19" t="s">
        <v>258</v>
      </c>
      <c r="B5847" s="19" t="s">
        <v>133</v>
      </c>
      <c r="C5847" s="20" t="s">
        <v>192</v>
      </c>
      <c r="D5847" s="14" t="str">
        <f>VLOOKUP(C5847,'State Key'!$A$2:$B$210,2,False)</f>
        <v>Madhya Pradesh</v>
      </c>
      <c r="E5847" s="21">
        <v>2520.0</v>
      </c>
      <c r="F5847" s="22">
        <v>498.742</v>
      </c>
      <c r="G5847" s="22">
        <v>0.0</v>
      </c>
      <c r="H5847" s="22">
        <v>0.0</v>
      </c>
      <c r="I5847" s="22">
        <v>0.0</v>
      </c>
      <c r="J5847" s="22">
        <v>0.0</v>
      </c>
      <c r="K5847" s="22">
        <v>0.0</v>
      </c>
      <c r="L5847" s="22">
        <v>498.742</v>
      </c>
      <c r="M5847" s="22">
        <v>649.914</v>
      </c>
      <c r="N5847" s="22">
        <v>560.01</v>
      </c>
      <c r="O5847" s="24">
        <v>25.9</v>
      </c>
      <c r="P5847" s="18">
        <f t="shared" si="1"/>
        <v>498.742</v>
      </c>
    </row>
    <row r="5848" ht="15.75" customHeight="1">
      <c r="A5848" s="13" t="s">
        <v>258</v>
      </c>
      <c r="B5848" s="13" t="s">
        <v>133</v>
      </c>
      <c r="C5848" s="14" t="s">
        <v>193</v>
      </c>
      <c r="D5848" s="14" t="str">
        <f>VLOOKUP(C5848,'State Key'!$A$2:$B$210,2,False)</f>
        <v>Gujarat</v>
      </c>
      <c r="E5848" s="15">
        <v>500.0</v>
      </c>
      <c r="F5848" s="16">
        <v>0.0</v>
      </c>
      <c r="G5848" s="16">
        <v>0.0</v>
      </c>
      <c r="H5848" s="16">
        <v>0.0</v>
      </c>
      <c r="I5848" s="16">
        <v>0.0</v>
      </c>
      <c r="J5848" s="16">
        <v>3.987</v>
      </c>
      <c r="K5848" s="16">
        <v>0.0</v>
      </c>
      <c r="L5848" s="16">
        <v>3.987</v>
      </c>
      <c r="M5848" s="16">
        <v>2.779</v>
      </c>
      <c r="N5848" s="16">
        <v>94.52</v>
      </c>
      <c r="O5848" s="24">
        <v>1020.4</v>
      </c>
      <c r="P5848" s="18">
        <f t="shared" si="1"/>
        <v>3.987</v>
      </c>
    </row>
    <row r="5849" ht="15.75" customHeight="1">
      <c r="A5849" s="19" t="s">
        <v>258</v>
      </c>
      <c r="B5849" s="19" t="s">
        <v>133</v>
      </c>
      <c r="C5849" s="20" t="s">
        <v>194</v>
      </c>
      <c r="D5849" s="14" t="str">
        <f>VLOOKUP(C5849,'State Key'!$A$2:$B$210,2,False)</f>
        <v>Chhattisgarh</v>
      </c>
      <c r="E5849" s="21">
        <v>2980.0</v>
      </c>
      <c r="F5849" s="22">
        <v>1067.689</v>
      </c>
      <c r="G5849" s="22">
        <v>0.0</v>
      </c>
      <c r="H5849" s="22">
        <v>3.56</v>
      </c>
      <c r="I5849" s="22">
        <v>0.0</v>
      </c>
      <c r="J5849" s="22">
        <v>0.0</v>
      </c>
      <c r="K5849" s="22">
        <v>0.0</v>
      </c>
      <c r="L5849" s="22">
        <v>1071.249</v>
      </c>
      <c r="M5849" s="22">
        <v>1024.778</v>
      </c>
      <c r="N5849" s="22">
        <v>302.35</v>
      </c>
      <c r="O5849" s="23">
        <v>8.9</v>
      </c>
      <c r="P5849" s="18">
        <f t="shared" si="1"/>
        <v>1071.249</v>
      </c>
    </row>
    <row r="5850" ht="15.75" customHeight="1">
      <c r="A5850" s="13" t="s">
        <v>258</v>
      </c>
      <c r="B5850" s="13" t="s">
        <v>133</v>
      </c>
      <c r="C5850" s="14" t="s">
        <v>195</v>
      </c>
      <c r="D5850" s="14" t="str">
        <f>VLOOKUP(C5850,'State Key'!$A$2:$B$210,2,False)</f>
        <v>Maharashtra</v>
      </c>
      <c r="E5850" s="15">
        <v>1320.0</v>
      </c>
      <c r="F5850" s="16">
        <v>267.98</v>
      </c>
      <c r="G5850" s="16">
        <v>193.08</v>
      </c>
      <c r="H5850" s="16">
        <v>26.1</v>
      </c>
      <c r="I5850" s="16">
        <v>0.0</v>
      </c>
      <c r="J5850" s="16">
        <v>0.0</v>
      </c>
      <c r="K5850" s="16">
        <v>10.92</v>
      </c>
      <c r="L5850" s="16">
        <v>498.08</v>
      </c>
      <c r="M5850" s="16">
        <v>516.119</v>
      </c>
      <c r="N5850" s="16">
        <v>272.733</v>
      </c>
      <c r="O5850" s="24">
        <v>15.9</v>
      </c>
      <c r="P5850" s="18">
        <f t="shared" si="1"/>
        <v>498.08</v>
      </c>
    </row>
    <row r="5851" ht="15.75" customHeight="1">
      <c r="A5851" s="19" t="s">
        <v>258</v>
      </c>
      <c r="B5851" s="19" t="s">
        <v>133</v>
      </c>
      <c r="C5851" s="20" t="s">
        <v>196</v>
      </c>
      <c r="D5851" s="14" t="str">
        <f>VLOOKUP(C5851,'State Key'!$A$2:$B$210,2,False)</f>
        <v>Chhattisgarh</v>
      </c>
      <c r="E5851" s="21">
        <v>63.0</v>
      </c>
      <c r="F5851" s="22">
        <v>5.2486</v>
      </c>
      <c r="G5851" s="22">
        <v>0.0</v>
      </c>
      <c r="H5851" s="22">
        <v>0.0</v>
      </c>
      <c r="I5851" s="22">
        <v>0.0</v>
      </c>
      <c r="J5851" s="22">
        <v>0.0</v>
      </c>
      <c r="K5851" s="22">
        <v>37.5439</v>
      </c>
      <c r="L5851" s="22">
        <v>42.7925</v>
      </c>
      <c r="M5851" s="22">
        <v>48.418</v>
      </c>
      <c r="N5851" s="22">
        <v>8.08</v>
      </c>
      <c r="O5851" s="17">
        <v>5.0</v>
      </c>
      <c r="P5851" s="18">
        <f t="shared" si="1"/>
        <v>42.7925</v>
      </c>
    </row>
    <row r="5852" ht="15.75" customHeight="1">
      <c r="A5852" s="13" t="s">
        <v>258</v>
      </c>
      <c r="B5852" s="13" t="s">
        <v>133</v>
      </c>
      <c r="C5852" s="14" t="s">
        <v>198</v>
      </c>
      <c r="D5852" s="14" t="str">
        <f>VLOOKUP(C5852,'State Key'!$A$2:$B$210,2,False)</f>
        <v>Chhattisgarh</v>
      </c>
      <c r="E5852" s="15">
        <v>2400.0</v>
      </c>
      <c r="F5852" s="16">
        <v>333.539</v>
      </c>
      <c r="G5852" s="16">
        <v>0.0</v>
      </c>
      <c r="H5852" s="16">
        <v>631.413</v>
      </c>
      <c r="I5852" s="16">
        <v>0.0</v>
      </c>
      <c r="J5852" s="16">
        <v>0.0</v>
      </c>
      <c r="K5852" s="16">
        <v>155.743</v>
      </c>
      <c r="L5852" s="16">
        <v>1120.695</v>
      </c>
      <c r="M5852" s="16">
        <v>924.594</v>
      </c>
      <c r="N5852" s="16">
        <v>875.723</v>
      </c>
      <c r="O5852" s="24">
        <v>28.4</v>
      </c>
      <c r="P5852" s="18">
        <f t="shared" si="1"/>
        <v>1120.695</v>
      </c>
    </row>
    <row r="5853" ht="15.75" customHeight="1">
      <c r="A5853" s="19" t="s">
        <v>258</v>
      </c>
      <c r="B5853" s="19" t="s">
        <v>133</v>
      </c>
      <c r="C5853" s="20" t="s">
        <v>200</v>
      </c>
      <c r="D5853" s="14" t="str">
        <f>VLOOKUP(C5853,'State Key'!$A$2:$B$210,2,False)</f>
        <v>Maharashtra</v>
      </c>
      <c r="E5853" s="21">
        <v>750.0</v>
      </c>
      <c r="F5853" s="22">
        <v>0.0</v>
      </c>
      <c r="G5853" s="22">
        <v>0.0</v>
      </c>
      <c r="H5853" s="22">
        <v>0.0</v>
      </c>
      <c r="I5853" s="22">
        <v>0.0</v>
      </c>
      <c r="J5853" s="22">
        <v>190.564083</v>
      </c>
      <c r="K5853" s="22">
        <v>0.0</v>
      </c>
      <c r="L5853" s="22">
        <v>190.564083</v>
      </c>
      <c r="M5853" s="22">
        <v>210.1</v>
      </c>
      <c r="N5853" s="22">
        <v>201.36</v>
      </c>
      <c r="O5853" s="24">
        <v>28.8</v>
      </c>
      <c r="P5853" s="18">
        <f t="shared" si="1"/>
        <v>190.564083</v>
      </c>
    </row>
    <row r="5854" ht="15.75" customHeight="1">
      <c r="A5854" s="13" t="s">
        <v>258</v>
      </c>
      <c r="B5854" s="13" t="s">
        <v>133</v>
      </c>
      <c r="C5854" s="14" t="s">
        <v>201</v>
      </c>
      <c r="D5854" s="14" t="str">
        <f>VLOOKUP(C5854,'State Key'!$A$2:$B$210,2,False)</f>
        <v>Chhattisgarh</v>
      </c>
      <c r="E5854" s="15">
        <v>1440.0</v>
      </c>
      <c r="F5854" s="16">
        <v>543.484</v>
      </c>
      <c r="G5854" s="16">
        <v>0.0</v>
      </c>
      <c r="H5854" s="16">
        <v>0.0</v>
      </c>
      <c r="I5854" s="16">
        <v>0.0</v>
      </c>
      <c r="J5854" s="16">
        <v>0.0</v>
      </c>
      <c r="K5854" s="16">
        <v>0.0</v>
      </c>
      <c r="L5854" s="16">
        <v>543.484</v>
      </c>
      <c r="M5854" s="16">
        <v>443.083</v>
      </c>
      <c r="N5854" s="16">
        <v>1271.67</v>
      </c>
      <c r="O5854" s="24">
        <v>86.1</v>
      </c>
      <c r="P5854" s="18">
        <f t="shared" si="1"/>
        <v>543.484</v>
      </c>
    </row>
    <row r="5855" ht="15.75" customHeight="1">
      <c r="A5855" s="19" t="s">
        <v>258</v>
      </c>
      <c r="B5855" s="19" t="s">
        <v>133</v>
      </c>
      <c r="C5855" s="20" t="s">
        <v>202</v>
      </c>
      <c r="D5855" s="14" t="str">
        <f>VLOOKUP(C5855,'State Key'!$A$2:$B$210,2,False)</f>
        <v>Gujarat</v>
      </c>
      <c r="E5855" s="21">
        <v>1110.0</v>
      </c>
      <c r="F5855" s="22">
        <v>265.4659</v>
      </c>
      <c r="G5855" s="22">
        <v>0.0</v>
      </c>
      <c r="H5855" s="22">
        <v>0.0</v>
      </c>
      <c r="I5855" s="22">
        <v>0.0</v>
      </c>
      <c r="J5855" s="22">
        <v>0.0</v>
      </c>
      <c r="K5855" s="22">
        <v>0.0</v>
      </c>
      <c r="L5855" s="22">
        <v>265.4659</v>
      </c>
      <c r="M5855" s="22">
        <v>265.834</v>
      </c>
      <c r="N5855" s="22">
        <v>471.85</v>
      </c>
      <c r="O5855" s="24">
        <v>53.2</v>
      </c>
      <c r="P5855" s="18">
        <f t="shared" si="1"/>
        <v>265.4659</v>
      </c>
    </row>
    <row r="5856" ht="15.75" customHeight="1">
      <c r="A5856" s="13" t="s">
        <v>258</v>
      </c>
      <c r="B5856" s="13" t="s">
        <v>133</v>
      </c>
      <c r="C5856" s="14" t="s">
        <v>203</v>
      </c>
      <c r="D5856" s="14" t="str">
        <f>VLOOKUP(C5856,'State Key'!$A$2:$B$210,2,False)</f>
        <v>Madhya Pradesh</v>
      </c>
      <c r="E5856" s="15">
        <v>4760.0</v>
      </c>
      <c r="F5856" s="16">
        <v>2105.79</v>
      </c>
      <c r="G5856" s="16">
        <v>0.0</v>
      </c>
      <c r="H5856" s="16">
        <v>0.0</v>
      </c>
      <c r="I5856" s="16">
        <v>0.0</v>
      </c>
      <c r="J5856" s="16">
        <v>0.0</v>
      </c>
      <c r="K5856" s="16">
        <v>0.0</v>
      </c>
      <c r="L5856" s="16">
        <v>2105.79</v>
      </c>
      <c r="M5856" s="16">
        <v>1874.505</v>
      </c>
      <c r="N5856" s="16">
        <v>947.78</v>
      </c>
      <c r="O5856" s="24">
        <v>15.2</v>
      </c>
      <c r="P5856" s="18">
        <f t="shared" si="1"/>
        <v>2105.79</v>
      </c>
    </row>
    <row r="5857" ht="15.75" customHeight="1">
      <c r="A5857" s="19" t="s">
        <v>258</v>
      </c>
      <c r="B5857" s="19" t="s">
        <v>133</v>
      </c>
      <c r="C5857" s="20" t="s">
        <v>255</v>
      </c>
      <c r="D5857" s="14" t="str">
        <f>VLOOKUP(C5857,'State Key'!$A$2:$B$210,2,False)</f>
        <v>Chhattisgarh</v>
      </c>
      <c r="E5857" s="21">
        <v>600.0</v>
      </c>
      <c r="F5857" s="22">
        <v>89.82</v>
      </c>
      <c r="G5857" s="22">
        <v>0.0</v>
      </c>
      <c r="H5857" s="22">
        <v>0.0</v>
      </c>
      <c r="I5857" s="22">
        <v>95.4</v>
      </c>
      <c r="J5857" s="22">
        <v>0.0</v>
      </c>
      <c r="K5857" s="22">
        <v>3.59</v>
      </c>
      <c r="L5857" s="22">
        <v>188.81</v>
      </c>
      <c r="M5857" s="22">
        <v>290.978</v>
      </c>
      <c r="N5857" s="22">
        <v>37.411</v>
      </c>
      <c r="O5857" s="17">
        <v>3.9</v>
      </c>
      <c r="P5857" s="18">
        <f t="shared" si="1"/>
        <v>188.81</v>
      </c>
    </row>
    <row r="5858" ht="15.75" customHeight="1">
      <c r="A5858" s="13" t="s">
        <v>258</v>
      </c>
      <c r="B5858" s="13" t="s">
        <v>133</v>
      </c>
      <c r="C5858" s="14" t="s">
        <v>204</v>
      </c>
      <c r="D5858" s="14" t="str">
        <f>VLOOKUP(C5858,'State Key'!$A$2:$B$210,2,False)</f>
        <v>Gujarat</v>
      </c>
      <c r="E5858" s="15">
        <v>2270.0</v>
      </c>
      <c r="F5858" s="16">
        <v>147.187</v>
      </c>
      <c r="G5858" s="16">
        <v>0.0</v>
      </c>
      <c r="H5858" s="16">
        <v>0.0</v>
      </c>
      <c r="I5858" s="16">
        <v>0.0</v>
      </c>
      <c r="J5858" s="16">
        <v>0.0</v>
      </c>
      <c r="K5858" s="16">
        <v>0.0</v>
      </c>
      <c r="L5858" s="16">
        <v>147.187</v>
      </c>
      <c r="M5858" s="16">
        <v>276.783</v>
      </c>
      <c r="N5858" s="16">
        <v>694.14</v>
      </c>
      <c r="O5858" s="24">
        <v>75.2</v>
      </c>
      <c r="P5858" s="18">
        <f t="shared" si="1"/>
        <v>147.187</v>
      </c>
    </row>
    <row r="5859" ht="15.75" customHeight="1">
      <c r="A5859" s="19" t="s">
        <v>258</v>
      </c>
      <c r="B5859" s="19" t="s">
        <v>133</v>
      </c>
      <c r="C5859" s="20" t="s">
        <v>205</v>
      </c>
      <c r="D5859" s="14" t="str">
        <f>VLOOKUP(C5859,'State Key'!$A$2:$B$210,2,False)</f>
        <v>Maharashtra</v>
      </c>
      <c r="E5859" s="21">
        <v>540.0</v>
      </c>
      <c r="F5859" s="22">
        <v>245.25</v>
      </c>
      <c r="G5859" s="22">
        <v>0.0</v>
      </c>
      <c r="H5859" s="22">
        <v>0.0</v>
      </c>
      <c r="I5859" s="22">
        <v>0.0</v>
      </c>
      <c r="J5859" s="22">
        <v>0.0</v>
      </c>
      <c r="K5859" s="22">
        <v>10.1</v>
      </c>
      <c r="L5859" s="22">
        <v>255.35</v>
      </c>
      <c r="M5859" s="22">
        <v>196.26</v>
      </c>
      <c r="N5859" s="22">
        <v>136.6</v>
      </c>
      <c r="O5859" s="24">
        <v>20.9</v>
      </c>
      <c r="P5859" s="18">
        <f t="shared" si="1"/>
        <v>255.35</v>
      </c>
    </row>
    <row r="5860" ht="15.75" customHeight="1">
      <c r="A5860" s="13" t="s">
        <v>264</v>
      </c>
      <c r="B5860" s="13" t="s">
        <v>22</v>
      </c>
      <c r="C5860" s="14" t="s">
        <v>23</v>
      </c>
      <c r="D5860" s="14" t="str">
        <f>VLOOKUP(C5860,'State Key'!$A$2:$B$210,2,False)</f>
        <v>West Bengal</v>
      </c>
      <c r="E5860" s="15">
        <v>1050.0</v>
      </c>
      <c r="F5860" s="16">
        <v>0.0</v>
      </c>
      <c r="G5860" s="16">
        <v>0.0</v>
      </c>
      <c r="H5860" s="16">
        <v>539.458</v>
      </c>
      <c r="I5860" s="16">
        <v>0.0</v>
      </c>
      <c r="J5860" s="16">
        <v>0.0</v>
      </c>
      <c r="K5860" s="16">
        <v>0.0</v>
      </c>
      <c r="L5860" s="16">
        <v>539.458</v>
      </c>
      <c r="M5860" s="16">
        <v>413.069</v>
      </c>
      <c r="N5860" s="16">
        <v>231.193</v>
      </c>
      <c r="O5860" s="24">
        <v>16.8</v>
      </c>
      <c r="P5860" s="18">
        <f t="shared" si="1"/>
        <v>539.458</v>
      </c>
    </row>
    <row r="5861" ht="15.75" customHeight="1">
      <c r="A5861" s="19" t="s">
        <v>264</v>
      </c>
      <c r="B5861" s="19" t="s">
        <v>22</v>
      </c>
      <c r="C5861" s="20" t="s">
        <v>24</v>
      </c>
      <c r="D5861" s="14" t="str">
        <f>VLOOKUP(C5861,'State Key'!$A$2:$B$210,2,False)</f>
        <v>West Bengal</v>
      </c>
      <c r="E5861" s="21">
        <v>270.0</v>
      </c>
      <c r="F5861" s="22">
        <v>0.0</v>
      </c>
      <c r="G5861" s="22">
        <v>0.0</v>
      </c>
      <c r="H5861" s="22">
        <v>95.34</v>
      </c>
      <c r="I5861" s="22">
        <v>0.0</v>
      </c>
      <c r="J5861" s="22">
        <v>0.0</v>
      </c>
      <c r="K5861" s="22">
        <v>0.0</v>
      </c>
      <c r="L5861" s="22">
        <v>95.34</v>
      </c>
      <c r="M5861" s="22">
        <v>121.136</v>
      </c>
      <c r="N5861" s="22">
        <v>55.72</v>
      </c>
      <c r="O5861" s="23">
        <v>13.8</v>
      </c>
      <c r="P5861" s="18">
        <f t="shared" si="1"/>
        <v>95.34</v>
      </c>
    </row>
    <row r="5862" ht="15.75" customHeight="1">
      <c r="A5862" s="13" t="s">
        <v>264</v>
      </c>
      <c r="B5862" s="13" t="s">
        <v>22</v>
      </c>
      <c r="C5862" s="14" t="s">
        <v>25</v>
      </c>
      <c r="D5862" s="14" t="str">
        <f>VLOOKUP(C5862,'State Key'!$A$2:$B$210,2,False)</f>
        <v>Bihar</v>
      </c>
      <c r="E5862" s="15">
        <v>500.0</v>
      </c>
      <c r="F5862" s="16">
        <v>7.66</v>
      </c>
      <c r="G5862" s="16">
        <v>0.0</v>
      </c>
      <c r="H5862" s="16">
        <v>116.96</v>
      </c>
      <c r="I5862" s="16">
        <v>0.0</v>
      </c>
      <c r="J5862" s="16">
        <v>0.0</v>
      </c>
      <c r="K5862" s="16">
        <v>11.62</v>
      </c>
      <c r="L5862" s="16">
        <v>136.24</v>
      </c>
      <c r="M5862" s="16">
        <v>120.746</v>
      </c>
      <c r="N5862" s="16">
        <v>183.46</v>
      </c>
      <c r="O5862" s="24">
        <v>45.6</v>
      </c>
      <c r="P5862" s="18">
        <f t="shared" si="1"/>
        <v>136.24</v>
      </c>
    </row>
    <row r="5863" ht="15.75" customHeight="1">
      <c r="A5863" s="19" t="s">
        <v>264</v>
      </c>
      <c r="B5863" s="19" t="s">
        <v>22</v>
      </c>
      <c r="C5863" s="20" t="s">
        <v>26</v>
      </c>
      <c r="D5863" s="14" t="str">
        <f>VLOOKUP(C5863,'State Key'!$A$2:$B$210,2,False)</f>
        <v>Bihar</v>
      </c>
      <c r="E5863" s="21">
        <v>3300.0</v>
      </c>
      <c r="F5863" s="22">
        <v>458.15</v>
      </c>
      <c r="G5863" s="22">
        <v>0.0</v>
      </c>
      <c r="H5863" s="22">
        <v>767.75</v>
      </c>
      <c r="I5863" s="22">
        <v>0.0</v>
      </c>
      <c r="J5863" s="22">
        <v>0.0</v>
      </c>
      <c r="K5863" s="22">
        <v>0.0</v>
      </c>
      <c r="L5863" s="22">
        <v>1225.9</v>
      </c>
      <c r="M5863" s="22">
        <v>1211.489</v>
      </c>
      <c r="N5863" s="22">
        <v>589.59</v>
      </c>
      <c r="O5863" s="24">
        <v>14.6</v>
      </c>
      <c r="P5863" s="18">
        <f t="shared" si="1"/>
        <v>1225.9</v>
      </c>
    </row>
    <row r="5864" ht="15.75" customHeight="1">
      <c r="A5864" s="13" t="s">
        <v>264</v>
      </c>
      <c r="B5864" s="13" t="s">
        <v>22</v>
      </c>
      <c r="C5864" s="14" t="s">
        <v>27</v>
      </c>
      <c r="D5864" s="14" t="str">
        <f>VLOOKUP(C5864,'State Key'!$A$2:$B$210,2,False)</f>
        <v>Jharkhand</v>
      </c>
      <c r="E5864" s="15">
        <v>500.0</v>
      </c>
      <c r="F5864" s="16">
        <v>272.067</v>
      </c>
      <c r="G5864" s="16">
        <v>0.0</v>
      </c>
      <c r="H5864" s="16">
        <v>7.094</v>
      </c>
      <c r="I5864" s="16">
        <v>0.0</v>
      </c>
      <c r="J5864" s="16">
        <v>0.0</v>
      </c>
      <c r="K5864" s="16">
        <v>0.0</v>
      </c>
      <c r="L5864" s="16">
        <v>279.161</v>
      </c>
      <c r="M5864" s="16">
        <v>193.099</v>
      </c>
      <c r="N5864" s="16">
        <v>250.62</v>
      </c>
      <c r="O5864" s="24">
        <v>38.9</v>
      </c>
      <c r="P5864" s="18">
        <f t="shared" si="1"/>
        <v>279.161</v>
      </c>
    </row>
    <row r="5865" ht="15.75" customHeight="1">
      <c r="A5865" s="19" t="s">
        <v>264</v>
      </c>
      <c r="B5865" s="19" t="s">
        <v>22</v>
      </c>
      <c r="C5865" s="20" t="s">
        <v>28</v>
      </c>
      <c r="D5865" s="14" t="str">
        <f>VLOOKUP(C5865,'State Key'!$A$2:$B$210,2,False)</f>
        <v>West Bengal</v>
      </c>
      <c r="E5865" s="21">
        <v>750.0</v>
      </c>
      <c r="F5865" s="22">
        <v>95.01092</v>
      </c>
      <c r="G5865" s="22">
        <v>0.0</v>
      </c>
      <c r="H5865" s="22">
        <v>85.93175</v>
      </c>
      <c r="I5865" s="22">
        <v>73.73925</v>
      </c>
      <c r="J5865" s="22">
        <v>0.0</v>
      </c>
      <c r="K5865" s="22">
        <v>15.7224</v>
      </c>
      <c r="L5865" s="22">
        <v>270.40432</v>
      </c>
      <c r="M5865" s="22">
        <v>302.084</v>
      </c>
      <c r="N5865" s="22">
        <v>95.37</v>
      </c>
      <c r="O5865" s="23">
        <v>9.5</v>
      </c>
      <c r="P5865" s="18">
        <f t="shared" si="1"/>
        <v>270.40432</v>
      </c>
    </row>
    <row r="5866" ht="15.75" customHeight="1">
      <c r="A5866" s="13" t="s">
        <v>264</v>
      </c>
      <c r="B5866" s="13" t="s">
        <v>22</v>
      </c>
      <c r="C5866" s="14" t="s">
        <v>259</v>
      </c>
      <c r="D5866" s="14" t="str">
        <f>VLOOKUP(C5866,'State Key'!$A$2:$B$210,2,False)</f>
        <v>Bihar</v>
      </c>
      <c r="E5866" s="15">
        <v>660.0</v>
      </c>
      <c r="F5866" s="16">
        <v>131.131715</v>
      </c>
      <c r="G5866" s="16">
        <v>0.0</v>
      </c>
      <c r="H5866" s="16">
        <v>0.0</v>
      </c>
      <c r="I5866" s="16">
        <v>0.0</v>
      </c>
      <c r="J5866" s="16">
        <v>0.0</v>
      </c>
      <c r="K5866" s="16">
        <v>0.0</v>
      </c>
      <c r="L5866" s="16">
        <v>131.131715</v>
      </c>
      <c r="M5866" s="16">
        <v>80.013</v>
      </c>
      <c r="N5866" s="16">
        <v>51.12</v>
      </c>
      <c r="O5866" s="24">
        <v>19.2</v>
      </c>
      <c r="P5866" s="18">
        <f t="shared" si="1"/>
        <v>131.131715</v>
      </c>
    </row>
    <row r="5867" ht="15.75" customHeight="1">
      <c r="A5867" s="19" t="s">
        <v>264</v>
      </c>
      <c r="B5867" s="19" t="s">
        <v>22</v>
      </c>
      <c r="C5867" s="20" t="s">
        <v>29</v>
      </c>
      <c r="D5867" s="14" t="str">
        <f>VLOOKUP(C5867,'State Key'!$A$2:$B$210,2,False)</f>
        <v>Jharkhand</v>
      </c>
      <c r="E5867" s="21">
        <v>500.0</v>
      </c>
      <c r="F5867" s="22">
        <v>109.769</v>
      </c>
      <c r="G5867" s="22">
        <v>0.0</v>
      </c>
      <c r="H5867" s="22">
        <v>138.738</v>
      </c>
      <c r="I5867" s="22">
        <v>0.0</v>
      </c>
      <c r="J5867" s="22">
        <v>0.0</v>
      </c>
      <c r="K5867" s="22">
        <v>0.0</v>
      </c>
      <c r="L5867" s="22">
        <v>248.507</v>
      </c>
      <c r="M5867" s="22">
        <v>235.739</v>
      </c>
      <c r="N5867" s="22">
        <v>178.97</v>
      </c>
      <c r="O5867" s="24">
        <v>22.8</v>
      </c>
      <c r="P5867" s="18">
        <f t="shared" si="1"/>
        <v>248.507</v>
      </c>
    </row>
    <row r="5868" ht="15.75" customHeight="1">
      <c r="A5868" s="13" t="s">
        <v>264</v>
      </c>
      <c r="B5868" s="13" t="s">
        <v>22</v>
      </c>
      <c r="C5868" s="14" t="s">
        <v>30</v>
      </c>
      <c r="D5868" s="14" t="str">
        <f>VLOOKUP(C5868,'State Key'!$A$2:$B$210,2,False)</f>
        <v>West Bengal</v>
      </c>
      <c r="E5868" s="15">
        <v>550.0</v>
      </c>
      <c r="F5868" s="16">
        <v>176.45058</v>
      </c>
      <c r="G5868" s="16">
        <v>0.0</v>
      </c>
      <c r="H5868" s="16">
        <v>87.07185</v>
      </c>
      <c r="I5868" s="16">
        <v>0.0</v>
      </c>
      <c r="J5868" s="16">
        <v>0.0</v>
      </c>
      <c r="K5868" s="16">
        <v>0.0</v>
      </c>
      <c r="L5868" s="16">
        <v>263.52243</v>
      </c>
      <c r="M5868" s="16">
        <v>218.174</v>
      </c>
      <c r="N5868" s="16">
        <v>117.51</v>
      </c>
      <c r="O5868" s="24">
        <v>16.2</v>
      </c>
      <c r="P5868" s="18">
        <f t="shared" si="1"/>
        <v>263.52243</v>
      </c>
    </row>
    <row r="5869" ht="15.75" customHeight="1">
      <c r="A5869" s="19" t="s">
        <v>264</v>
      </c>
      <c r="B5869" s="19" t="s">
        <v>22</v>
      </c>
      <c r="C5869" s="20" t="s">
        <v>31</v>
      </c>
      <c r="D5869" s="14" t="str">
        <f>VLOOKUP(C5869,'State Key'!$A$2:$B$210,2,False)</f>
        <v>Odisha</v>
      </c>
      <c r="E5869" s="21">
        <v>1600.0</v>
      </c>
      <c r="F5869" s="22">
        <v>7.62</v>
      </c>
      <c r="G5869" s="22">
        <v>0.0</v>
      </c>
      <c r="H5869" s="22">
        <v>816.59</v>
      </c>
      <c r="I5869" s="22">
        <v>0.0</v>
      </c>
      <c r="J5869" s="22">
        <v>0.0</v>
      </c>
      <c r="K5869" s="22">
        <v>0.0</v>
      </c>
      <c r="L5869" s="22">
        <v>824.21</v>
      </c>
      <c r="M5869" s="22">
        <v>820.461</v>
      </c>
      <c r="N5869" s="22">
        <v>478.67</v>
      </c>
      <c r="O5869" s="24">
        <v>17.5</v>
      </c>
      <c r="P5869" s="18">
        <f t="shared" si="1"/>
        <v>824.21</v>
      </c>
    </row>
    <row r="5870" ht="15.75" customHeight="1">
      <c r="A5870" s="13" t="s">
        <v>264</v>
      </c>
      <c r="B5870" s="13" t="s">
        <v>22</v>
      </c>
      <c r="C5870" s="14" t="s">
        <v>32</v>
      </c>
      <c r="D5870" s="14" t="str">
        <f>VLOOKUP(C5870,'State Key'!$A$2:$B$210,2,False)</f>
        <v>Odisha</v>
      </c>
      <c r="E5870" s="15">
        <v>1200.0</v>
      </c>
      <c r="F5870" s="16">
        <v>502.917</v>
      </c>
      <c r="G5870" s="16">
        <v>0.0</v>
      </c>
      <c r="H5870" s="16">
        <v>0.0</v>
      </c>
      <c r="I5870" s="16">
        <v>117.349</v>
      </c>
      <c r="J5870" s="16">
        <v>0.0</v>
      </c>
      <c r="K5870" s="16">
        <v>0.0</v>
      </c>
      <c r="L5870" s="16">
        <v>620.266</v>
      </c>
      <c r="M5870" s="16">
        <v>293.393</v>
      </c>
      <c r="N5870" s="16">
        <v>1372.31</v>
      </c>
      <c r="O5870" s="24">
        <v>140.3</v>
      </c>
      <c r="P5870" s="18">
        <f t="shared" si="1"/>
        <v>620.266</v>
      </c>
    </row>
    <row r="5871" ht="15.75" customHeight="1">
      <c r="A5871" s="19" t="s">
        <v>264</v>
      </c>
      <c r="B5871" s="19" t="s">
        <v>22</v>
      </c>
      <c r="C5871" s="20" t="s">
        <v>34</v>
      </c>
      <c r="D5871" s="14" t="str">
        <f>VLOOKUP(C5871,'State Key'!$A$2:$B$210,2,False)</f>
        <v>West Bengal</v>
      </c>
      <c r="E5871" s="21">
        <v>1000.0</v>
      </c>
      <c r="F5871" s="22">
        <v>354.07</v>
      </c>
      <c r="G5871" s="22">
        <v>0.0</v>
      </c>
      <c r="H5871" s="22">
        <v>14.654</v>
      </c>
      <c r="I5871" s="22">
        <v>0.0</v>
      </c>
      <c r="J5871" s="22">
        <v>0.0</v>
      </c>
      <c r="K5871" s="22">
        <v>3.148</v>
      </c>
      <c r="L5871" s="22">
        <v>371.872</v>
      </c>
      <c r="M5871" s="22">
        <v>367.554</v>
      </c>
      <c r="N5871" s="22">
        <v>234.71</v>
      </c>
      <c r="O5871" s="24">
        <v>19.2</v>
      </c>
      <c r="P5871" s="18">
        <f t="shared" si="1"/>
        <v>371.872</v>
      </c>
    </row>
    <row r="5872" ht="15.75" customHeight="1">
      <c r="A5872" s="13" t="s">
        <v>264</v>
      </c>
      <c r="B5872" s="13" t="s">
        <v>22</v>
      </c>
      <c r="C5872" s="14" t="s">
        <v>35</v>
      </c>
      <c r="D5872" s="14" t="str">
        <f>VLOOKUP(C5872,'State Key'!$A$2:$B$210,2,False)</f>
        <v>West Bengal</v>
      </c>
      <c r="E5872" s="15">
        <v>2100.0</v>
      </c>
      <c r="F5872" s="16">
        <v>678.05</v>
      </c>
      <c r="G5872" s="16">
        <v>0.0</v>
      </c>
      <c r="H5872" s="16">
        <v>30.14</v>
      </c>
      <c r="I5872" s="16">
        <v>0.0</v>
      </c>
      <c r="J5872" s="16">
        <v>0.0</v>
      </c>
      <c r="K5872" s="16">
        <v>0.0</v>
      </c>
      <c r="L5872" s="16">
        <v>708.19</v>
      </c>
      <c r="M5872" s="16">
        <v>651.369</v>
      </c>
      <c r="N5872" s="16">
        <v>399.02</v>
      </c>
      <c r="O5872" s="24">
        <v>18.4</v>
      </c>
      <c r="P5872" s="18">
        <f t="shared" si="1"/>
        <v>708.19</v>
      </c>
    </row>
    <row r="5873" ht="15.75" customHeight="1">
      <c r="A5873" s="19" t="s">
        <v>264</v>
      </c>
      <c r="B5873" s="19" t="s">
        <v>22</v>
      </c>
      <c r="C5873" s="20" t="s">
        <v>36</v>
      </c>
      <c r="D5873" s="14" t="str">
        <f>VLOOKUP(C5873,'State Key'!$A$2:$B$210,2,False)</f>
        <v>West Bengal</v>
      </c>
      <c r="E5873" s="21">
        <v>600.0</v>
      </c>
      <c r="F5873" s="22">
        <v>246.182</v>
      </c>
      <c r="G5873" s="22">
        <v>0.0</v>
      </c>
      <c r="H5873" s="22">
        <v>0.0</v>
      </c>
      <c r="I5873" s="22">
        <v>0.0</v>
      </c>
      <c r="J5873" s="22">
        <v>0.0</v>
      </c>
      <c r="K5873" s="22">
        <v>0.0</v>
      </c>
      <c r="L5873" s="22">
        <v>246.182</v>
      </c>
      <c r="M5873" s="22">
        <v>191.37</v>
      </c>
      <c r="N5873" s="22">
        <v>111.52</v>
      </c>
      <c r="O5873" s="24">
        <v>17.5</v>
      </c>
      <c r="P5873" s="18">
        <f t="shared" si="1"/>
        <v>246.182</v>
      </c>
    </row>
    <row r="5874" ht="15.75" customHeight="1">
      <c r="A5874" s="13" t="s">
        <v>264</v>
      </c>
      <c r="B5874" s="13" t="s">
        <v>22</v>
      </c>
      <c r="C5874" s="14" t="s">
        <v>37</v>
      </c>
      <c r="D5874" s="14" t="str">
        <f>VLOOKUP(C5874,'State Key'!$A$2:$B$210,2,False)</f>
        <v>West Bengal</v>
      </c>
      <c r="E5874" s="15">
        <v>300.0</v>
      </c>
      <c r="F5874" s="16">
        <v>123.072</v>
      </c>
      <c r="G5874" s="16">
        <v>0.0</v>
      </c>
      <c r="H5874" s="16">
        <v>0.0</v>
      </c>
      <c r="I5874" s="16">
        <v>0.0</v>
      </c>
      <c r="J5874" s="16">
        <v>0.0</v>
      </c>
      <c r="K5874" s="16">
        <v>0.0</v>
      </c>
      <c r="L5874" s="16">
        <v>123.072</v>
      </c>
      <c r="M5874" s="16">
        <v>147.074</v>
      </c>
      <c r="N5874" s="16">
        <v>192.25</v>
      </c>
      <c r="O5874" s="24">
        <v>39.2</v>
      </c>
      <c r="P5874" s="18">
        <f t="shared" si="1"/>
        <v>123.072</v>
      </c>
    </row>
    <row r="5875" ht="15.75" customHeight="1">
      <c r="A5875" s="19" t="s">
        <v>264</v>
      </c>
      <c r="B5875" s="19" t="s">
        <v>22</v>
      </c>
      <c r="C5875" s="20" t="s">
        <v>38</v>
      </c>
      <c r="D5875" s="14" t="str">
        <f>VLOOKUP(C5875,'State Key'!$A$2:$B$210,2,False)</f>
        <v>Odisha</v>
      </c>
      <c r="E5875" s="21">
        <v>1740.0</v>
      </c>
      <c r="F5875" s="22">
        <v>115.96</v>
      </c>
      <c r="G5875" s="22">
        <v>0.0</v>
      </c>
      <c r="H5875" s="22">
        <v>761.09</v>
      </c>
      <c r="I5875" s="22">
        <v>0.0</v>
      </c>
      <c r="J5875" s="22">
        <v>0.0</v>
      </c>
      <c r="K5875" s="22">
        <v>0.0</v>
      </c>
      <c r="L5875" s="22">
        <v>877.05</v>
      </c>
      <c r="M5875" s="22">
        <v>873.89</v>
      </c>
      <c r="N5875" s="22">
        <v>430.33</v>
      </c>
      <c r="O5875" s="24">
        <v>14.8</v>
      </c>
      <c r="P5875" s="18">
        <f t="shared" si="1"/>
        <v>877.05</v>
      </c>
    </row>
    <row r="5876" ht="15.75" customHeight="1">
      <c r="A5876" s="13" t="s">
        <v>264</v>
      </c>
      <c r="B5876" s="13" t="s">
        <v>22</v>
      </c>
      <c r="C5876" s="14" t="s">
        <v>39</v>
      </c>
      <c r="D5876" s="14" t="str">
        <f>VLOOKUP(C5876,'State Key'!$A$2:$B$210,2,False)</f>
        <v>Jharkhand</v>
      </c>
      <c r="E5876" s="15">
        <v>240.0</v>
      </c>
      <c r="F5876" s="16">
        <v>77.664</v>
      </c>
      <c r="G5876" s="16">
        <v>0.0</v>
      </c>
      <c r="H5876" s="16">
        <v>0.0</v>
      </c>
      <c r="I5876" s="16">
        <v>0.0</v>
      </c>
      <c r="J5876" s="16">
        <v>0.0</v>
      </c>
      <c r="K5876" s="16">
        <v>0.0</v>
      </c>
      <c r="L5876" s="16">
        <v>77.664</v>
      </c>
      <c r="M5876" s="16">
        <v>90.43</v>
      </c>
      <c r="N5876" s="16">
        <v>70.96</v>
      </c>
      <c r="O5876" s="24">
        <v>23.5</v>
      </c>
      <c r="P5876" s="18">
        <f t="shared" si="1"/>
        <v>77.664</v>
      </c>
    </row>
    <row r="5877" ht="15.75" customHeight="1">
      <c r="A5877" s="19" t="s">
        <v>264</v>
      </c>
      <c r="B5877" s="19" t="s">
        <v>22</v>
      </c>
      <c r="C5877" s="20" t="s">
        <v>245</v>
      </c>
      <c r="D5877" s="14" t="str">
        <f>VLOOKUP(C5877,'State Key'!$A$2:$B$210,2,False)</f>
        <v>Odisha</v>
      </c>
      <c r="E5877" s="21">
        <v>700.0</v>
      </c>
      <c r="F5877" s="22">
        <v>0.0</v>
      </c>
      <c r="G5877" s="22">
        <v>0.0</v>
      </c>
      <c r="H5877" s="22">
        <v>0.0</v>
      </c>
      <c r="I5877" s="22">
        <v>389.92</v>
      </c>
      <c r="J5877" s="22">
        <v>0.0</v>
      </c>
      <c r="K5877" s="22">
        <v>0.0</v>
      </c>
      <c r="L5877" s="22">
        <v>389.92</v>
      </c>
      <c r="M5877" s="22">
        <v>326.157</v>
      </c>
      <c r="N5877" s="22">
        <v>88.68</v>
      </c>
      <c r="O5877" s="23">
        <v>8.2</v>
      </c>
      <c r="P5877" s="18">
        <f t="shared" si="1"/>
        <v>389.92</v>
      </c>
    </row>
    <row r="5878" ht="15.75" customHeight="1">
      <c r="A5878" s="13" t="s">
        <v>264</v>
      </c>
      <c r="B5878" s="13" t="s">
        <v>22</v>
      </c>
      <c r="C5878" s="14" t="s">
        <v>40</v>
      </c>
      <c r="D5878" s="14" t="str">
        <f>VLOOKUP(C5878,'State Key'!$A$2:$B$210,2,False)</f>
        <v>Bihar</v>
      </c>
      <c r="E5878" s="15">
        <v>2340.0</v>
      </c>
      <c r="F5878" s="16">
        <v>1162.41</v>
      </c>
      <c r="G5878" s="16">
        <v>0.0</v>
      </c>
      <c r="H5878" s="16">
        <v>0.0</v>
      </c>
      <c r="I5878" s="16">
        <v>0.0</v>
      </c>
      <c r="J5878" s="16">
        <v>0.0</v>
      </c>
      <c r="K5878" s="16">
        <v>0.0</v>
      </c>
      <c r="L5878" s="16">
        <v>1162.41</v>
      </c>
      <c r="M5878" s="16">
        <v>1153.884</v>
      </c>
      <c r="N5878" s="16">
        <v>656.79</v>
      </c>
      <c r="O5878" s="24">
        <v>17.1</v>
      </c>
      <c r="P5878" s="18">
        <f t="shared" si="1"/>
        <v>1162.41</v>
      </c>
    </row>
    <row r="5879" ht="15.75" customHeight="1">
      <c r="A5879" s="19" t="s">
        <v>264</v>
      </c>
      <c r="B5879" s="19" t="s">
        <v>22</v>
      </c>
      <c r="C5879" s="20" t="s">
        <v>41</v>
      </c>
      <c r="D5879" s="14" t="str">
        <f>VLOOKUP(C5879,'State Key'!$A$2:$B$210,2,False)</f>
        <v>Odisha</v>
      </c>
      <c r="E5879" s="21">
        <v>1050.0</v>
      </c>
      <c r="F5879" s="22">
        <v>357.78766</v>
      </c>
      <c r="G5879" s="22">
        <v>0.0</v>
      </c>
      <c r="H5879" s="22">
        <v>0.0</v>
      </c>
      <c r="I5879" s="22">
        <v>181.47178</v>
      </c>
      <c r="J5879" s="22">
        <v>0.0</v>
      </c>
      <c r="K5879" s="22">
        <v>0.0</v>
      </c>
      <c r="L5879" s="22">
        <v>539.25944</v>
      </c>
      <c r="M5879" s="22">
        <v>578.982</v>
      </c>
      <c r="N5879" s="22">
        <v>237.52</v>
      </c>
      <c r="O5879" s="23">
        <v>12.3</v>
      </c>
      <c r="P5879" s="18">
        <f t="shared" si="1"/>
        <v>539.25944</v>
      </c>
    </row>
    <row r="5880" ht="15.75" customHeight="1">
      <c r="A5880" s="13" t="s">
        <v>264</v>
      </c>
      <c r="B5880" s="13" t="s">
        <v>22</v>
      </c>
      <c r="C5880" s="14" t="s">
        <v>42</v>
      </c>
      <c r="D5880" s="14" t="str">
        <f>VLOOKUP(C5880,'State Key'!$A$2:$B$210,2,False)</f>
        <v>Jharkhand</v>
      </c>
      <c r="E5880" s="15">
        <v>1000.0</v>
      </c>
      <c r="F5880" s="16">
        <v>286.05</v>
      </c>
      <c r="G5880" s="16">
        <v>0.0</v>
      </c>
      <c r="H5880" s="16">
        <v>113.161</v>
      </c>
      <c r="I5880" s="16">
        <v>0.0</v>
      </c>
      <c r="J5880" s="16">
        <v>0.0</v>
      </c>
      <c r="K5880" s="16">
        <v>0.0</v>
      </c>
      <c r="L5880" s="16">
        <v>399.211</v>
      </c>
      <c r="M5880" s="16">
        <v>309.109</v>
      </c>
      <c r="N5880" s="16">
        <v>370.29</v>
      </c>
      <c r="O5880" s="24">
        <v>35.9</v>
      </c>
      <c r="P5880" s="18">
        <f t="shared" si="1"/>
        <v>399.211</v>
      </c>
    </row>
    <row r="5881" ht="15.75" customHeight="1">
      <c r="A5881" s="19" t="s">
        <v>264</v>
      </c>
      <c r="B5881" s="19" t="s">
        <v>22</v>
      </c>
      <c r="C5881" s="20" t="s">
        <v>43</v>
      </c>
      <c r="D5881" s="14" t="str">
        <f>VLOOKUP(C5881,'State Key'!$A$2:$B$210,2,False)</f>
        <v>West Bengal</v>
      </c>
      <c r="E5881" s="21">
        <v>840.0</v>
      </c>
      <c r="F5881" s="22">
        <v>0.0</v>
      </c>
      <c r="G5881" s="22">
        <v>0.0</v>
      </c>
      <c r="H5881" s="22">
        <v>262.584</v>
      </c>
      <c r="I5881" s="22">
        <v>4.089</v>
      </c>
      <c r="J5881" s="22">
        <v>0.0</v>
      </c>
      <c r="K5881" s="22">
        <v>0.0</v>
      </c>
      <c r="L5881" s="22">
        <v>266.673</v>
      </c>
      <c r="M5881" s="22">
        <v>305.087</v>
      </c>
      <c r="N5881" s="22">
        <v>125.17</v>
      </c>
      <c r="O5881" s="23">
        <v>12.3</v>
      </c>
      <c r="P5881" s="18">
        <f t="shared" si="1"/>
        <v>266.673</v>
      </c>
    </row>
    <row r="5882" ht="15.75" customHeight="1">
      <c r="A5882" s="13" t="s">
        <v>264</v>
      </c>
      <c r="B5882" s="13" t="s">
        <v>22</v>
      </c>
      <c r="C5882" s="14" t="s">
        <v>44</v>
      </c>
      <c r="D5882" s="14" t="str">
        <f>VLOOKUP(C5882,'State Key'!$A$2:$B$210,2,False)</f>
        <v>Jharkhand</v>
      </c>
      <c r="E5882" s="15">
        <v>540.0</v>
      </c>
      <c r="F5882" s="16">
        <v>100.721</v>
      </c>
      <c r="G5882" s="16">
        <v>0.0</v>
      </c>
      <c r="H5882" s="16">
        <v>0.0</v>
      </c>
      <c r="I5882" s="16">
        <v>0.0</v>
      </c>
      <c r="J5882" s="16">
        <v>0.0</v>
      </c>
      <c r="K5882" s="16">
        <v>25.176</v>
      </c>
      <c r="L5882" s="16">
        <v>125.897</v>
      </c>
      <c r="M5882" s="16">
        <v>127.398</v>
      </c>
      <c r="N5882" s="16">
        <v>68.28</v>
      </c>
      <c r="O5882" s="24">
        <v>16.1</v>
      </c>
      <c r="P5882" s="18">
        <f t="shared" si="1"/>
        <v>125.897</v>
      </c>
    </row>
    <row r="5883" ht="15.75" customHeight="1">
      <c r="A5883" s="19" t="s">
        <v>264</v>
      </c>
      <c r="B5883" s="19" t="s">
        <v>22</v>
      </c>
      <c r="C5883" s="20" t="s">
        <v>45</v>
      </c>
      <c r="D5883" s="14" t="str">
        <f>VLOOKUP(C5883,'State Key'!$A$2:$B$210,2,False)</f>
        <v>Jharkhand</v>
      </c>
      <c r="E5883" s="21">
        <v>1050.0</v>
      </c>
      <c r="F5883" s="22">
        <v>192.53981</v>
      </c>
      <c r="G5883" s="22">
        <v>0.0</v>
      </c>
      <c r="H5883" s="22">
        <v>0.0</v>
      </c>
      <c r="I5883" s="22">
        <v>0.0</v>
      </c>
      <c r="J5883" s="22">
        <v>0.0</v>
      </c>
      <c r="K5883" s="22">
        <v>0.0</v>
      </c>
      <c r="L5883" s="22">
        <v>192.53981</v>
      </c>
      <c r="M5883" s="22">
        <v>254.87</v>
      </c>
      <c r="N5883" s="22">
        <v>309.07</v>
      </c>
      <c r="O5883" s="24">
        <v>36.4</v>
      </c>
      <c r="P5883" s="18">
        <f t="shared" si="1"/>
        <v>192.53981</v>
      </c>
    </row>
    <row r="5884" ht="15.75" customHeight="1">
      <c r="A5884" s="13" t="s">
        <v>264</v>
      </c>
      <c r="B5884" s="13" t="s">
        <v>22</v>
      </c>
      <c r="C5884" s="14" t="s">
        <v>46</v>
      </c>
      <c r="D5884" s="14" t="str">
        <f>VLOOKUP(C5884,'State Key'!$A$2:$B$210,2,False)</f>
        <v>West Bengal</v>
      </c>
      <c r="E5884" s="15">
        <v>2340.0</v>
      </c>
      <c r="F5884" s="16">
        <v>551.294</v>
      </c>
      <c r="G5884" s="16">
        <v>0.0</v>
      </c>
      <c r="H5884" s="16">
        <v>151.695</v>
      </c>
      <c r="I5884" s="16">
        <v>0.0</v>
      </c>
      <c r="J5884" s="16">
        <v>0.0</v>
      </c>
      <c r="K5884" s="16">
        <v>188.681</v>
      </c>
      <c r="L5884" s="16">
        <v>891.67</v>
      </c>
      <c r="M5884" s="16">
        <v>884.499</v>
      </c>
      <c r="N5884" s="16">
        <v>477.38</v>
      </c>
      <c r="O5884" s="24">
        <v>16.2</v>
      </c>
      <c r="P5884" s="18">
        <f t="shared" si="1"/>
        <v>891.67</v>
      </c>
    </row>
    <row r="5885" ht="15.75" customHeight="1">
      <c r="A5885" s="19" t="s">
        <v>264</v>
      </c>
      <c r="B5885" s="19" t="s">
        <v>22</v>
      </c>
      <c r="C5885" s="20" t="s">
        <v>47</v>
      </c>
      <c r="D5885" s="14" t="str">
        <f>VLOOKUP(C5885,'State Key'!$A$2:$B$210,2,False)</f>
        <v>Bihar</v>
      </c>
      <c r="E5885" s="21">
        <v>390.0</v>
      </c>
      <c r="F5885" s="22">
        <v>4.011</v>
      </c>
      <c r="G5885" s="22">
        <v>0.0</v>
      </c>
      <c r="H5885" s="22">
        <v>27.031</v>
      </c>
      <c r="I5885" s="22">
        <v>74.857</v>
      </c>
      <c r="J5885" s="22">
        <v>0.0</v>
      </c>
      <c r="K5885" s="22">
        <v>0.0</v>
      </c>
      <c r="L5885" s="22">
        <v>105.899</v>
      </c>
      <c r="M5885" s="22">
        <v>92.689</v>
      </c>
      <c r="N5885" s="22">
        <v>188.15</v>
      </c>
      <c r="O5885" s="24">
        <v>60.9</v>
      </c>
      <c r="P5885" s="18">
        <f t="shared" si="1"/>
        <v>105.899</v>
      </c>
    </row>
    <row r="5886" ht="15.75" customHeight="1">
      <c r="A5886" s="13" t="s">
        <v>264</v>
      </c>
      <c r="B5886" s="13" t="s">
        <v>22</v>
      </c>
      <c r="C5886" s="14" t="s">
        <v>241</v>
      </c>
      <c r="D5886" s="14" t="str">
        <f>VLOOKUP(C5886,'State Key'!$A$2:$B$210,2,False)</f>
        <v>Odisha</v>
      </c>
      <c r="E5886" s="15">
        <v>60.0</v>
      </c>
      <c r="F5886" s="16">
        <v>29.45</v>
      </c>
      <c r="G5886" s="16">
        <v>0.0</v>
      </c>
      <c r="H5886" s="16">
        <v>0.0</v>
      </c>
      <c r="I5886" s="16">
        <v>0.0</v>
      </c>
      <c r="J5886" s="16">
        <v>0.0</v>
      </c>
      <c r="K5886" s="16">
        <v>14.38</v>
      </c>
      <c r="L5886" s="16">
        <v>43.83</v>
      </c>
      <c r="M5886" s="16">
        <v>39.72</v>
      </c>
      <c r="N5886" s="16">
        <v>27.11</v>
      </c>
      <c r="O5886" s="24">
        <v>20.5</v>
      </c>
      <c r="P5886" s="18">
        <f t="shared" si="1"/>
        <v>43.83</v>
      </c>
    </row>
    <row r="5887" ht="15.75" customHeight="1">
      <c r="A5887" s="19" t="s">
        <v>264</v>
      </c>
      <c r="B5887" s="19" t="s">
        <v>22</v>
      </c>
      <c r="C5887" s="20" t="s">
        <v>48</v>
      </c>
      <c r="D5887" s="14" t="str">
        <f>VLOOKUP(C5887,'State Key'!$A$2:$B$210,2,False)</f>
        <v>Bihar</v>
      </c>
      <c r="E5887" s="21">
        <v>1980.0</v>
      </c>
      <c r="F5887" s="22">
        <v>296.375</v>
      </c>
      <c r="G5887" s="22">
        <v>0.0</v>
      </c>
      <c r="H5887" s="22">
        <v>362.506</v>
      </c>
      <c r="I5887" s="22">
        <v>20.682</v>
      </c>
      <c r="J5887" s="22">
        <v>0.0</v>
      </c>
      <c r="K5887" s="22">
        <v>0.0</v>
      </c>
      <c r="L5887" s="22">
        <v>679.563</v>
      </c>
      <c r="M5887" s="22">
        <v>515.132</v>
      </c>
      <c r="N5887" s="22">
        <v>738.73</v>
      </c>
      <c r="O5887" s="24">
        <v>43.0</v>
      </c>
      <c r="P5887" s="18">
        <f t="shared" si="1"/>
        <v>679.563</v>
      </c>
    </row>
    <row r="5888" ht="15.75" customHeight="1">
      <c r="A5888" s="13" t="s">
        <v>264</v>
      </c>
      <c r="B5888" s="13" t="s">
        <v>22</v>
      </c>
      <c r="C5888" s="14" t="s">
        <v>49</v>
      </c>
      <c r="D5888" s="14" t="str">
        <f>VLOOKUP(C5888,'State Key'!$A$2:$B$210,2,False)</f>
        <v>Bihar</v>
      </c>
      <c r="E5888" s="15">
        <v>1000.0</v>
      </c>
      <c r="F5888" s="16">
        <v>312.3928</v>
      </c>
      <c r="G5888" s="16">
        <v>0.0</v>
      </c>
      <c r="H5888" s="16">
        <v>0.0</v>
      </c>
      <c r="I5888" s="16">
        <v>0.0</v>
      </c>
      <c r="J5888" s="16">
        <v>0.0</v>
      </c>
      <c r="K5888" s="16">
        <v>0.0</v>
      </c>
      <c r="L5888" s="16">
        <v>312.3928</v>
      </c>
      <c r="M5888" s="16">
        <v>242.203</v>
      </c>
      <c r="N5888" s="16">
        <v>298.44</v>
      </c>
      <c r="O5888" s="24">
        <v>37.0</v>
      </c>
      <c r="P5888" s="18">
        <f t="shared" si="1"/>
        <v>312.3928</v>
      </c>
    </row>
    <row r="5889" ht="15.75" customHeight="1">
      <c r="A5889" s="19" t="s">
        <v>264</v>
      </c>
      <c r="B5889" s="19" t="s">
        <v>22</v>
      </c>
      <c r="C5889" s="20" t="s">
        <v>50</v>
      </c>
      <c r="D5889" s="14" t="str">
        <f>VLOOKUP(C5889,'State Key'!$A$2:$B$210,2,False)</f>
        <v>Jharkhand</v>
      </c>
      <c r="E5889" s="21">
        <v>1980.0</v>
      </c>
      <c r="F5889" s="22">
        <v>518.24</v>
      </c>
      <c r="G5889" s="22">
        <v>0.0</v>
      </c>
      <c r="H5889" s="22">
        <v>391.51</v>
      </c>
      <c r="I5889" s="22">
        <v>0.0</v>
      </c>
      <c r="J5889" s="22">
        <v>0.0</v>
      </c>
      <c r="K5889" s="22">
        <v>0.0</v>
      </c>
      <c r="L5889" s="22">
        <v>909.75</v>
      </c>
      <c r="M5889" s="22">
        <v>935.89</v>
      </c>
      <c r="N5889" s="22">
        <v>158.96</v>
      </c>
      <c r="O5889" s="17">
        <v>5.1</v>
      </c>
      <c r="P5889" s="18">
        <f t="shared" si="1"/>
        <v>909.75</v>
      </c>
    </row>
    <row r="5890" ht="15.75" customHeight="1">
      <c r="A5890" s="13" t="s">
        <v>264</v>
      </c>
      <c r="B5890" s="13" t="s">
        <v>22</v>
      </c>
      <c r="C5890" s="14" t="s">
        <v>260</v>
      </c>
      <c r="D5890" s="14" t="str">
        <f>VLOOKUP(C5890,'State Key'!$A$2:$B$210,2,False)</f>
        <v>Jharkhand</v>
      </c>
      <c r="E5890" s="15">
        <v>800.0</v>
      </c>
      <c r="F5890" s="16">
        <v>276.732</v>
      </c>
      <c r="G5890" s="16">
        <v>0.0</v>
      </c>
      <c r="H5890" s="16">
        <v>84.21</v>
      </c>
      <c r="I5890" s="16">
        <v>0.0</v>
      </c>
      <c r="J5890" s="16">
        <v>0.0</v>
      </c>
      <c r="K5890" s="16">
        <v>0.0</v>
      </c>
      <c r="L5890" s="16">
        <v>360.942</v>
      </c>
      <c r="M5890" s="16">
        <v>261.307</v>
      </c>
      <c r="N5890" s="16">
        <v>297.1</v>
      </c>
      <c r="O5890" s="24">
        <v>34.1</v>
      </c>
      <c r="P5890" s="18">
        <f t="shared" si="1"/>
        <v>360.942</v>
      </c>
    </row>
    <row r="5891" ht="15.75" customHeight="1">
      <c r="A5891" s="19" t="s">
        <v>264</v>
      </c>
      <c r="B5891" s="19" t="s">
        <v>22</v>
      </c>
      <c r="C5891" s="20" t="s">
        <v>51</v>
      </c>
      <c r="D5891" s="14" t="str">
        <f>VLOOKUP(C5891,'State Key'!$A$2:$B$210,2,False)</f>
        <v>West Bengal</v>
      </c>
      <c r="E5891" s="21">
        <v>1200.0</v>
      </c>
      <c r="F5891" s="22">
        <v>355.645</v>
      </c>
      <c r="G5891" s="22">
        <v>0.0</v>
      </c>
      <c r="H5891" s="22">
        <v>11.712</v>
      </c>
      <c r="I5891" s="22">
        <v>0.0</v>
      </c>
      <c r="J5891" s="22">
        <v>0.0</v>
      </c>
      <c r="K5891" s="22">
        <v>27.017</v>
      </c>
      <c r="L5891" s="22">
        <v>394.374</v>
      </c>
      <c r="M5891" s="22">
        <v>444.599</v>
      </c>
      <c r="N5891" s="22">
        <v>286.31</v>
      </c>
      <c r="O5891" s="24">
        <v>19.3</v>
      </c>
      <c r="P5891" s="18">
        <f t="shared" si="1"/>
        <v>394.374</v>
      </c>
    </row>
    <row r="5892" ht="15.75" customHeight="1">
      <c r="A5892" s="13" t="s">
        <v>264</v>
      </c>
      <c r="B5892" s="13" t="s">
        <v>22</v>
      </c>
      <c r="C5892" s="14" t="s">
        <v>52</v>
      </c>
      <c r="D5892" s="14" t="str">
        <f>VLOOKUP(C5892,'State Key'!$A$2:$B$210,2,False)</f>
        <v>West Bengal</v>
      </c>
      <c r="E5892" s="15">
        <v>1600.0</v>
      </c>
      <c r="F5892" s="16">
        <v>0.0</v>
      </c>
      <c r="G5892" s="16">
        <v>0.0</v>
      </c>
      <c r="H5892" s="16">
        <v>792.551</v>
      </c>
      <c r="I5892" s="16">
        <v>0.0</v>
      </c>
      <c r="J5892" s="16">
        <v>0.0</v>
      </c>
      <c r="K5892" s="16">
        <v>0.0</v>
      </c>
      <c r="L5892" s="16">
        <v>792.551</v>
      </c>
      <c r="M5892" s="16">
        <v>697.098</v>
      </c>
      <c r="N5892" s="16">
        <v>609.89</v>
      </c>
      <c r="O5892" s="24">
        <v>26.2</v>
      </c>
      <c r="P5892" s="18">
        <f t="shared" si="1"/>
        <v>792.551</v>
      </c>
    </row>
    <row r="5893" ht="15.75" customHeight="1">
      <c r="A5893" s="19" t="s">
        <v>264</v>
      </c>
      <c r="B5893" s="19" t="s">
        <v>22</v>
      </c>
      <c r="C5893" s="20" t="s">
        <v>53</v>
      </c>
      <c r="D5893" s="14" t="str">
        <f>VLOOKUP(C5893,'State Key'!$A$2:$B$210,2,False)</f>
        <v>West Bengal</v>
      </c>
      <c r="E5893" s="21">
        <v>500.0</v>
      </c>
      <c r="F5893" s="22">
        <v>0.0</v>
      </c>
      <c r="G5893" s="22">
        <v>0.0</v>
      </c>
      <c r="H5893" s="22">
        <v>159.34</v>
      </c>
      <c r="I5893" s="22">
        <v>0.0</v>
      </c>
      <c r="J5893" s="22">
        <v>0.0</v>
      </c>
      <c r="K5893" s="22">
        <v>0.0</v>
      </c>
      <c r="L5893" s="22">
        <v>159.34</v>
      </c>
      <c r="M5893" s="22">
        <v>223.106</v>
      </c>
      <c r="N5893" s="22">
        <v>42.73</v>
      </c>
      <c r="O5893" s="17">
        <v>5.7</v>
      </c>
      <c r="P5893" s="18">
        <f t="shared" si="1"/>
        <v>159.34</v>
      </c>
    </row>
    <row r="5894" ht="15.75" customHeight="1">
      <c r="A5894" s="13" t="s">
        <v>264</v>
      </c>
      <c r="B5894" s="13" t="s">
        <v>22</v>
      </c>
      <c r="C5894" s="14" t="s">
        <v>54</v>
      </c>
      <c r="D5894" s="14" t="str">
        <f>VLOOKUP(C5894,'State Key'!$A$2:$B$210,2,False)</f>
        <v>West Bengal</v>
      </c>
      <c r="E5894" s="15">
        <v>135.0</v>
      </c>
      <c r="F5894" s="16">
        <v>14.25245</v>
      </c>
      <c r="G5894" s="16">
        <v>0.0</v>
      </c>
      <c r="H5894" s="16">
        <v>0.0</v>
      </c>
      <c r="I5894" s="16">
        <v>0.0</v>
      </c>
      <c r="J5894" s="16">
        <v>0.0</v>
      </c>
      <c r="K5894" s="16">
        <v>0.0</v>
      </c>
      <c r="L5894" s="16">
        <v>14.25245</v>
      </c>
      <c r="M5894" s="16">
        <v>1.892</v>
      </c>
      <c r="N5894" s="16">
        <v>35.43</v>
      </c>
      <c r="O5894" s="24">
        <v>561.8</v>
      </c>
      <c r="P5894" s="18">
        <f t="shared" si="1"/>
        <v>14.25245</v>
      </c>
    </row>
    <row r="5895" ht="15.75" customHeight="1">
      <c r="A5895" s="19" t="s">
        <v>264</v>
      </c>
      <c r="B5895" s="19" t="s">
        <v>22</v>
      </c>
      <c r="C5895" s="20" t="s">
        <v>55</v>
      </c>
      <c r="D5895" s="14" t="str">
        <f>VLOOKUP(C5895,'State Key'!$A$2:$B$210,2,False)</f>
        <v>Odisha</v>
      </c>
      <c r="E5895" s="21">
        <v>3000.0</v>
      </c>
      <c r="F5895" s="22">
        <v>1258.22</v>
      </c>
      <c r="G5895" s="22">
        <v>0.0</v>
      </c>
      <c r="H5895" s="22">
        <v>91.31</v>
      </c>
      <c r="I5895" s="22">
        <v>0.0</v>
      </c>
      <c r="J5895" s="22">
        <v>0.0</v>
      </c>
      <c r="K5895" s="22">
        <v>0.0</v>
      </c>
      <c r="L5895" s="22">
        <v>1349.53</v>
      </c>
      <c r="M5895" s="22">
        <v>1356.917</v>
      </c>
      <c r="N5895" s="22">
        <v>501.75</v>
      </c>
      <c r="O5895" s="23">
        <v>11.1</v>
      </c>
      <c r="P5895" s="18">
        <f t="shared" si="1"/>
        <v>1349.53</v>
      </c>
    </row>
    <row r="5896" ht="15.75" customHeight="1">
      <c r="A5896" s="13" t="s">
        <v>264</v>
      </c>
      <c r="B5896" s="13" t="s">
        <v>22</v>
      </c>
      <c r="C5896" s="14" t="s">
        <v>56</v>
      </c>
      <c r="D5896" s="14" t="str">
        <f>VLOOKUP(C5896,'State Key'!$A$2:$B$210,2,False)</f>
        <v>Jharkhand</v>
      </c>
      <c r="E5896" s="15">
        <v>420.0</v>
      </c>
      <c r="F5896" s="16">
        <v>361.62</v>
      </c>
      <c r="G5896" s="16">
        <v>0.0</v>
      </c>
      <c r="H5896" s="16">
        <v>0.0</v>
      </c>
      <c r="I5896" s="16">
        <v>0.0</v>
      </c>
      <c r="J5896" s="16">
        <v>0.0</v>
      </c>
      <c r="K5896" s="16">
        <v>0.0</v>
      </c>
      <c r="L5896" s="16">
        <v>361.62</v>
      </c>
      <c r="M5896" s="16">
        <v>163.39</v>
      </c>
      <c r="N5896" s="16">
        <v>294.64</v>
      </c>
      <c r="O5896" s="24">
        <v>54.1</v>
      </c>
      <c r="P5896" s="18">
        <f t="shared" si="1"/>
        <v>361.62</v>
      </c>
    </row>
    <row r="5897" ht="15.75" customHeight="1">
      <c r="A5897" s="19" t="s">
        <v>264</v>
      </c>
      <c r="B5897" s="19" t="s">
        <v>22</v>
      </c>
      <c r="C5897" s="20" t="s">
        <v>60</v>
      </c>
      <c r="D5897" s="14" t="str">
        <f>VLOOKUP(C5897,'State Key'!$A$2:$B$210,2,False)</f>
        <v>Odisha</v>
      </c>
      <c r="E5897" s="21">
        <v>600.0</v>
      </c>
      <c r="F5897" s="22">
        <v>305.83246</v>
      </c>
      <c r="G5897" s="22">
        <v>0.0</v>
      </c>
      <c r="H5897" s="22">
        <v>0.0</v>
      </c>
      <c r="I5897" s="22">
        <v>0.0</v>
      </c>
      <c r="J5897" s="22">
        <v>0.0</v>
      </c>
      <c r="K5897" s="22">
        <v>0.0</v>
      </c>
      <c r="L5897" s="22">
        <v>305.83246</v>
      </c>
      <c r="M5897" s="22">
        <v>300.7384</v>
      </c>
      <c r="N5897" s="22">
        <v>82.59</v>
      </c>
      <c r="O5897" s="23">
        <v>8.2</v>
      </c>
      <c r="P5897" s="18">
        <f t="shared" si="1"/>
        <v>305.83246</v>
      </c>
    </row>
    <row r="5898" ht="15.75" customHeight="1">
      <c r="A5898" s="13" t="s">
        <v>264</v>
      </c>
      <c r="B5898" s="13" t="s">
        <v>61</v>
      </c>
      <c r="C5898" s="14" t="s">
        <v>209</v>
      </c>
      <c r="D5898" s="14" t="str">
        <f>VLOOKUP(C5898,'State Key'!$A$2:$B$210,2,False)</f>
        <v>Rajasthan</v>
      </c>
      <c r="E5898" s="15">
        <v>1320.0</v>
      </c>
      <c r="F5898" s="16">
        <v>329.939</v>
      </c>
      <c r="G5898" s="16">
        <v>0.0</v>
      </c>
      <c r="H5898" s="16">
        <v>0.0</v>
      </c>
      <c r="I5898" s="16">
        <v>0.0</v>
      </c>
      <c r="J5898" s="16">
        <v>12.112</v>
      </c>
      <c r="K5898" s="16">
        <v>0.0</v>
      </c>
      <c r="L5898" s="16">
        <v>342.051</v>
      </c>
      <c r="M5898" s="16">
        <v>386.509</v>
      </c>
      <c r="N5898" s="16">
        <v>328.45</v>
      </c>
      <c r="O5898" s="24">
        <v>25.5</v>
      </c>
      <c r="P5898" s="18">
        <f t="shared" si="1"/>
        <v>342.051</v>
      </c>
    </row>
    <row r="5899" ht="15.75" customHeight="1">
      <c r="A5899" s="19" t="s">
        <v>264</v>
      </c>
      <c r="B5899" s="19" t="s">
        <v>61</v>
      </c>
      <c r="C5899" s="20" t="s">
        <v>62</v>
      </c>
      <c r="D5899" s="14" t="str">
        <f>VLOOKUP(C5899,'State Key'!$A$2:$B$210,2,False)</f>
        <v>Uttar Pradesh</v>
      </c>
      <c r="E5899" s="21">
        <v>1200.0</v>
      </c>
      <c r="F5899" s="22">
        <v>342.862</v>
      </c>
      <c r="G5899" s="22">
        <v>0.0</v>
      </c>
      <c r="H5899" s="22">
        <v>0.0</v>
      </c>
      <c r="I5899" s="22">
        <v>0.0</v>
      </c>
      <c r="J5899" s="22">
        <v>0.0</v>
      </c>
      <c r="K5899" s="22">
        <v>0.0</v>
      </c>
      <c r="L5899" s="22">
        <v>342.862</v>
      </c>
      <c r="M5899" s="22">
        <v>360.308</v>
      </c>
      <c r="N5899" s="22">
        <v>124.8</v>
      </c>
      <c r="O5899" s="23">
        <v>10.4</v>
      </c>
      <c r="P5899" s="18">
        <f t="shared" si="1"/>
        <v>342.862</v>
      </c>
    </row>
    <row r="5900" ht="15.75" customHeight="1">
      <c r="A5900" s="13" t="s">
        <v>264</v>
      </c>
      <c r="B5900" s="13" t="s">
        <v>61</v>
      </c>
      <c r="C5900" s="14" t="s">
        <v>63</v>
      </c>
      <c r="D5900" s="14" t="str">
        <f>VLOOKUP(C5900,'State Key'!$A$2:$B$210,2,False)</f>
        <v>Uttar Pradesh</v>
      </c>
      <c r="E5900" s="15">
        <v>2630.0</v>
      </c>
      <c r="F5900" s="16">
        <v>1252.19</v>
      </c>
      <c r="G5900" s="16">
        <v>0.0</v>
      </c>
      <c r="H5900" s="16">
        <v>0.0</v>
      </c>
      <c r="I5900" s="16">
        <v>0.0</v>
      </c>
      <c r="J5900" s="16">
        <v>0.0</v>
      </c>
      <c r="K5900" s="16">
        <v>0.0</v>
      </c>
      <c r="L5900" s="16">
        <v>1252.19</v>
      </c>
      <c r="M5900" s="16">
        <v>994.152</v>
      </c>
      <c r="N5900" s="16">
        <v>819.77</v>
      </c>
      <c r="O5900" s="24">
        <v>24.7</v>
      </c>
      <c r="P5900" s="18">
        <f t="shared" si="1"/>
        <v>1252.19</v>
      </c>
    </row>
    <row r="5901" ht="15.75" customHeight="1">
      <c r="A5901" s="19" t="s">
        <v>264</v>
      </c>
      <c r="B5901" s="19" t="s">
        <v>61</v>
      </c>
      <c r="C5901" s="20" t="s">
        <v>64</v>
      </c>
      <c r="D5901" s="14" t="str">
        <f>VLOOKUP(C5901,'State Key'!$A$2:$B$210,2,False)</f>
        <v>Uttar Pradesh</v>
      </c>
      <c r="E5901" s="21">
        <v>90.0</v>
      </c>
      <c r="F5901" s="22">
        <v>27.74</v>
      </c>
      <c r="G5901" s="22">
        <v>0.0</v>
      </c>
      <c r="H5901" s="22">
        <v>0.0</v>
      </c>
      <c r="I5901" s="22">
        <v>0.0</v>
      </c>
      <c r="J5901" s="22">
        <v>0.0</v>
      </c>
      <c r="K5901" s="22">
        <v>0.0</v>
      </c>
      <c r="L5901" s="22">
        <v>27.74</v>
      </c>
      <c r="M5901" s="22">
        <v>33.014</v>
      </c>
      <c r="N5901" s="22">
        <v>45.84</v>
      </c>
      <c r="O5901" s="24">
        <v>41.7</v>
      </c>
      <c r="P5901" s="18">
        <f t="shared" si="1"/>
        <v>27.74</v>
      </c>
    </row>
    <row r="5902" ht="15.75" customHeight="1">
      <c r="A5902" s="13" t="s">
        <v>264</v>
      </c>
      <c r="B5902" s="13" t="s">
        <v>61</v>
      </c>
      <c r="C5902" s="14" t="s">
        <v>65</v>
      </c>
      <c r="D5902" s="14" t="str">
        <f>VLOOKUP(C5902,'State Key'!$A$2:$B$210,2,False)</f>
        <v>Rajasthan</v>
      </c>
      <c r="E5902" s="15">
        <v>500.0</v>
      </c>
      <c r="F5902" s="16">
        <v>132.7604</v>
      </c>
      <c r="G5902" s="16">
        <v>0.0</v>
      </c>
      <c r="H5902" s="16">
        <v>0.0</v>
      </c>
      <c r="I5902" s="16">
        <v>0.0</v>
      </c>
      <c r="J5902" s="16">
        <v>0.0</v>
      </c>
      <c r="K5902" s="16">
        <v>0.0</v>
      </c>
      <c r="L5902" s="16">
        <v>132.7604</v>
      </c>
      <c r="M5902" s="16">
        <v>210.7255</v>
      </c>
      <c r="N5902" s="16">
        <v>134.7089</v>
      </c>
      <c r="O5902" s="24">
        <v>19.2</v>
      </c>
      <c r="P5902" s="18">
        <f t="shared" si="1"/>
        <v>132.7604</v>
      </c>
    </row>
    <row r="5903" ht="15.75" customHeight="1">
      <c r="A5903" s="19" t="s">
        <v>264</v>
      </c>
      <c r="B5903" s="19" t="s">
        <v>61</v>
      </c>
      <c r="C5903" s="20" t="s">
        <v>66</v>
      </c>
      <c r="D5903" s="14" t="str">
        <f>VLOOKUP(C5903,'State Key'!$A$2:$B$210,2,False)</f>
        <v>Rajasthan</v>
      </c>
      <c r="E5903" s="21">
        <v>500.0</v>
      </c>
      <c r="F5903" s="22">
        <v>0.0</v>
      </c>
      <c r="G5903" s="22">
        <v>0.0</v>
      </c>
      <c r="H5903" s="22">
        <v>70.004</v>
      </c>
      <c r="I5903" s="22">
        <v>0.0</v>
      </c>
      <c r="J5903" s="22">
        <v>0.0</v>
      </c>
      <c r="K5903" s="22">
        <v>0.0</v>
      </c>
      <c r="L5903" s="22">
        <v>70.004</v>
      </c>
      <c r="M5903" s="22">
        <v>163.3479</v>
      </c>
      <c r="N5903" s="22">
        <v>118.8881</v>
      </c>
      <c r="O5903" s="24">
        <v>21.8</v>
      </c>
      <c r="P5903" s="18">
        <f t="shared" si="1"/>
        <v>70.004</v>
      </c>
    </row>
    <row r="5904" ht="15.75" customHeight="1">
      <c r="A5904" s="13" t="s">
        <v>264</v>
      </c>
      <c r="B5904" s="13" t="s">
        <v>61</v>
      </c>
      <c r="C5904" s="14" t="s">
        <v>67</v>
      </c>
      <c r="D5904" s="14" t="str">
        <f>VLOOKUP(C5904,'State Key'!$A$2:$B$210,2,False)</f>
        <v>Rajasthan</v>
      </c>
      <c r="E5904" s="15">
        <v>1320.0</v>
      </c>
      <c r="F5904" s="16">
        <v>11.57178</v>
      </c>
      <c r="G5904" s="16">
        <v>0.0</v>
      </c>
      <c r="H5904" s="16">
        <v>231.92868</v>
      </c>
      <c r="I5904" s="16">
        <v>0.0</v>
      </c>
      <c r="J5904" s="16">
        <v>0.0</v>
      </c>
      <c r="K5904" s="16">
        <v>0.0</v>
      </c>
      <c r="L5904" s="16">
        <v>243.50046</v>
      </c>
      <c r="M5904" s="16">
        <v>379.4861</v>
      </c>
      <c r="N5904" s="16">
        <v>444.15</v>
      </c>
      <c r="O5904" s="24">
        <v>35.1</v>
      </c>
      <c r="P5904" s="18">
        <f t="shared" si="1"/>
        <v>243.50046</v>
      </c>
    </row>
    <row r="5905" ht="15.75" customHeight="1">
      <c r="A5905" s="19" t="s">
        <v>264</v>
      </c>
      <c r="B5905" s="19" t="s">
        <v>61</v>
      </c>
      <c r="C5905" s="20" t="s">
        <v>68</v>
      </c>
      <c r="D5905" s="14" t="str">
        <f>VLOOKUP(C5905,'State Key'!$A$2:$B$210,2,False)</f>
        <v>Uttar Pradesh</v>
      </c>
      <c r="E5905" s="21">
        <v>1820.0</v>
      </c>
      <c r="F5905" s="22">
        <v>352.61</v>
      </c>
      <c r="G5905" s="22">
        <v>0.0</v>
      </c>
      <c r="H5905" s="22">
        <v>18.76</v>
      </c>
      <c r="I5905" s="22">
        <v>0.0</v>
      </c>
      <c r="J5905" s="22">
        <v>0.0</v>
      </c>
      <c r="K5905" s="22">
        <v>90.53</v>
      </c>
      <c r="L5905" s="22">
        <v>461.9</v>
      </c>
      <c r="M5905" s="22">
        <v>631.549</v>
      </c>
      <c r="N5905" s="22">
        <v>260.24</v>
      </c>
      <c r="O5905" s="23">
        <v>12.4</v>
      </c>
      <c r="P5905" s="18">
        <f t="shared" si="1"/>
        <v>461.9</v>
      </c>
    </row>
    <row r="5906" ht="15.75" customHeight="1">
      <c r="A5906" s="13" t="s">
        <v>264</v>
      </c>
      <c r="B5906" s="13" t="s">
        <v>61</v>
      </c>
      <c r="C5906" s="14" t="s">
        <v>69</v>
      </c>
      <c r="D5906" s="14" t="str">
        <f>VLOOKUP(C5906,'State Key'!$A$2:$B$210,2,False)</f>
        <v>Punjab</v>
      </c>
      <c r="E5906" s="15">
        <v>920.0</v>
      </c>
      <c r="F5906" s="16">
        <v>85.498</v>
      </c>
      <c r="G5906" s="16">
        <v>0.0</v>
      </c>
      <c r="H5906" s="16">
        <v>171.374</v>
      </c>
      <c r="I5906" s="16">
        <v>0.0</v>
      </c>
      <c r="J5906" s="16">
        <v>0.0</v>
      </c>
      <c r="K5906" s="16">
        <v>0.0</v>
      </c>
      <c r="L5906" s="16">
        <v>256.872</v>
      </c>
      <c r="M5906" s="16">
        <v>240.031</v>
      </c>
      <c r="N5906" s="16">
        <v>318.27</v>
      </c>
      <c r="O5906" s="24">
        <v>39.8</v>
      </c>
      <c r="P5906" s="18">
        <f t="shared" si="1"/>
        <v>256.872</v>
      </c>
    </row>
    <row r="5907" ht="15.75" customHeight="1">
      <c r="A5907" s="19" t="s">
        <v>264</v>
      </c>
      <c r="B5907" s="19" t="s">
        <v>61</v>
      </c>
      <c r="C5907" s="20" t="s">
        <v>242</v>
      </c>
      <c r="D5907" s="14" t="str">
        <f>VLOOKUP(C5907,'State Key'!$A$2:$B$210,2,False)</f>
        <v>Uttar Pradesh</v>
      </c>
      <c r="E5907" s="21">
        <v>1320.0</v>
      </c>
      <c r="F5907" s="22">
        <v>323.228</v>
      </c>
      <c r="G5907" s="22">
        <v>0.0</v>
      </c>
      <c r="H5907" s="22">
        <v>0.0</v>
      </c>
      <c r="I5907" s="22">
        <v>0.0</v>
      </c>
      <c r="J5907" s="22">
        <v>0.0</v>
      </c>
      <c r="K5907" s="22">
        <v>0.0</v>
      </c>
      <c r="L5907" s="22">
        <v>323.228</v>
      </c>
      <c r="M5907" s="22">
        <v>256.205</v>
      </c>
      <c r="N5907" s="22">
        <v>211.52</v>
      </c>
      <c r="O5907" s="24">
        <v>24.8</v>
      </c>
      <c r="P5907" s="18">
        <f t="shared" si="1"/>
        <v>323.228</v>
      </c>
    </row>
    <row r="5908" ht="15.75" customHeight="1">
      <c r="A5908" s="13" t="s">
        <v>264</v>
      </c>
      <c r="B5908" s="13" t="s">
        <v>61</v>
      </c>
      <c r="C5908" s="14" t="s">
        <v>70</v>
      </c>
      <c r="D5908" s="14" t="str">
        <f>VLOOKUP(C5908,'State Key'!$A$2:$B$210,2,False)</f>
        <v>Punjab</v>
      </c>
      <c r="E5908" s="15">
        <v>540.0</v>
      </c>
      <c r="F5908" s="16">
        <v>0.0</v>
      </c>
      <c r="G5908" s="16">
        <v>0.0</v>
      </c>
      <c r="H5908" s="16">
        <v>95.035</v>
      </c>
      <c r="I5908" s="16">
        <v>0.0</v>
      </c>
      <c r="J5908" s="16">
        <v>0.0</v>
      </c>
      <c r="K5908" s="16">
        <v>0.0</v>
      </c>
      <c r="L5908" s="16">
        <v>95.035</v>
      </c>
      <c r="M5908" s="16">
        <v>89.675</v>
      </c>
      <c r="N5908" s="16">
        <v>135.63</v>
      </c>
      <c r="O5908" s="24">
        <v>45.4</v>
      </c>
      <c r="P5908" s="18">
        <f t="shared" si="1"/>
        <v>95.035</v>
      </c>
    </row>
    <row r="5909" ht="15.75" customHeight="1">
      <c r="A5909" s="19" t="s">
        <v>264</v>
      </c>
      <c r="B5909" s="19" t="s">
        <v>61</v>
      </c>
      <c r="C5909" s="20" t="s">
        <v>71</v>
      </c>
      <c r="D5909" s="14" t="str">
        <f>VLOOKUP(C5909,'State Key'!$A$2:$B$210,2,False)</f>
        <v>Uttar Pradesh</v>
      </c>
      <c r="E5909" s="21">
        <v>1265.0</v>
      </c>
      <c r="F5909" s="22">
        <v>118.489</v>
      </c>
      <c r="G5909" s="22">
        <v>0.0</v>
      </c>
      <c r="H5909" s="22">
        <v>0.0</v>
      </c>
      <c r="I5909" s="22">
        <v>0.0</v>
      </c>
      <c r="J5909" s="22">
        <v>0.0</v>
      </c>
      <c r="K5909" s="22">
        <v>0.0</v>
      </c>
      <c r="L5909" s="22">
        <v>118.489</v>
      </c>
      <c r="M5909" s="22">
        <v>234.471</v>
      </c>
      <c r="N5909" s="22">
        <v>459.71</v>
      </c>
      <c r="O5909" s="24">
        <v>58.8</v>
      </c>
      <c r="P5909" s="18">
        <f t="shared" si="1"/>
        <v>118.489</v>
      </c>
    </row>
    <row r="5910" ht="15.75" customHeight="1">
      <c r="A5910" s="13" t="s">
        <v>264</v>
      </c>
      <c r="B5910" s="13" t="s">
        <v>61</v>
      </c>
      <c r="C5910" s="14" t="s">
        <v>72</v>
      </c>
      <c r="D5910" s="14" t="str">
        <f>VLOOKUP(C5910,'State Key'!$A$2:$B$210,2,False)</f>
        <v>Haryana</v>
      </c>
      <c r="E5910" s="15">
        <v>1500.0</v>
      </c>
      <c r="F5910" s="16">
        <v>327.568</v>
      </c>
      <c r="G5910" s="16">
        <v>0.0</v>
      </c>
      <c r="H5910" s="16">
        <v>0.0</v>
      </c>
      <c r="I5910" s="16">
        <v>0.0</v>
      </c>
      <c r="J5910" s="16">
        <v>0.0</v>
      </c>
      <c r="K5910" s="16">
        <v>0.205</v>
      </c>
      <c r="L5910" s="16">
        <v>327.773</v>
      </c>
      <c r="M5910" s="16">
        <v>440.347</v>
      </c>
      <c r="N5910" s="16">
        <v>482.073</v>
      </c>
      <c r="O5910" s="24">
        <v>32.8</v>
      </c>
      <c r="P5910" s="18">
        <f t="shared" si="1"/>
        <v>327.773</v>
      </c>
    </row>
    <row r="5911" ht="15.75" customHeight="1">
      <c r="A5911" s="19" t="s">
        <v>264</v>
      </c>
      <c r="B5911" s="19" t="s">
        <v>61</v>
      </c>
      <c r="C5911" s="20" t="s">
        <v>226</v>
      </c>
      <c r="D5911" s="14" t="str">
        <f>VLOOKUP(C5911,'State Key'!$A$2:$B$210,2,False)</f>
        <v>Uttar Pradesh</v>
      </c>
      <c r="E5911" s="21">
        <v>1320.0</v>
      </c>
      <c r="F5911" s="22">
        <v>59.39</v>
      </c>
      <c r="G5911" s="22">
        <v>0.0</v>
      </c>
      <c r="H5911" s="22">
        <v>0.0</v>
      </c>
      <c r="I5911" s="22">
        <v>0.0</v>
      </c>
      <c r="J5911" s="22">
        <v>0.0</v>
      </c>
      <c r="K5911" s="22">
        <v>0.0</v>
      </c>
      <c r="L5911" s="22">
        <v>59.39</v>
      </c>
      <c r="M5911" s="22">
        <v>34.99</v>
      </c>
      <c r="N5911" s="22">
        <v>487.55</v>
      </c>
      <c r="O5911" s="24">
        <v>418.0</v>
      </c>
      <c r="P5911" s="18">
        <f t="shared" si="1"/>
        <v>59.39</v>
      </c>
    </row>
    <row r="5912" ht="15.75" customHeight="1">
      <c r="A5912" s="13" t="s">
        <v>264</v>
      </c>
      <c r="B5912" s="13" t="s">
        <v>61</v>
      </c>
      <c r="C5912" s="14" t="s">
        <v>73</v>
      </c>
      <c r="D5912" s="14" t="str">
        <f>VLOOKUP(C5912,'State Key'!$A$2:$B$210,2,False)</f>
        <v>Rajasthan</v>
      </c>
      <c r="E5912" s="15">
        <v>1200.0</v>
      </c>
      <c r="F5912" s="16">
        <v>8.101</v>
      </c>
      <c r="G5912" s="16">
        <v>0.0</v>
      </c>
      <c r="H5912" s="16">
        <v>284.509</v>
      </c>
      <c r="I5912" s="16">
        <v>0.0</v>
      </c>
      <c r="J5912" s="16">
        <v>0.0</v>
      </c>
      <c r="K5912" s="16">
        <v>0.0</v>
      </c>
      <c r="L5912" s="16">
        <v>292.61</v>
      </c>
      <c r="M5912" s="16">
        <v>409.749</v>
      </c>
      <c r="N5912" s="16">
        <v>261.51</v>
      </c>
      <c r="O5912" s="24">
        <v>19.1</v>
      </c>
      <c r="P5912" s="18">
        <f t="shared" si="1"/>
        <v>292.61</v>
      </c>
    </row>
    <row r="5913" ht="15.75" customHeight="1">
      <c r="A5913" s="19" t="s">
        <v>264</v>
      </c>
      <c r="B5913" s="19" t="s">
        <v>61</v>
      </c>
      <c r="C5913" s="20" t="s">
        <v>75</v>
      </c>
      <c r="D5913" s="14" t="str">
        <f>VLOOKUP(C5913,'State Key'!$A$2:$B$210,2,False)</f>
        <v>Uttar Pradesh</v>
      </c>
      <c r="E5913" s="21">
        <v>90.0</v>
      </c>
      <c r="F5913" s="22">
        <v>31.197</v>
      </c>
      <c r="G5913" s="22">
        <v>0.0</v>
      </c>
      <c r="H5913" s="22">
        <v>0.0</v>
      </c>
      <c r="I5913" s="22">
        <v>0.0</v>
      </c>
      <c r="J5913" s="22">
        <v>0.0</v>
      </c>
      <c r="K5913" s="22">
        <v>0.0</v>
      </c>
      <c r="L5913" s="22">
        <v>31.197</v>
      </c>
      <c r="M5913" s="22">
        <v>34.399</v>
      </c>
      <c r="N5913" s="22">
        <v>55.1</v>
      </c>
      <c r="O5913" s="24">
        <v>48.1</v>
      </c>
      <c r="P5913" s="18">
        <f t="shared" si="1"/>
        <v>31.197</v>
      </c>
    </row>
    <row r="5914" ht="15.75" customHeight="1">
      <c r="A5914" s="13" t="s">
        <v>264</v>
      </c>
      <c r="B5914" s="13" t="s">
        <v>61</v>
      </c>
      <c r="C5914" s="14" t="s">
        <v>246</v>
      </c>
      <c r="D5914" s="14" t="str">
        <f>VLOOKUP(C5914,'State Key'!$A$2:$B$210,2,False)</f>
        <v>Uttar Pradesh</v>
      </c>
      <c r="E5914" s="15">
        <v>1320.0</v>
      </c>
      <c r="F5914" s="16">
        <v>0.0</v>
      </c>
      <c r="G5914" s="16">
        <v>0.0</v>
      </c>
      <c r="H5914" s="16">
        <v>314.499</v>
      </c>
      <c r="I5914" s="16">
        <v>0.0</v>
      </c>
      <c r="J5914" s="16">
        <v>0.0</v>
      </c>
      <c r="K5914" s="16">
        <v>0.0</v>
      </c>
      <c r="L5914" s="16">
        <v>314.499</v>
      </c>
      <c r="M5914" s="16">
        <v>347.135</v>
      </c>
      <c r="N5914" s="16">
        <v>278.69</v>
      </c>
      <c r="O5914" s="24">
        <v>24.1</v>
      </c>
      <c r="P5914" s="18">
        <f t="shared" si="1"/>
        <v>314.499</v>
      </c>
    </row>
    <row r="5915" ht="15.75" customHeight="1">
      <c r="A5915" s="19" t="s">
        <v>264</v>
      </c>
      <c r="B5915" s="19" t="s">
        <v>61</v>
      </c>
      <c r="C5915" s="20" t="s">
        <v>76</v>
      </c>
      <c r="D5915" s="14" t="str">
        <f>VLOOKUP(C5915,'State Key'!$A$2:$B$210,2,False)</f>
        <v>Rajasthan</v>
      </c>
      <c r="E5915" s="21">
        <v>1240.0</v>
      </c>
      <c r="F5915" s="22">
        <v>475.977</v>
      </c>
      <c r="G5915" s="22">
        <v>0.0</v>
      </c>
      <c r="H5915" s="22">
        <v>0.0</v>
      </c>
      <c r="I5915" s="22">
        <v>0.0</v>
      </c>
      <c r="J5915" s="22">
        <v>0.0</v>
      </c>
      <c r="K5915" s="22">
        <v>40.422</v>
      </c>
      <c r="L5915" s="22">
        <v>516.399</v>
      </c>
      <c r="M5915" s="22">
        <v>531.315</v>
      </c>
      <c r="N5915" s="22">
        <v>402.2</v>
      </c>
      <c r="O5915" s="24">
        <v>22.7</v>
      </c>
      <c r="P5915" s="18">
        <f t="shared" si="1"/>
        <v>516.399</v>
      </c>
    </row>
    <row r="5916" ht="15.75" customHeight="1">
      <c r="A5916" s="13" t="s">
        <v>264</v>
      </c>
      <c r="B5916" s="13" t="s">
        <v>61</v>
      </c>
      <c r="C5916" s="14" t="s">
        <v>77</v>
      </c>
      <c r="D5916" s="14" t="str">
        <f>VLOOKUP(C5916,'State Key'!$A$2:$B$210,2,False)</f>
        <v>Uttar Pradesh</v>
      </c>
      <c r="E5916" s="15">
        <v>90.0</v>
      </c>
      <c r="F5916" s="16">
        <v>32.058</v>
      </c>
      <c r="G5916" s="16">
        <v>0.0</v>
      </c>
      <c r="H5916" s="16">
        <v>0.0</v>
      </c>
      <c r="I5916" s="16">
        <v>0.0</v>
      </c>
      <c r="J5916" s="16">
        <v>0.0</v>
      </c>
      <c r="K5916" s="16">
        <v>0.0</v>
      </c>
      <c r="L5916" s="16">
        <v>32.058</v>
      </c>
      <c r="M5916" s="16">
        <v>31.894</v>
      </c>
      <c r="N5916" s="16">
        <v>46.86</v>
      </c>
      <c r="O5916" s="24">
        <v>44.1</v>
      </c>
      <c r="P5916" s="18">
        <f t="shared" si="1"/>
        <v>32.058</v>
      </c>
    </row>
    <row r="5917" ht="15.75" customHeight="1">
      <c r="A5917" s="19" t="s">
        <v>264</v>
      </c>
      <c r="B5917" s="19" t="s">
        <v>61</v>
      </c>
      <c r="C5917" s="20" t="s">
        <v>78</v>
      </c>
      <c r="D5917" s="14" t="str">
        <f>VLOOKUP(C5917,'State Key'!$A$2:$B$210,2,False)</f>
        <v>Uttar Pradesh</v>
      </c>
      <c r="E5917" s="21">
        <v>1980.0</v>
      </c>
      <c r="F5917" s="22">
        <v>546.045</v>
      </c>
      <c r="G5917" s="22">
        <v>0.0</v>
      </c>
      <c r="H5917" s="22">
        <v>0.0</v>
      </c>
      <c r="I5917" s="22">
        <v>0.0</v>
      </c>
      <c r="J5917" s="22">
        <v>0.0</v>
      </c>
      <c r="K5917" s="22">
        <v>0.0</v>
      </c>
      <c r="L5917" s="22">
        <v>546.045</v>
      </c>
      <c r="M5917" s="22">
        <v>544.678</v>
      </c>
      <c r="N5917" s="22">
        <v>517.01</v>
      </c>
      <c r="O5917" s="24">
        <v>28.5</v>
      </c>
      <c r="P5917" s="18">
        <f t="shared" si="1"/>
        <v>546.045</v>
      </c>
    </row>
    <row r="5918" ht="15.75" customHeight="1">
      <c r="A5918" s="13" t="s">
        <v>264</v>
      </c>
      <c r="B5918" s="13" t="s">
        <v>61</v>
      </c>
      <c r="C5918" s="14" t="s">
        <v>79</v>
      </c>
      <c r="D5918" s="14" t="str">
        <f>VLOOKUP(C5918,'State Key'!$A$2:$B$210,2,False)</f>
        <v>Haryana</v>
      </c>
      <c r="E5918" s="15">
        <v>1320.0</v>
      </c>
      <c r="F5918" s="16">
        <v>337.348</v>
      </c>
      <c r="G5918" s="16">
        <v>0.0</v>
      </c>
      <c r="H5918" s="16">
        <v>0.0</v>
      </c>
      <c r="I5918" s="16">
        <v>0.0</v>
      </c>
      <c r="J5918" s="16">
        <v>0.0</v>
      </c>
      <c r="K5918" s="16">
        <v>0.0</v>
      </c>
      <c r="L5918" s="16">
        <v>337.348</v>
      </c>
      <c r="M5918" s="16">
        <v>365.27</v>
      </c>
      <c r="N5918" s="16">
        <v>374.01</v>
      </c>
      <c r="O5918" s="24">
        <v>30.7</v>
      </c>
      <c r="P5918" s="18">
        <f t="shared" si="1"/>
        <v>337.348</v>
      </c>
    </row>
    <row r="5919" ht="15.75" customHeight="1">
      <c r="A5919" s="19" t="s">
        <v>264</v>
      </c>
      <c r="B5919" s="19" t="s">
        <v>61</v>
      </c>
      <c r="C5919" s="20" t="s">
        <v>80</v>
      </c>
      <c r="D5919" s="14" t="str">
        <f>VLOOKUP(C5919,'State Key'!$A$2:$B$210,2,False)</f>
        <v>Uttar Pradesh</v>
      </c>
      <c r="E5919" s="21">
        <v>90.0</v>
      </c>
      <c r="F5919" s="22">
        <v>16.307</v>
      </c>
      <c r="G5919" s="22">
        <v>0.0</v>
      </c>
      <c r="H5919" s="22">
        <v>0.0</v>
      </c>
      <c r="I5919" s="22">
        <v>0.0</v>
      </c>
      <c r="J5919" s="22">
        <v>0.0</v>
      </c>
      <c r="K5919" s="22">
        <v>0.0</v>
      </c>
      <c r="L5919" s="22">
        <v>16.307</v>
      </c>
      <c r="M5919" s="22">
        <v>33.224</v>
      </c>
      <c r="N5919" s="22">
        <v>39.7</v>
      </c>
      <c r="O5919" s="24">
        <v>35.8</v>
      </c>
      <c r="P5919" s="18">
        <f t="shared" si="1"/>
        <v>16.307</v>
      </c>
    </row>
    <row r="5920" ht="15.75" customHeight="1">
      <c r="A5920" s="13" t="s">
        <v>264</v>
      </c>
      <c r="B5920" s="13" t="s">
        <v>61</v>
      </c>
      <c r="C5920" s="14" t="s">
        <v>81</v>
      </c>
      <c r="D5920" s="14" t="str">
        <f>VLOOKUP(C5920,'State Key'!$A$2:$B$210,2,False)</f>
        <v>Uttar Pradesh</v>
      </c>
      <c r="E5920" s="15">
        <v>1320.0</v>
      </c>
      <c r="F5920" s="16">
        <v>400.0173</v>
      </c>
      <c r="G5920" s="16">
        <v>0.0</v>
      </c>
      <c r="H5920" s="16">
        <v>7.4993</v>
      </c>
      <c r="I5920" s="16">
        <v>0.0</v>
      </c>
      <c r="J5920" s="16">
        <v>0.0</v>
      </c>
      <c r="K5920" s="16">
        <v>0.0</v>
      </c>
      <c r="L5920" s="16">
        <v>407.5166</v>
      </c>
      <c r="M5920" s="16">
        <v>469.115</v>
      </c>
      <c r="N5920" s="16">
        <v>224.01</v>
      </c>
      <c r="O5920" s="24">
        <v>14.3</v>
      </c>
      <c r="P5920" s="18">
        <f t="shared" si="1"/>
        <v>407.5166</v>
      </c>
    </row>
    <row r="5921" ht="15.75" customHeight="1">
      <c r="A5921" s="19" t="s">
        <v>264</v>
      </c>
      <c r="B5921" s="19" t="s">
        <v>61</v>
      </c>
      <c r="C5921" s="20" t="s">
        <v>82</v>
      </c>
      <c r="D5921" s="14" t="str">
        <f>VLOOKUP(C5921,'State Key'!$A$2:$B$210,2,False)</f>
        <v>Uttar Pradesh</v>
      </c>
      <c r="E5921" s="21">
        <v>2320.0</v>
      </c>
      <c r="F5921" s="22">
        <v>796.429</v>
      </c>
      <c r="G5921" s="22">
        <v>0.0</v>
      </c>
      <c r="H5921" s="22">
        <v>0.0</v>
      </c>
      <c r="I5921" s="22">
        <v>0.0</v>
      </c>
      <c r="J5921" s="22">
        <v>0.0</v>
      </c>
      <c r="K5921" s="22">
        <v>0.0</v>
      </c>
      <c r="L5921" s="22">
        <v>796.429</v>
      </c>
      <c r="M5921" s="22">
        <v>712.238</v>
      </c>
      <c r="N5921" s="22">
        <v>539.91</v>
      </c>
      <c r="O5921" s="24">
        <v>22.7</v>
      </c>
      <c r="P5921" s="18">
        <f t="shared" si="1"/>
        <v>796.429</v>
      </c>
    </row>
    <row r="5922" ht="15.75" customHeight="1">
      <c r="A5922" s="13" t="s">
        <v>264</v>
      </c>
      <c r="B5922" s="13" t="s">
        <v>61</v>
      </c>
      <c r="C5922" s="14" t="s">
        <v>83</v>
      </c>
      <c r="D5922" s="14" t="str">
        <f>VLOOKUP(C5922,'State Key'!$A$2:$B$210,2,False)</f>
        <v>Haryana</v>
      </c>
      <c r="E5922" s="15">
        <v>710.0</v>
      </c>
      <c r="F5922" s="16">
        <v>166.552</v>
      </c>
      <c r="G5922" s="16">
        <v>0.0</v>
      </c>
      <c r="H5922" s="16">
        <v>0.0</v>
      </c>
      <c r="I5922" s="16">
        <v>0.0</v>
      </c>
      <c r="J5922" s="16">
        <v>0.0</v>
      </c>
      <c r="K5922" s="16">
        <v>0.0</v>
      </c>
      <c r="L5922" s="16">
        <v>166.552</v>
      </c>
      <c r="M5922" s="16">
        <v>216.944</v>
      </c>
      <c r="N5922" s="16">
        <v>432.546</v>
      </c>
      <c r="O5922" s="24">
        <v>59.8</v>
      </c>
      <c r="P5922" s="18">
        <f t="shared" si="1"/>
        <v>166.552</v>
      </c>
    </row>
    <row r="5923" ht="15.75" customHeight="1">
      <c r="A5923" s="19" t="s">
        <v>264</v>
      </c>
      <c r="B5923" s="19" t="s">
        <v>61</v>
      </c>
      <c r="C5923" s="20" t="s">
        <v>248</v>
      </c>
      <c r="D5923" s="14" t="str">
        <f>VLOOKUP(C5923,'State Key'!$A$2:$B$210,2,False)</f>
        <v>Uttar Pradesh</v>
      </c>
      <c r="E5923" s="21">
        <v>660.0</v>
      </c>
      <c r="F5923" s="22">
        <v>68.471</v>
      </c>
      <c r="G5923" s="22">
        <v>0.0</v>
      </c>
      <c r="H5923" s="22">
        <v>0.0</v>
      </c>
      <c r="I5923" s="22">
        <v>0.0</v>
      </c>
      <c r="J5923" s="22">
        <v>0.0</v>
      </c>
      <c r="K5923" s="22">
        <v>0.0</v>
      </c>
      <c r="L5923" s="22">
        <v>68.471</v>
      </c>
      <c r="M5923" s="22">
        <v>95.9</v>
      </c>
      <c r="N5923" s="22">
        <v>100.37</v>
      </c>
      <c r="O5923" s="24">
        <v>31.4</v>
      </c>
      <c r="P5923" s="18">
        <f t="shared" si="1"/>
        <v>68.471</v>
      </c>
    </row>
    <row r="5924" ht="15.75" customHeight="1">
      <c r="A5924" s="13" t="s">
        <v>264</v>
      </c>
      <c r="B5924" s="13" t="s">
        <v>61</v>
      </c>
      <c r="C5924" s="14" t="s">
        <v>84</v>
      </c>
      <c r="D5924" s="14" t="str">
        <f>VLOOKUP(C5924,'State Key'!$A$2:$B$210,2,False)</f>
        <v>Uttar Pradesh</v>
      </c>
      <c r="E5924" s="15">
        <v>920.0</v>
      </c>
      <c r="F5924" s="16">
        <v>268.322</v>
      </c>
      <c r="G5924" s="16">
        <v>0.0</v>
      </c>
      <c r="H5924" s="16">
        <v>0.0</v>
      </c>
      <c r="I5924" s="16">
        <v>0.0</v>
      </c>
      <c r="J5924" s="16">
        <v>0.0</v>
      </c>
      <c r="K5924" s="16">
        <v>0.0</v>
      </c>
      <c r="L5924" s="16">
        <v>268.322</v>
      </c>
      <c r="M5924" s="16">
        <v>343.777</v>
      </c>
      <c r="N5924" s="16">
        <v>164.856</v>
      </c>
      <c r="O5924" s="24">
        <v>14.4</v>
      </c>
      <c r="P5924" s="18">
        <f t="shared" si="1"/>
        <v>268.322</v>
      </c>
    </row>
    <row r="5925" ht="15.75" customHeight="1">
      <c r="A5925" s="19" t="s">
        <v>264</v>
      </c>
      <c r="B5925" s="19" t="s">
        <v>61</v>
      </c>
      <c r="C5925" s="20" t="s">
        <v>85</v>
      </c>
      <c r="D5925" s="14" t="str">
        <f>VLOOKUP(C5925,'State Key'!$A$2:$B$210,2,False)</f>
        <v>Uttar Pradesh</v>
      </c>
      <c r="E5925" s="21">
        <v>1980.0</v>
      </c>
      <c r="F5925" s="22">
        <v>438.006</v>
      </c>
      <c r="G5925" s="22">
        <v>0.0</v>
      </c>
      <c r="H5925" s="22">
        <v>0.0</v>
      </c>
      <c r="I5925" s="22">
        <v>0.0</v>
      </c>
      <c r="J5925" s="22">
        <v>0.0</v>
      </c>
      <c r="K5925" s="22">
        <v>0.0</v>
      </c>
      <c r="L5925" s="22">
        <v>438.006</v>
      </c>
      <c r="M5925" s="22">
        <v>503.9</v>
      </c>
      <c r="N5925" s="22">
        <v>558.2</v>
      </c>
      <c r="O5925" s="24">
        <v>33.2</v>
      </c>
      <c r="P5925" s="18">
        <f t="shared" si="1"/>
        <v>438.006</v>
      </c>
    </row>
    <row r="5926" ht="15.75" customHeight="1">
      <c r="A5926" s="13" t="s">
        <v>264</v>
      </c>
      <c r="B5926" s="13" t="s">
        <v>61</v>
      </c>
      <c r="C5926" s="14" t="s">
        <v>86</v>
      </c>
      <c r="D5926" s="14" t="str">
        <f>VLOOKUP(C5926,'State Key'!$A$2:$B$210,2,False)</f>
        <v>Haryana</v>
      </c>
      <c r="E5926" s="15">
        <v>1200.0</v>
      </c>
      <c r="F5926" s="16">
        <v>128.207</v>
      </c>
      <c r="G5926" s="16">
        <v>0.0</v>
      </c>
      <c r="H5926" s="16">
        <v>0.0</v>
      </c>
      <c r="I5926" s="16">
        <v>0.0</v>
      </c>
      <c r="J5926" s="16">
        <v>0.0</v>
      </c>
      <c r="K5926" s="16">
        <v>0.0</v>
      </c>
      <c r="L5926" s="16">
        <v>128.207</v>
      </c>
      <c r="M5926" s="16">
        <v>218.946</v>
      </c>
      <c r="N5926" s="16">
        <v>652.21</v>
      </c>
      <c r="O5926" s="24">
        <v>89.4</v>
      </c>
      <c r="P5926" s="18">
        <f t="shared" si="1"/>
        <v>128.207</v>
      </c>
    </row>
    <row r="5927" ht="15.75" customHeight="1">
      <c r="A5927" s="19" t="s">
        <v>264</v>
      </c>
      <c r="B5927" s="19" t="s">
        <v>61</v>
      </c>
      <c r="C5927" s="20" t="s">
        <v>87</v>
      </c>
      <c r="D5927" s="14" t="str">
        <f>VLOOKUP(C5927,'State Key'!$A$2:$B$210,2,False)</f>
        <v>Punjab</v>
      </c>
      <c r="E5927" s="21">
        <v>1400.0</v>
      </c>
      <c r="F5927" s="22">
        <v>464.3475</v>
      </c>
      <c r="G5927" s="22">
        <v>0.0</v>
      </c>
      <c r="H5927" s="22">
        <v>0.0</v>
      </c>
      <c r="I5927" s="22">
        <v>0.0</v>
      </c>
      <c r="J5927" s="22">
        <v>0.0</v>
      </c>
      <c r="K5927" s="22">
        <v>0.0</v>
      </c>
      <c r="L5927" s="22">
        <v>464.3475</v>
      </c>
      <c r="M5927" s="22">
        <v>418.5783</v>
      </c>
      <c r="N5927" s="22">
        <v>393.1</v>
      </c>
      <c r="O5927" s="24">
        <v>28.2</v>
      </c>
      <c r="P5927" s="18">
        <f t="shared" si="1"/>
        <v>464.3475</v>
      </c>
    </row>
    <row r="5928" ht="15.75" customHeight="1">
      <c r="A5928" s="13" t="s">
        <v>264</v>
      </c>
      <c r="B5928" s="13" t="s">
        <v>61</v>
      </c>
      <c r="C5928" s="14" t="s">
        <v>88</v>
      </c>
      <c r="D5928" s="14" t="str">
        <f>VLOOKUP(C5928,'State Key'!$A$2:$B$210,2,False)</f>
        <v>Uttar Pradesh</v>
      </c>
      <c r="E5928" s="15">
        <v>3000.0</v>
      </c>
      <c r="F5928" s="16">
        <v>1127.5</v>
      </c>
      <c r="G5928" s="16">
        <v>0.0</v>
      </c>
      <c r="H5928" s="16">
        <v>0.0</v>
      </c>
      <c r="I5928" s="16">
        <v>0.0</v>
      </c>
      <c r="J5928" s="16">
        <v>0.0</v>
      </c>
      <c r="K5928" s="16">
        <v>0.0</v>
      </c>
      <c r="L5928" s="16">
        <v>1127.5</v>
      </c>
      <c r="M5928" s="16">
        <v>1151.981</v>
      </c>
      <c r="N5928" s="16">
        <v>858.7</v>
      </c>
      <c r="O5928" s="24">
        <v>22.4</v>
      </c>
      <c r="P5928" s="18">
        <f t="shared" si="1"/>
        <v>1127.5</v>
      </c>
    </row>
    <row r="5929" ht="15.75" customHeight="1">
      <c r="A5929" s="19" t="s">
        <v>264</v>
      </c>
      <c r="B5929" s="19" t="s">
        <v>61</v>
      </c>
      <c r="C5929" s="20" t="s">
        <v>89</v>
      </c>
      <c r="D5929" s="14" t="str">
        <f>VLOOKUP(C5929,'State Key'!$A$2:$B$210,2,False)</f>
        <v>Punjab</v>
      </c>
      <c r="E5929" s="21">
        <v>840.0</v>
      </c>
      <c r="F5929" s="22">
        <v>117.66</v>
      </c>
      <c r="G5929" s="22">
        <v>0.0</v>
      </c>
      <c r="H5929" s="22">
        <v>232.339</v>
      </c>
      <c r="I5929" s="22">
        <v>0.0</v>
      </c>
      <c r="J5929" s="22">
        <v>0.0</v>
      </c>
      <c r="K5929" s="22">
        <v>0.0</v>
      </c>
      <c r="L5929" s="22">
        <v>349.999</v>
      </c>
      <c r="M5929" s="22">
        <v>278.352</v>
      </c>
      <c r="N5929" s="22">
        <v>260.8</v>
      </c>
      <c r="O5929" s="24">
        <v>28.1</v>
      </c>
      <c r="P5929" s="18">
        <f t="shared" si="1"/>
        <v>349.999</v>
      </c>
    </row>
    <row r="5930" ht="15.75" customHeight="1">
      <c r="A5930" s="13" t="s">
        <v>264</v>
      </c>
      <c r="B5930" s="13" t="s">
        <v>61</v>
      </c>
      <c r="C5930" s="14" t="s">
        <v>90</v>
      </c>
      <c r="D5930" s="14" t="str">
        <f>VLOOKUP(C5930,'State Key'!$A$2:$B$210,2,False)</f>
        <v>Uttar Pradesh</v>
      </c>
      <c r="E5930" s="15">
        <v>1200.0</v>
      </c>
      <c r="F5930" s="16">
        <v>443.68</v>
      </c>
      <c r="G5930" s="16">
        <v>0.0</v>
      </c>
      <c r="H5930" s="16">
        <v>0.0</v>
      </c>
      <c r="I5930" s="16">
        <v>0.0</v>
      </c>
      <c r="J5930" s="16">
        <v>0.0</v>
      </c>
      <c r="K5930" s="16">
        <v>0.0</v>
      </c>
      <c r="L5930" s="16">
        <v>443.68</v>
      </c>
      <c r="M5930" s="16">
        <v>345.54</v>
      </c>
      <c r="N5930" s="16">
        <v>462.15</v>
      </c>
      <c r="O5930" s="24">
        <v>40.1</v>
      </c>
      <c r="P5930" s="18">
        <f t="shared" si="1"/>
        <v>443.68</v>
      </c>
    </row>
    <row r="5931" ht="15.75" customHeight="1">
      <c r="A5931" s="19" t="s">
        <v>264</v>
      </c>
      <c r="B5931" s="19" t="s">
        <v>61</v>
      </c>
      <c r="C5931" s="20" t="s">
        <v>219</v>
      </c>
      <c r="D5931" s="14" t="str">
        <f>VLOOKUP(C5931,'State Key'!$A$2:$B$210,2,False)</f>
        <v>Rajasthan</v>
      </c>
      <c r="E5931" s="21">
        <v>344.0</v>
      </c>
      <c r="F5931" s="22">
        <v>0.0</v>
      </c>
      <c r="G5931" s="22">
        <v>0.0</v>
      </c>
      <c r="H5931" s="22">
        <v>0.0</v>
      </c>
      <c r="I5931" s="22">
        <v>0.0</v>
      </c>
      <c r="J5931" s="22">
        <v>13.852</v>
      </c>
      <c r="K5931" s="22">
        <v>0.0</v>
      </c>
      <c r="L5931" s="22">
        <v>13.852</v>
      </c>
      <c r="M5931" s="22">
        <v>13.852</v>
      </c>
      <c r="N5931" s="22">
        <v>0.0</v>
      </c>
      <c r="O5931" s="17">
        <v>0.0</v>
      </c>
      <c r="P5931" s="18">
        <f t="shared" si="1"/>
        <v>13.852</v>
      </c>
    </row>
    <row r="5932" ht="15.75" customHeight="1">
      <c r="A5932" s="13" t="s">
        <v>264</v>
      </c>
      <c r="B5932" s="13" t="s">
        <v>61</v>
      </c>
      <c r="C5932" s="14" t="s">
        <v>91</v>
      </c>
      <c r="D5932" s="14" t="str">
        <f>VLOOKUP(C5932,'State Key'!$A$2:$B$210,2,False)</f>
        <v>Uttar Pradesh</v>
      </c>
      <c r="E5932" s="15">
        <v>2000.0</v>
      </c>
      <c r="F5932" s="16">
        <v>819.25</v>
      </c>
      <c r="G5932" s="16">
        <v>0.0</v>
      </c>
      <c r="H5932" s="16">
        <v>0.0</v>
      </c>
      <c r="I5932" s="16">
        <v>0.0</v>
      </c>
      <c r="J5932" s="16">
        <v>0.0</v>
      </c>
      <c r="K5932" s="16">
        <v>0.0</v>
      </c>
      <c r="L5932" s="16">
        <v>819.25</v>
      </c>
      <c r="M5932" s="16">
        <v>872.758</v>
      </c>
      <c r="N5932" s="16">
        <v>251.29</v>
      </c>
      <c r="O5932" s="23">
        <v>8.6</v>
      </c>
      <c r="P5932" s="18">
        <f t="shared" si="1"/>
        <v>819.25</v>
      </c>
    </row>
    <row r="5933" ht="15.75" customHeight="1">
      <c r="A5933" s="19" t="s">
        <v>264</v>
      </c>
      <c r="B5933" s="19" t="s">
        <v>61</v>
      </c>
      <c r="C5933" s="20" t="s">
        <v>92</v>
      </c>
      <c r="D5933" s="14" t="str">
        <f>VLOOKUP(C5933,'State Key'!$A$2:$B$210,2,False)</f>
        <v>Rajasthan</v>
      </c>
      <c r="E5933" s="21">
        <v>1320.0</v>
      </c>
      <c r="F5933" s="22">
        <v>35.36947</v>
      </c>
      <c r="G5933" s="22">
        <v>0.0</v>
      </c>
      <c r="H5933" s="22">
        <v>420.98603</v>
      </c>
      <c r="I5933" s="22">
        <v>0.0</v>
      </c>
      <c r="J5933" s="22">
        <v>0.0</v>
      </c>
      <c r="K5933" s="22">
        <v>0.0</v>
      </c>
      <c r="L5933" s="22">
        <v>456.3555</v>
      </c>
      <c r="M5933" s="22">
        <v>460.68</v>
      </c>
      <c r="N5933" s="22">
        <v>269.03</v>
      </c>
      <c r="O5933" s="24">
        <v>17.5</v>
      </c>
      <c r="P5933" s="18">
        <f t="shared" si="1"/>
        <v>456.3555</v>
      </c>
    </row>
    <row r="5934" ht="15.75" customHeight="1">
      <c r="A5934" s="13" t="s">
        <v>264</v>
      </c>
      <c r="B5934" s="13" t="s">
        <v>61</v>
      </c>
      <c r="C5934" s="14" t="s">
        <v>93</v>
      </c>
      <c r="D5934" s="14" t="str">
        <f>VLOOKUP(C5934,'State Key'!$A$2:$B$210,2,False)</f>
        <v>Rajasthan</v>
      </c>
      <c r="E5934" s="15">
        <v>1500.0</v>
      </c>
      <c r="F5934" s="16">
        <v>498.028</v>
      </c>
      <c r="G5934" s="16">
        <v>0.0</v>
      </c>
      <c r="H5934" s="16">
        <v>55.029</v>
      </c>
      <c r="I5934" s="16">
        <v>0.0</v>
      </c>
      <c r="J5934" s="16">
        <v>0.0</v>
      </c>
      <c r="K5934" s="16">
        <v>0.0</v>
      </c>
      <c r="L5934" s="16">
        <v>553.057</v>
      </c>
      <c r="M5934" s="16">
        <v>486.343</v>
      </c>
      <c r="N5934" s="16">
        <v>298.86</v>
      </c>
      <c r="O5934" s="24">
        <v>18.4</v>
      </c>
      <c r="P5934" s="18">
        <f t="shared" si="1"/>
        <v>553.057</v>
      </c>
    </row>
    <row r="5935" ht="15.75" customHeight="1">
      <c r="A5935" s="19" t="s">
        <v>264</v>
      </c>
      <c r="B5935" s="19" t="s">
        <v>61</v>
      </c>
      <c r="C5935" s="20" t="s">
        <v>94</v>
      </c>
      <c r="D5935" s="14" t="str">
        <f>VLOOKUP(C5935,'State Key'!$A$2:$B$210,2,False)</f>
        <v>Punjab</v>
      </c>
      <c r="E5935" s="21">
        <v>1980.0</v>
      </c>
      <c r="F5935" s="22">
        <v>478.257</v>
      </c>
      <c r="G5935" s="22">
        <v>0.0</v>
      </c>
      <c r="H5935" s="22">
        <v>0.0</v>
      </c>
      <c r="I5935" s="22">
        <v>0.0</v>
      </c>
      <c r="J5935" s="22">
        <v>0.0</v>
      </c>
      <c r="K5935" s="22">
        <v>0.0</v>
      </c>
      <c r="L5935" s="22">
        <v>478.257</v>
      </c>
      <c r="M5935" s="22">
        <v>382.773</v>
      </c>
      <c r="N5935" s="22">
        <v>465.41</v>
      </c>
      <c r="O5935" s="24">
        <v>36.5</v>
      </c>
      <c r="P5935" s="18">
        <f t="shared" si="1"/>
        <v>478.257</v>
      </c>
    </row>
    <row r="5936" ht="15.75" customHeight="1">
      <c r="A5936" s="13" t="s">
        <v>264</v>
      </c>
      <c r="B5936" s="13" t="s">
        <v>61</v>
      </c>
      <c r="C5936" s="14" t="s">
        <v>95</v>
      </c>
      <c r="D5936" s="14" t="str">
        <f>VLOOKUP(C5936,'State Key'!$A$2:$B$210,2,False)</f>
        <v>Uttar Pradesh</v>
      </c>
      <c r="E5936" s="15">
        <v>1760.0</v>
      </c>
      <c r="F5936" s="16">
        <v>51.66</v>
      </c>
      <c r="G5936" s="16">
        <v>0.0</v>
      </c>
      <c r="H5936" s="16">
        <v>188.9</v>
      </c>
      <c r="I5936" s="16">
        <v>0.0</v>
      </c>
      <c r="J5936" s="16">
        <v>0.0</v>
      </c>
      <c r="K5936" s="16">
        <v>0.0</v>
      </c>
      <c r="L5936" s="16">
        <v>240.56</v>
      </c>
      <c r="M5936" s="16">
        <v>436.569</v>
      </c>
      <c r="N5936" s="16">
        <v>242.65</v>
      </c>
      <c r="O5936" s="24">
        <v>16.7</v>
      </c>
      <c r="P5936" s="18">
        <f t="shared" si="1"/>
        <v>240.56</v>
      </c>
    </row>
    <row r="5937" ht="15.75" customHeight="1">
      <c r="A5937" s="19" t="s">
        <v>264</v>
      </c>
      <c r="B5937" s="19" t="s">
        <v>61</v>
      </c>
      <c r="C5937" s="20" t="s">
        <v>96</v>
      </c>
      <c r="D5937" s="14" t="str">
        <f>VLOOKUP(C5937,'State Key'!$A$2:$B$210,2,False)</f>
        <v>Uttar Pradesh</v>
      </c>
      <c r="E5937" s="21">
        <v>1550.0</v>
      </c>
      <c r="F5937" s="22">
        <v>394.95</v>
      </c>
      <c r="G5937" s="22">
        <v>0.0</v>
      </c>
      <c r="H5937" s="22">
        <v>68.93</v>
      </c>
      <c r="I5937" s="22">
        <v>0.0</v>
      </c>
      <c r="J5937" s="22">
        <v>0.0</v>
      </c>
      <c r="K5937" s="22">
        <v>4.56</v>
      </c>
      <c r="L5937" s="22">
        <v>468.44</v>
      </c>
      <c r="M5937" s="22">
        <v>525.81</v>
      </c>
      <c r="N5937" s="22">
        <v>356.71</v>
      </c>
      <c r="O5937" s="24">
        <v>20.4</v>
      </c>
      <c r="P5937" s="18">
        <f t="shared" si="1"/>
        <v>468.44</v>
      </c>
    </row>
    <row r="5938" ht="15.75" customHeight="1">
      <c r="A5938" s="13" t="s">
        <v>264</v>
      </c>
      <c r="B5938" s="13" t="s">
        <v>61</v>
      </c>
      <c r="C5938" s="14" t="s">
        <v>97</v>
      </c>
      <c r="D5938" s="14" t="str">
        <f>VLOOKUP(C5938,'State Key'!$A$2:$B$210,2,False)</f>
        <v>Uttar Pradesh</v>
      </c>
      <c r="E5938" s="15">
        <v>90.0</v>
      </c>
      <c r="F5938" s="16">
        <v>27.528</v>
      </c>
      <c r="G5938" s="16">
        <v>0.0</v>
      </c>
      <c r="H5938" s="16">
        <v>0.0</v>
      </c>
      <c r="I5938" s="16">
        <v>0.0</v>
      </c>
      <c r="J5938" s="16">
        <v>0.0</v>
      </c>
      <c r="K5938" s="16">
        <v>0.0</v>
      </c>
      <c r="L5938" s="16">
        <v>27.528</v>
      </c>
      <c r="M5938" s="16">
        <v>33.443</v>
      </c>
      <c r="N5938" s="16">
        <v>52.26</v>
      </c>
      <c r="O5938" s="24">
        <v>46.9</v>
      </c>
      <c r="P5938" s="18">
        <f t="shared" si="1"/>
        <v>27.528</v>
      </c>
    </row>
    <row r="5939" ht="15.75" customHeight="1">
      <c r="A5939" s="19" t="s">
        <v>264</v>
      </c>
      <c r="B5939" s="19" t="s">
        <v>61</v>
      </c>
      <c r="C5939" s="20" t="s">
        <v>98</v>
      </c>
      <c r="D5939" s="14" t="str">
        <f>VLOOKUP(C5939,'State Key'!$A$2:$B$210,2,False)</f>
        <v>Haryana</v>
      </c>
      <c r="E5939" s="21">
        <v>600.0</v>
      </c>
      <c r="F5939" s="22">
        <v>338.073</v>
      </c>
      <c r="G5939" s="22">
        <v>0.0</v>
      </c>
      <c r="H5939" s="22">
        <v>0.0</v>
      </c>
      <c r="I5939" s="22">
        <v>0.0</v>
      </c>
      <c r="J5939" s="22">
        <v>0.0</v>
      </c>
      <c r="K5939" s="22">
        <v>0.0</v>
      </c>
      <c r="L5939" s="22">
        <v>338.073</v>
      </c>
      <c r="M5939" s="22">
        <v>235.277</v>
      </c>
      <c r="N5939" s="22">
        <v>352.88</v>
      </c>
      <c r="O5939" s="24">
        <v>45.0</v>
      </c>
      <c r="P5939" s="18">
        <f t="shared" si="1"/>
        <v>338.073</v>
      </c>
    </row>
    <row r="5940" ht="15.75" customHeight="1">
      <c r="A5940" s="13" t="s">
        <v>264</v>
      </c>
      <c r="B5940" s="13" t="s">
        <v>99</v>
      </c>
      <c r="C5940" s="14" t="s">
        <v>210</v>
      </c>
      <c r="D5940" s="14" t="str">
        <f>VLOOKUP(C5940,'State Key'!$A$2:$B$210,2,False)</f>
        <v>Karnataka</v>
      </c>
      <c r="E5940" s="15">
        <v>1200.0</v>
      </c>
      <c r="F5940" s="16">
        <v>0.0</v>
      </c>
      <c r="G5940" s="16">
        <v>0.0</v>
      </c>
      <c r="H5940" s="16">
        <v>0.0</v>
      </c>
      <c r="I5940" s="16">
        <v>0.0</v>
      </c>
      <c r="J5940" s="16">
        <v>324.568</v>
      </c>
      <c r="K5940" s="16">
        <v>0.0</v>
      </c>
      <c r="L5940" s="16">
        <v>324.568</v>
      </c>
      <c r="M5940" s="16">
        <v>207.602</v>
      </c>
      <c r="N5940" s="16">
        <v>174.77</v>
      </c>
      <c r="O5940" s="24">
        <v>25.3</v>
      </c>
      <c r="P5940" s="18">
        <f t="shared" si="1"/>
        <v>324.568</v>
      </c>
    </row>
    <row r="5941" ht="15.75" customHeight="1">
      <c r="A5941" s="19" t="s">
        <v>264</v>
      </c>
      <c r="B5941" s="19" t="s">
        <v>99</v>
      </c>
      <c r="C5941" s="20" t="s">
        <v>100</v>
      </c>
      <c r="D5941" s="14" t="str">
        <f>VLOOKUP(C5941,'State Key'!$A$2:$B$210,2,False)</f>
        <v>Karnataka</v>
      </c>
      <c r="E5941" s="21">
        <v>1700.0</v>
      </c>
      <c r="F5941" s="22">
        <v>105.32096</v>
      </c>
      <c r="G5941" s="22">
        <v>224.70292</v>
      </c>
      <c r="H5941" s="22">
        <v>206.86016</v>
      </c>
      <c r="I5941" s="22">
        <v>0.0</v>
      </c>
      <c r="J5941" s="22">
        <v>0.0</v>
      </c>
      <c r="K5941" s="22">
        <v>0.0</v>
      </c>
      <c r="L5941" s="22">
        <v>536.88404</v>
      </c>
      <c r="M5941" s="22">
        <v>658.266</v>
      </c>
      <c r="N5941" s="22">
        <v>328.2693</v>
      </c>
      <c r="O5941" s="24">
        <v>15.0</v>
      </c>
      <c r="P5941" s="18">
        <f t="shared" si="1"/>
        <v>536.88404</v>
      </c>
    </row>
    <row r="5942" ht="15.75" customHeight="1">
      <c r="A5942" s="13" t="s">
        <v>264</v>
      </c>
      <c r="B5942" s="13" t="s">
        <v>99</v>
      </c>
      <c r="C5942" s="14" t="s">
        <v>101</v>
      </c>
      <c r="D5942" s="14" t="str">
        <f>VLOOKUP(C5942,'State Key'!$A$2:$B$210,2,False)</f>
        <v>Telangana</v>
      </c>
      <c r="E5942" s="15">
        <v>1080.0</v>
      </c>
      <c r="F5942" s="16">
        <v>0.0</v>
      </c>
      <c r="G5942" s="16">
        <v>174.503</v>
      </c>
      <c r="H5942" s="16">
        <v>0.0</v>
      </c>
      <c r="I5942" s="16">
        <v>0.0</v>
      </c>
      <c r="J5942" s="16">
        <v>0.0</v>
      </c>
      <c r="K5942" s="16">
        <v>0.0</v>
      </c>
      <c r="L5942" s="16">
        <v>174.503</v>
      </c>
      <c r="M5942" s="16">
        <v>356.651</v>
      </c>
      <c r="N5942" s="16">
        <v>53.917</v>
      </c>
      <c r="O5942" s="17">
        <v>4.5</v>
      </c>
      <c r="P5942" s="18">
        <f t="shared" si="1"/>
        <v>174.503</v>
      </c>
    </row>
    <row r="5943" ht="15.75" customHeight="1">
      <c r="A5943" s="19" t="s">
        <v>264</v>
      </c>
      <c r="B5943" s="19" t="s">
        <v>99</v>
      </c>
      <c r="C5943" s="20" t="s">
        <v>102</v>
      </c>
      <c r="D5943" s="14" t="str">
        <f>VLOOKUP(C5943,'State Key'!$A$2:$B$210,2,False)</f>
        <v>Andhra Pradesh</v>
      </c>
      <c r="E5943" s="21">
        <v>2400.0</v>
      </c>
      <c r="F5943" s="22">
        <v>730.41254</v>
      </c>
      <c r="G5943" s="22">
        <v>0.0</v>
      </c>
      <c r="H5943" s="22">
        <v>0.0</v>
      </c>
      <c r="I5943" s="22">
        <v>0.0</v>
      </c>
      <c r="J5943" s="22">
        <v>0.0</v>
      </c>
      <c r="K5943" s="22">
        <v>0.0</v>
      </c>
      <c r="L5943" s="22">
        <v>730.41254</v>
      </c>
      <c r="M5943" s="22">
        <v>642.593</v>
      </c>
      <c r="N5943" s="22">
        <v>260.31</v>
      </c>
      <c r="O5943" s="23">
        <v>12.2</v>
      </c>
      <c r="P5943" s="18">
        <f t="shared" si="1"/>
        <v>730.41254</v>
      </c>
    </row>
    <row r="5944" ht="15.75" customHeight="1">
      <c r="A5944" s="13" t="s">
        <v>264</v>
      </c>
      <c r="B5944" s="13" t="s">
        <v>99</v>
      </c>
      <c r="C5944" s="14" t="s">
        <v>103</v>
      </c>
      <c r="D5944" s="14" t="str">
        <f>VLOOKUP(C5944,'State Key'!$A$2:$B$210,2,False)</f>
        <v>Andhra Pradesh</v>
      </c>
      <c r="E5944" s="15">
        <v>2560.0</v>
      </c>
      <c r="F5944" s="16">
        <v>893.789</v>
      </c>
      <c r="G5944" s="16">
        <v>223.244</v>
      </c>
      <c r="H5944" s="16">
        <v>0.0</v>
      </c>
      <c r="I5944" s="16">
        <v>0.0</v>
      </c>
      <c r="J5944" s="16">
        <v>0.0</v>
      </c>
      <c r="K5944" s="16">
        <v>0.0</v>
      </c>
      <c r="L5944" s="16">
        <v>1117.033</v>
      </c>
      <c r="M5944" s="16">
        <v>1022.806</v>
      </c>
      <c r="N5944" s="16">
        <v>492.313</v>
      </c>
      <c r="O5944" s="24">
        <v>14.4</v>
      </c>
      <c r="P5944" s="18">
        <f t="shared" si="1"/>
        <v>1117.033</v>
      </c>
    </row>
    <row r="5945" ht="15.75" customHeight="1">
      <c r="A5945" s="19" t="s">
        <v>264</v>
      </c>
      <c r="B5945" s="19" t="s">
        <v>99</v>
      </c>
      <c r="C5945" s="20" t="s">
        <v>104</v>
      </c>
      <c r="D5945" s="14" t="str">
        <f>VLOOKUP(C5945,'State Key'!$A$2:$B$210,2,False)</f>
        <v>Tamil Nadu</v>
      </c>
      <c r="E5945" s="21">
        <v>1200.0</v>
      </c>
      <c r="F5945" s="22">
        <v>0.0</v>
      </c>
      <c r="G5945" s="22">
        <v>0.0</v>
      </c>
      <c r="H5945" s="22">
        <v>0.0</v>
      </c>
      <c r="I5945" s="22">
        <v>0.0</v>
      </c>
      <c r="J5945" s="22">
        <v>200.37</v>
      </c>
      <c r="K5945" s="22">
        <v>0.0</v>
      </c>
      <c r="L5945" s="22">
        <v>200.37</v>
      </c>
      <c r="M5945" s="22">
        <v>126.509</v>
      </c>
      <c r="N5945" s="22">
        <v>403.874</v>
      </c>
      <c r="O5945" s="24">
        <v>95.8</v>
      </c>
      <c r="P5945" s="18">
        <f t="shared" si="1"/>
        <v>200.37</v>
      </c>
    </row>
    <row r="5946" ht="15.75" customHeight="1">
      <c r="A5946" s="13" t="s">
        <v>264</v>
      </c>
      <c r="B5946" s="13" t="s">
        <v>99</v>
      </c>
      <c r="C5946" s="14" t="s">
        <v>105</v>
      </c>
      <c r="D5946" s="14" t="str">
        <f>VLOOKUP(C5946,'State Key'!$A$2:$B$210,2,False)</f>
        <v>Telangana</v>
      </c>
      <c r="E5946" s="15">
        <v>1100.0</v>
      </c>
      <c r="F5946" s="16">
        <v>0.0</v>
      </c>
      <c r="G5946" s="16">
        <v>136.599</v>
      </c>
      <c r="H5946" s="16">
        <v>208.866</v>
      </c>
      <c r="I5946" s="16">
        <v>0.0</v>
      </c>
      <c r="J5946" s="16">
        <v>0.0</v>
      </c>
      <c r="K5946" s="16">
        <v>0.0</v>
      </c>
      <c r="L5946" s="16">
        <v>345.465</v>
      </c>
      <c r="M5946" s="16">
        <v>357.83</v>
      </c>
      <c r="N5946" s="16">
        <v>268.109</v>
      </c>
      <c r="O5946" s="24">
        <v>22.5</v>
      </c>
      <c r="P5946" s="18">
        <f t="shared" si="1"/>
        <v>345.465</v>
      </c>
    </row>
    <row r="5947" ht="15.75" customHeight="1">
      <c r="A5947" s="19" t="s">
        <v>264</v>
      </c>
      <c r="B5947" s="19" t="s">
        <v>99</v>
      </c>
      <c r="C5947" s="20" t="s">
        <v>106</v>
      </c>
      <c r="D5947" s="14" t="str">
        <f>VLOOKUP(C5947,'State Key'!$A$2:$B$210,2,False)</f>
        <v>Telangana</v>
      </c>
      <c r="E5947" s="21">
        <v>1000.0</v>
      </c>
      <c r="F5947" s="22">
        <v>0.0</v>
      </c>
      <c r="G5947" s="22">
        <v>272.145</v>
      </c>
      <c r="H5947" s="22">
        <v>0.0</v>
      </c>
      <c r="I5947" s="22">
        <v>0.0</v>
      </c>
      <c r="J5947" s="22">
        <v>0.0</v>
      </c>
      <c r="K5947" s="22">
        <v>0.0</v>
      </c>
      <c r="L5947" s="22">
        <v>272.145</v>
      </c>
      <c r="M5947" s="22">
        <v>367.82</v>
      </c>
      <c r="N5947" s="22">
        <v>274.282</v>
      </c>
      <c r="O5947" s="24">
        <v>22.4</v>
      </c>
      <c r="P5947" s="18">
        <f t="shared" si="1"/>
        <v>272.145</v>
      </c>
    </row>
    <row r="5948" ht="15.75" customHeight="1">
      <c r="A5948" s="13" t="s">
        <v>264</v>
      </c>
      <c r="B5948" s="13" t="s">
        <v>99</v>
      </c>
      <c r="C5948" s="14" t="s">
        <v>107</v>
      </c>
      <c r="D5948" s="14" t="str">
        <f>VLOOKUP(C5948,'State Key'!$A$2:$B$210,2,False)</f>
        <v>Telangana</v>
      </c>
      <c r="E5948" s="15">
        <v>800.0</v>
      </c>
      <c r="F5948" s="16">
        <v>0.0</v>
      </c>
      <c r="G5948" s="16">
        <v>271.051</v>
      </c>
      <c r="H5948" s="16">
        <v>0.0</v>
      </c>
      <c r="I5948" s="16">
        <v>0.0</v>
      </c>
      <c r="J5948" s="16">
        <v>0.0</v>
      </c>
      <c r="K5948" s="16">
        <v>0.0</v>
      </c>
      <c r="L5948" s="16">
        <v>271.051</v>
      </c>
      <c r="M5948" s="16">
        <v>268.341</v>
      </c>
      <c r="N5948" s="16">
        <v>179.134</v>
      </c>
      <c r="O5948" s="24">
        <v>20.0</v>
      </c>
      <c r="P5948" s="18">
        <f t="shared" si="1"/>
        <v>271.051</v>
      </c>
    </row>
    <row r="5949" ht="15.75" customHeight="1">
      <c r="A5949" s="19" t="s">
        <v>264</v>
      </c>
      <c r="B5949" s="19" t="s">
        <v>99</v>
      </c>
      <c r="C5949" s="20" t="s">
        <v>108</v>
      </c>
      <c r="D5949" s="14" t="str">
        <f>VLOOKUP(C5949,'State Key'!$A$2:$B$210,2,False)</f>
        <v>Karnataka</v>
      </c>
      <c r="E5949" s="21">
        <v>2400.0</v>
      </c>
      <c r="F5949" s="22">
        <v>389.46</v>
      </c>
      <c r="G5949" s="22">
        <v>343.92</v>
      </c>
      <c r="H5949" s="22">
        <v>22.03</v>
      </c>
      <c r="I5949" s="22">
        <v>0.0</v>
      </c>
      <c r="J5949" s="22">
        <v>0.0</v>
      </c>
      <c r="K5949" s="22">
        <v>32.42</v>
      </c>
      <c r="L5949" s="22">
        <v>787.83</v>
      </c>
      <c r="M5949" s="22">
        <v>897.078</v>
      </c>
      <c r="N5949" s="22">
        <v>410.9</v>
      </c>
      <c r="O5949" s="23">
        <v>13.7</v>
      </c>
      <c r="P5949" s="18">
        <f t="shared" si="1"/>
        <v>787.83</v>
      </c>
    </row>
    <row r="5950" ht="15.75" customHeight="1">
      <c r="A5950" s="13" t="s">
        <v>264</v>
      </c>
      <c r="B5950" s="13" t="s">
        <v>99</v>
      </c>
      <c r="C5950" s="14" t="s">
        <v>109</v>
      </c>
      <c r="D5950" s="14" t="str">
        <f>VLOOKUP(C5950,'State Key'!$A$2:$B$210,2,False)</f>
        <v>Tamil Nadu</v>
      </c>
      <c r="E5950" s="15">
        <v>840.0</v>
      </c>
      <c r="F5950" s="16">
        <v>364.21969</v>
      </c>
      <c r="G5950" s="16">
        <v>0.0</v>
      </c>
      <c r="H5950" s="16">
        <v>0.0</v>
      </c>
      <c r="I5950" s="16">
        <v>0.0</v>
      </c>
      <c r="J5950" s="16">
        <v>0.0</v>
      </c>
      <c r="K5950" s="16">
        <v>0.0</v>
      </c>
      <c r="L5950" s="16">
        <v>364.21969</v>
      </c>
      <c r="M5950" s="16">
        <v>278.379</v>
      </c>
      <c r="N5950" s="16">
        <v>200.7</v>
      </c>
      <c r="O5950" s="24">
        <v>21.6</v>
      </c>
      <c r="P5950" s="18">
        <f t="shared" si="1"/>
        <v>364.21969</v>
      </c>
    </row>
    <row r="5951" ht="15.75" customHeight="1">
      <c r="A5951" s="19" t="s">
        <v>264</v>
      </c>
      <c r="B5951" s="19" t="s">
        <v>99</v>
      </c>
      <c r="C5951" s="20" t="s">
        <v>261</v>
      </c>
      <c r="D5951" s="14" t="str">
        <f>VLOOKUP(C5951,'State Key'!$A$2:$B$210,2,False)</f>
        <v>Tamil Nadu</v>
      </c>
      <c r="E5951" s="21">
        <v>600.0</v>
      </c>
      <c r="F5951" s="22">
        <v>8.75</v>
      </c>
      <c r="G5951" s="22">
        <v>0.0</v>
      </c>
      <c r="H5951" s="22">
        <v>0.0</v>
      </c>
      <c r="I5951" s="22">
        <v>0.0</v>
      </c>
      <c r="J5951" s="22">
        <v>0.0</v>
      </c>
      <c r="K5951" s="22">
        <v>0.0</v>
      </c>
      <c r="L5951" s="22">
        <v>8.75</v>
      </c>
      <c r="M5951" s="22">
        <v>0.466</v>
      </c>
      <c r="N5951" s="22">
        <v>110.38</v>
      </c>
      <c r="O5951" s="24">
        <v>7106.0</v>
      </c>
      <c r="P5951" s="18">
        <f t="shared" si="1"/>
        <v>8.75</v>
      </c>
    </row>
    <row r="5952" ht="15.75" customHeight="1">
      <c r="A5952" s="13" t="s">
        <v>264</v>
      </c>
      <c r="B5952" s="13" t="s">
        <v>99</v>
      </c>
      <c r="C5952" s="14" t="s">
        <v>111</v>
      </c>
      <c r="D5952" s="14" t="str">
        <f>VLOOKUP(C5952,'State Key'!$A$2:$B$210,2,False)</f>
        <v>Tamil Nadu</v>
      </c>
      <c r="E5952" s="15">
        <v>1200.0</v>
      </c>
      <c r="F5952" s="16">
        <v>112.924</v>
      </c>
      <c r="G5952" s="16">
        <v>0.0</v>
      </c>
      <c r="H5952" s="16">
        <v>0.0</v>
      </c>
      <c r="I5952" s="16">
        <v>0.0</v>
      </c>
      <c r="J5952" s="16">
        <v>259.8</v>
      </c>
      <c r="K5952" s="16">
        <v>0.0</v>
      </c>
      <c r="L5952" s="16">
        <v>372.724</v>
      </c>
      <c r="M5952" s="16">
        <v>390.37</v>
      </c>
      <c r="N5952" s="16">
        <v>171.16</v>
      </c>
      <c r="O5952" s="23">
        <v>13.2</v>
      </c>
      <c r="P5952" s="18">
        <f t="shared" si="1"/>
        <v>372.724</v>
      </c>
    </row>
    <row r="5953" ht="15.75" customHeight="1">
      <c r="A5953" s="19" t="s">
        <v>264</v>
      </c>
      <c r="B5953" s="19" t="s">
        <v>99</v>
      </c>
      <c r="C5953" s="20" t="s">
        <v>262</v>
      </c>
      <c r="D5953" s="14" t="str">
        <f>VLOOKUP(C5953,'State Key'!$A$2:$B$210,2,False)</f>
        <v>Tamil Nadu</v>
      </c>
      <c r="E5953" s="21">
        <v>630.0</v>
      </c>
      <c r="F5953" s="22">
        <v>250.357</v>
      </c>
      <c r="G5953" s="22">
        <v>0.0</v>
      </c>
      <c r="H5953" s="22">
        <v>0.0</v>
      </c>
      <c r="I5953" s="22">
        <v>0.0</v>
      </c>
      <c r="J5953" s="22">
        <v>0.0</v>
      </c>
      <c r="K5953" s="22">
        <v>0.0</v>
      </c>
      <c r="L5953" s="22">
        <v>250.357</v>
      </c>
      <c r="M5953" s="22">
        <v>265.219</v>
      </c>
      <c r="N5953" s="22">
        <v>184.66</v>
      </c>
      <c r="O5953" s="24">
        <v>20.9</v>
      </c>
      <c r="P5953" s="18">
        <f t="shared" si="1"/>
        <v>250.357</v>
      </c>
    </row>
    <row r="5954" ht="15.75" customHeight="1">
      <c r="A5954" s="13" t="s">
        <v>264</v>
      </c>
      <c r="B5954" s="13" t="s">
        <v>99</v>
      </c>
      <c r="C5954" s="14" t="s">
        <v>263</v>
      </c>
      <c r="D5954" s="14" t="str">
        <f>VLOOKUP(C5954,'State Key'!$A$2:$B$210,2,False)</f>
        <v>Tamil Nadu</v>
      </c>
      <c r="E5954" s="15">
        <v>1200.0</v>
      </c>
      <c r="F5954" s="16">
        <v>453.651</v>
      </c>
      <c r="G5954" s="16">
        <v>0.0</v>
      </c>
      <c r="H5954" s="16">
        <v>0.0</v>
      </c>
      <c r="I5954" s="16">
        <v>0.0</v>
      </c>
      <c r="J5954" s="16">
        <v>0.0</v>
      </c>
      <c r="K5954" s="16">
        <v>0.0</v>
      </c>
      <c r="L5954" s="16">
        <v>453.651</v>
      </c>
      <c r="M5954" s="16">
        <v>372.754</v>
      </c>
      <c r="N5954" s="16">
        <v>161.931</v>
      </c>
      <c r="O5954" s="23">
        <v>13.0</v>
      </c>
      <c r="P5954" s="18">
        <f t="shared" si="1"/>
        <v>453.651</v>
      </c>
    </row>
    <row r="5955" ht="15.75" customHeight="1">
      <c r="A5955" s="19" t="s">
        <v>264</v>
      </c>
      <c r="B5955" s="19" t="s">
        <v>99</v>
      </c>
      <c r="C5955" s="20" t="s">
        <v>113</v>
      </c>
      <c r="D5955" s="14" t="str">
        <f>VLOOKUP(C5955,'State Key'!$A$2:$B$210,2,False)</f>
        <v>Tamil Nadu</v>
      </c>
      <c r="E5955" s="21">
        <v>1000.0</v>
      </c>
      <c r="F5955" s="22">
        <v>0.0</v>
      </c>
      <c r="G5955" s="22">
        <v>0.0</v>
      </c>
      <c r="H5955" s="22">
        <v>276.671</v>
      </c>
      <c r="I5955" s="22">
        <v>0.0</v>
      </c>
      <c r="J5955" s="22">
        <v>0.0</v>
      </c>
      <c r="K5955" s="22">
        <v>0.0</v>
      </c>
      <c r="L5955" s="22">
        <v>276.671</v>
      </c>
      <c r="M5955" s="22">
        <v>307.047</v>
      </c>
      <c r="N5955" s="22">
        <v>191.943</v>
      </c>
      <c r="O5955" s="24">
        <v>18.8</v>
      </c>
      <c r="P5955" s="18">
        <f t="shared" si="1"/>
        <v>276.671</v>
      </c>
    </row>
    <row r="5956" ht="15.75" customHeight="1">
      <c r="A5956" s="13" t="s">
        <v>264</v>
      </c>
      <c r="B5956" s="13" t="s">
        <v>99</v>
      </c>
      <c r="C5956" s="14" t="s">
        <v>228</v>
      </c>
      <c r="D5956" s="14" t="str">
        <f>VLOOKUP(C5956,'State Key'!$A$2:$B$210,2,False)</f>
        <v>Tamil Nadu</v>
      </c>
      <c r="E5956" s="15">
        <v>414.0</v>
      </c>
      <c r="F5956" s="16">
        <v>15.932</v>
      </c>
      <c r="G5956" s="16">
        <v>0.0</v>
      </c>
      <c r="H5956" s="16">
        <v>0.0</v>
      </c>
      <c r="I5956" s="16">
        <v>0.0</v>
      </c>
      <c r="J5956" s="16">
        <v>0.0</v>
      </c>
      <c r="K5956" s="16">
        <v>0.0</v>
      </c>
      <c r="L5956" s="16">
        <v>15.932</v>
      </c>
      <c r="M5956" s="16">
        <v>41.875</v>
      </c>
      <c r="N5956" s="16">
        <v>99.122</v>
      </c>
      <c r="O5956" s="24">
        <v>71.0</v>
      </c>
      <c r="P5956" s="18">
        <f t="shared" si="1"/>
        <v>15.932</v>
      </c>
    </row>
    <row r="5957" ht="15.75" customHeight="1">
      <c r="A5957" s="19" t="s">
        <v>264</v>
      </c>
      <c r="B5957" s="19" t="s">
        <v>99</v>
      </c>
      <c r="C5957" s="20" t="s">
        <v>114</v>
      </c>
      <c r="D5957" s="14" t="str">
        <f>VLOOKUP(C5957,'State Key'!$A$2:$B$210,2,False)</f>
        <v>Andhra Pradesh</v>
      </c>
      <c r="E5957" s="21">
        <v>1320.0</v>
      </c>
      <c r="F5957" s="22">
        <v>551.896</v>
      </c>
      <c r="G5957" s="22">
        <v>0.0</v>
      </c>
      <c r="H5957" s="22">
        <v>0.0</v>
      </c>
      <c r="I5957" s="22">
        <v>0.0</v>
      </c>
      <c r="J5957" s="22">
        <v>16.275</v>
      </c>
      <c r="K5957" s="22">
        <v>0.0</v>
      </c>
      <c r="L5957" s="22">
        <v>568.171</v>
      </c>
      <c r="M5957" s="22">
        <v>382.901</v>
      </c>
      <c r="N5957" s="22">
        <v>375.118</v>
      </c>
      <c r="O5957" s="24">
        <v>29.4</v>
      </c>
      <c r="P5957" s="18">
        <f t="shared" si="1"/>
        <v>568.171</v>
      </c>
    </row>
    <row r="5958" ht="15.75" customHeight="1">
      <c r="A5958" s="13" t="s">
        <v>264</v>
      </c>
      <c r="B5958" s="13" t="s">
        <v>99</v>
      </c>
      <c r="C5958" s="14" t="s">
        <v>115</v>
      </c>
      <c r="D5958" s="14" t="str">
        <f>VLOOKUP(C5958,'State Key'!$A$2:$B$210,2,False)</f>
        <v>Karnataka</v>
      </c>
      <c r="E5958" s="15">
        <v>1720.0</v>
      </c>
      <c r="F5958" s="16">
        <v>388.496</v>
      </c>
      <c r="G5958" s="16">
        <v>218.537</v>
      </c>
      <c r="H5958" s="16">
        <v>0.0</v>
      </c>
      <c r="I5958" s="16">
        <v>0.0</v>
      </c>
      <c r="J5958" s="16">
        <v>0.0</v>
      </c>
      <c r="K5958" s="16">
        <v>0.0</v>
      </c>
      <c r="L5958" s="16">
        <v>607.033</v>
      </c>
      <c r="M5958" s="16">
        <v>660.717</v>
      </c>
      <c r="N5958" s="16">
        <v>464.72</v>
      </c>
      <c r="O5958" s="24">
        <v>21.1</v>
      </c>
      <c r="P5958" s="18">
        <f t="shared" si="1"/>
        <v>607.033</v>
      </c>
    </row>
    <row r="5959" ht="15.75" customHeight="1">
      <c r="A5959" s="19" t="s">
        <v>264</v>
      </c>
      <c r="B5959" s="19" t="s">
        <v>99</v>
      </c>
      <c r="C5959" s="20" t="s">
        <v>116</v>
      </c>
      <c r="D5959" s="14" t="str">
        <f>VLOOKUP(C5959,'State Key'!$A$2:$B$210,2,False)</f>
        <v>Telangana</v>
      </c>
      <c r="E5959" s="21">
        <v>2600.0</v>
      </c>
      <c r="F5959" s="22">
        <v>0.0</v>
      </c>
      <c r="G5959" s="22">
        <v>751.63</v>
      </c>
      <c r="H5959" s="22">
        <v>0.0</v>
      </c>
      <c r="I5959" s="22">
        <v>0.0</v>
      </c>
      <c r="J5959" s="22">
        <v>0.0</v>
      </c>
      <c r="K5959" s="22">
        <v>0.0</v>
      </c>
      <c r="L5959" s="22">
        <v>751.63</v>
      </c>
      <c r="M5959" s="22">
        <v>769.91</v>
      </c>
      <c r="N5959" s="22">
        <v>660.23</v>
      </c>
      <c r="O5959" s="24">
        <v>25.7</v>
      </c>
      <c r="P5959" s="18">
        <f t="shared" si="1"/>
        <v>751.63</v>
      </c>
    </row>
    <row r="5960" ht="15.75" customHeight="1">
      <c r="A5960" s="13" t="s">
        <v>264</v>
      </c>
      <c r="B5960" s="13" t="s">
        <v>99</v>
      </c>
      <c r="C5960" s="14" t="s">
        <v>117</v>
      </c>
      <c r="D5960" s="14" t="str">
        <f>VLOOKUP(C5960,'State Key'!$A$2:$B$210,2,False)</f>
        <v>Telangana</v>
      </c>
      <c r="E5960" s="15">
        <v>62.5</v>
      </c>
      <c r="F5960" s="16">
        <v>0.0</v>
      </c>
      <c r="G5960" s="16">
        <v>0.0</v>
      </c>
      <c r="H5960" s="16">
        <v>0.0</v>
      </c>
      <c r="I5960" s="16">
        <v>0.0</v>
      </c>
      <c r="J5960" s="16">
        <v>0.0</v>
      </c>
      <c r="K5960" s="16">
        <v>0.0</v>
      </c>
      <c r="L5960" s="16">
        <v>0.0</v>
      </c>
      <c r="M5960" s="16">
        <v>0.0</v>
      </c>
      <c r="N5960" s="16">
        <v>0.0</v>
      </c>
      <c r="O5960" s="13" t="s">
        <v>58</v>
      </c>
      <c r="P5960" s="18">
        <f t="shared" si="1"/>
        <v>0</v>
      </c>
    </row>
    <row r="5961" ht="15.75" customHeight="1">
      <c r="A5961" s="19" t="s">
        <v>264</v>
      </c>
      <c r="B5961" s="19" t="s">
        <v>99</v>
      </c>
      <c r="C5961" s="20" t="s">
        <v>118</v>
      </c>
      <c r="D5961" s="14" t="str">
        <f>VLOOKUP(C5961,'State Key'!$A$2:$B$210,2,False)</f>
        <v>Andhra Pradesh</v>
      </c>
      <c r="E5961" s="21">
        <v>1650.0</v>
      </c>
      <c r="F5961" s="22">
        <v>534.592</v>
      </c>
      <c r="G5961" s="22">
        <v>169.422</v>
      </c>
      <c r="H5961" s="22">
        <v>0.0</v>
      </c>
      <c r="I5961" s="22">
        <v>0.0</v>
      </c>
      <c r="J5961" s="22">
        <v>0.0</v>
      </c>
      <c r="K5961" s="22">
        <v>0.0</v>
      </c>
      <c r="L5961" s="22">
        <v>704.014</v>
      </c>
      <c r="M5961" s="22">
        <v>627.378</v>
      </c>
      <c r="N5961" s="22">
        <v>247.89</v>
      </c>
      <c r="O5961" s="23">
        <v>11.9</v>
      </c>
      <c r="P5961" s="18">
        <f t="shared" si="1"/>
        <v>704.014</v>
      </c>
    </row>
    <row r="5962" ht="15.75" customHeight="1">
      <c r="A5962" s="13" t="s">
        <v>264</v>
      </c>
      <c r="B5962" s="13" t="s">
        <v>99</v>
      </c>
      <c r="C5962" s="14" t="s">
        <v>119</v>
      </c>
      <c r="D5962" s="14" t="str">
        <f>VLOOKUP(C5962,'State Key'!$A$2:$B$210,2,False)</f>
        <v>Andhra Pradesh</v>
      </c>
      <c r="E5962" s="15">
        <v>1320.0</v>
      </c>
      <c r="F5962" s="16">
        <v>367.611</v>
      </c>
      <c r="G5962" s="16">
        <v>0.0</v>
      </c>
      <c r="H5962" s="16">
        <v>0.0</v>
      </c>
      <c r="I5962" s="16">
        <v>0.0</v>
      </c>
      <c r="J5962" s="16">
        <v>372.085</v>
      </c>
      <c r="K5962" s="16">
        <v>0.0</v>
      </c>
      <c r="L5962" s="16">
        <v>739.696</v>
      </c>
      <c r="M5962" s="16">
        <v>582.042</v>
      </c>
      <c r="N5962" s="16">
        <v>400.936</v>
      </c>
      <c r="O5962" s="24">
        <v>20.7</v>
      </c>
      <c r="P5962" s="18">
        <f t="shared" si="1"/>
        <v>739.696</v>
      </c>
    </row>
    <row r="5963" ht="15.75" customHeight="1">
      <c r="A5963" s="19" t="s">
        <v>264</v>
      </c>
      <c r="B5963" s="19" t="s">
        <v>99</v>
      </c>
      <c r="C5963" s="20" t="s">
        <v>120</v>
      </c>
      <c r="D5963" s="14" t="str">
        <f>VLOOKUP(C5963,'State Key'!$A$2:$B$210,2,False)</f>
        <v>Andhra Pradesh</v>
      </c>
      <c r="E5963" s="21">
        <v>2000.0</v>
      </c>
      <c r="F5963" s="22">
        <v>448.81</v>
      </c>
      <c r="G5963" s="22">
        <v>0.0</v>
      </c>
      <c r="H5963" s="22">
        <v>59.43</v>
      </c>
      <c r="I5963" s="22">
        <v>0.0</v>
      </c>
      <c r="J5963" s="22">
        <v>0.0</v>
      </c>
      <c r="K5963" s="22">
        <v>4.16</v>
      </c>
      <c r="L5963" s="22">
        <v>512.4</v>
      </c>
      <c r="M5963" s="22">
        <v>707.374</v>
      </c>
      <c r="N5963" s="22">
        <v>404.96</v>
      </c>
      <c r="O5963" s="24">
        <v>17.2</v>
      </c>
      <c r="P5963" s="18">
        <f t="shared" si="1"/>
        <v>512.4</v>
      </c>
    </row>
    <row r="5964" ht="15.75" customHeight="1">
      <c r="A5964" s="13" t="s">
        <v>264</v>
      </c>
      <c r="B5964" s="13" t="s">
        <v>99</v>
      </c>
      <c r="C5964" s="14" t="s">
        <v>121</v>
      </c>
      <c r="D5964" s="14" t="str">
        <f>VLOOKUP(C5964,'State Key'!$A$2:$B$210,2,False)</f>
        <v>Andhra Pradesh</v>
      </c>
      <c r="E5964" s="15">
        <v>600.0</v>
      </c>
      <c r="F5964" s="16">
        <v>25.602</v>
      </c>
      <c r="G5964" s="16">
        <v>0.0</v>
      </c>
      <c r="H5964" s="16">
        <v>0.0</v>
      </c>
      <c r="I5964" s="16">
        <v>0.0</v>
      </c>
      <c r="J5964" s="16">
        <v>48.005</v>
      </c>
      <c r="K5964" s="16">
        <v>0.0</v>
      </c>
      <c r="L5964" s="16">
        <v>73.607</v>
      </c>
      <c r="M5964" s="16">
        <v>90.819</v>
      </c>
      <c r="N5964" s="16">
        <v>196.534</v>
      </c>
      <c r="O5964" s="24">
        <v>64.9</v>
      </c>
      <c r="P5964" s="18">
        <f t="shared" si="1"/>
        <v>73.607</v>
      </c>
    </row>
    <row r="5965" ht="15.75" customHeight="1">
      <c r="A5965" s="19" t="s">
        <v>264</v>
      </c>
      <c r="B5965" s="19" t="s">
        <v>99</v>
      </c>
      <c r="C5965" s="20" t="s">
        <v>122</v>
      </c>
      <c r="D5965" s="14" t="str">
        <f>VLOOKUP(C5965,'State Key'!$A$2:$B$210,2,False)</f>
        <v>Telangana</v>
      </c>
      <c r="E5965" s="21">
        <v>1200.0</v>
      </c>
      <c r="F5965" s="22">
        <v>0.0</v>
      </c>
      <c r="G5965" s="22">
        <v>412.635</v>
      </c>
      <c r="H5965" s="22">
        <v>0.0</v>
      </c>
      <c r="I5965" s="22">
        <v>0.0</v>
      </c>
      <c r="J5965" s="22">
        <v>0.0</v>
      </c>
      <c r="K5965" s="22">
        <v>0.0</v>
      </c>
      <c r="L5965" s="22">
        <v>412.635</v>
      </c>
      <c r="M5965" s="22">
        <v>457.797</v>
      </c>
      <c r="N5965" s="22">
        <v>125.86</v>
      </c>
      <c r="O5965" s="23">
        <v>8.2</v>
      </c>
      <c r="P5965" s="18">
        <f t="shared" si="1"/>
        <v>412.635</v>
      </c>
    </row>
    <row r="5966" ht="15.75" customHeight="1">
      <c r="A5966" s="13" t="s">
        <v>264</v>
      </c>
      <c r="B5966" s="13" t="s">
        <v>99</v>
      </c>
      <c r="C5966" s="14" t="s">
        <v>243</v>
      </c>
      <c r="D5966" s="14" t="str">
        <f>VLOOKUP(C5966,'State Key'!$A$2:$B$210,2,False)</f>
        <v>Tamil Nadu</v>
      </c>
      <c r="E5966" s="15">
        <v>63.5</v>
      </c>
      <c r="F5966" s="16">
        <v>0.0</v>
      </c>
      <c r="G5966" s="16">
        <v>0.0</v>
      </c>
      <c r="H5966" s="16">
        <v>0.0</v>
      </c>
      <c r="I5966" s="16">
        <v>0.0</v>
      </c>
      <c r="J5966" s="16">
        <v>0.0</v>
      </c>
      <c r="K5966" s="16">
        <v>0.0</v>
      </c>
      <c r="L5966" s="16">
        <v>0.0</v>
      </c>
      <c r="M5966" s="16">
        <v>0.0</v>
      </c>
      <c r="N5966" s="16">
        <v>0.0</v>
      </c>
      <c r="O5966" s="13" t="s">
        <v>58</v>
      </c>
      <c r="P5966" s="18">
        <f t="shared" si="1"/>
        <v>0</v>
      </c>
    </row>
    <row r="5967" ht="15.75" customHeight="1">
      <c r="A5967" s="19" t="s">
        <v>264</v>
      </c>
      <c r="B5967" s="19" t="s">
        <v>99</v>
      </c>
      <c r="C5967" s="20" t="s">
        <v>220</v>
      </c>
      <c r="D5967" s="14" t="str">
        <f>VLOOKUP(C5967,'State Key'!$A$2:$B$210,2,False)</f>
        <v>Telangana</v>
      </c>
      <c r="E5967" s="21">
        <v>1600.0</v>
      </c>
      <c r="F5967" s="22">
        <v>4.06</v>
      </c>
      <c r="G5967" s="22">
        <v>599.33</v>
      </c>
      <c r="H5967" s="22">
        <v>0.0</v>
      </c>
      <c r="I5967" s="22">
        <v>0.0</v>
      </c>
      <c r="J5967" s="22">
        <v>0.0</v>
      </c>
      <c r="K5967" s="22">
        <v>0.0</v>
      </c>
      <c r="L5967" s="22">
        <v>603.39</v>
      </c>
      <c r="M5967" s="22">
        <v>546.496</v>
      </c>
      <c r="N5967" s="22">
        <v>526.23</v>
      </c>
      <c r="O5967" s="24">
        <v>28.9</v>
      </c>
      <c r="P5967" s="18">
        <f t="shared" si="1"/>
        <v>603.39</v>
      </c>
    </row>
    <row r="5968" ht="15.75" customHeight="1">
      <c r="A5968" s="13" t="s">
        <v>264</v>
      </c>
      <c r="B5968" s="13" t="s">
        <v>99</v>
      </c>
      <c r="C5968" s="14" t="s">
        <v>123</v>
      </c>
      <c r="D5968" s="14" t="str">
        <f>VLOOKUP(C5968,'State Key'!$A$2:$B$210,2,False)</f>
        <v>Andhra Pradesh</v>
      </c>
      <c r="E5968" s="15">
        <v>1000.0</v>
      </c>
      <c r="F5968" s="16">
        <v>4.2557</v>
      </c>
      <c r="G5968" s="16">
        <v>0.0</v>
      </c>
      <c r="H5968" s="16">
        <v>0.0</v>
      </c>
      <c r="I5968" s="16">
        <v>0.0</v>
      </c>
      <c r="J5968" s="16">
        <v>25.77086</v>
      </c>
      <c r="K5968" s="16">
        <v>0.0</v>
      </c>
      <c r="L5968" s="16">
        <v>30.02656</v>
      </c>
      <c r="M5968" s="16">
        <v>79.1525</v>
      </c>
      <c r="N5968" s="16">
        <v>42.19</v>
      </c>
      <c r="O5968" s="24">
        <v>16.0</v>
      </c>
      <c r="P5968" s="18">
        <f t="shared" si="1"/>
        <v>30.02656</v>
      </c>
    </row>
    <row r="5969" ht="15.75" customHeight="1">
      <c r="A5969" s="19" t="s">
        <v>264</v>
      </c>
      <c r="B5969" s="19" t="s">
        <v>99</v>
      </c>
      <c r="C5969" s="20" t="s">
        <v>124</v>
      </c>
      <c r="D5969" s="14" t="str">
        <f>VLOOKUP(C5969,'State Key'!$A$2:$B$210,2,False)</f>
        <v>Karnataka</v>
      </c>
      <c r="E5969" s="21">
        <v>260.0</v>
      </c>
      <c r="F5969" s="22">
        <v>0.0</v>
      </c>
      <c r="G5969" s="22">
        <v>0.0</v>
      </c>
      <c r="H5969" s="22">
        <v>0.0</v>
      </c>
      <c r="I5969" s="22">
        <v>0.0</v>
      </c>
      <c r="J5969" s="22">
        <v>50.0</v>
      </c>
      <c r="K5969" s="22">
        <v>0.0</v>
      </c>
      <c r="L5969" s="22">
        <v>50.0</v>
      </c>
      <c r="M5969" s="22">
        <v>50.0</v>
      </c>
      <c r="N5969" s="22">
        <v>0.0</v>
      </c>
      <c r="O5969" s="17">
        <v>0.0</v>
      </c>
      <c r="P5969" s="18">
        <f t="shared" si="1"/>
        <v>50</v>
      </c>
    </row>
    <row r="5970" ht="15.75" customHeight="1">
      <c r="A5970" s="13" t="s">
        <v>264</v>
      </c>
      <c r="B5970" s="13" t="s">
        <v>99</v>
      </c>
      <c r="C5970" s="14" t="s">
        <v>125</v>
      </c>
      <c r="D5970" s="14" t="str">
        <f>VLOOKUP(C5970,'State Key'!$A$2:$B$210,2,False)</f>
        <v>Karnataka</v>
      </c>
      <c r="E5970" s="15">
        <v>600.0</v>
      </c>
      <c r="F5970" s="16">
        <v>0.0</v>
      </c>
      <c r="G5970" s="16">
        <v>0.0</v>
      </c>
      <c r="H5970" s="16">
        <v>0.0</v>
      </c>
      <c r="I5970" s="16">
        <v>0.0</v>
      </c>
      <c r="J5970" s="16">
        <v>134.6</v>
      </c>
      <c r="K5970" s="16">
        <v>0.0</v>
      </c>
      <c r="L5970" s="16">
        <v>134.6</v>
      </c>
      <c r="M5970" s="16">
        <v>136.66</v>
      </c>
      <c r="N5970" s="16">
        <v>5.01</v>
      </c>
      <c r="O5970" s="17">
        <v>1.1</v>
      </c>
      <c r="P5970" s="18">
        <f t="shared" si="1"/>
        <v>134.6</v>
      </c>
    </row>
    <row r="5971" ht="15.75" customHeight="1">
      <c r="A5971" s="19" t="s">
        <v>264</v>
      </c>
      <c r="B5971" s="19" t="s">
        <v>99</v>
      </c>
      <c r="C5971" s="20" t="s">
        <v>126</v>
      </c>
      <c r="D5971" s="14" t="str">
        <f>VLOOKUP(C5971,'State Key'!$A$2:$B$210,2,False)</f>
        <v>Tamil Nadu</v>
      </c>
      <c r="E5971" s="21">
        <v>300.0</v>
      </c>
      <c r="F5971" s="22">
        <v>0.0</v>
      </c>
      <c r="G5971" s="22">
        <v>0.0</v>
      </c>
      <c r="H5971" s="22">
        <v>0.0</v>
      </c>
      <c r="I5971" s="22">
        <v>0.0</v>
      </c>
      <c r="J5971" s="22">
        <v>0.0</v>
      </c>
      <c r="K5971" s="22">
        <v>0.0</v>
      </c>
      <c r="L5971" s="22">
        <v>0.0</v>
      </c>
      <c r="M5971" s="22">
        <v>0.0</v>
      </c>
      <c r="N5971" s="22">
        <v>0.0</v>
      </c>
      <c r="O5971" s="19" t="s">
        <v>58</v>
      </c>
      <c r="P5971" s="18">
        <f t="shared" si="1"/>
        <v>0</v>
      </c>
    </row>
    <row r="5972" ht="15.75" customHeight="1">
      <c r="A5972" s="13" t="s">
        <v>264</v>
      </c>
      <c r="B5972" s="13" t="s">
        <v>99</v>
      </c>
      <c r="C5972" s="14" t="s">
        <v>127</v>
      </c>
      <c r="D5972" s="14" t="str">
        <f>VLOOKUP(C5972,'State Key'!$A$2:$B$210,2,False)</f>
        <v>Tamil Nadu</v>
      </c>
      <c r="E5972" s="15">
        <v>525.0</v>
      </c>
      <c r="F5972" s="16">
        <v>0.0</v>
      </c>
      <c r="G5972" s="16">
        <v>0.0</v>
      </c>
      <c r="H5972" s="16">
        <v>0.0</v>
      </c>
      <c r="I5972" s="16">
        <v>0.0</v>
      </c>
      <c r="J5972" s="16">
        <v>138.498</v>
      </c>
      <c r="K5972" s="16">
        <v>0.0</v>
      </c>
      <c r="L5972" s="16">
        <v>138.498</v>
      </c>
      <c r="M5972" s="16">
        <v>143.709</v>
      </c>
      <c r="N5972" s="16">
        <v>6.62</v>
      </c>
      <c r="O5972" s="17">
        <v>1.4</v>
      </c>
      <c r="P5972" s="18">
        <f t="shared" si="1"/>
        <v>138.498</v>
      </c>
    </row>
    <row r="5973" ht="15.75" customHeight="1">
      <c r="A5973" s="19" t="s">
        <v>264</v>
      </c>
      <c r="B5973" s="19" t="s">
        <v>99</v>
      </c>
      <c r="C5973" s="20" t="s">
        <v>128</v>
      </c>
      <c r="D5973" s="14" t="str">
        <f>VLOOKUP(C5973,'State Key'!$A$2:$B$210,2,False)</f>
        <v>Tamil Nadu</v>
      </c>
      <c r="E5973" s="21">
        <v>1050.0</v>
      </c>
      <c r="F5973" s="22">
        <v>142.649</v>
      </c>
      <c r="G5973" s="22">
        <v>0.0</v>
      </c>
      <c r="H5973" s="22">
        <v>0.0</v>
      </c>
      <c r="I5973" s="22">
        <v>0.0</v>
      </c>
      <c r="J5973" s="22">
        <v>0.0</v>
      </c>
      <c r="K5973" s="22">
        <v>0.0</v>
      </c>
      <c r="L5973" s="22">
        <v>142.649</v>
      </c>
      <c r="M5973" s="22">
        <v>234.599</v>
      </c>
      <c r="N5973" s="22">
        <v>202.02</v>
      </c>
      <c r="O5973" s="24">
        <v>25.8</v>
      </c>
      <c r="P5973" s="18">
        <f t="shared" si="1"/>
        <v>142.649</v>
      </c>
    </row>
    <row r="5974" ht="15.75" customHeight="1">
      <c r="A5974" s="13" t="s">
        <v>264</v>
      </c>
      <c r="B5974" s="13" t="s">
        <v>99</v>
      </c>
      <c r="C5974" s="14" t="s">
        <v>130</v>
      </c>
      <c r="D5974" s="14" t="str">
        <f>VLOOKUP(C5974,'State Key'!$A$2:$B$210,2,False)</f>
        <v>Tamil Nadu</v>
      </c>
      <c r="E5974" s="15">
        <v>1500.0</v>
      </c>
      <c r="F5974" s="16">
        <v>502.831</v>
      </c>
      <c r="G5974" s="16">
        <v>0.0</v>
      </c>
      <c r="H5974" s="16">
        <v>0.0</v>
      </c>
      <c r="I5974" s="16">
        <v>0.0</v>
      </c>
      <c r="J5974" s="16">
        <v>0.0</v>
      </c>
      <c r="K5974" s="16">
        <v>0.0</v>
      </c>
      <c r="L5974" s="16">
        <v>502.831</v>
      </c>
      <c r="M5974" s="16">
        <v>436.901</v>
      </c>
      <c r="N5974" s="16">
        <v>633.099</v>
      </c>
      <c r="O5974" s="24">
        <v>43.5</v>
      </c>
      <c r="P5974" s="18">
        <f t="shared" si="1"/>
        <v>502.831</v>
      </c>
    </row>
    <row r="5975" ht="15.75" customHeight="1">
      <c r="A5975" s="19" t="s">
        <v>264</v>
      </c>
      <c r="B5975" s="19" t="s">
        <v>99</v>
      </c>
      <c r="C5975" s="20" t="s">
        <v>131</v>
      </c>
      <c r="D5975" s="14" t="str">
        <f>VLOOKUP(C5975,'State Key'!$A$2:$B$210,2,False)</f>
        <v>Andhra Pradesh</v>
      </c>
      <c r="E5975" s="21">
        <v>1040.0</v>
      </c>
      <c r="F5975" s="22">
        <v>472.97865</v>
      </c>
      <c r="G5975" s="22">
        <v>0.0</v>
      </c>
      <c r="H5975" s="22">
        <v>0.0</v>
      </c>
      <c r="I5975" s="22">
        <v>0.0</v>
      </c>
      <c r="J5975" s="22">
        <v>0.0</v>
      </c>
      <c r="K5975" s="22">
        <v>0.0</v>
      </c>
      <c r="L5975" s="22">
        <v>472.97865</v>
      </c>
      <c r="M5975" s="22">
        <v>436.642</v>
      </c>
      <c r="N5975" s="22">
        <v>122.52</v>
      </c>
      <c r="O5975" s="23">
        <v>8.4</v>
      </c>
      <c r="P5975" s="18">
        <f t="shared" si="1"/>
        <v>472.97865</v>
      </c>
    </row>
    <row r="5976" ht="15.75" customHeight="1">
      <c r="A5976" s="13" t="s">
        <v>264</v>
      </c>
      <c r="B5976" s="13" t="s">
        <v>99</v>
      </c>
      <c r="C5976" s="14" t="s">
        <v>249</v>
      </c>
      <c r="D5976" s="14" t="str">
        <f>VLOOKUP(C5976,'State Key'!$A$2:$B$210,2,False)</f>
        <v>Telangana</v>
      </c>
      <c r="E5976" s="15">
        <v>1600.0</v>
      </c>
      <c r="F5976" s="16">
        <v>0.0</v>
      </c>
      <c r="G5976" s="16">
        <v>374.677</v>
      </c>
      <c r="H5976" s="16">
        <v>0.0</v>
      </c>
      <c r="I5976" s="16">
        <v>0.0</v>
      </c>
      <c r="J5976" s="16">
        <v>0.0</v>
      </c>
      <c r="K5976" s="16">
        <v>0.0</v>
      </c>
      <c r="L5976" s="16">
        <v>374.677</v>
      </c>
      <c r="M5976" s="16">
        <v>457.89</v>
      </c>
      <c r="N5976" s="16">
        <v>344.283</v>
      </c>
      <c r="O5976" s="24">
        <v>22.6</v>
      </c>
      <c r="P5976" s="18">
        <f t="shared" si="1"/>
        <v>374.677</v>
      </c>
    </row>
    <row r="5977" ht="15.75" customHeight="1">
      <c r="A5977" s="19" t="s">
        <v>264</v>
      </c>
      <c r="B5977" s="19" t="s">
        <v>99</v>
      </c>
      <c r="C5977" s="20" t="s">
        <v>132</v>
      </c>
      <c r="D5977" s="14" t="str">
        <f>VLOOKUP(C5977,'State Key'!$A$2:$B$210,2,False)</f>
        <v>Karnataka</v>
      </c>
      <c r="E5977" s="21">
        <v>1600.0</v>
      </c>
      <c r="F5977" s="22">
        <v>0.0</v>
      </c>
      <c r="G5977" s="22">
        <v>224.499</v>
      </c>
      <c r="H5977" s="22">
        <v>0.0</v>
      </c>
      <c r="I5977" s="22">
        <v>0.0</v>
      </c>
      <c r="J5977" s="22">
        <v>0.0</v>
      </c>
      <c r="K5977" s="22">
        <v>0.0</v>
      </c>
      <c r="L5977" s="22">
        <v>224.499</v>
      </c>
      <c r="M5977" s="22">
        <v>207.7669</v>
      </c>
      <c r="N5977" s="22">
        <v>332.18</v>
      </c>
      <c r="O5977" s="24">
        <v>48.0</v>
      </c>
      <c r="P5977" s="18">
        <f t="shared" si="1"/>
        <v>224.499</v>
      </c>
    </row>
    <row r="5978" ht="15.75" customHeight="1">
      <c r="A5978" s="13" t="s">
        <v>264</v>
      </c>
      <c r="B5978" s="13" t="s">
        <v>133</v>
      </c>
      <c r="C5978" s="14" t="s">
        <v>211</v>
      </c>
      <c r="D5978" s="14" t="str">
        <f>VLOOKUP(C5978,'State Key'!$A$2:$B$210,2,False)</f>
        <v>Gujarat</v>
      </c>
      <c r="E5978" s="15">
        <v>2640.0</v>
      </c>
      <c r="F5978" s="16">
        <v>0.0</v>
      </c>
      <c r="G5978" s="16">
        <v>0.0</v>
      </c>
      <c r="H5978" s="16">
        <v>0.0</v>
      </c>
      <c r="I5978" s="16">
        <v>0.0</v>
      </c>
      <c r="J5978" s="16">
        <v>817.912</v>
      </c>
      <c r="K5978" s="16">
        <v>0.0</v>
      </c>
      <c r="L5978" s="16">
        <v>817.912</v>
      </c>
      <c r="M5978" s="16">
        <v>745.249</v>
      </c>
      <c r="N5978" s="16">
        <v>147.104</v>
      </c>
      <c r="O5978" s="17">
        <v>5.9</v>
      </c>
      <c r="P5978" s="18">
        <f t="shared" si="1"/>
        <v>817.912</v>
      </c>
    </row>
    <row r="5979" ht="15.75" customHeight="1">
      <c r="A5979" s="19" t="s">
        <v>264</v>
      </c>
      <c r="B5979" s="19" t="s">
        <v>133</v>
      </c>
      <c r="C5979" s="20" t="s">
        <v>212</v>
      </c>
      <c r="D5979" s="14" t="str">
        <f>VLOOKUP(C5979,'State Key'!$A$2:$B$210,2,False)</f>
        <v>Gujarat</v>
      </c>
      <c r="E5979" s="21">
        <v>1980.0</v>
      </c>
      <c r="F5979" s="22">
        <v>0.0</v>
      </c>
      <c r="G5979" s="22">
        <v>0.0</v>
      </c>
      <c r="H5979" s="22">
        <v>0.0</v>
      </c>
      <c r="I5979" s="22">
        <v>0.0</v>
      </c>
      <c r="J5979" s="22">
        <v>493.004</v>
      </c>
      <c r="K5979" s="22">
        <v>0.0</v>
      </c>
      <c r="L5979" s="22">
        <v>493.004</v>
      </c>
      <c r="M5979" s="22">
        <v>509.298</v>
      </c>
      <c r="N5979" s="22">
        <v>101.633</v>
      </c>
      <c r="O5979" s="17">
        <v>6.0</v>
      </c>
      <c r="P5979" s="18">
        <f t="shared" si="1"/>
        <v>493.004</v>
      </c>
    </row>
    <row r="5980" ht="15.75" customHeight="1">
      <c r="A5980" s="13" t="s">
        <v>264</v>
      </c>
      <c r="B5980" s="13" t="s">
        <v>133</v>
      </c>
      <c r="C5980" s="14" t="s">
        <v>213</v>
      </c>
      <c r="D5980" s="14" t="str">
        <f>VLOOKUP(C5980,'State Key'!$A$2:$B$210,2,False)</f>
        <v>Chhattisgarh</v>
      </c>
      <c r="E5980" s="15">
        <v>600.0</v>
      </c>
      <c r="F5980" s="16">
        <v>122.76</v>
      </c>
      <c r="G5980" s="16">
        <v>0.0</v>
      </c>
      <c r="H5980" s="16">
        <v>0.0</v>
      </c>
      <c r="I5980" s="16">
        <v>0.0</v>
      </c>
      <c r="J5980" s="16">
        <v>0.0</v>
      </c>
      <c r="K5980" s="16">
        <v>41.866</v>
      </c>
      <c r="L5980" s="16">
        <v>164.626</v>
      </c>
      <c r="M5980" s="16">
        <v>1.073</v>
      </c>
      <c r="N5980" s="16">
        <v>264.43</v>
      </c>
      <c r="O5980" s="24">
        <v>7393.2</v>
      </c>
      <c r="P5980" s="18">
        <f t="shared" si="1"/>
        <v>164.626</v>
      </c>
    </row>
    <row r="5981" ht="15.75" customHeight="1">
      <c r="A5981" s="19" t="s">
        <v>264</v>
      </c>
      <c r="B5981" s="19" t="s">
        <v>133</v>
      </c>
      <c r="C5981" s="20" t="s">
        <v>214</v>
      </c>
      <c r="D5981" s="14" t="str">
        <f>VLOOKUP(C5981,'State Key'!$A$2:$B$210,2,False)</f>
        <v>Chhattisgarh</v>
      </c>
      <c r="E5981" s="21">
        <v>1370.0</v>
      </c>
      <c r="F5981" s="22">
        <v>222.22</v>
      </c>
      <c r="G5981" s="22">
        <v>0.0</v>
      </c>
      <c r="H5981" s="22">
        <v>0.0</v>
      </c>
      <c r="I5981" s="22">
        <v>0.0</v>
      </c>
      <c r="J5981" s="22">
        <v>0.0</v>
      </c>
      <c r="K5981" s="22">
        <v>36.594</v>
      </c>
      <c r="L5981" s="22">
        <v>258.814</v>
      </c>
      <c r="M5981" s="22">
        <v>499.884</v>
      </c>
      <c r="N5981" s="22">
        <v>140.21</v>
      </c>
      <c r="O5981" s="23">
        <v>8.4</v>
      </c>
      <c r="P5981" s="18">
        <f t="shared" si="1"/>
        <v>258.814</v>
      </c>
    </row>
    <row r="5982" ht="15.75" customHeight="1">
      <c r="A5982" s="13" t="s">
        <v>264</v>
      </c>
      <c r="B5982" s="13" t="s">
        <v>133</v>
      </c>
      <c r="C5982" s="14" t="s">
        <v>215</v>
      </c>
      <c r="D5982" s="14" t="str">
        <f>VLOOKUP(C5982,'State Key'!$A$2:$B$210,2,False)</f>
        <v>Maharashtra</v>
      </c>
      <c r="E5982" s="15">
        <v>3300.0</v>
      </c>
      <c r="F5982" s="16">
        <v>1316.825</v>
      </c>
      <c r="G5982" s="16">
        <v>0.0</v>
      </c>
      <c r="H5982" s="16">
        <v>0.0</v>
      </c>
      <c r="I5982" s="16">
        <v>0.0</v>
      </c>
      <c r="J5982" s="16">
        <v>0.0</v>
      </c>
      <c r="K5982" s="16">
        <v>0.0</v>
      </c>
      <c r="L5982" s="16">
        <v>1316.825</v>
      </c>
      <c r="M5982" s="16">
        <v>996.608</v>
      </c>
      <c r="N5982" s="16">
        <v>538.75</v>
      </c>
      <c r="O5982" s="24">
        <v>16.2</v>
      </c>
      <c r="P5982" s="18">
        <f t="shared" si="1"/>
        <v>1316.825</v>
      </c>
    </row>
    <row r="5983" ht="15.75" customHeight="1">
      <c r="A5983" s="19" t="s">
        <v>264</v>
      </c>
      <c r="B5983" s="19" t="s">
        <v>133</v>
      </c>
      <c r="C5983" s="20" t="s">
        <v>134</v>
      </c>
      <c r="D5983" s="14" t="str">
        <f>VLOOKUP(C5983,'State Key'!$A$2:$B$210,2,False)</f>
        <v>Chhattisgarh</v>
      </c>
      <c r="E5983" s="21">
        <v>1800.0</v>
      </c>
      <c r="F5983" s="22">
        <v>522.0543</v>
      </c>
      <c r="G5983" s="22">
        <v>0.0</v>
      </c>
      <c r="H5983" s="22">
        <v>0.0</v>
      </c>
      <c r="I5983" s="22">
        <v>27.4608</v>
      </c>
      <c r="J5983" s="22">
        <v>0.0</v>
      </c>
      <c r="K5983" s="22">
        <v>0.0</v>
      </c>
      <c r="L5983" s="22">
        <v>549.5151</v>
      </c>
      <c r="M5983" s="22">
        <v>638.8</v>
      </c>
      <c r="N5983" s="22">
        <v>562.43</v>
      </c>
      <c r="O5983" s="24">
        <v>26.4</v>
      </c>
      <c r="P5983" s="18">
        <f t="shared" si="1"/>
        <v>549.5151</v>
      </c>
    </row>
    <row r="5984" ht="15.75" customHeight="1">
      <c r="A5984" s="13" t="s">
        <v>264</v>
      </c>
      <c r="B5984" s="13" t="s">
        <v>133</v>
      </c>
      <c r="C5984" s="14" t="s">
        <v>135</v>
      </c>
      <c r="D5984" s="14" t="str">
        <f>VLOOKUP(C5984,'State Key'!$A$2:$B$210,2,False)</f>
        <v>Madhya Pradesh</v>
      </c>
      <c r="E5984" s="15">
        <v>210.0</v>
      </c>
      <c r="F5984" s="16">
        <v>112.136</v>
      </c>
      <c r="G5984" s="16">
        <v>0.0</v>
      </c>
      <c r="H5984" s="16">
        <v>0.0</v>
      </c>
      <c r="I5984" s="16">
        <v>0.0</v>
      </c>
      <c r="J5984" s="16">
        <v>0.0</v>
      </c>
      <c r="K5984" s="16">
        <v>0.0</v>
      </c>
      <c r="L5984" s="16">
        <v>112.136</v>
      </c>
      <c r="M5984" s="16">
        <v>93.703</v>
      </c>
      <c r="N5984" s="16">
        <v>72.71</v>
      </c>
      <c r="O5984" s="24">
        <v>23.3</v>
      </c>
      <c r="P5984" s="18">
        <f t="shared" si="1"/>
        <v>112.136</v>
      </c>
    </row>
    <row r="5985" ht="15.75" customHeight="1">
      <c r="A5985" s="19" t="s">
        <v>264</v>
      </c>
      <c r="B5985" s="19" t="s">
        <v>133</v>
      </c>
      <c r="C5985" s="20" t="s">
        <v>136</v>
      </c>
      <c r="D5985" s="14" t="str">
        <f>VLOOKUP(C5985,'State Key'!$A$2:$B$210,2,False)</f>
        <v>Maharashtra</v>
      </c>
      <c r="E5985" s="21">
        <v>1350.0</v>
      </c>
      <c r="F5985" s="22">
        <v>290.387</v>
      </c>
      <c r="G5985" s="22">
        <v>0.0</v>
      </c>
      <c r="H5985" s="22">
        <v>0.0</v>
      </c>
      <c r="I5985" s="22">
        <v>0.0</v>
      </c>
      <c r="J5985" s="22">
        <v>0.0</v>
      </c>
      <c r="K5985" s="22">
        <v>0.0</v>
      </c>
      <c r="L5985" s="22">
        <v>290.387</v>
      </c>
      <c r="M5985" s="22">
        <v>411.284</v>
      </c>
      <c r="N5985" s="22">
        <v>108.56</v>
      </c>
      <c r="O5985" s="23">
        <v>7.9</v>
      </c>
      <c r="P5985" s="18">
        <f t="shared" si="1"/>
        <v>290.387</v>
      </c>
    </row>
    <row r="5986" ht="15.75" customHeight="1">
      <c r="A5986" s="13" t="s">
        <v>264</v>
      </c>
      <c r="B5986" s="13" t="s">
        <v>133</v>
      </c>
      <c r="C5986" s="14" t="s">
        <v>137</v>
      </c>
      <c r="D5986" s="14" t="str">
        <f>VLOOKUP(C5986,'State Key'!$A$2:$B$210,2,False)</f>
        <v>Madhya Pradesh</v>
      </c>
      <c r="E5986" s="15">
        <v>1250.0</v>
      </c>
      <c r="F5986" s="16">
        <v>495.85</v>
      </c>
      <c r="G5986" s="16">
        <v>0.0</v>
      </c>
      <c r="H5986" s="16">
        <v>0.0</v>
      </c>
      <c r="I5986" s="16">
        <v>0.0</v>
      </c>
      <c r="J5986" s="16">
        <v>0.0</v>
      </c>
      <c r="K5986" s="16">
        <v>34.94</v>
      </c>
      <c r="L5986" s="16">
        <v>530.79</v>
      </c>
      <c r="M5986" s="16">
        <v>448.17</v>
      </c>
      <c r="N5986" s="16">
        <v>428.23</v>
      </c>
      <c r="O5986" s="24">
        <v>28.7</v>
      </c>
      <c r="P5986" s="18">
        <f t="shared" si="1"/>
        <v>530.79</v>
      </c>
    </row>
    <row r="5987" ht="15.75" customHeight="1">
      <c r="A5987" s="19" t="s">
        <v>264</v>
      </c>
      <c r="B5987" s="19" t="s">
        <v>133</v>
      </c>
      <c r="C5987" s="20" t="s">
        <v>139</v>
      </c>
      <c r="D5987" s="14" t="str">
        <f>VLOOKUP(C5987,'State Key'!$A$2:$B$210,2,False)</f>
        <v>Chhattisgarh</v>
      </c>
      <c r="E5987" s="21">
        <v>600.0</v>
      </c>
      <c r="F5987" s="22">
        <v>123.0</v>
      </c>
      <c r="G5987" s="22">
        <v>0.0</v>
      </c>
      <c r="H5987" s="22">
        <v>0.0</v>
      </c>
      <c r="I5987" s="22">
        <v>0.0</v>
      </c>
      <c r="J5987" s="22">
        <v>0.0</v>
      </c>
      <c r="K5987" s="22">
        <v>0.0</v>
      </c>
      <c r="L5987" s="22">
        <v>123.0</v>
      </c>
      <c r="M5987" s="22">
        <v>131.0</v>
      </c>
      <c r="N5987" s="22">
        <v>17.74</v>
      </c>
      <c r="O5987" s="17">
        <v>4.1</v>
      </c>
      <c r="P5987" s="18">
        <f t="shared" si="1"/>
        <v>123</v>
      </c>
    </row>
    <row r="5988" ht="15.75" customHeight="1">
      <c r="A5988" s="13" t="s">
        <v>264</v>
      </c>
      <c r="B5988" s="13" t="s">
        <v>133</v>
      </c>
      <c r="C5988" s="14" t="s">
        <v>140</v>
      </c>
      <c r="D5988" s="14" t="str">
        <f>VLOOKUP(C5988,'State Key'!$A$2:$B$210,2,False)</f>
        <v>Chhattisgarh</v>
      </c>
      <c r="E5988" s="15">
        <v>300.0</v>
      </c>
      <c r="F5988" s="16">
        <v>97.891</v>
      </c>
      <c r="G5988" s="16">
        <v>0.0</v>
      </c>
      <c r="H5988" s="16">
        <v>0.0</v>
      </c>
      <c r="I5988" s="16">
        <v>8.513</v>
      </c>
      <c r="J5988" s="16">
        <v>0.0</v>
      </c>
      <c r="K5988" s="16">
        <v>0.0</v>
      </c>
      <c r="L5988" s="16">
        <v>106.404</v>
      </c>
      <c r="M5988" s="16">
        <v>121.352</v>
      </c>
      <c r="N5988" s="16">
        <v>192.46</v>
      </c>
      <c r="O5988" s="24">
        <v>47.6</v>
      </c>
      <c r="P5988" s="18">
        <f t="shared" si="1"/>
        <v>106.404</v>
      </c>
    </row>
    <row r="5989" ht="15.75" customHeight="1">
      <c r="A5989" s="19" t="s">
        <v>264</v>
      </c>
      <c r="B5989" s="19" t="s">
        <v>133</v>
      </c>
      <c r="C5989" s="20" t="s">
        <v>141</v>
      </c>
      <c r="D5989" s="14" t="str">
        <f>VLOOKUP(C5989,'State Key'!$A$2:$B$210,2,False)</f>
        <v>Chhattisgarh</v>
      </c>
      <c r="E5989" s="21">
        <v>1200.0</v>
      </c>
      <c r="F5989" s="22">
        <v>483.38</v>
      </c>
      <c r="G5989" s="22">
        <v>0.0</v>
      </c>
      <c r="H5989" s="22">
        <v>0.0</v>
      </c>
      <c r="I5989" s="22">
        <v>0.0</v>
      </c>
      <c r="J5989" s="22">
        <v>0.0</v>
      </c>
      <c r="K5989" s="22">
        <v>0.0</v>
      </c>
      <c r="L5989" s="22">
        <v>483.38</v>
      </c>
      <c r="M5989" s="22">
        <v>411.116</v>
      </c>
      <c r="N5989" s="22">
        <v>498.83</v>
      </c>
      <c r="O5989" s="24">
        <v>36.4</v>
      </c>
      <c r="P5989" s="18">
        <f t="shared" si="1"/>
        <v>483.38</v>
      </c>
    </row>
    <row r="5990" ht="15.75" customHeight="1">
      <c r="A5990" s="13" t="s">
        <v>264</v>
      </c>
      <c r="B5990" s="13" t="s">
        <v>133</v>
      </c>
      <c r="C5990" s="14" t="s">
        <v>142</v>
      </c>
      <c r="D5990" s="14" t="str">
        <f>VLOOKUP(C5990,'State Key'!$A$2:$B$210,2,False)</f>
        <v>Maharashtra</v>
      </c>
      <c r="E5990" s="15">
        <v>270.0</v>
      </c>
      <c r="F5990" s="16">
        <v>102.812</v>
      </c>
      <c r="G5990" s="16">
        <v>0.0</v>
      </c>
      <c r="H5990" s="16">
        <v>0.0</v>
      </c>
      <c r="I5990" s="16">
        <v>25.218</v>
      </c>
      <c r="J5990" s="16">
        <v>0.0</v>
      </c>
      <c r="K5990" s="16">
        <v>0.0</v>
      </c>
      <c r="L5990" s="16">
        <v>128.03</v>
      </c>
      <c r="M5990" s="16">
        <v>100.339</v>
      </c>
      <c r="N5990" s="16">
        <v>108.17</v>
      </c>
      <c r="O5990" s="24">
        <v>32.3</v>
      </c>
      <c r="P5990" s="18">
        <f t="shared" si="1"/>
        <v>128.03</v>
      </c>
    </row>
    <row r="5991" ht="15.75" customHeight="1">
      <c r="A5991" s="19" t="s">
        <v>264</v>
      </c>
      <c r="B5991" s="19" t="s">
        <v>133</v>
      </c>
      <c r="C5991" s="20" t="s">
        <v>143</v>
      </c>
      <c r="D5991" s="14" t="str">
        <f>VLOOKUP(C5991,'State Key'!$A$2:$B$210,2,False)</f>
        <v>Chhattisgarh</v>
      </c>
      <c r="E5991" s="21">
        <v>500.0</v>
      </c>
      <c r="F5991" s="22">
        <v>268.995</v>
      </c>
      <c r="G5991" s="22">
        <v>4.038</v>
      </c>
      <c r="H5991" s="22">
        <v>0.0</v>
      </c>
      <c r="I5991" s="22">
        <v>0.0</v>
      </c>
      <c r="J5991" s="22">
        <v>0.0</v>
      </c>
      <c r="K5991" s="22">
        <v>0.0</v>
      </c>
      <c r="L5991" s="22">
        <v>273.033</v>
      </c>
      <c r="M5991" s="22">
        <v>236.702</v>
      </c>
      <c r="N5991" s="22">
        <v>248.639</v>
      </c>
      <c r="O5991" s="24">
        <v>31.5</v>
      </c>
      <c r="P5991" s="18">
        <f t="shared" si="1"/>
        <v>273.033</v>
      </c>
    </row>
    <row r="5992" ht="15.75" customHeight="1">
      <c r="A5992" s="13" t="s">
        <v>264</v>
      </c>
      <c r="B5992" s="13" t="s">
        <v>133</v>
      </c>
      <c r="C5992" s="14" t="s">
        <v>144</v>
      </c>
      <c r="D5992" s="14" t="str">
        <f>VLOOKUP(C5992,'State Key'!$A$2:$B$210,2,False)</f>
        <v>Maharashtra</v>
      </c>
      <c r="E5992" s="15">
        <v>1870.0</v>
      </c>
      <c r="F5992" s="16">
        <v>344.759</v>
      </c>
      <c r="G5992" s="16">
        <v>0.0</v>
      </c>
      <c r="H5992" s="16">
        <v>0.0</v>
      </c>
      <c r="I5992" s="16">
        <v>0.0</v>
      </c>
      <c r="J5992" s="16">
        <v>0.0</v>
      </c>
      <c r="K5992" s="16">
        <v>0.0</v>
      </c>
      <c r="L5992" s="16">
        <v>344.759</v>
      </c>
      <c r="M5992" s="16">
        <v>500.019</v>
      </c>
      <c r="N5992" s="16">
        <v>685.65</v>
      </c>
      <c r="O5992" s="24">
        <v>41.1</v>
      </c>
      <c r="P5992" s="18">
        <f t="shared" si="1"/>
        <v>344.759</v>
      </c>
    </row>
    <row r="5993" ht="15.75" customHeight="1">
      <c r="A5993" s="19" t="s">
        <v>264</v>
      </c>
      <c r="B5993" s="19" t="s">
        <v>133</v>
      </c>
      <c r="C5993" s="20" t="s">
        <v>145</v>
      </c>
      <c r="D5993" s="14" t="str">
        <f>VLOOKUP(C5993,'State Key'!$A$2:$B$210,2,False)</f>
        <v>Madhya Pradesh</v>
      </c>
      <c r="E5993" s="21">
        <v>500.0</v>
      </c>
      <c r="F5993" s="22">
        <v>184.97610736</v>
      </c>
      <c r="G5993" s="22">
        <v>0.0</v>
      </c>
      <c r="H5993" s="22">
        <v>0.0</v>
      </c>
      <c r="I5993" s="22">
        <v>19.103436</v>
      </c>
      <c r="J5993" s="22">
        <v>0.0</v>
      </c>
      <c r="K5993" s="22">
        <v>0.16066432</v>
      </c>
      <c r="L5993" s="22">
        <v>204.24020768</v>
      </c>
      <c r="M5993" s="22">
        <v>234.95</v>
      </c>
      <c r="N5993" s="22">
        <v>144.17</v>
      </c>
      <c r="O5993" s="24">
        <v>18.4</v>
      </c>
      <c r="P5993" s="18">
        <f t="shared" si="1"/>
        <v>204.2402077</v>
      </c>
    </row>
    <row r="5994" ht="15.75" customHeight="1">
      <c r="A5994" s="13" t="s">
        <v>264</v>
      </c>
      <c r="B5994" s="13" t="s">
        <v>133</v>
      </c>
      <c r="C5994" s="14" t="s">
        <v>146</v>
      </c>
      <c r="D5994" s="14" t="str">
        <f>VLOOKUP(C5994,'State Key'!$A$2:$B$210,2,False)</f>
        <v>Chhattisgarh</v>
      </c>
      <c r="E5994" s="15">
        <v>600.0</v>
      </c>
      <c r="F5994" s="16">
        <v>16.412</v>
      </c>
      <c r="G5994" s="16">
        <v>0.0</v>
      </c>
      <c r="H5994" s="16">
        <v>10.845</v>
      </c>
      <c r="I5994" s="16">
        <v>117.493</v>
      </c>
      <c r="J5994" s="16">
        <v>0.0</v>
      </c>
      <c r="K5994" s="16">
        <v>0.89</v>
      </c>
      <c r="L5994" s="16">
        <v>145.64</v>
      </c>
      <c r="M5994" s="16">
        <v>144.45</v>
      </c>
      <c r="N5994" s="16">
        <v>278.85</v>
      </c>
      <c r="O5994" s="24">
        <v>57.9</v>
      </c>
      <c r="P5994" s="18">
        <f t="shared" si="1"/>
        <v>145.64</v>
      </c>
    </row>
    <row r="5995" ht="15.75" customHeight="1">
      <c r="A5995" s="19" t="s">
        <v>264</v>
      </c>
      <c r="B5995" s="19" t="s">
        <v>133</v>
      </c>
      <c r="C5995" s="20" t="s">
        <v>147</v>
      </c>
      <c r="D5995" s="14" t="str">
        <f>VLOOKUP(C5995,'State Key'!$A$2:$B$210,2,False)</f>
        <v>Maharashtra</v>
      </c>
      <c r="E5995" s="21">
        <v>600.0</v>
      </c>
      <c r="F5995" s="22">
        <v>225.465</v>
      </c>
      <c r="G5995" s="22">
        <v>0.0</v>
      </c>
      <c r="H5995" s="22">
        <v>0.0</v>
      </c>
      <c r="I5995" s="22">
        <v>0.0</v>
      </c>
      <c r="J5995" s="22">
        <v>0.0</v>
      </c>
      <c r="K5995" s="22">
        <v>8.064</v>
      </c>
      <c r="L5995" s="22">
        <v>233.529</v>
      </c>
      <c r="M5995" s="22">
        <v>191.781</v>
      </c>
      <c r="N5995" s="22">
        <v>171.76</v>
      </c>
      <c r="O5995" s="24">
        <v>26.9</v>
      </c>
      <c r="P5995" s="18">
        <f t="shared" si="1"/>
        <v>233.529</v>
      </c>
    </row>
    <row r="5996" ht="15.75" customHeight="1">
      <c r="A5996" s="13" t="s">
        <v>264</v>
      </c>
      <c r="B5996" s="13" t="s">
        <v>133</v>
      </c>
      <c r="C5996" s="14" t="s">
        <v>148</v>
      </c>
      <c r="D5996" s="14" t="str">
        <f>VLOOKUP(C5996,'State Key'!$A$2:$B$210,2,False)</f>
        <v>Chhattisgarh</v>
      </c>
      <c r="E5996" s="15">
        <v>30.0</v>
      </c>
      <c r="F5996" s="16">
        <v>2.668</v>
      </c>
      <c r="G5996" s="16">
        <v>0.0</v>
      </c>
      <c r="H5996" s="16">
        <v>0.0</v>
      </c>
      <c r="I5996" s="16">
        <v>0.0</v>
      </c>
      <c r="J5996" s="16">
        <v>0.0</v>
      </c>
      <c r="K5996" s="16">
        <v>50.071</v>
      </c>
      <c r="L5996" s="16">
        <v>52.739</v>
      </c>
      <c r="M5996" s="16">
        <v>59.415</v>
      </c>
      <c r="N5996" s="16">
        <v>4.5</v>
      </c>
      <c r="O5996" s="17">
        <v>2.3</v>
      </c>
      <c r="P5996" s="18">
        <f t="shared" si="1"/>
        <v>52.739</v>
      </c>
    </row>
    <row r="5997" ht="15.75" customHeight="1">
      <c r="A5997" s="19" t="s">
        <v>264</v>
      </c>
      <c r="B5997" s="19" t="s">
        <v>133</v>
      </c>
      <c r="C5997" s="20" t="s">
        <v>149</v>
      </c>
      <c r="D5997" s="14" t="str">
        <f>VLOOKUP(C5997,'State Key'!$A$2:$B$210,2,False)</f>
        <v>Maharashtra</v>
      </c>
      <c r="E5997" s="21">
        <v>2920.0</v>
      </c>
      <c r="F5997" s="22">
        <v>798.768</v>
      </c>
      <c r="G5997" s="22">
        <v>72.572</v>
      </c>
      <c r="H5997" s="22">
        <v>0.0</v>
      </c>
      <c r="I5997" s="22">
        <v>0.0</v>
      </c>
      <c r="J5997" s="22">
        <v>35.546</v>
      </c>
      <c r="K5997" s="22">
        <v>0.0</v>
      </c>
      <c r="L5997" s="22">
        <v>906.886</v>
      </c>
      <c r="M5997" s="22">
        <v>1078.576</v>
      </c>
      <c r="N5997" s="22">
        <v>663.91</v>
      </c>
      <c r="O5997" s="24">
        <v>18.5</v>
      </c>
      <c r="P5997" s="18">
        <f t="shared" si="1"/>
        <v>906.886</v>
      </c>
    </row>
    <row r="5998" ht="15.75" customHeight="1">
      <c r="A5998" s="13" t="s">
        <v>264</v>
      </c>
      <c r="B5998" s="13" t="s">
        <v>133</v>
      </c>
      <c r="C5998" s="14" t="s">
        <v>150</v>
      </c>
      <c r="D5998" s="14" t="str">
        <f>VLOOKUP(C5998,'State Key'!$A$2:$B$210,2,False)</f>
        <v>Maharashtra</v>
      </c>
      <c r="E5998" s="15">
        <v>500.0</v>
      </c>
      <c r="F5998" s="16">
        <v>178.568</v>
      </c>
      <c r="G5998" s="16">
        <v>0.0</v>
      </c>
      <c r="H5998" s="16">
        <v>0.0</v>
      </c>
      <c r="I5998" s="16">
        <v>0.0</v>
      </c>
      <c r="J5998" s="16">
        <v>0.0</v>
      </c>
      <c r="K5998" s="16">
        <v>0.0</v>
      </c>
      <c r="L5998" s="16">
        <v>178.568</v>
      </c>
      <c r="M5998" s="16">
        <v>175.674</v>
      </c>
      <c r="N5998" s="16">
        <v>66.98</v>
      </c>
      <c r="O5998" s="23">
        <v>11.4</v>
      </c>
      <c r="P5998" s="18">
        <f t="shared" si="1"/>
        <v>178.568</v>
      </c>
    </row>
    <row r="5999" ht="15.75" customHeight="1">
      <c r="A5999" s="19" t="s">
        <v>264</v>
      </c>
      <c r="B5999" s="19" t="s">
        <v>133</v>
      </c>
      <c r="C5999" s="20" t="s">
        <v>151</v>
      </c>
      <c r="D5999" s="14" t="str">
        <f>VLOOKUP(C5999,'State Key'!$A$2:$B$210,2,False)</f>
        <v>Maharashtra</v>
      </c>
      <c r="E5999" s="21">
        <v>600.0</v>
      </c>
      <c r="F5999" s="22">
        <v>103.754</v>
      </c>
      <c r="G5999" s="22">
        <v>0.0</v>
      </c>
      <c r="H5999" s="22">
        <v>0.0</v>
      </c>
      <c r="I5999" s="22">
        <v>117.9</v>
      </c>
      <c r="J5999" s="22">
        <v>0.0</v>
      </c>
      <c r="K5999" s="22">
        <v>0.0</v>
      </c>
      <c r="L5999" s="22">
        <v>221.654</v>
      </c>
      <c r="M5999" s="22">
        <v>237.242</v>
      </c>
      <c r="N5999" s="22">
        <v>164.29</v>
      </c>
      <c r="O5999" s="24">
        <v>20.8</v>
      </c>
      <c r="P5999" s="18">
        <f t="shared" si="1"/>
        <v>221.654</v>
      </c>
    </row>
    <row r="6000" ht="15.75" customHeight="1">
      <c r="A6000" s="13" t="s">
        <v>264</v>
      </c>
      <c r="B6000" s="13" t="s">
        <v>133</v>
      </c>
      <c r="C6000" s="14" t="s">
        <v>152</v>
      </c>
      <c r="D6000" s="14" t="str">
        <f>VLOOKUP(C6000,'State Key'!$A$2:$B$210,2,False)</f>
        <v>Chhattisgarh</v>
      </c>
      <c r="E6000" s="15">
        <v>500.0</v>
      </c>
      <c r="F6000" s="16">
        <v>254.533</v>
      </c>
      <c r="G6000" s="16">
        <v>0.0</v>
      </c>
      <c r="H6000" s="16">
        <v>0.0</v>
      </c>
      <c r="I6000" s="16">
        <v>0.0</v>
      </c>
      <c r="J6000" s="16">
        <v>0.0</v>
      </c>
      <c r="K6000" s="16">
        <v>0.0</v>
      </c>
      <c r="L6000" s="16">
        <v>254.533</v>
      </c>
      <c r="M6000" s="16">
        <v>240.534</v>
      </c>
      <c r="N6000" s="16">
        <v>361.299</v>
      </c>
      <c r="O6000" s="24">
        <v>45.1</v>
      </c>
      <c r="P6000" s="18">
        <f t="shared" si="1"/>
        <v>254.533</v>
      </c>
    </row>
    <row r="6001" ht="15.75" customHeight="1">
      <c r="A6001" s="19" t="s">
        <v>264</v>
      </c>
      <c r="B6001" s="19" t="s">
        <v>133</v>
      </c>
      <c r="C6001" s="20" t="s">
        <v>153</v>
      </c>
      <c r="D6001" s="14" t="str">
        <f>VLOOKUP(C6001,'State Key'!$A$2:$B$210,2,False)</f>
        <v>Madhya Pradesh</v>
      </c>
      <c r="E6001" s="21">
        <v>1600.0</v>
      </c>
      <c r="F6001" s="22">
        <v>455.35</v>
      </c>
      <c r="G6001" s="22">
        <v>16.46</v>
      </c>
      <c r="H6001" s="22">
        <v>0.0</v>
      </c>
      <c r="I6001" s="22">
        <v>0.0</v>
      </c>
      <c r="J6001" s="22">
        <v>0.0</v>
      </c>
      <c r="K6001" s="22">
        <v>94.61</v>
      </c>
      <c r="L6001" s="22">
        <v>566.42</v>
      </c>
      <c r="M6001" s="22">
        <v>580.231</v>
      </c>
      <c r="N6001" s="22">
        <v>222.24</v>
      </c>
      <c r="O6001" s="23">
        <v>11.5</v>
      </c>
      <c r="P6001" s="18">
        <f t="shared" si="1"/>
        <v>566.42</v>
      </c>
    </row>
    <row r="6002" ht="15.75" customHeight="1">
      <c r="A6002" s="13" t="s">
        <v>264</v>
      </c>
      <c r="B6002" s="13" t="s">
        <v>133</v>
      </c>
      <c r="C6002" s="14" t="s">
        <v>154</v>
      </c>
      <c r="D6002" s="14" t="str">
        <f>VLOOKUP(C6002,'State Key'!$A$2:$B$210,2,False)</f>
        <v>Gujarat</v>
      </c>
      <c r="E6002" s="15">
        <v>630.0</v>
      </c>
      <c r="F6002" s="16">
        <v>0.0</v>
      </c>
      <c r="G6002" s="16">
        <v>0.0</v>
      </c>
      <c r="H6002" s="16">
        <v>0.0</v>
      </c>
      <c r="I6002" s="16">
        <v>0.0</v>
      </c>
      <c r="J6002" s="16">
        <v>0.0</v>
      </c>
      <c r="K6002" s="16">
        <v>0.0</v>
      </c>
      <c r="L6002" s="16">
        <v>0.0</v>
      </c>
      <c r="M6002" s="16">
        <v>60.135</v>
      </c>
      <c r="N6002" s="16">
        <v>258.87</v>
      </c>
      <c r="O6002" s="24">
        <v>129.1</v>
      </c>
      <c r="P6002" s="18">
        <f t="shared" si="1"/>
        <v>0</v>
      </c>
    </row>
    <row r="6003" ht="15.75" customHeight="1">
      <c r="A6003" s="19" t="s">
        <v>264</v>
      </c>
      <c r="B6003" s="19" t="s">
        <v>133</v>
      </c>
      <c r="C6003" s="20" t="s">
        <v>155</v>
      </c>
      <c r="D6003" s="14" t="str">
        <f>VLOOKUP(C6003,'State Key'!$A$2:$B$210,2,False)</f>
        <v>Maharashtra</v>
      </c>
      <c r="E6003" s="21">
        <v>120.0</v>
      </c>
      <c r="F6003" s="22">
        <v>0.0</v>
      </c>
      <c r="G6003" s="22">
        <v>0.0</v>
      </c>
      <c r="H6003" s="22">
        <v>0.0</v>
      </c>
      <c r="I6003" s="22">
        <v>0.0</v>
      </c>
      <c r="J6003" s="22">
        <v>0.0</v>
      </c>
      <c r="K6003" s="22">
        <v>0.0</v>
      </c>
      <c r="L6003" s="22">
        <v>0.0</v>
      </c>
      <c r="M6003" s="22">
        <v>0.0</v>
      </c>
      <c r="N6003" s="22">
        <v>0.0</v>
      </c>
      <c r="O6003" s="19" t="s">
        <v>58</v>
      </c>
      <c r="P6003" s="18">
        <f t="shared" si="1"/>
        <v>0</v>
      </c>
    </row>
    <row r="6004" ht="15.75" customHeight="1">
      <c r="A6004" s="13" t="s">
        <v>264</v>
      </c>
      <c r="B6004" s="13" t="s">
        <v>133</v>
      </c>
      <c r="C6004" s="14" t="s">
        <v>156</v>
      </c>
      <c r="D6004" s="14" t="str">
        <f>VLOOKUP(C6004,'State Key'!$A$2:$B$210,2,False)</f>
        <v>Maharashtra</v>
      </c>
      <c r="E6004" s="15">
        <v>600.0</v>
      </c>
      <c r="F6004" s="16">
        <v>281.989</v>
      </c>
      <c r="G6004" s="16">
        <v>0.0</v>
      </c>
      <c r="H6004" s="16">
        <v>0.0</v>
      </c>
      <c r="I6004" s="16">
        <v>20.205</v>
      </c>
      <c r="J6004" s="16">
        <v>0.0</v>
      </c>
      <c r="K6004" s="16">
        <v>0.0</v>
      </c>
      <c r="L6004" s="16">
        <v>302.194</v>
      </c>
      <c r="M6004" s="16">
        <v>235.663</v>
      </c>
      <c r="N6004" s="16">
        <v>183.807</v>
      </c>
      <c r="O6004" s="24">
        <v>23.4</v>
      </c>
      <c r="P6004" s="18">
        <f t="shared" si="1"/>
        <v>302.194</v>
      </c>
    </row>
    <row r="6005" ht="15.75" customHeight="1">
      <c r="A6005" s="19" t="s">
        <v>264</v>
      </c>
      <c r="B6005" s="19" t="s">
        <v>133</v>
      </c>
      <c r="C6005" s="20" t="s">
        <v>157</v>
      </c>
      <c r="D6005" s="14" t="str">
        <f>VLOOKUP(C6005,'State Key'!$A$2:$B$210,2,False)</f>
        <v>Maharashtra</v>
      </c>
      <c r="E6005" s="21">
        <v>300.0</v>
      </c>
      <c r="F6005" s="22">
        <v>0.0</v>
      </c>
      <c r="G6005" s="22">
        <v>0.0</v>
      </c>
      <c r="H6005" s="22">
        <v>0.0</v>
      </c>
      <c r="I6005" s="22">
        <v>0.0</v>
      </c>
      <c r="J6005" s="22">
        <v>0.0</v>
      </c>
      <c r="K6005" s="22">
        <v>0.0</v>
      </c>
      <c r="L6005" s="22">
        <v>0.0</v>
      </c>
      <c r="M6005" s="22">
        <v>37.4</v>
      </c>
      <c r="N6005" s="22">
        <v>27.05</v>
      </c>
      <c r="O6005" s="24">
        <v>21.7</v>
      </c>
      <c r="P6005" s="18">
        <f t="shared" si="1"/>
        <v>0</v>
      </c>
    </row>
    <row r="6006" ht="15.75" customHeight="1">
      <c r="A6006" s="13" t="s">
        <v>264</v>
      </c>
      <c r="B6006" s="13" t="s">
        <v>133</v>
      </c>
      <c r="C6006" s="14" t="s">
        <v>158</v>
      </c>
      <c r="D6006" s="14" t="str">
        <f>VLOOKUP(C6006,'State Key'!$A$2:$B$210,2,False)</f>
        <v>Chhattisgarh</v>
      </c>
      <c r="E6006" s="15">
        <v>270.0</v>
      </c>
      <c r="F6006" s="16">
        <v>60.813</v>
      </c>
      <c r="G6006" s="16">
        <v>0.0</v>
      </c>
      <c r="H6006" s="16">
        <v>0.0</v>
      </c>
      <c r="I6006" s="16">
        <v>0.0</v>
      </c>
      <c r="J6006" s="16">
        <v>0.0</v>
      </c>
      <c r="K6006" s="16">
        <v>52.71</v>
      </c>
      <c r="L6006" s="16">
        <v>113.523</v>
      </c>
      <c r="M6006" s="16">
        <v>130.16</v>
      </c>
      <c r="N6006" s="16">
        <v>31.5252</v>
      </c>
      <c r="O6006" s="23">
        <v>7.3</v>
      </c>
      <c r="P6006" s="18">
        <f t="shared" si="1"/>
        <v>113.523</v>
      </c>
    </row>
    <row r="6007" ht="15.75" customHeight="1">
      <c r="A6007" s="19" t="s">
        <v>264</v>
      </c>
      <c r="B6007" s="19" t="s">
        <v>133</v>
      </c>
      <c r="C6007" s="20" t="s">
        <v>160</v>
      </c>
      <c r="D6007" s="14" t="str">
        <f>VLOOKUP(C6007,'State Key'!$A$2:$B$210,2,False)</f>
        <v>Maharashtra</v>
      </c>
      <c r="E6007" s="21">
        <v>1340.0</v>
      </c>
      <c r="F6007" s="22">
        <v>621.028</v>
      </c>
      <c r="G6007" s="22">
        <v>0.0</v>
      </c>
      <c r="H6007" s="22">
        <v>0.0</v>
      </c>
      <c r="I6007" s="22">
        <v>0.0</v>
      </c>
      <c r="J6007" s="22">
        <v>0.0</v>
      </c>
      <c r="K6007" s="22">
        <v>0.571</v>
      </c>
      <c r="L6007" s="22">
        <v>621.599</v>
      </c>
      <c r="M6007" s="22">
        <v>630.124</v>
      </c>
      <c r="N6007" s="22">
        <v>314.04</v>
      </c>
      <c r="O6007" s="24">
        <v>15.0</v>
      </c>
      <c r="P6007" s="18">
        <f t="shared" si="1"/>
        <v>621.599</v>
      </c>
    </row>
    <row r="6008" ht="15.75" customHeight="1">
      <c r="A6008" s="13" t="s">
        <v>264</v>
      </c>
      <c r="B6008" s="13" t="s">
        <v>133</v>
      </c>
      <c r="C6008" s="14" t="s">
        <v>161</v>
      </c>
      <c r="D6008" s="14" t="str">
        <f>VLOOKUP(C6008,'State Key'!$A$2:$B$210,2,False)</f>
        <v>Madhya Pradesh</v>
      </c>
      <c r="E6008" s="15">
        <v>1320.0</v>
      </c>
      <c r="F6008" s="16">
        <v>151.4</v>
      </c>
      <c r="G6008" s="16">
        <v>4.05</v>
      </c>
      <c r="H6008" s="16">
        <v>0.0</v>
      </c>
      <c r="I6008" s="16">
        <v>0.0</v>
      </c>
      <c r="J6008" s="16">
        <v>0.0</v>
      </c>
      <c r="K6008" s="16">
        <v>170.29</v>
      </c>
      <c r="L6008" s="16">
        <v>325.74</v>
      </c>
      <c r="M6008" s="16">
        <v>435.807</v>
      </c>
      <c r="N6008" s="16">
        <v>272.06</v>
      </c>
      <c r="O6008" s="24">
        <v>18.7</v>
      </c>
      <c r="P6008" s="18">
        <f t="shared" si="1"/>
        <v>325.74</v>
      </c>
    </row>
    <row r="6009" ht="15.75" customHeight="1">
      <c r="A6009" s="19" t="s">
        <v>264</v>
      </c>
      <c r="B6009" s="19" t="s">
        <v>133</v>
      </c>
      <c r="C6009" s="20" t="s">
        <v>162</v>
      </c>
      <c r="D6009" s="14" t="str">
        <f>VLOOKUP(C6009,'State Key'!$A$2:$B$210,2,False)</f>
        <v>Maharashtra</v>
      </c>
      <c r="E6009" s="21">
        <v>2190.0</v>
      </c>
      <c r="F6009" s="22">
        <v>758.03</v>
      </c>
      <c r="G6009" s="22">
        <v>92.728</v>
      </c>
      <c r="H6009" s="22">
        <v>0.0</v>
      </c>
      <c r="I6009" s="22">
        <v>0.0</v>
      </c>
      <c r="J6009" s="22">
        <v>52.327</v>
      </c>
      <c r="K6009" s="22">
        <v>0.0</v>
      </c>
      <c r="L6009" s="22">
        <v>903.085</v>
      </c>
      <c r="M6009" s="22">
        <v>914.974</v>
      </c>
      <c r="N6009" s="22">
        <v>255.534</v>
      </c>
      <c r="O6009" s="23">
        <v>8.4</v>
      </c>
      <c r="P6009" s="18">
        <f t="shared" si="1"/>
        <v>903.085</v>
      </c>
    </row>
    <row r="6010" ht="15.75" customHeight="1">
      <c r="A6010" s="13" t="s">
        <v>264</v>
      </c>
      <c r="B6010" s="13" t="s">
        <v>133</v>
      </c>
      <c r="C6010" s="14" t="s">
        <v>163</v>
      </c>
      <c r="D6010" s="14" t="str">
        <f>VLOOKUP(C6010,'State Key'!$A$2:$B$210,2,False)</f>
        <v>Chhattisgarh</v>
      </c>
      <c r="E6010" s="15">
        <v>2600.0</v>
      </c>
      <c r="F6010" s="16">
        <v>1385.17</v>
      </c>
      <c r="G6010" s="16">
        <v>0.0</v>
      </c>
      <c r="H6010" s="16">
        <v>0.0</v>
      </c>
      <c r="I6010" s="16">
        <v>0.0</v>
      </c>
      <c r="J6010" s="16">
        <v>0.0</v>
      </c>
      <c r="K6010" s="16">
        <v>0.0</v>
      </c>
      <c r="L6010" s="16">
        <v>1385.17</v>
      </c>
      <c r="M6010" s="16">
        <v>1244.124</v>
      </c>
      <c r="N6010" s="16">
        <v>238.2</v>
      </c>
      <c r="O6010" s="17">
        <v>5.7</v>
      </c>
      <c r="P6010" s="18">
        <f t="shared" si="1"/>
        <v>1385.17</v>
      </c>
    </row>
    <row r="6011" ht="15.75" customHeight="1">
      <c r="A6011" s="19" t="s">
        <v>264</v>
      </c>
      <c r="B6011" s="19" t="s">
        <v>133</v>
      </c>
      <c r="C6011" s="20" t="s">
        <v>164</v>
      </c>
      <c r="D6011" s="14" t="str">
        <f>VLOOKUP(C6011,'State Key'!$A$2:$B$210,2,False)</f>
        <v>Chhattisgarh</v>
      </c>
      <c r="E6011" s="21">
        <v>1340.0</v>
      </c>
      <c r="F6011" s="22">
        <v>729.273</v>
      </c>
      <c r="G6011" s="22">
        <v>0.0</v>
      </c>
      <c r="H6011" s="22">
        <v>0.0</v>
      </c>
      <c r="I6011" s="22">
        <v>0.0</v>
      </c>
      <c r="J6011" s="22">
        <v>0.0</v>
      </c>
      <c r="K6011" s="22">
        <v>0.0</v>
      </c>
      <c r="L6011" s="22">
        <v>729.273</v>
      </c>
      <c r="M6011" s="22">
        <v>652.445</v>
      </c>
      <c r="N6011" s="22">
        <v>406.39</v>
      </c>
      <c r="O6011" s="24">
        <v>18.7</v>
      </c>
      <c r="P6011" s="18">
        <f t="shared" si="1"/>
        <v>729.273</v>
      </c>
    </row>
    <row r="6012" ht="15.75" customHeight="1">
      <c r="A6012" s="13" t="s">
        <v>264</v>
      </c>
      <c r="B6012" s="13" t="s">
        <v>133</v>
      </c>
      <c r="C6012" s="14" t="s">
        <v>165</v>
      </c>
      <c r="D6012" s="14" t="str">
        <f>VLOOKUP(C6012,'State Key'!$A$2:$B$210,2,False)</f>
        <v>Chhattisgarh</v>
      </c>
      <c r="E6012" s="15">
        <v>1600.0</v>
      </c>
      <c r="F6012" s="16">
        <v>0.0</v>
      </c>
      <c r="G6012" s="16">
        <v>0.0</v>
      </c>
      <c r="H6012" s="16">
        <v>708.96</v>
      </c>
      <c r="I6012" s="16">
        <v>0.0</v>
      </c>
      <c r="J6012" s="16">
        <v>0.0</v>
      </c>
      <c r="K6012" s="16">
        <v>0.0</v>
      </c>
      <c r="L6012" s="16">
        <v>708.96</v>
      </c>
      <c r="M6012" s="16">
        <v>757.035</v>
      </c>
      <c r="N6012" s="16">
        <v>438.54</v>
      </c>
      <c r="O6012" s="24">
        <v>17.4</v>
      </c>
      <c r="P6012" s="18">
        <f t="shared" si="1"/>
        <v>708.96</v>
      </c>
    </row>
    <row r="6013" ht="15.75" customHeight="1">
      <c r="A6013" s="19" t="s">
        <v>264</v>
      </c>
      <c r="B6013" s="19" t="s">
        <v>133</v>
      </c>
      <c r="C6013" s="20" t="s">
        <v>166</v>
      </c>
      <c r="D6013" s="14" t="str">
        <f>VLOOKUP(C6013,'State Key'!$A$2:$B$210,2,False)</f>
        <v>Madhya Pradesh</v>
      </c>
      <c r="E6013" s="21">
        <v>1200.0</v>
      </c>
      <c r="F6013" s="22">
        <v>233.013</v>
      </c>
      <c r="G6013" s="22">
        <v>0.0</v>
      </c>
      <c r="H6013" s="22">
        <v>0.0</v>
      </c>
      <c r="I6013" s="22">
        <v>0.0</v>
      </c>
      <c r="J6013" s="22">
        <v>0.0</v>
      </c>
      <c r="K6013" s="22">
        <v>353.179</v>
      </c>
      <c r="L6013" s="22">
        <v>586.192</v>
      </c>
      <c r="M6013" s="22">
        <v>524.97</v>
      </c>
      <c r="N6013" s="22">
        <v>126.177</v>
      </c>
      <c r="O6013" s="23">
        <v>7.2</v>
      </c>
      <c r="P6013" s="18">
        <f t="shared" si="1"/>
        <v>586.192</v>
      </c>
    </row>
    <row r="6014" ht="15.75" customHeight="1">
      <c r="A6014" s="13" t="s">
        <v>264</v>
      </c>
      <c r="B6014" s="13" t="s">
        <v>133</v>
      </c>
      <c r="C6014" s="14" t="s">
        <v>167</v>
      </c>
      <c r="D6014" s="14" t="str">
        <f>VLOOKUP(C6014,'State Key'!$A$2:$B$210,2,False)</f>
        <v>Chhattisgarh</v>
      </c>
      <c r="E6014" s="15">
        <v>1000.0</v>
      </c>
      <c r="F6014" s="16">
        <v>102.345</v>
      </c>
      <c r="G6014" s="16">
        <v>0.0</v>
      </c>
      <c r="H6014" s="16">
        <v>447.234</v>
      </c>
      <c r="I6014" s="16">
        <v>0.0</v>
      </c>
      <c r="J6014" s="16">
        <v>0.0</v>
      </c>
      <c r="K6014" s="16">
        <v>0.0</v>
      </c>
      <c r="L6014" s="16">
        <v>549.579</v>
      </c>
      <c r="M6014" s="16">
        <v>447.556</v>
      </c>
      <c r="N6014" s="16">
        <v>313.87</v>
      </c>
      <c r="O6014" s="24">
        <v>21.0</v>
      </c>
      <c r="P6014" s="18">
        <f t="shared" si="1"/>
        <v>549.579</v>
      </c>
    </row>
    <row r="6015" ht="15.75" customHeight="1">
      <c r="A6015" s="19" t="s">
        <v>264</v>
      </c>
      <c r="B6015" s="19" t="s">
        <v>133</v>
      </c>
      <c r="C6015" s="20" t="s">
        <v>168</v>
      </c>
      <c r="D6015" s="14" t="str">
        <f>VLOOKUP(C6015,'State Key'!$A$2:$B$210,2,False)</f>
        <v>Maharashtra</v>
      </c>
      <c r="E6015" s="21">
        <v>2320.0</v>
      </c>
      <c r="F6015" s="22">
        <v>886.57</v>
      </c>
      <c r="G6015" s="22">
        <v>143.3</v>
      </c>
      <c r="H6015" s="22">
        <v>66.56</v>
      </c>
      <c r="I6015" s="22">
        <v>0.0</v>
      </c>
      <c r="J6015" s="22">
        <v>0.0</v>
      </c>
      <c r="K6015" s="22">
        <v>8.0</v>
      </c>
      <c r="L6015" s="22">
        <v>1104.43</v>
      </c>
      <c r="M6015" s="22">
        <v>1014.78</v>
      </c>
      <c r="N6015" s="22">
        <v>487.63</v>
      </c>
      <c r="O6015" s="24">
        <v>14.4</v>
      </c>
      <c r="P6015" s="18">
        <f t="shared" si="1"/>
        <v>1104.43</v>
      </c>
    </row>
    <row r="6016" ht="15.75" customHeight="1">
      <c r="A6016" s="13" t="s">
        <v>264</v>
      </c>
      <c r="B6016" s="13" t="s">
        <v>133</v>
      </c>
      <c r="C6016" s="14" t="s">
        <v>169</v>
      </c>
      <c r="D6016" s="14" t="str">
        <f>VLOOKUP(C6016,'State Key'!$A$2:$B$210,2,False)</f>
        <v>Madhya Pradesh</v>
      </c>
      <c r="E6016" s="15">
        <v>246.01</v>
      </c>
      <c r="F6016" s="16">
        <v>0.0</v>
      </c>
      <c r="G6016" s="16">
        <v>0.0</v>
      </c>
      <c r="H6016" s="16">
        <v>0.0</v>
      </c>
      <c r="I6016" s="16">
        <v>0.0</v>
      </c>
      <c r="J6016" s="16">
        <v>0.0</v>
      </c>
      <c r="K6016" s="16">
        <v>0.0</v>
      </c>
      <c r="L6016" s="16">
        <v>0.0</v>
      </c>
      <c r="M6016" s="16">
        <v>0.0</v>
      </c>
      <c r="N6016" s="16">
        <v>0.0</v>
      </c>
      <c r="O6016" s="13" t="s">
        <v>58</v>
      </c>
      <c r="P6016" s="18">
        <f t="shared" si="1"/>
        <v>0</v>
      </c>
    </row>
    <row r="6017" ht="15.75" customHeight="1">
      <c r="A6017" s="19" t="s">
        <v>264</v>
      </c>
      <c r="B6017" s="19" t="s">
        <v>133</v>
      </c>
      <c r="C6017" s="20" t="s">
        <v>172</v>
      </c>
      <c r="D6017" s="14" t="str">
        <f>VLOOKUP(C6017,'State Key'!$A$2:$B$210,2,False)</f>
        <v>Gujarat</v>
      </c>
      <c r="E6017" s="21">
        <v>4000.0</v>
      </c>
      <c r="F6017" s="22">
        <v>0.0</v>
      </c>
      <c r="G6017" s="22">
        <v>0.0</v>
      </c>
      <c r="H6017" s="22">
        <v>0.0</v>
      </c>
      <c r="I6017" s="22">
        <v>0.0</v>
      </c>
      <c r="J6017" s="22">
        <v>0.0</v>
      </c>
      <c r="K6017" s="22">
        <v>0.0</v>
      </c>
      <c r="L6017" s="22">
        <v>0.0</v>
      </c>
      <c r="M6017" s="22">
        <v>0.0</v>
      </c>
      <c r="N6017" s="22">
        <v>2065.29</v>
      </c>
      <c r="O6017" s="19" t="s">
        <v>58</v>
      </c>
      <c r="P6017" s="18">
        <f t="shared" si="1"/>
        <v>0</v>
      </c>
    </row>
    <row r="6018" ht="15.75" customHeight="1">
      <c r="A6018" s="13" t="s">
        <v>264</v>
      </c>
      <c r="B6018" s="13" t="s">
        <v>133</v>
      </c>
      <c r="C6018" s="14" t="s">
        <v>174</v>
      </c>
      <c r="D6018" s="14" t="str">
        <f>VLOOKUP(C6018,'State Key'!$A$2:$B$210,2,False)</f>
        <v>Maharashtra</v>
      </c>
      <c r="E6018" s="15">
        <v>630.0</v>
      </c>
      <c r="F6018" s="16">
        <v>204.931</v>
      </c>
      <c r="G6018" s="16">
        <v>20.157</v>
      </c>
      <c r="H6018" s="16">
        <v>0.0</v>
      </c>
      <c r="I6018" s="16">
        <v>0.0</v>
      </c>
      <c r="J6018" s="16">
        <v>0.0</v>
      </c>
      <c r="K6018" s="16">
        <v>0.0</v>
      </c>
      <c r="L6018" s="16">
        <v>225.088</v>
      </c>
      <c r="M6018" s="16">
        <v>232.83</v>
      </c>
      <c r="N6018" s="16">
        <v>295.1</v>
      </c>
      <c r="O6018" s="24">
        <v>38.0</v>
      </c>
      <c r="P6018" s="18">
        <f t="shared" si="1"/>
        <v>225.088</v>
      </c>
    </row>
    <row r="6019" ht="15.75" customHeight="1">
      <c r="A6019" s="19" t="s">
        <v>264</v>
      </c>
      <c r="B6019" s="19" t="s">
        <v>133</v>
      </c>
      <c r="C6019" s="20" t="s">
        <v>175</v>
      </c>
      <c r="D6019" s="14" t="str">
        <f>VLOOKUP(C6019,'State Key'!$A$2:$B$210,2,False)</f>
        <v>Chhattisgarh</v>
      </c>
      <c r="E6019" s="21">
        <v>600.0</v>
      </c>
      <c r="F6019" s="22">
        <v>233.666</v>
      </c>
      <c r="G6019" s="22">
        <v>0.0</v>
      </c>
      <c r="H6019" s="22">
        <v>0.0</v>
      </c>
      <c r="I6019" s="22">
        <v>1.555</v>
      </c>
      <c r="J6019" s="22">
        <v>0.0</v>
      </c>
      <c r="K6019" s="22">
        <v>0.0</v>
      </c>
      <c r="L6019" s="22">
        <v>235.221</v>
      </c>
      <c r="M6019" s="22">
        <v>242.606</v>
      </c>
      <c r="N6019" s="22">
        <v>308.742</v>
      </c>
      <c r="O6019" s="24">
        <v>38.2</v>
      </c>
      <c r="P6019" s="18">
        <f t="shared" si="1"/>
        <v>235.221</v>
      </c>
    </row>
    <row r="6020" ht="15.75" customHeight="1">
      <c r="A6020" s="13" t="s">
        <v>264</v>
      </c>
      <c r="B6020" s="13" t="s">
        <v>133</v>
      </c>
      <c r="C6020" s="14" t="s">
        <v>176</v>
      </c>
      <c r="D6020" s="14" t="str">
        <f>VLOOKUP(C6020,'State Key'!$A$2:$B$210,2,False)</f>
        <v>Madhya Pradesh</v>
      </c>
      <c r="E6020" s="15">
        <v>1320.0</v>
      </c>
      <c r="F6020" s="16">
        <v>0.0</v>
      </c>
      <c r="G6020" s="16">
        <v>0.0</v>
      </c>
      <c r="H6020" s="16">
        <v>306.3717</v>
      </c>
      <c r="I6020" s="16">
        <v>167.1483</v>
      </c>
      <c r="J6020" s="16">
        <v>0.0</v>
      </c>
      <c r="K6020" s="16">
        <v>0.0</v>
      </c>
      <c r="L6020" s="16">
        <v>473.52</v>
      </c>
      <c r="M6020" s="16">
        <v>579.5261</v>
      </c>
      <c r="N6020" s="16">
        <v>266.729</v>
      </c>
      <c r="O6020" s="23">
        <v>13.8</v>
      </c>
      <c r="P6020" s="18">
        <f t="shared" si="1"/>
        <v>473.52</v>
      </c>
    </row>
    <row r="6021" ht="15.75" customHeight="1">
      <c r="A6021" s="19" t="s">
        <v>264</v>
      </c>
      <c r="B6021" s="19" t="s">
        <v>133</v>
      </c>
      <c r="C6021" s="20" t="s">
        <v>177</v>
      </c>
      <c r="D6021" s="14" t="str">
        <f>VLOOKUP(C6021,'State Key'!$A$2:$B$210,2,False)</f>
        <v>Madhya Pradesh</v>
      </c>
      <c r="E6021" s="21">
        <v>90.0</v>
      </c>
      <c r="F6021" s="22">
        <v>38.36</v>
      </c>
      <c r="G6021" s="22">
        <v>0.0</v>
      </c>
      <c r="H6021" s="22">
        <v>0.0</v>
      </c>
      <c r="I6021" s="22">
        <v>0.0</v>
      </c>
      <c r="J6021" s="22">
        <v>0.0</v>
      </c>
      <c r="K6021" s="22">
        <v>0.0</v>
      </c>
      <c r="L6021" s="22">
        <v>38.36</v>
      </c>
      <c r="M6021" s="22">
        <v>37.66</v>
      </c>
      <c r="N6021" s="22">
        <v>61.06</v>
      </c>
      <c r="O6021" s="24">
        <v>48.6</v>
      </c>
      <c r="P6021" s="18">
        <f t="shared" si="1"/>
        <v>38.36</v>
      </c>
    </row>
    <row r="6022" ht="15.75" customHeight="1">
      <c r="A6022" s="13" t="s">
        <v>264</v>
      </c>
      <c r="B6022" s="13" t="s">
        <v>133</v>
      </c>
      <c r="C6022" s="14" t="s">
        <v>178</v>
      </c>
      <c r="D6022" s="14" t="str">
        <f>VLOOKUP(C6022,'State Key'!$A$2:$B$210,2,False)</f>
        <v>Chhattisgarh</v>
      </c>
      <c r="E6022" s="15">
        <v>1000.0</v>
      </c>
      <c r="F6022" s="16">
        <v>15.181</v>
      </c>
      <c r="G6022" s="16">
        <v>0.0</v>
      </c>
      <c r="H6022" s="16">
        <v>554.232</v>
      </c>
      <c r="I6022" s="16">
        <v>0.0</v>
      </c>
      <c r="J6022" s="16">
        <v>0.0</v>
      </c>
      <c r="K6022" s="16">
        <v>0.49703</v>
      </c>
      <c r="L6022" s="16">
        <v>569.91003</v>
      </c>
      <c r="M6022" s="16">
        <v>488.403</v>
      </c>
      <c r="N6022" s="16">
        <v>883.67</v>
      </c>
      <c r="O6022" s="24">
        <v>54.3</v>
      </c>
      <c r="P6022" s="18">
        <f t="shared" si="1"/>
        <v>569.91003</v>
      </c>
    </row>
    <row r="6023" ht="15.75" customHeight="1">
      <c r="A6023" s="19" t="s">
        <v>264</v>
      </c>
      <c r="B6023" s="19" t="s">
        <v>133</v>
      </c>
      <c r="C6023" s="20" t="s">
        <v>179</v>
      </c>
      <c r="D6023" s="14" t="str">
        <f>VLOOKUP(C6023,'State Key'!$A$2:$B$210,2,False)</f>
        <v>Maharashtra</v>
      </c>
      <c r="E6023" s="21">
        <v>500.0</v>
      </c>
      <c r="F6023" s="22">
        <v>111.72</v>
      </c>
      <c r="G6023" s="22">
        <v>0.0</v>
      </c>
      <c r="H6023" s="22">
        <v>0.0</v>
      </c>
      <c r="I6023" s="22">
        <v>0.0</v>
      </c>
      <c r="J6023" s="22">
        <v>0.0</v>
      </c>
      <c r="K6023" s="22">
        <v>0.0</v>
      </c>
      <c r="L6023" s="22">
        <v>111.72</v>
      </c>
      <c r="M6023" s="22">
        <v>196.874</v>
      </c>
      <c r="N6023" s="22">
        <v>128.15</v>
      </c>
      <c r="O6023" s="24">
        <v>19.5</v>
      </c>
      <c r="P6023" s="18">
        <f t="shared" si="1"/>
        <v>111.72</v>
      </c>
    </row>
    <row r="6024" ht="15.75" customHeight="1">
      <c r="A6024" s="13" t="s">
        <v>264</v>
      </c>
      <c r="B6024" s="13" t="s">
        <v>133</v>
      </c>
      <c r="C6024" s="14" t="s">
        <v>180</v>
      </c>
      <c r="D6024" s="14" t="str">
        <f>VLOOKUP(C6024,'State Key'!$A$2:$B$210,2,False)</f>
        <v>Maharashtra</v>
      </c>
      <c r="E6024" s="15">
        <v>750.0</v>
      </c>
      <c r="F6024" s="16">
        <v>89.137</v>
      </c>
      <c r="G6024" s="16">
        <v>81.59</v>
      </c>
      <c r="H6024" s="16">
        <v>0.0</v>
      </c>
      <c r="I6024" s="16">
        <v>0.0</v>
      </c>
      <c r="J6024" s="16">
        <v>0.0</v>
      </c>
      <c r="K6024" s="16">
        <v>0.0</v>
      </c>
      <c r="L6024" s="16">
        <v>170.727</v>
      </c>
      <c r="M6024" s="16">
        <v>187.762</v>
      </c>
      <c r="N6024" s="16">
        <v>192.53</v>
      </c>
      <c r="O6024" s="24">
        <v>30.8</v>
      </c>
      <c r="P6024" s="18">
        <f t="shared" si="1"/>
        <v>170.727</v>
      </c>
    </row>
    <row r="6025" ht="15.75" customHeight="1">
      <c r="A6025" s="19" t="s">
        <v>264</v>
      </c>
      <c r="B6025" s="19" t="s">
        <v>133</v>
      </c>
      <c r="C6025" s="20" t="s">
        <v>181</v>
      </c>
      <c r="D6025" s="14" t="str">
        <f>VLOOKUP(C6025,'State Key'!$A$2:$B$210,2,False)</f>
        <v>Chhattisgarh</v>
      </c>
      <c r="E6025" s="21">
        <v>600.0</v>
      </c>
      <c r="F6025" s="22">
        <v>209.436</v>
      </c>
      <c r="G6025" s="22">
        <v>0.0</v>
      </c>
      <c r="H6025" s="22">
        <v>0.0</v>
      </c>
      <c r="I6025" s="22">
        <v>0.0</v>
      </c>
      <c r="J6025" s="22">
        <v>0.0</v>
      </c>
      <c r="K6025" s="22">
        <v>0.0</v>
      </c>
      <c r="L6025" s="22">
        <v>209.436</v>
      </c>
      <c r="M6025" s="22">
        <v>233.397</v>
      </c>
      <c r="N6025" s="22">
        <v>169.66</v>
      </c>
      <c r="O6025" s="24">
        <v>21.8</v>
      </c>
      <c r="P6025" s="18">
        <f t="shared" si="1"/>
        <v>209.436</v>
      </c>
    </row>
    <row r="6026" ht="15.75" customHeight="1">
      <c r="A6026" s="13" t="s">
        <v>264</v>
      </c>
      <c r="B6026" s="13" t="s">
        <v>133</v>
      </c>
      <c r="C6026" s="14" t="s">
        <v>183</v>
      </c>
      <c r="D6026" s="14" t="str">
        <f>VLOOKUP(C6026,'State Key'!$A$2:$B$210,2,False)</f>
        <v>Chhattisgarh</v>
      </c>
      <c r="E6026" s="15">
        <v>100.0</v>
      </c>
      <c r="F6026" s="16">
        <v>2.702</v>
      </c>
      <c r="G6026" s="16">
        <v>0.0</v>
      </c>
      <c r="H6026" s="16">
        <v>0.0</v>
      </c>
      <c r="I6026" s="16">
        <v>0.0</v>
      </c>
      <c r="J6026" s="16">
        <v>0.0</v>
      </c>
      <c r="K6026" s="16">
        <v>88.701</v>
      </c>
      <c r="L6026" s="16">
        <v>91.403</v>
      </c>
      <c r="M6026" s="16">
        <v>76.125</v>
      </c>
      <c r="N6026" s="16">
        <v>19.27</v>
      </c>
      <c r="O6026" s="23">
        <v>7.6</v>
      </c>
      <c r="P6026" s="18">
        <f t="shared" si="1"/>
        <v>91.403</v>
      </c>
    </row>
    <row r="6027" ht="15.75" customHeight="1">
      <c r="A6027" s="19" t="s">
        <v>264</v>
      </c>
      <c r="B6027" s="19" t="s">
        <v>133</v>
      </c>
      <c r="C6027" s="20" t="s">
        <v>184</v>
      </c>
      <c r="D6027" s="14" t="str">
        <f>VLOOKUP(C6027,'State Key'!$A$2:$B$210,2,False)</f>
        <v>Gujarat</v>
      </c>
      <c r="E6027" s="21">
        <v>362.0</v>
      </c>
      <c r="F6027" s="22">
        <v>115.714</v>
      </c>
      <c r="G6027" s="22">
        <v>0.0</v>
      </c>
      <c r="H6027" s="22">
        <v>0.0</v>
      </c>
      <c r="I6027" s="22">
        <v>0.0</v>
      </c>
      <c r="J6027" s="22">
        <v>0.0</v>
      </c>
      <c r="K6027" s="22">
        <v>0.0</v>
      </c>
      <c r="L6027" s="22">
        <v>115.714</v>
      </c>
      <c r="M6027" s="22">
        <v>103.084</v>
      </c>
      <c r="N6027" s="22">
        <v>98.33</v>
      </c>
      <c r="O6027" s="24">
        <v>28.6</v>
      </c>
      <c r="P6027" s="18">
        <f t="shared" si="1"/>
        <v>115.714</v>
      </c>
    </row>
    <row r="6028" ht="15.75" customHeight="1">
      <c r="A6028" s="13" t="s">
        <v>264</v>
      </c>
      <c r="B6028" s="13" t="s">
        <v>133</v>
      </c>
      <c r="C6028" s="14" t="s">
        <v>185</v>
      </c>
      <c r="D6028" s="14" t="str">
        <f>VLOOKUP(C6028,'State Key'!$A$2:$B$210,2,False)</f>
        <v>Gujarat</v>
      </c>
      <c r="E6028" s="15">
        <v>1200.0</v>
      </c>
      <c r="F6028" s="16">
        <v>0.0</v>
      </c>
      <c r="G6028" s="16">
        <v>0.0</v>
      </c>
      <c r="H6028" s="16">
        <v>0.0</v>
      </c>
      <c r="I6028" s="16">
        <v>0.0</v>
      </c>
      <c r="J6028" s="16">
        <v>242.0</v>
      </c>
      <c r="K6028" s="16">
        <v>0.0</v>
      </c>
      <c r="L6028" s="16">
        <v>242.0</v>
      </c>
      <c r="M6028" s="16">
        <v>270.165</v>
      </c>
      <c r="N6028" s="16">
        <v>156.011</v>
      </c>
      <c r="O6028" s="24">
        <v>17.3</v>
      </c>
      <c r="P6028" s="18">
        <f t="shared" si="1"/>
        <v>242</v>
      </c>
    </row>
    <row r="6029" ht="15.75" customHeight="1">
      <c r="A6029" s="19" t="s">
        <v>264</v>
      </c>
      <c r="B6029" s="19" t="s">
        <v>133</v>
      </c>
      <c r="C6029" s="20" t="s">
        <v>187</v>
      </c>
      <c r="D6029" s="14" t="str">
        <f>VLOOKUP(C6029,'State Key'!$A$2:$B$210,2,False)</f>
        <v>Madhya Pradesh</v>
      </c>
      <c r="E6029" s="21">
        <v>1340.0</v>
      </c>
      <c r="F6029" s="22">
        <v>526.01</v>
      </c>
      <c r="G6029" s="22">
        <v>0.0</v>
      </c>
      <c r="H6029" s="22">
        <v>0.0</v>
      </c>
      <c r="I6029" s="22">
        <v>0.0</v>
      </c>
      <c r="J6029" s="22">
        <v>0.0</v>
      </c>
      <c r="K6029" s="22">
        <v>0.0</v>
      </c>
      <c r="L6029" s="22">
        <v>526.01</v>
      </c>
      <c r="M6029" s="22">
        <v>499.691</v>
      </c>
      <c r="N6029" s="22">
        <v>332.38</v>
      </c>
      <c r="O6029" s="24">
        <v>20.0</v>
      </c>
      <c r="P6029" s="18">
        <f t="shared" si="1"/>
        <v>526.01</v>
      </c>
    </row>
    <row r="6030" ht="15.75" customHeight="1">
      <c r="A6030" s="13" t="s">
        <v>264</v>
      </c>
      <c r="B6030" s="13" t="s">
        <v>133</v>
      </c>
      <c r="C6030" s="14" t="s">
        <v>188</v>
      </c>
      <c r="D6030" s="14" t="str">
        <f>VLOOKUP(C6030,'State Key'!$A$2:$B$210,2,False)</f>
        <v>Madhya Pradesh</v>
      </c>
      <c r="E6030" s="15">
        <v>3960.0</v>
      </c>
      <c r="F6030" s="16">
        <v>0.0</v>
      </c>
      <c r="G6030" s="16">
        <v>0.0</v>
      </c>
      <c r="H6030" s="16">
        <v>1559.216</v>
      </c>
      <c r="I6030" s="16">
        <v>0.0</v>
      </c>
      <c r="J6030" s="16">
        <v>0.0</v>
      </c>
      <c r="K6030" s="16">
        <v>0.0</v>
      </c>
      <c r="L6030" s="16">
        <v>1559.216</v>
      </c>
      <c r="M6030" s="16">
        <v>1612.568</v>
      </c>
      <c r="N6030" s="16">
        <v>203.29</v>
      </c>
      <c r="O6030" s="17">
        <v>3.8</v>
      </c>
      <c r="P6030" s="18">
        <f t="shared" si="1"/>
        <v>1559.216</v>
      </c>
    </row>
    <row r="6031" ht="15.75" customHeight="1">
      <c r="A6031" s="19" t="s">
        <v>264</v>
      </c>
      <c r="B6031" s="19" t="s">
        <v>133</v>
      </c>
      <c r="C6031" s="20" t="s">
        <v>189</v>
      </c>
      <c r="D6031" s="14" t="str">
        <f>VLOOKUP(C6031,'State Key'!$A$2:$B$210,2,False)</f>
        <v>Madhya Pradesh</v>
      </c>
      <c r="E6031" s="21">
        <v>500.0</v>
      </c>
      <c r="F6031" s="22">
        <v>216.02936</v>
      </c>
      <c r="G6031" s="22">
        <v>0.0</v>
      </c>
      <c r="H6031" s="22">
        <v>0.0</v>
      </c>
      <c r="I6031" s="22">
        <v>0.0</v>
      </c>
      <c r="J6031" s="22">
        <v>0.0</v>
      </c>
      <c r="K6031" s="22">
        <v>0.0</v>
      </c>
      <c r="L6031" s="22">
        <v>216.02936</v>
      </c>
      <c r="M6031" s="22">
        <v>206.643</v>
      </c>
      <c r="N6031" s="22">
        <v>239.56</v>
      </c>
      <c r="O6031" s="24">
        <v>34.8</v>
      </c>
      <c r="P6031" s="18">
        <f t="shared" si="1"/>
        <v>216.02936</v>
      </c>
    </row>
    <row r="6032" ht="15.75" customHeight="1">
      <c r="A6032" s="13" t="s">
        <v>264</v>
      </c>
      <c r="B6032" s="13" t="s">
        <v>133</v>
      </c>
      <c r="C6032" s="14" t="s">
        <v>190</v>
      </c>
      <c r="D6032" s="14" t="str">
        <f>VLOOKUP(C6032,'State Key'!$A$2:$B$210,2,False)</f>
        <v>Madhya Pradesh</v>
      </c>
      <c r="E6032" s="15">
        <v>600.0</v>
      </c>
      <c r="F6032" s="16">
        <v>172.018</v>
      </c>
      <c r="G6032" s="16">
        <v>0.0</v>
      </c>
      <c r="H6032" s="16">
        <v>0.0</v>
      </c>
      <c r="I6032" s="16">
        <v>127.59</v>
      </c>
      <c r="J6032" s="16">
        <v>0.0</v>
      </c>
      <c r="K6032" s="16">
        <v>0.0</v>
      </c>
      <c r="L6032" s="16">
        <v>299.608</v>
      </c>
      <c r="M6032" s="16">
        <v>268.16</v>
      </c>
      <c r="N6032" s="16">
        <v>164.38</v>
      </c>
      <c r="O6032" s="24">
        <v>18.4</v>
      </c>
      <c r="P6032" s="18">
        <f t="shared" si="1"/>
        <v>299.608</v>
      </c>
    </row>
    <row r="6033" ht="15.75" customHeight="1">
      <c r="A6033" s="19" t="s">
        <v>264</v>
      </c>
      <c r="B6033" s="19" t="s">
        <v>133</v>
      </c>
      <c r="C6033" s="20" t="s">
        <v>191</v>
      </c>
      <c r="D6033" s="14" t="str">
        <f>VLOOKUP(C6033,'State Key'!$A$2:$B$210,2,False)</f>
        <v>Maharashtra</v>
      </c>
      <c r="E6033" s="21">
        <v>300.0</v>
      </c>
      <c r="F6033" s="22">
        <v>0.0</v>
      </c>
      <c r="G6033" s="22">
        <v>0.0</v>
      </c>
      <c r="H6033" s="22">
        <v>0.0</v>
      </c>
      <c r="I6033" s="22">
        <v>0.0</v>
      </c>
      <c r="J6033" s="22">
        <v>0.0</v>
      </c>
      <c r="K6033" s="22">
        <v>129.088</v>
      </c>
      <c r="L6033" s="22">
        <v>129.088</v>
      </c>
      <c r="M6033" s="22">
        <v>128.823</v>
      </c>
      <c r="N6033" s="22">
        <v>82.01</v>
      </c>
      <c r="O6033" s="24">
        <v>19.1</v>
      </c>
      <c r="P6033" s="18">
        <f t="shared" si="1"/>
        <v>129.088</v>
      </c>
    </row>
    <row r="6034" ht="15.75" customHeight="1">
      <c r="A6034" s="13" t="s">
        <v>264</v>
      </c>
      <c r="B6034" s="13" t="s">
        <v>133</v>
      </c>
      <c r="C6034" s="14" t="s">
        <v>192</v>
      </c>
      <c r="D6034" s="14" t="str">
        <f>VLOOKUP(C6034,'State Key'!$A$2:$B$210,2,False)</f>
        <v>Madhya Pradesh</v>
      </c>
      <c r="E6034" s="15">
        <v>2520.0</v>
      </c>
      <c r="F6034" s="16">
        <v>794.517</v>
      </c>
      <c r="G6034" s="16">
        <v>0.0</v>
      </c>
      <c r="H6034" s="16">
        <v>0.0</v>
      </c>
      <c r="I6034" s="16">
        <v>0.0</v>
      </c>
      <c r="J6034" s="16">
        <v>0.0</v>
      </c>
      <c r="K6034" s="16">
        <v>0.0</v>
      </c>
      <c r="L6034" s="16">
        <v>794.517</v>
      </c>
      <c r="M6034" s="16">
        <v>868.675</v>
      </c>
      <c r="N6034" s="16">
        <v>485.54</v>
      </c>
      <c r="O6034" s="24">
        <v>16.8</v>
      </c>
      <c r="P6034" s="18">
        <f t="shared" si="1"/>
        <v>794.517</v>
      </c>
    </row>
    <row r="6035" ht="15.75" customHeight="1">
      <c r="A6035" s="19" t="s">
        <v>264</v>
      </c>
      <c r="B6035" s="19" t="s">
        <v>133</v>
      </c>
      <c r="C6035" s="20" t="s">
        <v>193</v>
      </c>
      <c r="D6035" s="14" t="str">
        <f>VLOOKUP(C6035,'State Key'!$A$2:$B$210,2,False)</f>
        <v>Gujarat</v>
      </c>
      <c r="E6035" s="21">
        <v>500.0</v>
      </c>
      <c r="F6035" s="22">
        <v>0.0</v>
      </c>
      <c r="G6035" s="22">
        <v>0.0</v>
      </c>
      <c r="H6035" s="22">
        <v>0.0</v>
      </c>
      <c r="I6035" s="22">
        <v>0.0</v>
      </c>
      <c r="J6035" s="22">
        <v>3.943</v>
      </c>
      <c r="K6035" s="22">
        <v>0.0</v>
      </c>
      <c r="L6035" s="22">
        <v>3.943</v>
      </c>
      <c r="M6035" s="22">
        <v>34.225</v>
      </c>
      <c r="N6035" s="22">
        <v>64.24</v>
      </c>
      <c r="O6035" s="24">
        <v>56.3</v>
      </c>
      <c r="P6035" s="18">
        <f t="shared" si="1"/>
        <v>3.943</v>
      </c>
    </row>
    <row r="6036" ht="15.75" customHeight="1">
      <c r="A6036" s="13" t="s">
        <v>264</v>
      </c>
      <c r="B6036" s="13" t="s">
        <v>133</v>
      </c>
      <c r="C6036" s="14" t="s">
        <v>194</v>
      </c>
      <c r="D6036" s="14" t="str">
        <f>VLOOKUP(C6036,'State Key'!$A$2:$B$210,2,False)</f>
        <v>Chhattisgarh</v>
      </c>
      <c r="E6036" s="15">
        <v>2980.0</v>
      </c>
      <c r="F6036" s="16">
        <v>1136.309</v>
      </c>
      <c r="G6036" s="16">
        <v>0.0</v>
      </c>
      <c r="H6036" s="16">
        <v>0.0</v>
      </c>
      <c r="I6036" s="16">
        <v>0.0</v>
      </c>
      <c r="J6036" s="16">
        <v>0.0</v>
      </c>
      <c r="K6036" s="16">
        <v>0.0</v>
      </c>
      <c r="L6036" s="16">
        <v>1136.309</v>
      </c>
      <c r="M6036" s="16">
        <v>1066.315</v>
      </c>
      <c r="N6036" s="16">
        <v>369.38</v>
      </c>
      <c r="O6036" s="23">
        <v>10.4</v>
      </c>
      <c r="P6036" s="18">
        <f t="shared" si="1"/>
        <v>1136.309</v>
      </c>
    </row>
    <row r="6037" ht="15.75" customHeight="1">
      <c r="A6037" s="19" t="s">
        <v>264</v>
      </c>
      <c r="B6037" s="19" t="s">
        <v>133</v>
      </c>
      <c r="C6037" s="20" t="s">
        <v>195</v>
      </c>
      <c r="D6037" s="14" t="str">
        <f>VLOOKUP(C6037,'State Key'!$A$2:$B$210,2,False)</f>
        <v>Maharashtra</v>
      </c>
      <c r="E6037" s="21">
        <v>1320.0</v>
      </c>
      <c r="F6037" s="22">
        <v>154.18</v>
      </c>
      <c r="G6037" s="22">
        <v>294.46</v>
      </c>
      <c r="H6037" s="22">
        <v>29.8</v>
      </c>
      <c r="I6037" s="22">
        <v>0.0</v>
      </c>
      <c r="J6037" s="22">
        <v>0.0</v>
      </c>
      <c r="K6037" s="22">
        <v>3.71</v>
      </c>
      <c r="L6037" s="22">
        <v>482.15</v>
      </c>
      <c r="M6037" s="22">
        <v>533.262</v>
      </c>
      <c r="N6037" s="22">
        <v>221.68</v>
      </c>
      <c r="O6037" s="23">
        <v>12.5</v>
      </c>
      <c r="P6037" s="18">
        <f t="shared" si="1"/>
        <v>482.15</v>
      </c>
    </row>
    <row r="6038" ht="15.75" customHeight="1">
      <c r="A6038" s="13" t="s">
        <v>264</v>
      </c>
      <c r="B6038" s="13" t="s">
        <v>133</v>
      </c>
      <c r="C6038" s="14" t="s">
        <v>196</v>
      </c>
      <c r="D6038" s="14" t="str">
        <f>VLOOKUP(C6038,'State Key'!$A$2:$B$210,2,False)</f>
        <v>Chhattisgarh</v>
      </c>
      <c r="E6038" s="15">
        <v>63.0</v>
      </c>
      <c r="F6038" s="16">
        <v>2.2545</v>
      </c>
      <c r="G6038" s="16">
        <v>0.0</v>
      </c>
      <c r="H6038" s="16">
        <v>0.0</v>
      </c>
      <c r="I6038" s="16">
        <v>0.0</v>
      </c>
      <c r="J6038" s="16">
        <v>0.0</v>
      </c>
      <c r="K6038" s="16">
        <v>40.4346</v>
      </c>
      <c r="L6038" s="16">
        <v>42.6891</v>
      </c>
      <c r="M6038" s="16">
        <v>44.184</v>
      </c>
      <c r="N6038" s="16">
        <v>6.59</v>
      </c>
      <c r="O6038" s="17">
        <v>4.5</v>
      </c>
      <c r="P6038" s="18">
        <f t="shared" si="1"/>
        <v>42.6891</v>
      </c>
    </row>
    <row r="6039" ht="15.75" customHeight="1">
      <c r="A6039" s="19" t="s">
        <v>264</v>
      </c>
      <c r="B6039" s="19" t="s">
        <v>133</v>
      </c>
      <c r="C6039" s="20" t="s">
        <v>198</v>
      </c>
      <c r="D6039" s="14" t="str">
        <f>VLOOKUP(C6039,'State Key'!$A$2:$B$210,2,False)</f>
        <v>Chhattisgarh</v>
      </c>
      <c r="E6039" s="21">
        <v>2400.0</v>
      </c>
      <c r="F6039" s="22">
        <v>81.556</v>
      </c>
      <c r="G6039" s="22">
        <v>0.0</v>
      </c>
      <c r="H6039" s="22">
        <v>513.976</v>
      </c>
      <c r="I6039" s="22">
        <v>31.322</v>
      </c>
      <c r="J6039" s="22">
        <v>0.0</v>
      </c>
      <c r="K6039" s="22">
        <v>0.0</v>
      </c>
      <c r="L6039" s="22">
        <v>626.854</v>
      </c>
      <c r="M6039" s="22">
        <v>1158.666</v>
      </c>
      <c r="N6039" s="22">
        <v>252.05</v>
      </c>
      <c r="O6039" s="17">
        <v>6.5</v>
      </c>
      <c r="P6039" s="18">
        <f t="shared" si="1"/>
        <v>626.854</v>
      </c>
    </row>
    <row r="6040" ht="15.75" customHeight="1">
      <c r="A6040" s="13" t="s">
        <v>264</v>
      </c>
      <c r="B6040" s="13" t="s">
        <v>133</v>
      </c>
      <c r="C6040" s="14" t="s">
        <v>200</v>
      </c>
      <c r="D6040" s="14" t="str">
        <f>VLOOKUP(C6040,'State Key'!$A$2:$B$210,2,False)</f>
        <v>Maharashtra</v>
      </c>
      <c r="E6040" s="15">
        <v>750.0</v>
      </c>
      <c r="F6040" s="16">
        <v>0.0</v>
      </c>
      <c r="G6040" s="16">
        <v>0.0</v>
      </c>
      <c r="H6040" s="16">
        <v>0.0</v>
      </c>
      <c r="I6040" s="16">
        <v>0.0</v>
      </c>
      <c r="J6040" s="16">
        <v>188.547</v>
      </c>
      <c r="K6040" s="16">
        <v>0.0</v>
      </c>
      <c r="L6040" s="16">
        <v>188.547</v>
      </c>
      <c r="M6040" s="16">
        <v>157.372</v>
      </c>
      <c r="N6040" s="16">
        <v>232.538</v>
      </c>
      <c r="O6040" s="24">
        <v>44.3</v>
      </c>
      <c r="P6040" s="18">
        <f t="shared" si="1"/>
        <v>188.547</v>
      </c>
    </row>
    <row r="6041" ht="15.75" customHeight="1">
      <c r="A6041" s="19" t="s">
        <v>264</v>
      </c>
      <c r="B6041" s="19" t="s">
        <v>133</v>
      </c>
      <c r="C6041" s="20" t="s">
        <v>201</v>
      </c>
      <c r="D6041" s="14" t="str">
        <f>VLOOKUP(C6041,'State Key'!$A$2:$B$210,2,False)</f>
        <v>Chhattisgarh</v>
      </c>
      <c r="E6041" s="21">
        <v>1440.0</v>
      </c>
      <c r="F6041" s="22">
        <v>493.135</v>
      </c>
      <c r="G6041" s="22">
        <v>0.0</v>
      </c>
      <c r="H6041" s="22">
        <v>0.0</v>
      </c>
      <c r="I6041" s="22">
        <v>0.0</v>
      </c>
      <c r="J6041" s="22">
        <v>0.0</v>
      </c>
      <c r="K6041" s="22">
        <v>0.0</v>
      </c>
      <c r="L6041" s="22">
        <v>493.135</v>
      </c>
      <c r="M6041" s="22">
        <v>528.321</v>
      </c>
      <c r="N6041" s="22">
        <v>1236.48</v>
      </c>
      <c r="O6041" s="24">
        <v>70.2</v>
      </c>
      <c r="P6041" s="18">
        <f t="shared" si="1"/>
        <v>493.135</v>
      </c>
    </row>
    <row r="6042" ht="15.75" customHeight="1">
      <c r="A6042" s="13" t="s">
        <v>264</v>
      </c>
      <c r="B6042" s="13" t="s">
        <v>133</v>
      </c>
      <c r="C6042" s="14" t="s">
        <v>202</v>
      </c>
      <c r="D6042" s="14" t="str">
        <f>VLOOKUP(C6042,'State Key'!$A$2:$B$210,2,False)</f>
        <v>Gujarat</v>
      </c>
      <c r="E6042" s="15">
        <v>1110.0</v>
      </c>
      <c r="F6042" s="16">
        <v>329.325</v>
      </c>
      <c r="G6042" s="16">
        <v>0.0</v>
      </c>
      <c r="H6042" s="16">
        <v>0.0</v>
      </c>
      <c r="I6042" s="16">
        <v>0.0</v>
      </c>
      <c r="J6042" s="16">
        <v>0.0</v>
      </c>
      <c r="K6042" s="16">
        <v>0.0</v>
      </c>
      <c r="L6042" s="16">
        <v>329.325</v>
      </c>
      <c r="M6042" s="16">
        <v>307.417</v>
      </c>
      <c r="N6042" s="16">
        <v>493.76</v>
      </c>
      <c r="O6042" s="24">
        <v>48.2</v>
      </c>
      <c r="P6042" s="18">
        <f t="shared" si="1"/>
        <v>329.325</v>
      </c>
    </row>
    <row r="6043" ht="15.75" customHeight="1">
      <c r="A6043" s="19" t="s">
        <v>264</v>
      </c>
      <c r="B6043" s="19" t="s">
        <v>133</v>
      </c>
      <c r="C6043" s="20" t="s">
        <v>203</v>
      </c>
      <c r="D6043" s="14" t="str">
        <f>VLOOKUP(C6043,'State Key'!$A$2:$B$210,2,False)</f>
        <v>Madhya Pradesh</v>
      </c>
      <c r="E6043" s="21">
        <v>4760.0</v>
      </c>
      <c r="F6043" s="22">
        <v>1954.82</v>
      </c>
      <c r="G6043" s="22">
        <v>0.0</v>
      </c>
      <c r="H6043" s="22">
        <v>0.0</v>
      </c>
      <c r="I6043" s="22">
        <v>0.0</v>
      </c>
      <c r="J6043" s="22">
        <v>0.0</v>
      </c>
      <c r="K6043" s="22">
        <v>0.0</v>
      </c>
      <c r="L6043" s="22">
        <v>1954.82</v>
      </c>
      <c r="M6043" s="22">
        <v>2005.119</v>
      </c>
      <c r="N6043" s="22">
        <v>893.05</v>
      </c>
      <c r="O6043" s="23">
        <v>13.4</v>
      </c>
      <c r="P6043" s="18">
        <f t="shared" si="1"/>
        <v>1954.82</v>
      </c>
    </row>
    <row r="6044" ht="15.75" customHeight="1">
      <c r="A6044" s="13" t="s">
        <v>264</v>
      </c>
      <c r="B6044" s="13" t="s">
        <v>133</v>
      </c>
      <c r="C6044" s="14" t="s">
        <v>255</v>
      </c>
      <c r="D6044" s="14" t="str">
        <f>VLOOKUP(C6044,'State Key'!$A$2:$B$210,2,False)</f>
        <v>Chhattisgarh</v>
      </c>
      <c r="E6044" s="15">
        <v>600.0</v>
      </c>
      <c r="F6044" s="16">
        <v>143.015</v>
      </c>
      <c r="G6044" s="16">
        <v>0.0</v>
      </c>
      <c r="H6044" s="16">
        <v>0.0</v>
      </c>
      <c r="I6044" s="16">
        <v>190.283</v>
      </c>
      <c r="J6044" s="16">
        <v>0.0</v>
      </c>
      <c r="K6044" s="16">
        <v>0.0</v>
      </c>
      <c r="L6044" s="16">
        <v>333.298</v>
      </c>
      <c r="M6044" s="16">
        <v>241.108</v>
      </c>
      <c r="N6044" s="16">
        <v>129.6</v>
      </c>
      <c r="O6044" s="24">
        <v>16.1</v>
      </c>
      <c r="P6044" s="18">
        <f t="shared" si="1"/>
        <v>333.298</v>
      </c>
    </row>
    <row r="6045" ht="15.75" customHeight="1">
      <c r="A6045" s="19" t="s">
        <v>264</v>
      </c>
      <c r="B6045" s="19" t="s">
        <v>133</v>
      </c>
      <c r="C6045" s="20" t="s">
        <v>204</v>
      </c>
      <c r="D6045" s="14" t="str">
        <f>VLOOKUP(C6045,'State Key'!$A$2:$B$210,2,False)</f>
        <v>Gujarat</v>
      </c>
      <c r="E6045" s="21">
        <v>2270.0</v>
      </c>
      <c r="F6045" s="22">
        <v>477.251</v>
      </c>
      <c r="G6045" s="22">
        <v>0.0</v>
      </c>
      <c r="H6045" s="22">
        <v>0.0</v>
      </c>
      <c r="I6045" s="22">
        <v>0.0</v>
      </c>
      <c r="J6045" s="22">
        <v>0.0</v>
      </c>
      <c r="K6045" s="22">
        <v>0.0</v>
      </c>
      <c r="L6045" s="22">
        <v>477.251</v>
      </c>
      <c r="M6045" s="22">
        <v>554.204</v>
      </c>
      <c r="N6045" s="22">
        <v>617.19</v>
      </c>
      <c r="O6045" s="24">
        <v>33.4</v>
      </c>
      <c r="P6045" s="18">
        <f t="shared" si="1"/>
        <v>477.251</v>
      </c>
    </row>
    <row r="6046" ht="15.75" customHeight="1">
      <c r="A6046" s="13" t="s">
        <v>264</v>
      </c>
      <c r="B6046" s="13" t="s">
        <v>133</v>
      </c>
      <c r="C6046" s="14" t="s">
        <v>205</v>
      </c>
      <c r="D6046" s="14" t="str">
        <f>VLOOKUP(C6046,'State Key'!$A$2:$B$210,2,False)</f>
        <v>Maharashtra</v>
      </c>
      <c r="E6046" s="15">
        <v>540.0</v>
      </c>
      <c r="F6046" s="16">
        <v>200.05</v>
      </c>
      <c r="G6046" s="16">
        <v>0.0</v>
      </c>
      <c r="H6046" s="16">
        <v>0.0</v>
      </c>
      <c r="I6046" s="16">
        <v>0.0</v>
      </c>
      <c r="J6046" s="16">
        <v>0.0</v>
      </c>
      <c r="K6046" s="16">
        <v>17.24</v>
      </c>
      <c r="L6046" s="16">
        <v>217.29</v>
      </c>
      <c r="M6046" s="16">
        <v>205.487</v>
      </c>
      <c r="N6046" s="16">
        <v>148.4</v>
      </c>
      <c r="O6046" s="24">
        <v>21.7</v>
      </c>
      <c r="P6046" s="18">
        <f t="shared" si="1"/>
        <v>217.29</v>
      </c>
    </row>
    <row r="6047" ht="15.75" customHeight="1">
      <c r="A6047" s="19" t="s">
        <v>265</v>
      </c>
      <c r="B6047" s="19" t="s">
        <v>22</v>
      </c>
      <c r="C6047" s="20" t="s">
        <v>23</v>
      </c>
      <c r="D6047" s="14" t="str">
        <f>VLOOKUP(C6047,'State Key'!$A$2:$B$210,2,False)</f>
        <v>West Bengal</v>
      </c>
      <c r="E6047" s="21">
        <v>1050.0</v>
      </c>
      <c r="F6047" s="22">
        <v>0.0</v>
      </c>
      <c r="G6047" s="22">
        <v>0.0</v>
      </c>
      <c r="H6047" s="22">
        <v>466.402</v>
      </c>
      <c r="I6047" s="22">
        <v>0.0</v>
      </c>
      <c r="J6047" s="22">
        <v>0.0</v>
      </c>
      <c r="K6047" s="22">
        <v>0.0</v>
      </c>
      <c r="L6047" s="22">
        <v>466.402</v>
      </c>
      <c r="M6047" s="22">
        <v>481.356</v>
      </c>
      <c r="N6047" s="22">
        <v>216.24</v>
      </c>
      <c r="O6047" s="23">
        <v>13.5</v>
      </c>
      <c r="P6047" s="18">
        <f t="shared" si="1"/>
        <v>466.402</v>
      </c>
    </row>
    <row r="6048" ht="15.75" customHeight="1">
      <c r="A6048" s="13" t="s">
        <v>265</v>
      </c>
      <c r="B6048" s="13" t="s">
        <v>22</v>
      </c>
      <c r="C6048" s="14" t="s">
        <v>24</v>
      </c>
      <c r="D6048" s="14" t="str">
        <f>VLOOKUP(C6048,'State Key'!$A$2:$B$210,2,False)</f>
        <v>West Bengal</v>
      </c>
      <c r="E6048" s="15">
        <v>270.0</v>
      </c>
      <c r="F6048" s="16">
        <v>0.0</v>
      </c>
      <c r="G6048" s="16">
        <v>0.0</v>
      </c>
      <c r="H6048" s="16">
        <v>124.076</v>
      </c>
      <c r="I6048" s="16">
        <v>0.0</v>
      </c>
      <c r="J6048" s="16">
        <v>0.0</v>
      </c>
      <c r="K6048" s="16">
        <v>0.0</v>
      </c>
      <c r="L6048" s="16">
        <v>124.076</v>
      </c>
      <c r="M6048" s="16">
        <v>118.955</v>
      </c>
      <c r="N6048" s="16">
        <v>58.1</v>
      </c>
      <c r="O6048" s="24">
        <v>14.7</v>
      </c>
      <c r="P6048" s="18">
        <f t="shared" si="1"/>
        <v>124.076</v>
      </c>
    </row>
    <row r="6049" ht="15.75" customHeight="1">
      <c r="A6049" s="19" t="s">
        <v>265</v>
      </c>
      <c r="B6049" s="19" t="s">
        <v>22</v>
      </c>
      <c r="C6049" s="20" t="s">
        <v>25</v>
      </c>
      <c r="D6049" s="14" t="str">
        <f>VLOOKUP(C6049,'State Key'!$A$2:$B$210,2,False)</f>
        <v>Bihar</v>
      </c>
      <c r="E6049" s="21">
        <v>500.0</v>
      </c>
      <c r="F6049" s="22">
        <v>80.07</v>
      </c>
      <c r="G6049" s="22">
        <v>0.0</v>
      </c>
      <c r="H6049" s="22">
        <v>95.16</v>
      </c>
      <c r="I6049" s="22">
        <v>0.0</v>
      </c>
      <c r="J6049" s="22">
        <v>0.0</v>
      </c>
      <c r="K6049" s="22">
        <v>0.0</v>
      </c>
      <c r="L6049" s="22">
        <v>175.23</v>
      </c>
      <c r="M6049" s="22">
        <v>195.022</v>
      </c>
      <c r="N6049" s="22">
        <v>159.84</v>
      </c>
      <c r="O6049" s="24">
        <v>24.6</v>
      </c>
      <c r="P6049" s="18">
        <f t="shared" si="1"/>
        <v>175.23</v>
      </c>
    </row>
    <row r="6050" ht="15.75" customHeight="1">
      <c r="A6050" s="13" t="s">
        <v>265</v>
      </c>
      <c r="B6050" s="13" t="s">
        <v>22</v>
      </c>
      <c r="C6050" s="14" t="s">
        <v>26</v>
      </c>
      <c r="D6050" s="14" t="str">
        <f>VLOOKUP(C6050,'State Key'!$A$2:$B$210,2,False)</f>
        <v>Bihar</v>
      </c>
      <c r="E6050" s="15">
        <v>3300.0</v>
      </c>
      <c r="F6050" s="16">
        <v>696.84</v>
      </c>
      <c r="G6050" s="16">
        <v>0.0</v>
      </c>
      <c r="H6050" s="16">
        <v>647.72</v>
      </c>
      <c r="I6050" s="16">
        <v>0.0</v>
      </c>
      <c r="J6050" s="16">
        <v>0.0</v>
      </c>
      <c r="K6050" s="16">
        <v>0.0</v>
      </c>
      <c r="L6050" s="16">
        <v>1344.56</v>
      </c>
      <c r="M6050" s="16">
        <v>1080.337</v>
      </c>
      <c r="N6050" s="16">
        <v>845.5</v>
      </c>
      <c r="O6050" s="24">
        <v>23.5</v>
      </c>
      <c r="P6050" s="18">
        <f t="shared" si="1"/>
        <v>1344.56</v>
      </c>
    </row>
    <row r="6051" ht="15.75" customHeight="1">
      <c r="A6051" s="19" t="s">
        <v>265</v>
      </c>
      <c r="B6051" s="19" t="s">
        <v>22</v>
      </c>
      <c r="C6051" s="20" t="s">
        <v>27</v>
      </c>
      <c r="D6051" s="14" t="str">
        <f>VLOOKUP(C6051,'State Key'!$A$2:$B$210,2,False)</f>
        <v>Jharkhand</v>
      </c>
      <c r="E6051" s="21">
        <v>500.0</v>
      </c>
      <c r="F6051" s="22">
        <v>47.223</v>
      </c>
      <c r="G6051" s="22">
        <v>0.0</v>
      </c>
      <c r="H6051" s="22">
        <v>0.0</v>
      </c>
      <c r="I6051" s="22">
        <v>0.0</v>
      </c>
      <c r="J6051" s="22">
        <v>0.0</v>
      </c>
      <c r="K6051" s="22">
        <v>0.0</v>
      </c>
      <c r="L6051" s="22">
        <v>47.223</v>
      </c>
      <c r="M6051" s="22">
        <v>116.599</v>
      </c>
      <c r="N6051" s="22">
        <v>181.24</v>
      </c>
      <c r="O6051" s="24">
        <v>46.6</v>
      </c>
      <c r="P6051" s="18">
        <f t="shared" si="1"/>
        <v>47.223</v>
      </c>
    </row>
    <row r="6052" ht="15.75" customHeight="1">
      <c r="A6052" s="13" t="s">
        <v>265</v>
      </c>
      <c r="B6052" s="13" t="s">
        <v>22</v>
      </c>
      <c r="C6052" s="14" t="s">
        <v>28</v>
      </c>
      <c r="D6052" s="14" t="str">
        <f>VLOOKUP(C6052,'State Key'!$A$2:$B$210,2,False)</f>
        <v>West Bengal</v>
      </c>
      <c r="E6052" s="15">
        <v>750.0</v>
      </c>
      <c r="F6052" s="16">
        <v>75.114</v>
      </c>
      <c r="G6052" s="16">
        <v>0.0</v>
      </c>
      <c r="H6052" s="16">
        <v>67.135</v>
      </c>
      <c r="I6052" s="16">
        <v>165.825</v>
      </c>
      <c r="J6052" s="16">
        <v>0.0</v>
      </c>
      <c r="K6052" s="16">
        <v>0.0</v>
      </c>
      <c r="L6052" s="16">
        <v>308.074</v>
      </c>
      <c r="M6052" s="16">
        <v>254.255</v>
      </c>
      <c r="N6052" s="16">
        <v>149.19</v>
      </c>
      <c r="O6052" s="24">
        <v>17.6</v>
      </c>
      <c r="P6052" s="18">
        <f t="shared" si="1"/>
        <v>308.074</v>
      </c>
    </row>
    <row r="6053" ht="15.75" customHeight="1">
      <c r="A6053" s="19" t="s">
        <v>265</v>
      </c>
      <c r="B6053" s="19" t="s">
        <v>22</v>
      </c>
      <c r="C6053" s="20" t="s">
        <v>259</v>
      </c>
      <c r="D6053" s="14" t="str">
        <f>VLOOKUP(C6053,'State Key'!$A$2:$B$210,2,False)</f>
        <v>Bihar</v>
      </c>
      <c r="E6053" s="21">
        <v>660.0</v>
      </c>
      <c r="F6053" s="22">
        <v>179.2765</v>
      </c>
      <c r="G6053" s="22">
        <v>0.0</v>
      </c>
      <c r="H6053" s="22">
        <v>0.0</v>
      </c>
      <c r="I6053" s="22">
        <v>0.0</v>
      </c>
      <c r="J6053" s="22">
        <v>0.0</v>
      </c>
      <c r="K6053" s="22">
        <v>0.0</v>
      </c>
      <c r="L6053" s="22">
        <v>179.2765</v>
      </c>
      <c r="M6053" s="22">
        <v>150.714</v>
      </c>
      <c r="N6053" s="22">
        <v>79.68</v>
      </c>
      <c r="O6053" s="24">
        <v>15.9</v>
      </c>
      <c r="P6053" s="18">
        <f t="shared" si="1"/>
        <v>179.2765</v>
      </c>
    </row>
    <row r="6054" ht="15.75" customHeight="1">
      <c r="A6054" s="13" t="s">
        <v>265</v>
      </c>
      <c r="B6054" s="13" t="s">
        <v>22</v>
      </c>
      <c r="C6054" s="14" t="s">
        <v>29</v>
      </c>
      <c r="D6054" s="14" t="str">
        <f>VLOOKUP(C6054,'State Key'!$A$2:$B$210,2,False)</f>
        <v>Jharkhand</v>
      </c>
      <c r="E6054" s="15">
        <v>500.0</v>
      </c>
      <c r="F6054" s="16">
        <v>107.165</v>
      </c>
      <c r="G6054" s="16">
        <v>0.0</v>
      </c>
      <c r="H6054" s="16">
        <v>99.969</v>
      </c>
      <c r="I6054" s="16">
        <v>0.0</v>
      </c>
      <c r="J6054" s="16">
        <v>0.0</v>
      </c>
      <c r="K6054" s="16">
        <v>0.0</v>
      </c>
      <c r="L6054" s="16">
        <v>207.134</v>
      </c>
      <c r="M6054" s="16">
        <v>238.384</v>
      </c>
      <c r="N6054" s="16">
        <v>147.72</v>
      </c>
      <c r="O6054" s="24">
        <v>18.6</v>
      </c>
      <c r="P6054" s="18">
        <f t="shared" si="1"/>
        <v>207.134</v>
      </c>
    </row>
    <row r="6055" ht="15.75" customHeight="1">
      <c r="A6055" s="19" t="s">
        <v>265</v>
      </c>
      <c r="B6055" s="19" t="s">
        <v>22</v>
      </c>
      <c r="C6055" s="20" t="s">
        <v>30</v>
      </c>
      <c r="D6055" s="14" t="str">
        <f>VLOOKUP(C6055,'State Key'!$A$2:$B$210,2,False)</f>
        <v>West Bengal</v>
      </c>
      <c r="E6055" s="21">
        <v>550.0</v>
      </c>
      <c r="F6055" s="22">
        <v>75.449</v>
      </c>
      <c r="G6055" s="22">
        <v>0.0</v>
      </c>
      <c r="H6055" s="22">
        <v>110.172</v>
      </c>
      <c r="I6055" s="22">
        <v>0.0</v>
      </c>
      <c r="J6055" s="22">
        <v>0.0</v>
      </c>
      <c r="K6055" s="22">
        <v>0.214</v>
      </c>
      <c r="L6055" s="22">
        <v>185.835</v>
      </c>
      <c r="M6055" s="22">
        <v>251.17</v>
      </c>
      <c r="N6055" s="22">
        <v>52.17</v>
      </c>
      <c r="O6055" s="17">
        <v>6.2</v>
      </c>
      <c r="P6055" s="18">
        <f t="shared" si="1"/>
        <v>185.835</v>
      </c>
    </row>
    <row r="6056" ht="15.75" customHeight="1">
      <c r="A6056" s="13" t="s">
        <v>265</v>
      </c>
      <c r="B6056" s="13" t="s">
        <v>22</v>
      </c>
      <c r="C6056" s="14" t="s">
        <v>31</v>
      </c>
      <c r="D6056" s="14" t="str">
        <f>VLOOKUP(C6056,'State Key'!$A$2:$B$210,2,False)</f>
        <v>Odisha</v>
      </c>
      <c r="E6056" s="15">
        <v>1600.0</v>
      </c>
      <c r="F6056" s="16">
        <v>0.0</v>
      </c>
      <c r="G6056" s="16">
        <v>0.0</v>
      </c>
      <c r="H6056" s="16">
        <v>730.62</v>
      </c>
      <c r="I6056" s="16">
        <v>0.0</v>
      </c>
      <c r="J6056" s="16">
        <v>0.0</v>
      </c>
      <c r="K6056" s="16">
        <v>0.0</v>
      </c>
      <c r="L6056" s="16">
        <v>730.62</v>
      </c>
      <c r="M6056" s="16">
        <v>829.948</v>
      </c>
      <c r="N6056" s="16">
        <v>372.43</v>
      </c>
      <c r="O6056" s="23">
        <v>13.5</v>
      </c>
      <c r="P6056" s="18">
        <f t="shared" si="1"/>
        <v>730.62</v>
      </c>
    </row>
    <row r="6057" ht="15.75" customHeight="1">
      <c r="A6057" s="19" t="s">
        <v>265</v>
      </c>
      <c r="B6057" s="19" t="s">
        <v>22</v>
      </c>
      <c r="C6057" s="20" t="s">
        <v>32</v>
      </c>
      <c r="D6057" s="14" t="str">
        <f>VLOOKUP(C6057,'State Key'!$A$2:$B$210,2,False)</f>
        <v>Odisha</v>
      </c>
      <c r="E6057" s="21">
        <v>1200.0</v>
      </c>
      <c r="F6057" s="22">
        <v>438.281</v>
      </c>
      <c r="G6057" s="22">
        <v>0.0</v>
      </c>
      <c r="H6057" s="22">
        <v>0.0</v>
      </c>
      <c r="I6057" s="22">
        <v>75.936</v>
      </c>
      <c r="J6057" s="22">
        <v>0.0</v>
      </c>
      <c r="K6057" s="22">
        <v>0.0</v>
      </c>
      <c r="L6057" s="22">
        <v>514.217</v>
      </c>
      <c r="M6057" s="22">
        <v>570.482</v>
      </c>
      <c r="N6057" s="22">
        <v>1316.05</v>
      </c>
      <c r="O6057" s="24">
        <v>69.2</v>
      </c>
      <c r="P6057" s="18">
        <f t="shared" si="1"/>
        <v>514.217</v>
      </c>
    </row>
    <row r="6058" ht="15.75" customHeight="1">
      <c r="A6058" s="13" t="s">
        <v>265</v>
      </c>
      <c r="B6058" s="13" t="s">
        <v>22</v>
      </c>
      <c r="C6058" s="14" t="s">
        <v>34</v>
      </c>
      <c r="D6058" s="14" t="str">
        <f>VLOOKUP(C6058,'State Key'!$A$2:$B$210,2,False)</f>
        <v>West Bengal</v>
      </c>
      <c r="E6058" s="15">
        <v>1000.0</v>
      </c>
      <c r="F6058" s="16">
        <v>319.286</v>
      </c>
      <c r="G6058" s="16">
        <v>0.0</v>
      </c>
      <c r="H6058" s="16">
        <v>10.8</v>
      </c>
      <c r="I6058" s="16">
        <v>0.0</v>
      </c>
      <c r="J6058" s="16">
        <v>0.0</v>
      </c>
      <c r="K6058" s="16">
        <v>0.0</v>
      </c>
      <c r="L6058" s="16">
        <v>330.086</v>
      </c>
      <c r="M6058" s="16">
        <v>327.463</v>
      </c>
      <c r="N6058" s="16">
        <v>237.33</v>
      </c>
      <c r="O6058" s="24">
        <v>21.7</v>
      </c>
      <c r="P6058" s="18">
        <f t="shared" si="1"/>
        <v>330.086</v>
      </c>
    </row>
    <row r="6059" ht="15.75" customHeight="1">
      <c r="A6059" s="19" t="s">
        <v>265</v>
      </c>
      <c r="B6059" s="19" t="s">
        <v>22</v>
      </c>
      <c r="C6059" s="20" t="s">
        <v>35</v>
      </c>
      <c r="D6059" s="14" t="str">
        <f>VLOOKUP(C6059,'State Key'!$A$2:$B$210,2,False)</f>
        <v>West Bengal</v>
      </c>
      <c r="E6059" s="21">
        <v>2100.0</v>
      </c>
      <c r="F6059" s="22">
        <v>747.49</v>
      </c>
      <c r="G6059" s="22">
        <v>0.0</v>
      </c>
      <c r="H6059" s="22">
        <v>6.99</v>
      </c>
      <c r="I6059" s="22">
        <v>0.0</v>
      </c>
      <c r="J6059" s="22">
        <v>0.0</v>
      </c>
      <c r="K6059" s="22">
        <v>0.0</v>
      </c>
      <c r="L6059" s="22">
        <v>754.48</v>
      </c>
      <c r="M6059" s="22">
        <v>721.195</v>
      </c>
      <c r="N6059" s="22">
        <v>435.81</v>
      </c>
      <c r="O6059" s="24">
        <v>18.1</v>
      </c>
      <c r="P6059" s="18">
        <f t="shared" si="1"/>
        <v>754.48</v>
      </c>
    </row>
    <row r="6060" ht="15.75" customHeight="1">
      <c r="A6060" s="13" t="s">
        <v>265</v>
      </c>
      <c r="B6060" s="13" t="s">
        <v>22</v>
      </c>
      <c r="C6060" s="14" t="s">
        <v>36</v>
      </c>
      <c r="D6060" s="14" t="str">
        <f>VLOOKUP(C6060,'State Key'!$A$2:$B$210,2,False)</f>
        <v>West Bengal</v>
      </c>
      <c r="E6060" s="15">
        <v>600.0</v>
      </c>
      <c r="F6060" s="16">
        <v>279.978</v>
      </c>
      <c r="G6060" s="16">
        <v>0.0</v>
      </c>
      <c r="H6060" s="16">
        <v>0.0</v>
      </c>
      <c r="I6060" s="16">
        <v>0.0</v>
      </c>
      <c r="J6060" s="16">
        <v>0.0</v>
      </c>
      <c r="K6060" s="16">
        <v>0.0</v>
      </c>
      <c r="L6060" s="16">
        <v>279.978</v>
      </c>
      <c r="M6060" s="16">
        <v>259.162</v>
      </c>
      <c r="N6060" s="16">
        <v>132.34</v>
      </c>
      <c r="O6060" s="24">
        <v>15.3</v>
      </c>
      <c r="P6060" s="18">
        <f t="shared" si="1"/>
        <v>279.978</v>
      </c>
    </row>
    <row r="6061" ht="15.75" customHeight="1">
      <c r="A6061" s="19" t="s">
        <v>265</v>
      </c>
      <c r="B6061" s="19" t="s">
        <v>22</v>
      </c>
      <c r="C6061" s="20" t="s">
        <v>37</v>
      </c>
      <c r="D6061" s="14" t="str">
        <f>VLOOKUP(C6061,'State Key'!$A$2:$B$210,2,False)</f>
        <v>West Bengal</v>
      </c>
      <c r="E6061" s="21">
        <v>300.0</v>
      </c>
      <c r="F6061" s="22">
        <v>147.697</v>
      </c>
      <c r="G6061" s="22">
        <v>0.0</v>
      </c>
      <c r="H6061" s="22">
        <v>0.0</v>
      </c>
      <c r="I6061" s="22">
        <v>0.0</v>
      </c>
      <c r="J6061" s="22">
        <v>0.0</v>
      </c>
      <c r="K6061" s="22">
        <v>0.0</v>
      </c>
      <c r="L6061" s="22">
        <v>147.697</v>
      </c>
      <c r="M6061" s="22">
        <v>125.689</v>
      </c>
      <c r="N6061" s="22">
        <v>214.26</v>
      </c>
      <c r="O6061" s="24">
        <v>51.1</v>
      </c>
      <c r="P6061" s="18">
        <f t="shared" si="1"/>
        <v>147.697</v>
      </c>
    </row>
    <row r="6062" ht="15.75" customHeight="1">
      <c r="A6062" s="13" t="s">
        <v>265</v>
      </c>
      <c r="B6062" s="13" t="s">
        <v>22</v>
      </c>
      <c r="C6062" s="14" t="s">
        <v>38</v>
      </c>
      <c r="D6062" s="14" t="str">
        <f>VLOOKUP(C6062,'State Key'!$A$2:$B$210,2,False)</f>
        <v>Odisha</v>
      </c>
      <c r="E6062" s="15">
        <v>1740.0</v>
      </c>
      <c r="F6062" s="16">
        <v>90.42</v>
      </c>
      <c r="G6062" s="16">
        <v>0.0</v>
      </c>
      <c r="H6062" s="16">
        <v>683.9</v>
      </c>
      <c r="I6062" s="16">
        <v>0.0</v>
      </c>
      <c r="J6062" s="16">
        <v>0.0</v>
      </c>
      <c r="K6062" s="16">
        <v>0.0</v>
      </c>
      <c r="L6062" s="16">
        <v>774.32</v>
      </c>
      <c r="M6062" s="16">
        <v>832.326</v>
      </c>
      <c r="N6062" s="16">
        <v>372.32</v>
      </c>
      <c r="O6062" s="23">
        <v>13.4</v>
      </c>
      <c r="P6062" s="18">
        <f t="shared" si="1"/>
        <v>774.32</v>
      </c>
    </row>
    <row r="6063" ht="15.75" customHeight="1">
      <c r="A6063" s="19" t="s">
        <v>265</v>
      </c>
      <c r="B6063" s="19" t="s">
        <v>22</v>
      </c>
      <c r="C6063" s="20" t="s">
        <v>39</v>
      </c>
      <c r="D6063" s="14" t="str">
        <f>VLOOKUP(C6063,'State Key'!$A$2:$B$210,2,False)</f>
        <v>Jharkhand</v>
      </c>
      <c r="E6063" s="21">
        <v>240.0</v>
      </c>
      <c r="F6063" s="22">
        <v>86.1756</v>
      </c>
      <c r="G6063" s="22">
        <v>0.0</v>
      </c>
      <c r="H6063" s="22">
        <v>0.0</v>
      </c>
      <c r="I6063" s="22">
        <v>0.0</v>
      </c>
      <c r="J6063" s="22">
        <v>0.0</v>
      </c>
      <c r="K6063" s="22">
        <v>0.0</v>
      </c>
      <c r="L6063" s="22">
        <v>86.1756</v>
      </c>
      <c r="M6063" s="22">
        <v>60.1027</v>
      </c>
      <c r="N6063" s="22">
        <v>97.03</v>
      </c>
      <c r="O6063" s="24">
        <v>48.4</v>
      </c>
      <c r="P6063" s="18">
        <f t="shared" si="1"/>
        <v>86.1756</v>
      </c>
    </row>
    <row r="6064" ht="15.75" customHeight="1">
      <c r="A6064" s="13" t="s">
        <v>265</v>
      </c>
      <c r="B6064" s="13" t="s">
        <v>22</v>
      </c>
      <c r="C6064" s="14" t="s">
        <v>245</v>
      </c>
      <c r="D6064" s="14" t="str">
        <f>VLOOKUP(C6064,'State Key'!$A$2:$B$210,2,False)</f>
        <v>Odisha</v>
      </c>
      <c r="E6064" s="15">
        <v>700.0</v>
      </c>
      <c r="F6064" s="16">
        <v>0.0</v>
      </c>
      <c r="G6064" s="16">
        <v>0.0</v>
      </c>
      <c r="H6064" s="16">
        <v>0.0</v>
      </c>
      <c r="I6064" s="16">
        <v>371.807</v>
      </c>
      <c r="J6064" s="16">
        <v>0.0</v>
      </c>
      <c r="K6064" s="16">
        <v>0.0</v>
      </c>
      <c r="L6064" s="16">
        <v>371.807</v>
      </c>
      <c r="M6064" s="16">
        <v>339.307</v>
      </c>
      <c r="N6064" s="16">
        <v>121.18</v>
      </c>
      <c r="O6064" s="23">
        <v>10.7</v>
      </c>
      <c r="P6064" s="18">
        <f t="shared" si="1"/>
        <v>371.807</v>
      </c>
    </row>
    <row r="6065" ht="15.75" customHeight="1">
      <c r="A6065" s="19" t="s">
        <v>265</v>
      </c>
      <c r="B6065" s="19" t="s">
        <v>22</v>
      </c>
      <c r="C6065" s="20" t="s">
        <v>40</v>
      </c>
      <c r="D6065" s="14" t="str">
        <f>VLOOKUP(C6065,'State Key'!$A$2:$B$210,2,False)</f>
        <v>Bihar</v>
      </c>
      <c r="E6065" s="21">
        <v>2340.0</v>
      </c>
      <c r="F6065" s="22">
        <v>976.52</v>
      </c>
      <c r="G6065" s="22">
        <v>0.0</v>
      </c>
      <c r="H6065" s="22">
        <v>0.0</v>
      </c>
      <c r="I6065" s="22">
        <v>0.0</v>
      </c>
      <c r="J6065" s="22">
        <v>0.0</v>
      </c>
      <c r="K6065" s="22">
        <v>0.0</v>
      </c>
      <c r="L6065" s="22">
        <v>976.52</v>
      </c>
      <c r="M6065" s="22">
        <v>1106.006</v>
      </c>
      <c r="N6065" s="22">
        <v>521.25</v>
      </c>
      <c r="O6065" s="24">
        <v>14.1</v>
      </c>
      <c r="P6065" s="18">
        <f t="shared" si="1"/>
        <v>976.52</v>
      </c>
    </row>
    <row r="6066" ht="15.75" customHeight="1">
      <c r="A6066" s="13" t="s">
        <v>265</v>
      </c>
      <c r="B6066" s="13" t="s">
        <v>22</v>
      </c>
      <c r="C6066" s="14" t="s">
        <v>41</v>
      </c>
      <c r="D6066" s="14" t="str">
        <f>VLOOKUP(C6066,'State Key'!$A$2:$B$210,2,False)</f>
        <v>Odisha</v>
      </c>
      <c r="E6066" s="15">
        <v>1050.0</v>
      </c>
      <c r="F6066" s="16">
        <v>368.778</v>
      </c>
      <c r="G6066" s="16">
        <v>0.0</v>
      </c>
      <c r="H6066" s="16">
        <v>0.0</v>
      </c>
      <c r="I6066" s="16">
        <v>164.536</v>
      </c>
      <c r="J6066" s="16">
        <v>0.0</v>
      </c>
      <c r="K6066" s="16">
        <v>0.0</v>
      </c>
      <c r="L6066" s="16">
        <v>533.314</v>
      </c>
      <c r="M6066" s="16">
        <v>531.423</v>
      </c>
      <c r="N6066" s="16">
        <v>241.886</v>
      </c>
      <c r="O6066" s="23">
        <v>13.7</v>
      </c>
      <c r="P6066" s="18">
        <f t="shared" si="1"/>
        <v>533.314</v>
      </c>
    </row>
    <row r="6067" ht="15.75" customHeight="1">
      <c r="A6067" s="19" t="s">
        <v>265</v>
      </c>
      <c r="B6067" s="19" t="s">
        <v>22</v>
      </c>
      <c r="C6067" s="20" t="s">
        <v>42</v>
      </c>
      <c r="D6067" s="14" t="str">
        <f>VLOOKUP(C6067,'State Key'!$A$2:$B$210,2,False)</f>
        <v>Jharkhand</v>
      </c>
      <c r="E6067" s="21">
        <v>1000.0</v>
      </c>
      <c r="F6067" s="22">
        <v>101.399</v>
      </c>
      <c r="G6067" s="22">
        <v>0.0</v>
      </c>
      <c r="H6067" s="22">
        <v>118.255</v>
      </c>
      <c r="I6067" s="22">
        <v>0.0</v>
      </c>
      <c r="J6067" s="22">
        <v>0.0</v>
      </c>
      <c r="K6067" s="22">
        <v>3.193</v>
      </c>
      <c r="L6067" s="22">
        <v>222.847</v>
      </c>
      <c r="M6067" s="22">
        <v>225.987</v>
      </c>
      <c r="N6067" s="22">
        <v>367.15</v>
      </c>
      <c r="O6067" s="24">
        <v>48.7</v>
      </c>
      <c r="P6067" s="18">
        <f t="shared" si="1"/>
        <v>222.847</v>
      </c>
    </row>
    <row r="6068" ht="15.75" customHeight="1">
      <c r="A6068" s="13" t="s">
        <v>265</v>
      </c>
      <c r="B6068" s="13" t="s">
        <v>22</v>
      </c>
      <c r="C6068" s="14" t="s">
        <v>43</v>
      </c>
      <c r="D6068" s="14" t="str">
        <f>VLOOKUP(C6068,'State Key'!$A$2:$B$210,2,False)</f>
        <v>West Bengal</v>
      </c>
      <c r="E6068" s="15">
        <v>840.0</v>
      </c>
      <c r="F6068" s="16">
        <v>0.0</v>
      </c>
      <c r="G6068" s="16">
        <v>0.0</v>
      </c>
      <c r="H6068" s="16">
        <v>341.488</v>
      </c>
      <c r="I6068" s="16">
        <v>0.0</v>
      </c>
      <c r="J6068" s="16">
        <v>0.0</v>
      </c>
      <c r="K6068" s="16">
        <v>0.0</v>
      </c>
      <c r="L6068" s="16">
        <v>341.488</v>
      </c>
      <c r="M6068" s="16">
        <v>267.367</v>
      </c>
      <c r="N6068" s="16">
        <v>199.29</v>
      </c>
      <c r="O6068" s="24">
        <v>22.4</v>
      </c>
      <c r="P6068" s="18">
        <f t="shared" si="1"/>
        <v>341.488</v>
      </c>
    </row>
    <row r="6069" ht="15.75" customHeight="1">
      <c r="A6069" s="19" t="s">
        <v>265</v>
      </c>
      <c r="B6069" s="19" t="s">
        <v>22</v>
      </c>
      <c r="C6069" s="20" t="s">
        <v>44</v>
      </c>
      <c r="D6069" s="14" t="str">
        <f>VLOOKUP(C6069,'State Key'!$A$2:$B$210,2,False)</f>
        <v>Jharkhand</v>
      </c>
      <c r="E6069" s="21">
        <v>540.0</v>
      </c>
      <c r="F6069" s="22">
        <v>172.434</v>
      </c>
      <c r="G6069" s="22">
        <v>0.0</v>
      </c>
      <c r="H6069" s="22">
        <v>0.0</v>
      </c>
      <c r="I6069" s="22">
        <v>0.0</v>
      </c>
      <c r="J6069" s="22">
        <v>0.0</v>
      </c>
      <c r="K6069" s="22">
        <v>34.691</v>
      </c>
      <c r="L6069" s="22">
        <v>207.125</v>
      </c>
      <c r="M6069" s="22">
        <v>193.754</v>
      </c>
      <c r="N6069" s="22">
        <v>81.65</v>
      </c>
      <c r="O6069" s="23">
        <v>12.6</v>
      </c>
      <c r="P6069" s="18">
        <f t="shared" si="1"/>
        <v>207.125</v>
      </c>
    </row>
    <row r="6070" ht="15.75" customHeight="1">
      <c r="A6070" s="13" t="s">
        <v>265</v>
      </c>
      <c r="B6070" s="13" t="s">
        <v>22</v>
      </c>
      <c r="C6070" s="14" t="s">
        <v>45</v>
      </c>
      <c r="D6070" s="14" t="str">
        <f>VLOOKUP(C6070,'State Key'!$A$2:$B$210,2,False)</f>
        <v>Jharkhand</v>
      </c>
      <c r="E6070" s="15">
        <v>1050.0</v>
      </c>
      <c r="F6070" s="16">
        <v>316.619</v>
      </c>
      <c r="G6070" s="16">
        <v>0.0</v>
      </c>
      <c r="H6070" s="16">
        <v>0.0</v>
      </c>
      <c r="I6070" s="16">
        <v>0.0</v>
      </c>
      <c r="J6070" s="16">
        <v>0.0</v>
      </c>
      <c r="K6070" s="16">
        <v>0.0</v>
      </c>
      <c r="L6070" s="16">
        <v>316.619</v>
      </c>
      <c r="M6070" s="16">
        <v>348.803</v>
      </c>
      <c r="N6070" s="16">
        <v>275.45</v>
      </c>
      <c r="O6070" s="24">
        <v>23.7</v>
      </c>
      <c r="P6070" s="18">
        <f t="shared" si="1"/>
        <v>316.619</v>
      </c>
    </row>
    <row r="6071" ht="15.75" customHeight="1">
      <c r="A6071" s="19" t="s">
        <v>265</v>
      </c>
      <c r="B6071" s="19" t="s">
        <v>22</v>
      </c>
      <c r="C6071" s="20" t="s">
        <v>46</v>
      </c>
      <c r="D6071" s="14" t="str">
        <f>VLOOKUP(C6071,'State Key'!$A$2:$B$210,2,False)</f>
        <v>West Bengal</v>
      </c>
      <c r="E6071" s="21">
        <v>2340.0</v>
      </c>
      <c r="F6071" s="22">
        <v>393.024</v>
      </c>
      <c r="G6071" s="22">
        <v>0.0</v>
      </c>
      <c r="H6071" s="22">
        <v>211.566</v>
      </c>
      <c r="I6071" s="22">
        <v>0.0</v>
      </c>
      <c r="J6071" s="22">
        <v>0.0</v>
      </c>
      <c r="K6071" s="22">
        <v>210.071</v>
      </c>
      <c r="L6071" s="22">
        <v>814.661</v>
      </c>
      <c r="M6071" s="22">
        <v>765.977</v>
      </c>
      <c r="N6071" s="22">
        <v>526.06</v>
      </c>
      <c r="O6071" s="24">
        <v>20.6</v>
      </c>
      <c r="P6071" s="18">
        <f t="shared" si="1"/>
        <v>814.661</v>
      </c>
    </row>
    <row r="6072" ht="15.75" customHeight="1">
      <c r="A6072" s="13" t="s">
        <v>265</v>
      </c>
      <c r="B6072" s="13" t="s">
        <v>22</v>
      </c>
      <c r="C6072" s="14" t="s">
        <v>47</v>
      </c>
      <c r="D6072" s="14" t="str">
        <f>VLOOKUP(C6072,'State Key'!$A$2:$B$210,2,False)</f>
        <v>Bihar</v>
      </c>
      <c r="E6072" s="15">
        <v>390.0</v>
      </c>
      <c r="F6072" s="16">
        <v>3.952</v>
      </c>
      <c r="G6072" s="16">
        <v>0.0</v>
      </c>
      <c r="H6072" s="16">
        <v>93.13</v>
      </c>
      <c r="I6072" s="16">
        <v>0.0</v>
      </c>
      <c r="J6072" s="16">
        <v>0.0</v>
      </c>
      <c r="K6072" s="16">
        <v>0.0</v>
      </c>
      <c r="L6072" s="16">
        <v>97.082</v>
      </c>
      <c r="M6072" s="16">
        <v>150.354</v>
      </c>
      <c r="N6072" s="16">
        <v>134.88</v>
      </c>
      <c r="O6072" s="24">
        <v>26.9</v>
      </c>
      <c r="P6072" s="18">
        <f t="shared" si="1"/>
        <v>97.082</v>
      </c>
    </row>
    <row r="6073" ht="15.75" customHeight="1">
      <c r="A6073" s="19" t="s">
        <v>265</v>
      </c>
      <c r="B6073" s="19" t="s">
        <v>22</v>
      </c>
      <c r="C6073" s="20" t="s">
        <v>241</v>
      </c>
      <c r="D6073" s="14" t="str">
        <f>VLOOKUP(C6073,'State Key'!$A$2:$B$210,2,False)</f>
        <v>Odisha</v>
      </c>
      <c r="E6073" s="21">
        <v>60.0</v>
      </c>
      <c r="F6073" s="22">
        <v>14.21</v>
      </c>
      <c r="G6073" s="22">
        <v>0.0</v>
      </c>
      <c r="H6073" s="22">
        <v>0.0</v>
      </c>
      <c r="I6073" s="22">
        <v>0.0</v>
      </c>
      <c r="J6073" s="22">
        <v>0.0</v>
      </c>
      <c r="K6073" s="22">
        <v>11.89</v>
      </c>
      <c r="L6073" s="22">
        <v>26.1</v>
      </c>
      <c r="M6073" s="22">
        <v>31.54</v>
      </c>
      <c r="N6073" s="22">
        <v>21.67</v>
      </c>
      <c r="O6073" s="24">
        <v>20.6</v>
      </c>
      <c r="P6073" s="18">
        <f t="shared" si="1"/>
        <v>26.1</v>
      </c>
    </row>
    <row r="6074" ht="15.75" customHeight="1">
      <c r="A6074" s="13" t="s">
        <v>265</v>
      </c>
      <c r="B6074" s="13" t="s">
        <v>22</v>
      </c>
      <c r="C6074" s="14" t="s">
        <v>48</v>
      </c>
      <c r="D6074" s="14" t="str">
        <f>VLOOKUP(C6074,'State Key'!$A$2:$B$210,2,False)</f>
        <v>Bihar</v>
      </c>
      <c r="E6074" s="15">
        <v>1980.0</v>
      </c>
      <c r="F6074" s="16">
        <v>525.034</v>
      </c>
      <c r="G6074" s="16">
        <v>0.0</v>
      </c>
      <c r="H6074" s="16">
        <v>44.855</v>
      </c>
      <c r="I6074" s="16">
        <v>0.0</v>
      </c>
      <c r="J6074" s="16">
        <v>0.0</v>
      </c>
      <c r="K6074" s="16">
        <v>0.0</v>
      </c>
      <c r="L6074" s="16">
        <v>569.889</v>
      </c>
      <c r="M6074" s="16">
        <v>600.018</v>
      </c>
      <c r="N6074" s="16">
        <v>707.98</v>
      </c>
      <c r="O6074" s="24">
        <v>35.4</v>
      </c>
      <c r="P6074" s="18">
        <f t="shared" si="1"/>
        <v>569.889</v>
      </c>
    </row>
    <row r="6075" ht="15.75" customHeight="1">
      <c r="A6075" s="19" t="s">
        <v>265</v>
      </c>
      <c r="B6075" s="19" t="s">
        <v>22</v>
      </c>
      <c r="C6075" s="20" t="s">
        <v>49</v>
      </c>
      <c r="D6075" s="14" t="str">
        <f>VLOOKUP(C6075,'State Key'!$A$2:$B$210,2,False)</f>
        <v>Bihar</v>
      </c>
      <c r="E6075" s="21">
        <v>1000.0</v>
      </c>
      <c r="F6075" s="22">
        <v>261.7048</v>
      </c>
      <c r="G6075" s="22">
        <v>0.0</v>
      </c>
      <c r="H6075" s="22">
        <v>0.0</v>
      </c>
      <c r="I6075" s="22">
        <v>0.0</v>
      </c>
      <c r="J6075" s="22">
        <v>0.0</v>
      </c>
      <c r="K6075" s="22">
        <v>0.0</v>
      </c>
      <c r="L6075" s="22">
        <v>261.7048</v>
      </c>
      <c r="M6075" s="22">
        <v>261.705</v>
      </c>
      <c r="N6075" s="22">
        <v>298.44</v>
      </c>
      <c r="O6075" s="24">
        <v>34.2</v>
      </c>
      <c r="P6075" s="18">
        <f t="shared" si="1"/>
        <v>261.7048</v>
      </c>
    </row>
    <row r="6076" ht="15.75" customHeight="1">
      <c r="A6076" s="13" t="s">
        <v>265</v>
      </c>
      <c r="B6076" s="13" t="s">
        <v>22</v>
      </c>
      <c r="C6076" s="14" t="s">
        <v>50</v>
      </c>
      <c r="D6076" s="14" t="str">
        <f>VLOOKUP(C6076,'State Key'!$A$2:$B$210,2,False)</f>
        <v>Jharkhand</v>
      </c>
      <c r="E6076" s="15">
        <v>1980.0</v>
      </c>
      <c r="F6076" s="16">
        <v>673.69</v>
      </c>
      <c r="G6076" s="16">
        <v>0.0</v>
      </c>
      <c r="H6076" s="16">
        <v>244.79</v>
      </c>
      <c r="I6076" s="16">
        <v>0.0</v>
      </c>
      <c r="J6076" s="16">
        <v>0.0</v>
      </c>
      <c r="K6076" s="16">
        <v>0.0</v>
      </c>
      <c r="L6076" s="16">
        <v>918.48</v>
      </c>
      <c r="M6076" s="16">
        <v>843.604</v>
      </c>
      <c r="N6076" s="16">
        <v>204.21</v>
      </c>
      <c r="O6076" s="23">
        <v>7.3</v>
      </c>
      <c r="P6076" s="18">
        <f t="shared" si="1"/>
        <v>918.48</v>
      </c>
    </row>
    <row r="6077" ht="15.75" customHeight="1">
      <c r="A6077" s="19" t="s">
        <v>265</v>
      </c>
      <c r="B6077" s="19" t="s">
        <v>22</v>
      </c>
      <c r="C6077" s="20" t="s">
        <v>260</v>
      </c>
      <c r="D6077" s="14" t="str">
        <f>VLOOKUP(C6077,'State Key'!$A$2:$B$210,2,False)</f>
        <v>Jharkhand</v>
      </c>
      <c r="E6077" s="21">
        <v>800.0</v>
      </c>
      <c r="F6077" s="22">
        <v>171.121</v>
      </c>
      <c r="G6077" s="22">
        <v>0.0</v>
      </c>
      <c r="H6077" s="22">
        <v>41.828</v>
      </c>
      <c r="I6077" s="22">
        <v>0.0</v>
      </c>
      <c r="J6077" s="22">
        <v>0.0</v>
      </c>
      <c r="K6077" s="22">
        <v>0.0</v>
      </c>
      <c r="L6077" s="22">
        <v>212.949</v>
      </c>
      <c r="M6077" s="22">
        <v>227.204</v>
      </c>
      <c r="N6077" s="22">
        <v>282.85</v>
      </c>
      <c r="O6077" s="24">
        <v>37.3</v>
      </c>
      <c r="P6077" s="18">
        <f t="shared" si="1"/>
        <v>212.949</v>
      </c>
    </row>
    <row r="6078" ht="15.75" customHeight="1">
      <c r="A6078" s="13" t="s">
        <v>265</v>
      </c>
      <c r="B6078" s="13" t="s">
        <v>22</v>
      </c>
      <c r="C6078" s="14" t="s">
        <v>51</v>
      </c>
      <c r="D6078" s="14" t="str">
        <f>VLOOKUP(C6078,'State Key'!$A$2:$B$210,2,False)</f>
        <v>West Bengal</v>
      </c>
      <c r="E6078" s="15">
        <v>1200.0</v>
      </c>
      <c r="F6078" s="16">
        <v>306.775</v>
      </c>
      <c r="G6078" s="16">
        <v>0.0</v>
      </c>
      <c r="H6078" s="16">
        <v>33.048</v>
      </c>
      <c r="I6078" s="16">
        <v>0.0</v>
      </c>
      <c r="J6078" s="16">
        <v>0.0</v>
      </c>
      <c r="K6078" s="16">
        <v>37.251</v>
      </c>
      <c r="L6078" s="16">
        <v>377.074</v>
      </c>
      <c r="M6078" s="16">
        <v>399.1</v>
      </c>
      <c r="N6078" s="16">
        <v>264.28</v>
      </c>
      <c r="O6078" s="24">
        <v>19.9</v>
      </c>
      <c r="P6078" s="18">
        <f t="shared" si="1"/>
        <v>377.074</v>
      </c>
    </row>
    <row r="6079" ht="15.75" customHeight="1">
      <c r="A6079" s="19" t="s">
        <v>265</v>
      </c>
      <c r="B6079" s="19" t="s">
        <v>22</v>
      </c>
      <c r="C6079" s="20" t="s">
        <v>52</v>
      </c>
      <c r="D6079" s="14" t="str">
        <f>VLOOKUP(C6079,'State Key'!$A$2:$B$210,2,False)</f>
        <v>West Bengal</v>
      </c>
      <c r="E6079" s="21">
        <v>1600.0</v>
      </c>
      <c r="F6079" s="22">
        <v>0.0</v>
      </c>
      <c r="G6079" s="22">
        <v>0.0</v>
      </c>
      <c r="H6079" s="22">
        <v>669.773</v>
      </c>
      <c r="I6079" s="22">
        <v>0.0</v>
      </c>
      <c r="J6079" s="22">
        <v>0.0</v>
      </c>
      <c r="K6079" s="22">
        <v>0.0</v>
      </c>
      <c r="L6079" s="22">
        <v>669.773</v>
      </c>
      <c r="M6079" s="22">
        <v>534.636</v>
      </c>
      <c r="N6079" s="22">
        <v>745.03</v>
      </c>
      <c r="O6079" s="24">
        <v>41.8</v>
      </c>
      <c r="P6079" s="18">
        <f t="shared" si="1"/>
        <v>669.773</v>
      </c>
    </row>
    <row r="6080" ht="15.75" customHeight="1">
      <c r="A6080" s="13" t="s">
        <v>265</v>
      </c>
      <c r="B6080" s="13" t="s">
        <v>22</v>
      </c>
      <c r="C6080" s="14" t="s">
        <v>53</v>
      </c>
      <c r="D6080" s="14" t="str">
        <f>VLOOKUP(C6080,'State Key'!$A$2:$B$210,2,False)</f>
        <v>West Bengal</v>
      </c>
      <c r="E6080" s="15">
        <v>500.0</v>
      </c>
      <c r="F6080" s="16">
        <v>0.0</v>
      </c>
      <c r="G6080" s="16">
        <v>0.0</v>
      </c>
      <c r="H6080" s="16">
        <v>203.53</v>
      </c>
      <c r="I6080" s="16">
        <v>0.0</v>
      </c>
      <c r="J6080" s="16">
        <v>0.0</v>
      </c>
      <c r="K6080" s="16">
        <v>0.0</v>
      </c>
      <c r="L6080" s="16">
        <v>203.53</v>
      </c>
      <c r="M6080" s="16">
        <v>142.142</v>
      </c>
      <c r="N6080" s="16">
        <v>104.12</v>
      </c>
      <c r="O6080" s="24">
        <v>22.0</v>
      </c>
      <c r="P6080" s="18">
        <f t="shared" si="1"/>
        <v>203.53</v>
      </c>
    </row>
    <row r="6081" ht="15.75" customHeight="1">
      <c r="A6081" s="19" t="s">
        <v>265</v>
      </c>
      <c r="B6081" s="19" t="s">
        <v>22</v>
      </c>
      <c r="C6081" s="20" t="s">
        <v>54</v>
      </c>
      <c r="D6081" s="14" t="str">
        <f>VLOOKUP(C6081,'State Key'!$A$2:$B$210,2,False)</f>
        <v>West Bengal</v>
      </c>
      <c r="E6081" s="21">
        <v>135.0</v>
      </c>
      <c r="F6081" s="22">
        <v>22.622</v>
      </c>
      <c r="G6081" s="22">
        <v>0.0</v>
      </c>
      <c r="H6081" s="22">
        <v>0.0</v>
      </c>
      <c r="I6081" s="22">
        <v>0.0</v>
      </c>
      <c r="J6081" s="22">
        <v>0.0</v>
      </c>
      <c r="K6081" s="22">
        <v>0.0</v>
      </c>
      <c r="L6081" s="22">
        <v>22.622</v>
      </c>
      <c r="M6081" s="22">
        <v>31.942</v>
      </c>
      <c r="N6081" s="22">
        <v>26.11</v>
      </c>
      <c r="O6081" s="24">
        <v>24.5</v>
      </c>
      <c r="P6081" s="18">
        <f t="shared" si="1"/>
        <v>22.622</v>
      </c>
    </row>
    <row r="6082" ht="15.75" customHeight="1">
      <c r="A6082" s="13" t="s">
        <v>265</v>
      </c>
      <c r="B6082" s="13" t="s">
        <v>22</v>
      </c>
      <c r="C6082" s="14" t="s">
        <v>55</v>
      </c>
      <c r="D6082" s="14" t="str">
        <f>VLOOKUP(C6082,'State Key'!$A$2:$B$210,2,False)</f>
        <v>Odisha</v>
      </c>
      <c r="E6082" s="15">
        <v>3000.0</v>
      </c>
      <c r="F6082" s="16">
        <v>1213.68</v>
      </c>
      <c r="G6082" s="16">
        <v>0.0</v>
      </c>
      <c r="H6082" s="16">
        <v>81.63</v>
      </c>
      <c r="I6082" s="16">
        <v>0.0</v>
      </c>
      <c r="J6082" s="16">
        <v>0.0</v>
      </c>
      <c r="K6082" s="16">
        <v>0.0</v>
      </c>
      <c r="L6082" s="16">
        <v>1295.31</v>
      </c>
      <c r="M6082" s="16">
        <v>1098.083</v>
      </c>
      <c r="N6082" s="16">
        <v>696.04</v>
      </c>
      <c r="O6082" s="24">
        <v>19.0</v>
      </c>
      <c r="P6082" s="18">
        <f t="shared" si="1"/>
        <v>1295.31</v>
      </c>
    </row>
    <row r="6083" ht="15.75" customHeight="1">
      <c r="A6083" s="19" t="s">
        <v>265</v>
      </c>
      <c r="B6083" s="19" t="s">
        <v>22</v>
      </c>
      <c r="C6083" s="20" t="s">
        <v>56</v>
      </c>
      <c r="D6083" s="14" t="str">
        <f>VLOOKUP(C6083,'State Key'!$A$2:$B$210,2,False)</f>
        <v>Jharkhand</v>
      </c>
      <c r="E6083" s="21">
        <v>420.0</v>
      </c>
      <c r="F6083" s="22">
        <v>230.32</v>
      </c>
      <c r="G6083" s="22">
        <v>0.0</v>
      </c>
      <c r="H6083" s="22">
        <v>0.0</v>
      </c>
      <c r="I6083" s="22">
        <v>0.0</v>
      </c>
      <c r="J6083" s="22">
        <v>0.0</v>
      </c>
      <c r="K6083" s="22">
        <v>0.0</v>
      </c>
      <c r="L6083" s="22">
        <v>230.32</v>
      </c>
      <c r="M6083" s="22">
        <v>143.815</v>
      </c>
      <c r="N6083" s="22">
        <v>381.15</v>
      </c>
      <c r="O6083" s="24">
        <v>79.5</v>
      </c>
      <c r="P6083" s="18">
        <f t="shared" si="1"/>
        <v>230.32</v>
      </c>
    </row>
    <row r="6084" ht="15.75" customHeight="1">
      <c r="A6084" s="13" t="s">
        <v>265</v>
      </c>
      <c r="B6084" s="13" t="s">
        <v>22</v>
      </c>
      <c r="C6084" s="14" t="s">
        <v>60</v>
      </c>
      <c r="D6084" s="14" t="str">
        <f>VLOOKUP(C6084,'State Key'!$A$2:$B$210,2,False)</f>
        <v>Odisha</v>
      </c>
      <c r="E6084" s="15">
        <v>600.0</v>
      </c>
      <c r="F6084" s="16">
        <v>285.34</v>
      </c>
      <c r="G6084" s="16">
        <v>0.0</v>
      </c>
      <c r="H6084" s="16">
        <v>0.0</v>
      </c>
      <c r="I6084" s="16">
        <v>0.0</v>
      </c>
      <c r="J6084" s="16">
        <v>0.0</v>
      </c>
      <c r="K6084" s="16">
        <v>0.0</v>
      </c>
      <c r="L6084" s="16">
        <v>285.34</v>
      </c>
      <c r="M6084" s="16">
        <v>264.97</v>
      </c>
      <c r="N6084" s="16">
        <v>102.96</v>
      </c>
      <c r="O6084" s="23">
        <v>11.7</v>
      </c>
      <c r="P6084" s="18">
        <f t="shared" si="1"/>
        <v>285.34</v>
      </c>
    </row>
    <row r="6085" ht="15.75" customHeight="1">
      <c r="A6085" s="19" t="s">
        <v>265</v>
      </c>
      <c r="B6085" s="19" t="s">
        <v>61</v>
      </c>
      <c r="C6085" s="20" t="s">
        <v>209</v>
      </c>
      <c r="D6085" s="14" t="str">
        <f>VLOOKUP(C6085,'State Key'!$A$2:$B$210,2,False)</f>
        <v>Rajasthan</v>
      </c>
      <c r="E6085" s="21">
        <v>1320.0</v>
      </c>
      <c r="F6085" s="22">
        <v>368.426</v>
      </c>
      <c r="G6085" s="22">
        <v>0.0</v>
      </c>
      <c r="H6085" s="22">
        <v>0.0</v>
      </c>
      <c r="I6085" s="22">
        <v>0.0</v>
      </c>
      <c r="J6085" s="22">
        <v>3.905</v>
      </c>
      <c r="K6085" s="22">
        <v>0.0</v>
      </c>
      <c r="L6085" s="22">
        <v>372.331</v>
      </c>
      <c r="M6085" s="22">
        <v>454.544</v>
      </c>
      <c r="N6085" s="22">
        <v>246.23</v>
      </c>
      <c r="O6085" s="24">
        <v>16.3</v>
      </c>
      <c r="P6085" s="18">
        <f t="shared" si="1"/>
        <v>372.331</v>
      </c>
    </row>
    <row r="6086" ht="15.75" customHeight="1">
      <c r="A6086" s="13" t="s">
        <v>265</v>
      </c>
      <c r="B6086" s="13" t="s">
        <v>61</v>
      </c>
      <c r="C6086" s="14" t="s">
        <v>62</v>
      </c>
      <c r="D6086" s="14" t="str">
        <f>VLOOKUP(C6086,'State Key'!$A$2:$B$210,2,False)</f>
        <v>Uttar Pradesh</v>
      </c>
      <c r="E6086" s="15">
        <v>1200.0</v>
      </c>
      <c r="F6086" s="16">
        <v>389.33</v>
      </c>
      <c r="G6086" s="16">
        <v>0.0</v>
      </c>
      <c r="H6086" s="16">
        <v>0.0</v>
      </c>
      <c r="I6086" s="16">
        <v>0.0</v>
      </c>
      <c r="J6086" s="16">
        <v>0.0</v>
      </c>
      <c r="K6086" s="16">
        <v>0.0</v>
      </c>
      <c r="L6086" s="16">
        <v>389.33</v>
      </c>
      <c r="M6086" s="16">
        <v>457.6</v>
      </c>
      <c r="N6086" s="16">
        <v>56.53</v>
      </c>
      <c r="O6086" s="17">
        <v>3.7</v>
      </c>
      <c r="P6086" s="18">
        <f t="shared" si="1"/>
        <v>389.33</v>
      </c>
    </row>
    <row r="6087" ht="15.75" customHeight="1">
      <c r="A6087" s="19" t="s">
        <v>265</v>
      </c>
      <c r="B6087" s="19" t="s">
        <v>61</v>
      </c>
      <c r="C6087" s="20" t="s">
        <v>63</v>
      </c>
      <c r="D6087" s="14" t="str">
        <f>VLOOKUP(C6087,'State Key'!$A$2:$B$210,2,False)</f>
        <v>Uttar Pradesh</v>
      </c>
      <c r="E6087" s="21">
        <v>2630.0</v>
      </c>
      <c r="F6087" s="22">
        <v>1128.478</v>
      </c>
      <c r="G6087" s="22">
        <v>0.0</v>
      </c>
      <c r="H6087" s="22">
        <v>0.0</v>
      </c>
      <c r="I6087" s="22">
        <v>0.0</v>
      </c>
      <c r="J6087" s="22">
        <v>0.0</v>
      </c>
      <c r="K6087" s="22">
        <v>0.0</v>
      </c>
      <c r="L6087" s="22">
        <v>1128.478</v>
      </c>
      <c r="M6087" s="22">
        <v>1083.011</v>
      </c>
      <c r="N6087" s="22">
        <v>865.24</v>
      </c>
      <c r="O6087" s="24">
        <v>24.0</v>
      </c>
      <c r="P6087" s="18">
        <f t="shared" si="1"/>
        <v>1128.478</v>
      </c>
    </row>
    <row r="6088" ht="15.75" customHeight="1">
      <c r="A6088" s="13" t="s">
        <v>265</v>
      </c>
      <c r="B6088" s="13" t="s">
        <v>61</v>
      </c>
      <c r="C6088" s="14" t="s">
        <v>64</v>
      </c>
      <c r="D6088" s="14" t="str">
        <f>VLOOKUP(C6088,'State Key'!$A$2:$B$210,2,False)</f>
        <v>Uttar Pradesh</v>
      </c>
      <c r="E6088" s="15">
        <v>90.0</v>
      </c>
      <c r="F6088" s="16">
        <v>27.619</v>
      </c>
      <c r="G6088" s="16">
        <v>0.0</v>
      </c>
      <c r="H6088" s="16">
        <v>0.0</v>
      </c>
      <c r="I6088" s="16">
        <v>0.0</v>
      </c>
      <c r="J6088" s="16">
        <v>0.0</v>
      </c>
      <c r="K6088" s="16">
        <v>0.0</v>
      </c>
      <c r="L6088" s="16">
        <v>27.619</v>
      </c>
      <c r="M6088" s="16">
        <v>26.909</v>
      </c>
      <c r="N6088" s="16">
        <v>46.27</v>
      </c>
      <c r="O6088" s="24">
        <v>51.6</v>
      </c>
      <c r="P6088" s="18">
        <f t="shared" si="1"/>
        <v>27.619</v>
      </c>
    </row>
    <row r="6089" ht="15.75" customHeight="1">
      <c r="A6089" s="19" t="s">
        <v>265</v>
      </c>
      <c r="B6089" s="19" t="s">
        <v>61</v>
      </c>
      <c r="C6089" s="20" t="s">
        <v>65</v>
      </c>
      <c r="D6089" s="14" t="str">
        <f>VLOOKUP(C6089,'State Key'!$A$2:$B$210,2,False)</f>
        <v>Rajasthan</v>
      </c>
      <c r="E6089" s="21">
        <v>500.0</v>
      </c>
      <c r="F6089" s="22">
        <v>122.0427</v>
      </c>
      <c r="G6089" s="22">
        <v>0.0</v>
      </c>
      <c r="H6089" s="22">
        <v>0.0</v>
      </c>
      <c r="I6089" s="22">
        <v>0.0</v>
      </c>
      <c r="J6089" s="22">
        <v>0.0</v>
      </c>
      <c r="K6089" s="22">
        <v>0.0</v>
      </c>
      <c r="L6089" s="22">
        <v>122.0427</v>
      </c>
      <c r="M6089" s="22">
        <v>194.6914</v>
      </c>
      <c r="N6089" s="22">
        <v>135.0604</v>
      </c>
      <c r="O6089" s="24">
        <v>20.8</v>
      </c>
      <c r="P6089" s="18">
        <f t="shared" si="1"/>
        <v>122.0427</v>
      </c>
    </row>
    <row r="6090" ht="15.75" customHeight="1">
      <c r="A6090" s="13" t="s">
        <v>265</v>
      </c>
      <c r="B6090" s="13" t="s">
        <v>61</v>
      </c>
      <c r="C6090" s="14" t="s">
        <v>66</v>
      </c>
      <c r="D6090" s="14" t="str">
        <f>VLOOKUP(C6090,'State Key'!$A$2:$B$210,2,False)</f>
        <v>Rajasthan</v>
      </c>
      <c r="E6090" s="15">
        <v>500.0</v>
      </c>
      <c r="F6090" s="16">
        <v>0.0</v>
      </c>
      <c r="G6090" s="16">
        <v>0.0</v>
      </c>
      <c r="H6090" s="16">
        <v>271.5991</v>
      </c>
      <c r="I6090" s="16">
        <v>0.0</v>
      </c>
      <c r="J6090" s="16">
        <v>0.0</v>
      </c>
      <c r="K6090" s="16">
        <v>0.0</v>
      </c>
      <c r="L6090" s="16">
        <v>271.5991</v>
      </c>
      <c r="M6090" s="16">
        <v>193.6483</v>
      </c>
      <c r="N6090" s="16">
        <v>123.8386</v>
      </c>
      <c r="O6090" s="24">
        <v>19.2</v>
      </c>
      <c r="P6090" s="18">
        <f t="shared" si="1"/>
        <v>271.5991</v>
      </c>
    </row>
    <row r="6091" ht="15.75" customHeight="1">
      <c r="A6091" s="19" t="s">
        <v>265</v>
      </c>
      <c r="B6091" s="19" t="s">
        <v>61</v>
      </c>
      <c r="C6091" s="20" t="s">
        <v>67</v>
      </c>
      <c r="D6091" s="14" t="str">
        <f>VLOOKUP(C6091,'State Key'!$A$2:$B$210,2,False)</f>
        <v>Rajasthan</v>
      </c>
      <c r="E6091" s="21">
        <v>1320.0</v>
      </c>
      <c r="F6091" s="22">
        <v>23.27702</v>
      </c>
      <c r="G6091" s="22">
        <v>0.0</v>
      </c>
      <c r="H6091" s="22">
        <v>168.66128</v>
      </c>
      <c r="I6091" s="22">
        <v>0.0</v>
      </c>
      <c r="J6091" s="22">
        <v>0.0</v>
      </c>
      <c r="K6091" s="22">
        <v>0.0</v>
      </c>
      <c r="L6091" s="22">
        <v>191.9383</v>
      </c>
      <c r="M6091" s="22">
        <v>204.9954</v>
      </c>
      <c r="N6091" s="22">
        <v>431.09</v>
      </c>
      <c r="O6091" s="24">
        <v>63.1</v>
      </c>
      <c r="P6091" s="18">
        <f t="shared" si="1"/>
        <v>191.9383</v>
      </c>
    </row>
    <row r="6092" ht="15.75" customHeight="1">
      <c r="A6092" s="13" t="s">
        <v>265</v>
      </c>
      <c r="B6092" s="13" t="s">
        <v>61</v>
      </c>
      <c r="C6092" s="14" t="s">
        <v>68</v>
      </c>
      <c r="D6092" s="14" t="str">
        <f>VLOOKUP(C6092,'State Key'!$A$2:$B$210,2,False)</f>
        <v>Uttar Pradesh</v>
      </c>
      <c r="E6092" s="15">
        <v>1820.0</v>
      </c>
      <c r="F6092" s="16">
        <v>439.12</v>
      </c>
      <c r="G6092" s="16">
        <v>0.0</v>
      </c>
      <c r="H6092" s="16">
        <v>153.77</v>
      </c>
      <c r="I6092" s="16">
        <v>0.0</v>
      </c>
      <c r="J6092" s="16">
        <v>0.0</v>
      </c>
      <c r="K6092" s="16">
        <v>23.32</v>
      </c>
      <c r="L6092" s="16">
        <v>616.21</v>
      </c>
      <c r="M6092" s="16">
        <v>573.371</v>
      </c>
      <c r="N6092" s="16">
        <v>296.05</v>
      </c>
      <c r="O6092" s="24">
        <v>15.5</v>
      </c>
      <c r="P6092" s="18">
        <f t="shared" si="1"/>
        <v>616.21</v>
      </c>
    </row>
    <row r="6093" ht="15.75" customHeight="1">
      <c r="A6093" s="19" t="s">
        <v>265</v>
      </c>
      <c r="B6093" s="19" t="s">
        <v>61</v>
      </c>
      <c r="C6093" s="20" t="s">
        <v>69</v>
      </c>
      <c r="D6093" s="14" t="str">
        <f>VLOOKUP(C6093,'State Key'!$A$2:$B$210,2,False)</f>
        <v>Punjab</v>
      </c>
      <c r="E6093" s="21">
        <v>920.0</v>
      </c>
      <c r="F6093" s="22">
        <v>90.289</v>
      </c>
      <c r="G6093" s="22">
        <v>0.0</v>
      </c>
      <c r="H6093" s="22">
        <v>233.024</v>
      </c>
      <c r="I6093" s="22">
        <v>0.0</v>
      </c>
      <c r="J6093" s="22">
        <v>0.0</v>
      </c>
      <c r="K6093" s="22">
        <v>0.295</v>
      </c>
      <c r="L6093" s="22">
        <v>323.608</v>
      </c>
      <c r="M6093" s="22">
        <v>289.974</v>
      </c>
      <c r="N6093" s="22">
        <v>361.67</v>
      </c>
      <c r="O6093" s="24">
        <v>37.4</v>
      </c>
      <c r="P6093" s="18">
        <f t="shared" si="1"/>
        <v>323.608</v>
      </c>
    </row>
    <row r="6094" ht="15.75" customHeight="1">
      <c r="A6094" s="13" t="s">
        <v>265</v>
      </c>
      <c r="B6094" s="13" t="s">
        <v>61</v>
      </c>
      <c r="C6094" s="14" t="s">
        <v>242</v>
      </c>
      <c r="D6094" s="14" t="str">
        <f>VLOOKUP(C6094,'State Key'!$A$2:$B$210,2,False)</f>
        <v>Uttar Pradesh</v>
      </c>
      <c r="E6094" s="15">
        <v>1320.0</v>
      </c>
      <c r="F6094" s="16">
        <v>308.674</v>
      </c>
      <c r="G6094" s="16">
        <v>0.0</v>
      </c>
      <c r="H6094" s="16">
        <v>0.0</v>
      </c>
      <c r="I6094" s="16">
        <v>4.001</v>
      </c>
      <c r="J6094" s="16">
        <v>0.0</v>
      </c>
      <c r="K6094" s="16">
        <v>0.0</v>
      </c>
      <c r="L6094" s="16">
        <v>312.675</v>
      </c>
      <c r="M6094" s="16">
        <v>343.116</v>
      </c>
      <c r="N6094" s="16">
        <v>181.08</v>
      </c>
      <c r="O6094" s="24">
        <v>15.8</v>
      </c>
      <c r="P6094" s="18">
        <f t="shared" si="1"/>
        <v>312.675</v>
      </c>
    </row>
    <row r="6095" ht="15.75" customHeight="1">
      <c r="A6095" s="19" t="s">
        <v>265</v>
      </c>
      <c r="B6095" s="19" t="s">
        <v>61</v>
      </c>
      <c r="C6095" s="20" t="s">
        <v>70</v>
      </c>
      <c r="D6095" s="14" t="str">
        <f>VLOOKUP(C6095,'State Key'!$A$2:$B$210,2,False)</f>
        <v>Punjab</v>
      </c>
      <c r="E6095" s="21">
        <v>540.0</v>
      </c>
      <c r="F6095" s="22">
        <v>0.0</v>
      </c>
      <c r="G6095" s="22">
        <v>0.0</v>
      </c>
      <c r="H6095" s="22">
        <v>113.347</v>
      </c>
      <c r="I6095" s="22">
        <v>0.0</v>
      </c>
      <c r="J6095" s="22">
        <v>0.0</v>
      </c>
      <c r="K6095" s="22">
        <v>0.0</v>
      </c>
      <c r="L6095" s="22">
        <v>113.347</v>
      </c>
      <c r="M6095" s="22">
        <v>91.562</v>
      </c>
      <c r="N6095" s="22">
        <v>157.41</v>
      </c>
      <c r="O6095" s="24">
        <v>51.6</v>
      </c>
      <c r="P6095" s="18">
        <f t="shared" si="1"/>
        <v>113.347</v>
      </c>
    </row>
    <row r="6096" ht="15.75" customHeight="1">
      <c r="A6096" s="13" t="s">
        <v>265</v>
      </c>
      <c r="B6096" s="13" t="s">
        <v>61</v>
      </c>
      <c r="C6096" s="14" t="s">
        <v>71</v>
      </c>
      <c r="D6096" s="14" t="str">
        <f>VLOOKUP(C6096,'State Key'!$A$2:$B$210,2,False)</f>
        <v>Uttar Pradesh</v>
      </c>
      <c r="E6096" s="15">
        <v>1265.0</v>
      </c>
      <c r="F6096" s="16">
        <v>238.952</v>
      </c>
      <c r="G6096" s="16">
        <v>0.0</v>
      </c>
      <c r="H6096" s="16">
        <v>0.0</v>
      </c>
      <c r="I6096" s="16">
        <v>0.0</v>
      </c>
      <c r="J6096" s="16">
        <v>0.0</v>
      </c>
      <c r="K6096" s="16">
        <v>0.0</v>
      </c>
      <c r="L6096" s="16">
        <v>238.952</v>
      </c>
      <c r="M6096" s="16">
        <v>214.708</v>
      </c>
      <c r="N6096" s="16">
        <v>483.95</v>
      </c>
      <c r="O6096" s="24">
        <v>67.6</v>
      </c>
      <c r="P6096" s="18">
        <f t="shared" si="1"/>
        <v>238.952</v>
      </c>
    </row>
    <row r="6097" ht="15.75" customHeight="1">
      <c r="A6097" s="19" t="s">
        <v>265</v>
      </c>
      <c r="B6097" s="19" t="s">
        <v>61</v>
      </c>
      <c r="C6097" s="20" t="s">
        <v>72</v>
      </c>
      <c r="D6097" s="14" t="str">
        <f>VLOOKUP(C6097,'State Key'!$A$2:$B$210,2,False)</f>
        <v>Haryana</v>
      </c>
      <c r="E6097" s="21">
        <v>1500.0</v>
      </c>
      <c r="F6097" s="22">
        <v>367.616</v>
      </c>
      <c r="G6097" s="22">
        <v>0.0</v>
      </c>
      <c r="H6097" s="22">
        <v>0.0</v>
      </c>
      <c r="I6097" s="22">
        <v>0.0</v>
      </c>
      <c r="J6097" s="22">
        <v>0.0</v>
      </c>
      <c r="K6097" s="22">
        <v>0.137</v>
      </c>
      <c r="L6097" s="22">
        <v>367.753</v>
      </c>
      <c r="M6097" s="22">
        <v>479.879</v>
      </c>
      <c r="N6097" s="22">
        <v>367.3</v>
      </c>
      <c r="O6097" s="24">
        <v>23.0</v>
      </c>
      <c r="P6097" s="18">
        <f t="shared" si="1"/>
        <v>367.753</v>
      </c>
    </row>
    <row r="6098" ht="15.75" customHeight="1">
      <c r="A6098" s="13" t="s">
        <v>265</v>
      </c>
      <c r="B6098" s="13" t="s">
        <v>61</v>
      </c>
      <c r="C6098" s="14" t="s">
        <v>226</v>
      </c>
      <c r="D6098" s="14" t="str">
        <f>VLOOKUP(C6098,'State Key'!$A$2:$B$210,2,False)</f>
        <v>Uttar Pradesh</v>
      </c>
      <c r="E6098" s="15">
        <v>1320.0</v>
      </c>
      <c r="F6098" s="16">
        <v>19.742</v>
      </c>
      <c r="G6098" s="16">
        <v>0.0</v>
      </c>
      <c r="H6098" s="16">
        <v>0.0</v>
      </c>
      <c r="I6098" s="16">
        <v>0.0</v>
      </c>
      <c r="J6098" s="16">
        <v>0.0</v>
      </c>
      <c r="K6098" s="16">
        <v>0.0</v>
      </c>
      <c r="L6098" s="16">
        <v>19.742</v>
      </c>
      <c r="M6098" s="16">
        <v>44.31</v>
      </c>
      <c r="N6098" s="16">
        <v>462.98</v>
      </c>
      <c r="O6098" s="24">
        <v>313.5</v>
      </c>
      <c r="P6098" s="18">
        <f t="shared" si="1"/>
        <v>19.742</v>
      </c>
    </row>
    <row r="6099" ht="15.75" customHeight="1">
      <c r="A6099" s="19" t="s">
        <v>265</v>
      </c>
      <c r="B6099" s="19" t="s">
        <v>61</v>
      </c>
      <c r="C6099" s="20" t="s">
        <v>73</v>
      </c>
      <c r="D6099" s="14" t="str">
        <f>VLOOKUP(C6099,'State Key'!$A$2:$B$210,2,False)</f>
        <v>Rajasthan</v>
      </c>
      <c r="E6099" s="21">
        <v>1200.0</v>
      </c>
      <c r="F6099" s="22">
        <v>8.105</v>
      </c>
      <c r="G6099" s="22">
        <v>0.0</v>
      </c>
      <c r="H6099" s="22">
        <v>395.946</v>
      </c>
      <c r="I6099" s="22">
        <v>0.0</v>
      </c>
      <c r="J6099" s="22">
        <v>0.0</v>
      </c>
      <c r="K6099" s="22">
        <v>0.0</v>
      </c>
      <c r="L6099" s="22">
        <v>404.051</v>
      </c>
      <c r="M6099" s="22">
        <v>397.767</v>
      </c>
      <c r="N6099" s="22">
        <v>267.79</v>
      </c>
      <c r="O6099" s="24">
        <v>20.2</v>
      </c>
      <c r="P6099" s="18">
        <f t="shared" si="1"/>
        <v>404.051</v>
      </c>
    </row>
    <row r="6100" ht="15.75" customHeight="1">
      <c r="A6100" s="13" t="s">
        <v>265</v>
      </c>
      <c r="B6100" s="13" t="s">
        <v>61</v>
      </c>
      <c r="C6100" s="14" t="s">
        <v>75</v>
      </c>
      <c r="D6100" s="14" t="str">
        <f>VLOOKUP(C6100,'State Key'!$A$2:$B$210,2,False)</f>
        <v>Uttar Pradesh</v>
      </c>
      <c r="E6100" s="15">
        <v>90.0</v>
      </c>
      <c r="F6100" s="16">
        <v>31.24</v>
      </c>
      <c r="G6100" s="16">
        <v>0.0</v>
      </c>
      <c r="H6100" s="16">
        <v>0.0</v>
      </c>
      <c r="I6100" s="16">
        <v>0.0</v>
      </c>
      <c r="J6100" s="16">
        <v>0.0</v>
      </c>
      <c r="K6100" s="16">
        <v>0.0</v>
      </c>
      <c r="L6100" s="16">
        <v>31.24</v>
      </c>
      <c r="M6100" s="16">
        <v>26.99</v>
      </c>
      <c r="N6100" s="16">
        <v>59.03</v>
      </c>
      <c r="O6100" s="24">
        <v>65.6</v>
      </c>
      <c r="P6100" s="18">
        <f t="shared" si="1"/>
        <v>31.24</v>
      </c>
    </row>
    <row r="6101" ht="15.75" customHeight="1">
      <c r="A6101" s="19" t="s">
        <v>265</v>
      </c>
      <c r="B6101" s="19" t="s">
        <v>61</v>
      </c>
      <c r="C6101" s="20" t="s">
        <v>246</v>
      </c>
      <c r="D6101" s="14" t="str">
        <f>VLOOKUP(C6101,'State Key'!$A$2:$B$210,2,False)</f>
        <v>Uttar Pradesh</v>
      </c>
      <c r="E6101" s="21">
        <v>1320.0</v>
      </c>
      <c r="F6101" s="22">
        <v>0.0</v>
      </c>
      <c r="G6101" s="22">
        <v>0.0</v>
      </c>
      <c r="H6101" s="22">
        <v>391.023</v>
      </c>
      <c r="I6101" s="22">
        <v>0.0</v>
      </c>
      <c r="J6101" s="22">
        <v>0.0</v>
      </c>
      <c r="K6101" s="22">
        <v>0.0</v>
      </c>
      <c r="L6101" s="22">
        <v>391.023</v>
      </c>
      <c r="M6101" s="22">
        <v>368.207</v>
      </c>
      <c r="N6101" s="22">
        <v>301.51</v>
      </c>
      <c r="O6101" s="24">
        <v>24.6</v>
      </c>
      <c r="P6101" s="18">
        <f t="shared" si="1"/>
        <v>391.023</v>
      </c>
    </row>
    <row r="6102" ht="15.75" customHeight="1">
      <c r="A6102" s="13" t="s">
        <v>265</v>
      </c>
      <c r="B6102" s="13" t="s">
        <v>61</v>
      </c>
      <c r="C6102" s="14" t="s">
        <v>76</v>
      </c>
      <c r="D6102" s="14" t="str">
        <f>VLOOKUP(C6102,'State Key'!$A$2:$B$210,2,False)</f>
        <v>Rajasthan</v>
      </c>
      <c r="E6102" s="15">
        <v>1240.0</v>
      </c>
      <c r="F6102" s="16">
        <v>389.002</v>
      </c>
      <c r="G6102" s="16">
        <v>0.0</v>
      </c>
      <c r="H6102" s="16">
        <v>0.0</v>
      </c>
      <c r="I6102" s="16">
        <v>0.0</v>
      </c>
      <c r="J6102" s="16">
        <v>0.0</v>
      </c>
      <c r="K6102" s="16">
        <v>36.905</v>
      </c>
      <c r="L6102" s="16">
        <v>425.907</v>
      </c>
      <c r="M6102" s="16">
        <v>531.175</v>
      </c>
      <c r="N6102" s="16">
        <v>296.89</v>
      </c>
      <c r="O6102" s="24">
        <v>16.8</v>
      </c>
      <c r="P6102" s="18">
        <f t="shared" si="1"/>
        <v>425.907</v>
      </c>
    </row>
    <row r="6103" ht="15.75" customHeight="1">
      <c r="A6103" s="19" t="s">
        <v>265</v>
      </c>
      <c r="B6103" s="19" t="s">
        <v>61</v>
      </c>
      <c r="C6103" s="20" t="s">
        <v>77</v>
      </c>
      <c r="D6103" s="14" t="str">
        <f>VLOOKUP(C6103,'State Key'!$A$2:$B$210,2,False)</f>
        <v>Uttar Pradesh</v>
      </c>
      <c r="E6103" s="21">
        <v>90.0</v>
      </c>
      <c r="F6103" s="22">
        <v>32.07</v>
      </c>
      <c r="G6103" s="22">
        <v>0.0</v>
      </c>
      <c r="H6103" s="22">
        <v>0.0</v>
      </c>
      <c r="I6103" s="22">
        <v>0.0</v>
      </c>
      <c r="J6103" s="22">
        <v>0.0</v>
      </c>
      <c r="K6103" s="22">
        <v>0.0</v>
      </c>
      <c r="L6103" s="22">
        <v>32.07</v>
      </c>
      <c r="M6103" s="22">
        <v>24.76</v>
      </c>
      <c r="N6103" s="22">
        <v>53.85</v>
      </c>
      <c r="O6103" s="24">
        <v>65.2</v>
      </c>
      <c r="P6103" s="18">
        <f t="shared" si="1"/>
        <v>32.07</v>
      </c>
    </row>
    <row r="6104" ht="15.75" customHeight="1">
      <c r="A6104" s="13" t="s">
        <v>265</v>
      </c>
      <c r="B6104" s="13" t="s">
        <v>61</v>
      </c>
      <c r="C6104" s="14" t="s">
        <v>78</v>
      </c>
      <c r="D6104" s="14" t="str">
        <f>VLOOKUP(C6104,'State Key'!$A$2:$B$210,2,False)</f>
        <v>Uttar Pradesh</v>
      </c>
      <c r="E6104" s="15">
        <v>1980.0</v>
      </c>
      <c r="F6104" s="16">
        <v>605.522</v>
      </c>
      <c r="G6104" s="16">
        <v>0.0</v>
      </c>
      <c r="H6104" s="16">
        <v>0.0</v>
      </c>
      <c r="I6104" s="16">
        <v>0.0</v>
      </c>
      <c r="J6104" s="16">
        <v>0.0</v>
      </c>
      <c r="K6104" s="16">
        <v>0.0</v>
      </c>
      <c r="L6104" s="16">
        <v>605.522</v>
      </c>
      <c r="M6104" s="16">
        <v>555.766</v>
      </c>
      <c r="N6104" s="16">
        <v>566.77</v>
      </c>
      <c r="O6104" s="24">
        <v>30.6</v>
      </c>
      <c r="P6104" s="18">
        <f t="shared" si="1"/>
        <v>605.522</v>
      </c>
    </row>
    <row r="6105" ht="15.75" customHeight="1">
      <c r="A6105" s="19" t="s">
        <v>265</v>
      </c>
      <c r="B6105" s="19" t="s">
        <v>61</v>
      </c>
      <c r="C6105" s="20" t="s">
        <v>79</v>
      </c>
      <c r="D6105" s="14" t="str">
        <f>VLOOKUP(C6105,'State Key'!$A$2:$B$210,2,False)</f>
        <v>Haryana</v>
      </c>
      <c r="E6105" s="21">
        <v>1320.0</v>
      </c>
      <c r="F6105" s="22">
        <v>378.463</v>
      </c>
      <c r="G6105" s="22">
        <v>0.0</v>
      </c>
      <c r="H6105" s="22">
        <v>0.0</v>
      </c>
      <c r="I6105" s="22">
        <v>0.0</v>
      </c>
      <c r="J6105" s="22">
        <v>0.0</v>
      </c>
      <c r="K6105" s="22">
        <v>0.0</v>
      </c>
      <c r="L6105" s="22">
        <v>378.463</v>
      </c>
      <c r="M6105" s="22">
        <v>399.678</v>
      </c>
      <c r="N6105" s="22">
        <v>352.79</v>
      </c>
      <c r="O6105" s="24">
        <v>26.5</v>
      </c>
      <c r="P6105" s="18">
        <f t="shared" si="1"/>
        <v>378.463</v>
      </c>
    </row>
    <row r="6106" ht="15.75" customHeight="1">
      <c r="A6106" s="13" t="s">
        <v>265</v>
      </c>
      <c r="B6106" s="13" t="s">
        <v>61</v>
      </c>
      <c r="C6106" s="14" t="s">
        <v>80</v>
      </c>
      <c r="D6106" s="14" t="str">
        <f>VLOOKUP(C6106,'State Key'!$A$2:$B$210,2,False)</f>
        <v>Uttar Pradesh</v>
      </c>
      <c r="E6106" s="15">
        <v>90.0</v>
      </c>
      <c r="F6106" s="16">
        <v>31.77</v>
      </c>
      <c r="G6106" s="16">
        <v>0.0</v>
      </c>
      <c r="H6106" s="16">
        <v>0.0</v>
      </c>
      <c r="I6106" s="16">
        <v>0.0</v>
      </c>
      <c r="J6106" s="16">
        <v>0.0</v>
      </c>
      <c r="K6106" s="16">
        <v>0.0</v>
      </c>
      <c r="L6106" s="16">
        <v>31.77</v>
      </c>
      <c r="M6106" s="16">
        <v>26.58</v>
      </c>
      <c r="N6106" s="16">
        <v>44.41</v>
      </c>
      <c r="O6106" s="24">
        <v>50.1</v>
      </c>
      <c r="P6106" s="18">
        <f t="shared" si="1"/>
        <v>31.77</v>
      </c>
    </row>
    <row r="6107" ht="15.75" customHeight="1">
      <c r="A6107" s="19" t="s">
        <v>265</v>
      </c>
      <c r="B6107" s="19" t="s">
        <v>61</v>
      </c>
      <c r="C6107" s="20" t="s">
        <v>81</v>
      </c>
      <c r="D6107" s="14" t="str">
        <f>VLOOKUP(C6107,'State Key'!$A$2:$B$210,2,False)</f>
        <v>Uttar Pradesh</v>
      </c>
      <c r="E6107" s="21">
        <v>1320.0</v>
      </c>
      <c r="F6107" s="22">
        <v>452.4057</v>
      </c>
      <c r="G6107" s="22">
        <v>0.0</v>
      </c>
      <c r="H6107" s="22">
        <v>22.5463</v>
      </c>
      <c r="I6107" s="22">
        <v>0.0</v>
      </c>
      <c r="J6107" s="22">
        <v>0.0</v>
      </c>
      <c r="K6107" s="22">
        <v>0.0</v>
      </c>
      <c r="L6107" s="22">
        <v>474.952</v>
      </c>
      <c r="M6107" s="22">
        <v>434.088</v>
      </c>
      <c r="N6107" s="22">
        <v>266.0</v>
      </c>
      <c r="O6107" s="24">
        <v>18.4</v>
      </c>
      <c r="P6107" s="18">
        <f t="shared" si="1"/>
        <v>474.952</v>
      </c>
    </row>
    <row r="6108" ht="15.75" customHeight="1">
      <c r="A6108" s="13" t="s">
        <v>265</v>
      </c>
      <c r="B6108" s="13" t="s">
        <v>61</v>
      </c>
      <c r="C6108" s="14" t="s">
        <v>82</v>
      </c>
      <c r="D6108" s="14" t="str">
        <f>VLOOKUP(C6108,'State Key'!$A$2:$B$210,2,False)</f>
        <v>Uttar Pradesh</v>
      </c>
      <c r="E6108" s="15">
        <v>2320.0</v>
      </c>
      <c r="F6108" s="16">
        <v>781.605</v>
      </c>
      <c r="G6108" s="16">
        <v>0.0</v>
      </c>
      <c r="H6108" s="16">
        <v>0.0</v>
      </c>
      <c r="I6108" s="16">
        <v>0.0</v>
      </c>
      <c r="J6108" s="16">
        <v>0.0</v>
      </c>
      <c r="K6108" s="16">
        <v>0.0</v>
      </c>
      <c r="L6108" s="16">
        <v>781.605</v>
      </c>
      <c r="M6108" s="16">
        <v>647.463</v>
      </c>
      <c r="N6108" s="16">
        <v>674.05</v>
      </c>
      <c r="O6108" s="24">
        <v>31.2</v>
      </c>
      <c r="P6108" s="18">
        <f t="shared" si="1"/>
        <v>781.605</v>
      </c>
    </row>
    <row r="6109" ht="15.75" customHeight="1">
      <c r="A6109" s="19" t="s">
        <v>265</v>
      </c>
      <c r="B6109" s="19" t="s">
        <v>61</v>
      </c>
      <c r="C6109" s="20" t="s">
        <v>83</v>
      </c>
      <c r="D6109" s="14" t="str">
        <f>VLOOKUP(C6109,'State Key'!$A$2:$B$210,2,False)</f>
        <v>Haryana</v>
      </c>
      <c r="E6109" s="21">
        <v>710.0</v>
      </c>
      <c r="F6109" s="22">
        <v>199.325</v>
      </c>
      <c r="G6109" s="22">
        <v>0.0</v>
      </c>
      <c r="H6109" s="22">
        <v>0.0</v>
      </c>
      <c r="I6109" s="22">
        <v>0.0</v>
      </c>
      <c r="J6109" s="22">
        <v>0.0</v>
      </c>
      <c r="K6109" s="22">
        <v>0.0</v>
      </c>
      <c r="L6109" s="22">
        <v>199.325</v>
      </c>
      <c r="M6109" s="22">
        <v>191.47</v>
      </c>
      <c r="N6109" s="22">
        <v>440.401</v>
      </c>
      <c r="O6109" s="24">
        <v>69.0</v>
      </c>
      <c r="P6109" s="18">
        <f t="shared" si="1"/>
        <v>199.325</v>
      </c>
    </row>
    <row r="6110" ht="15.75" customHeight="1">
      <c r="A6110" s="13" t="s">
        <v>265</v>
      </c>
      <c r="B6110" s="13" t="s">
        <v>61</v>
      </c>
      <c r="C6110" s="14" t="s">
        <v>248</v>
      </c>
      <c r="D6110" s="14" t="str">
        <f>VLOOKUP(C6110,'State Key'!$A$2:$B$210,2,False)</f>
        <v>Uttar Pradesh</v>
      </c>
      <c r="E6110" s="15">
        <v>660.0</v>
      </c>
      <c r="F6110" s="16">
        <v>232.352</v>
      </c>
      <c r="G6110" s="16">
        <v>0.0</v>
      </c>
      <c r="H6110" s="16">
        <v>0.0</v>
      </c>
      <c r="I6110" s="16">
        <v>0.0</v>
      </c>
      <c r="J6110" s="16">
        <v>0.0</v>
      </c>
      <c r="K6110" s="16">
        <v>0.0</v>
      </c>
      <c r="L6110" s="16">
        <v>232.352</v>
      </c>
      <c r="M6110" s="16">
        <v>227.965</v>
      </c>
      <c r="N6110" s="16">
        <v>101.0</v>
      </c>
      <c r="O6110" s="23">
        <v>13.3</v>
      </c>
      <c r="P6110" s="18">
        <f t="shared" si="1"/>
        <v>232.352</v>
      </c>
    </row>
    <row r="6111" ht="15.75" customHeight="1">
      <c r="A6111" s="19" t="s">
        <v>265</v>
      </c>
      <c r="B6111" s="19" t="s">
        <v>61</v>
      </c>
      <c r="C6111" s="20" t="s">
        <v>84</v>
      </c>
      <c r="D6111" s="14" t="str">
        <f>VLOOKUP(C6111,'State Key'!$A$2:$B$210,2,False)</f>
        <v>Uttar Pradesh</v>
      </c>
      <c r="E6111" s="21">
        <v>920.0</v>
      </c>
      <c r="F6111" s="22">
        <v>286.48</v>
      </c>
      <c r="G6111" s="22">
        <v>0.0</v>
      </c>
      <c r="H6111" s="22">
        <v>0.0</v>
      </c>
      <c r="I6111" s="22">
        <v>0.0</v>
      </c>
      <c r="J6111" s="22">
        <v>0.0</v>
      </c>
      <c r="K6111" s="22">
        <v>0.0</v>
      </c>
      <c r="L6111" s="22">
        <v>286.48</v>
      </c>
      <c r="M6111" s="22">
        <v>290.079</v>
      </c>
      <c r="N6111" s="22">
        <v>161.257</v>
      </c>
      <c r="O6111" s="24">
        <v>16.7</v>
      </c>
      <c r="P6111" s="18">
        <f t="shared" si="1"/>
        <v>286.48</v>
      </c>
    </row>
    <row r="6112" ht="15.75" customHeight="1">
      <c r="A6112" s="13" t="s">
        <v>265</v>
      </c>
      <c r="B6112" s="13" t="s">
        <v>61</v>
      </c>
      <c r="C6112" s="14" t="s">
        <v>85</v>
      </c>
      <c r="D6112" s="14" t="str">
        <f>VLOOKUP(C6112,'State Key'!$A$2:$B$210,2,False)</f>
        <v>Uttar Pradesh</v>
      </c>
      <c r="E6112" s="15">
        <v>1980.0</v>
      </c>
      <c r="F6112" s="16">
        <v>658.223</v>
      </c>
      <c r="G6112" s="16">
        <v>0.0</v>
      </c>
      <c r="H6112" s="16">
        <v>0.0</v>
      </c>
      <c r="I6112" s="16">
        <v>0.0</v>
      </c>
      <c r="J6112" s="16">
        <v>0.0</v>
      </c>
      <c r="K6112" s="16">
        <v>0.0</v>
      </c>
      <c r="L6112" s="16">
        <v>658.223</v>
      </c>
      <c r="M6112" s="16">
        <v>609.31</v>
      </c>
      <c r="N6112" s="16">
        <v>607.11</v>
      </c>
      <c r="O6112" s="24">
        <v>29.9</v>
      </c>
      <c r="P6112" s="18">
        <f t="shared" si="1"/>
        <v>658.223</v>
      </c>
    </row>
    <row r="6113" ht="15.75" customHeight="1">
      <c r="A6113" s="19" t="s">
        <v>265</v>
      </c>
      <c r="B6113" s="19" t="s">
        <v>61</v>
      </c>
      <c r="C6113" s="20" t="s">
        <v>86</v>
      </c>
      <c r="D6113" s="14" t="str">
        <f>VLOOKUP(C6113,'State Key'!$A$2:$B$210,2,False)</f>
        <v>Haryana</v>
      </c>
      <c r="E6113" s="21">
        <v>1200.0</v>
      </c>
      <c r="F6113" s="22">
        <v>336.177</v>
      </c>
      <c r="G6113" s="22">
        <v>0.0</v>
      </c>
      <c r="H6113" s="22">
        <v>0.0</v>
      </c>
      <c r="I6113" s="22">
        <v>0.0</v>
      </c>
      <c r="J6113" s="22">
        <v>0.0</v>
      </c>
      <c r="K6113" s="22">
        <v>0.0</v>
      </c>
      <c r="L6113" s="22">
        <v>336.177</v>
      </c>
      <c r="M6113" s="22">
        <v>342.528</v>
      </c>
      <c r="N6113" s="22">
        <v>645.859</v>
      </c>
      <c r="O6113" s="24">
        <v>56.6</v>
      </c>
      <c r="P6113" s="18">
        <f t="shared" si="1"/>
        <v>336.177</v>
      </c>
    </row>
    <row r="6114" ht="15.75" customHeight="1">
      <c r="A6114" s="13" t="s">
        <v>265</v>
      </c>
      <c r="B6114" s="13" t="s">
        <v>61</v>
      </c>
      <c r="C6114" s="14" t="s">
        <v>87</v>
      </c>
      <c r="D6114" s="14" t="str">
        <f>VLOOKUP(C6114,'State Key'!$A$2:$B$210,2,False)</f>
        <v>Punjab</v>
      </c>
      <c r="E6114" s="15">
        <v>1400.0</v>
      </c>
      <c r="F6114" s="16">
        <v>428.39</v>
      </c>
      <c r="G6114" s="16">
        <v>0.0</v>
      </c>
      <c r="H6114" s="16">
        <v>0.0</v>
      </c>
      <c r="I6114" s="16">
        <v>0.0</v>
      </c>
      <c r="J6114" s="16">
        <v>0.0</v>
      </c>
      <c r="K6114" s="16">
        <v>0.0</v>
      </c>
      <c r="L6114" s="16">
        <v>428.39</v>
      </c>
      <c r="M6114" s="16">
        <v>428.7134</v>
      </c>
      <c r="N6114" s="16">
        <v>392.78</v>
      </c>
      <c r="O6114" s="24">
        <v>27.5</v>
      </c>
      <c r="P6114" s="18">
        <f t="shared" si="1"/>
        <v>428.39</v>
      </c>
    </row>
    <row r="6115" ht="15.75" customHeight="1">
      <c r="A6115" s="19" t="s">
        <v>265</v>
      </c>
      <c r="B6115" s="19" t="s">
        <v>61</v>
      </c>
      <c r="C6115" s="20" t="s">
        <v>88</v>
      </c>
      <c r="D6115" s="14" t="str">
        <f>VLOOKUP(C6115,'State Key'!$A$2:$B$210,2,False)</f>
        <v>Uttar Pradesh</v>
      </c>
      <c r="E6115" s="21">
        <v>3000.0</v>
      </c>
      <c r="F6115" s="22">
        <v>1161.4</v>
      </c>
      <c r="G6115" s="22">
        <v>0.0</v>
      </c>
      <c r="H6115" s="22">
        <v>0.0</v>
      </c>
      <c r="I6115" s="22">
        <v>0.0</v>
      </c>
      <c r="J6115" s="22">
        <v>0.0</v>
      </c>
      <c r="K6115" s="22">
        <v>0.0</v>
      </c>
      <c r="L6115" s="22">
        <v>1161.4</v>
      </c>
      <c r="M6115" s="22">
        <v>1155.604</v>
      </c>
      <c r="N6115" s="22">
        <v>864.23</v>
      </c>
      <c r="O6115" s="24">
        <v>22.4</v>
      </c>
      <c r="P6115" s="18">
        <f t="shared" si="1"/>
        <v>1161.4</v>
      </c>
    </row>
    <row r="6116" ht="15.75" customHeight="1">
      <c r="A6116" s="13" t="s">
        <v>265</v>
      </c>
      <c r="B6116" s="13" t="s">
        <v>61</v>
      </c>
      <c r="C6116" s="14" t="s">
        <v>89</v>
      </c>
      <c r="D6116" s="14" t="str">
        <f>VLOOKUP(C6116,'State Key'!$A$2:$B$210,2,False)</f>
        <v>Punjab</v>
      </c>
      <c r="E6116" s="15">
        <v>840.0</v>
      </c>
      <c r="F6116" s="16">
        <v>141.809</v>
      </c>
      <c r="G6116" s="16">
        <v>0.0</v>
      </c>
      <c r="H6116" s="16">
        <v>215.536</v>
      </c>
      <c r="I6116" s="16">
        <v>0.0</v>
      </c>
      <c r="J6116" s="16">
        <v>0.0</v>
      </c>
      <c r="K6116" s="16">
        <v>0.0</v>
      </c>
      <c r="L6116" s="16">
        <v>357.345</v>
      </c>
      <c r="M6116" s="16">
        <v>201.882</v>
      </c>
      <c r="N6116" s="16">
        <v>413.15</v>
      </c>
      <c r="O6116" s="24">
        <v>61.4</v>
      </c>
      <c r="P6116" s="18">
        <f t="shared" si="1"/>
        <v>357.345</v>
      </c>
    </row>
    <row r="6117" ht="15.75" customHeight="1">
      <c r="A6117" s="19" t="s">
        <v>265</v>
      </c>
      <c r="B6117" s="19" t="s">
        <v>61</v>
      </c>
      <c r="C6117" s="20" t="s">
        <v>90</v>
      </c>
      <c r="D6117" s="14" t="str">
        <f>VLOOKUP(C6117,'State Key'!$A$2:$B$210,2,False)</f>
        <v>Uttar Pradesh</v>
      </c>
      <c r="E6117" s="21">
        <v>1200.0</v>
      </c>
      <c r="F6117" s="22">
        <v>464.41</v>
      </c>
      <c r="G6117" s="22">
        <v>0.0</v>
      </c>
      <c r="H6117" s="22">
        <v>0.0</v>
      </c>
      <c r="I6117" s="22">
        <v>0.0</v>
      </c>
      <c r="J6117" s="22">
        <v>0.0</v>
      </c>
      <c r="K6117" s="22">
        <v>0.0</v>
      </c>
      <c r="L6117" s="22">
        <v>464.41</v>
      </c>
      <c r="M6117" s="22">
        <v>373.547</v>
      </c>
      <c r="N6117" s="22">
        <v>553.01</v>
      </c>
      <c r="O6117" s="24">
        <v>44.4</v>
      </c>
      <c r="P6117" s="18">
        <f t="shared" si="1"/>
        <v>464.41</v>
      </c>
    </row>
    <row r="6118" ht="15.75" customHeight="1">
      <c r="A6118" s="13" t="s">
        <v>265</v>
      </c>
      <c r="B6118" s="13" t="s">
        <v>61</v>
      </c>
      <c r="C6118" s="14" t="s">
        <v>219</v>
      </c>
      <c r="D6118" s="14" t="str">
        <f>VLOOKUP(C6118,'State Key'!$A$2:$B$210,2,False)</f>
        <v>Rajasthan</v>
      </c>
      <c r="E6118" s="15">
        <v>344.0</v>
      </c>
      <c r="F6118" s="16">
        <v>0.0</v>
      </c>
      <c r="G6118" s="16">
        <v>0.0</v>
      </c>
      <c r="H6118" s="16">
        <v>0.0</v>
      </c>
      <c r="I6118" s="16">
        <v>0.0</v>
      </c>
      <c r="J6118" s="16">
        <v>33.334</v>
      </c>
      <c r="K6118" s="16">
        <v>11.277</v>
      </c>
      <c r="L6118" s="16">
        <v>44.611</v>
      </c>
      <c r="M6118" s="16">
        <v>44.611</v>
      </c>
      <c r="N6118" s="16">
        <v>0.0</v>
      </c>
      <c r="O6118" s="17">
        <v>0.0</v>
      </c>
      <c r="P6118" s="18">
        <f t="shared" si="1"/>
        <v>44.611</v>
      </c>
    </row>
    <row r="6119" ht="15.75" customHeight="1">
      <c r="A6119" s="19" t="s">
        <v>265</v>
      </c>
      <c r="B6119" s="19" t="s">
        <v>61</v>
      </c>
      <c r="C6119" s="20" t="s">
        <v>91</v>
      </c>
      <c r="D6119" s="14" t="str">
        <f>VLOOKUP(C6119,'State Key'!$A$2:$B$210,2,False)</f>
        <v>Uttar Pradesh</v>
      </c>
      <c r="E6119" s="21">
        <v>2000.0</v>
      </c>
      <c r="F6119" s="22">
        <v>882.64</v>
      </c>
      <c r="G6119" s="22">
        <v>0.0</v>
      </c>
      <c r="H6119" s="22">
        <v>0.0</v>
      </c>
      <c r="I6119" s="22">
        <v>0.0</v>
      </c>
      <c r="J6119" s="22">
        <v>0.0</v>
      </c>
      <c r="K6119" s="22">
        <v>0.0</v>
      </c>
      <c r="L6119" s="22">
        <v>882.64</v>
      </c>
      <c r="M6119" s="22">
        <v>838.596</v>
      </c>
      <c r="N6119" s="22">
        <v>299.53</v>
      </c>
      <c r="O6119" s="23">
        <v>10.7</v>
      </c>
      <c r="P6119" s="18">
        <f t="shared" si="1"/>
        <v>882.64</v>
      </c>
    </row>
    <row r="6120" ht="15.75" customHeight="1">
      <c r="A6120" s="13" t="s">
        <v>265</v>
      </c>
      <c r="B6120" s="13" t="s">
        <v>61</v>
      </c>
      <c r="C6120" s="14" t="s">
        <v>92</v>
      </c>
      <c r="D6120" s="14" t="str">
        <f>VLOOKUP(C6120,'State Key'!$A$2:$B$210,2,False)</f>
        <v>Rajasthan</v>
      </c>
      <c r="E6120" s="15">
        <v>1320.0</v>
      </c>
      <c r="F6120" s="16">
        <v>7.77668</v>
      </c>
      <c r="G6120" s="16">
        <v>0.0</v>
      </c>
      <c r="H6120" s="16">
        <v>503.52441</v>
      </c>
      <c r="I6120" s="16">
        <v>0.0</v>
      </c>
      <c r="J6120" s="16">
        <v>0.0</v>
      </c>
      <c r="K6120" s="16">
        <v>0.0</v>
      </c>
      <c r="L6120" s="16">
        <v>511.30109</v>
      </c>
      <c r="M6120" s="16">
        <v>384.055</v>
      </c>
      <c r="N6120" s="16">
        <v>396.28</v>
      </c>
      <c r="O6120" s="24">
        <v>31.0</v>
      </c>
      <c r="P6120" s="18">
        <f t="shared" si="1"/>
        <v>511.30109</v>
      </c>
    </row>
    <row r="6121" ht="15.75" customHeight="1">
      <c r="A6121" s="19" t="s">
        <v>265</v>
      </c>
      <c r="B6121" s="19" t="s">
        <v>61</v>
      </c>
      <c r="C6121" s="20" t="s">
        <v>93</v>
      </c>
      <c r="D6121" s="14" t="str">
        <f>VLOOKUP(C6121,'State Key'!$A$2:$B$210,2,False)</f>
        <v>Rajasthan</v>
      </c>
      <c r="E6121" s="21">
        <v>1500.0</v>
      </c>
      <c r="F6121" s="22">
        <v>410.225</v>
      </c>
      <c r="G6121" s="22">
        <v>0.0</v>
      </c>
      <c r="H6121" s="22">
        <v>67.256</v>
      </c>
      <c r="I6121" s="22">
        <v>0.0</v>
      </c>
      <c r="J6121" s="22">
        <v>0.0</v>
      </c>
      <c r="K6121" s="22">
        <v>0.0</v>
      </c>
      <c r="L6121" s="22">
        <v>477.481</v>
      </c>
      <c r="M6121" s="22">
        <v>419.966</v>
      </c>
      <c r="N6121" s="22">
        <v>356.38</v>
      </c>
      <c r="O6121" s="24">
        <v>25.5</v>
      </c>
      <c r="P6121" s="18">
        <f t="shared" si="1"/>
        <v>477.481</v>
      </c>
    </row>
    <row r="6122" ht="15.75" customHeight="1">
      <c r="A6122" s="13" t="s">
        <v>265</v>
      </c>
      <c r="B6122" s="13" t="s">
        <v>61</v>
      </c>
      <c r="C6122" s="14" t="s">
        <v>94</v>
      </c>
      <c r="D6122" s="14" t="str">
        <f>VLOOKUP(C6122,'State Key'!$A$2:$B$210,2,False)</f>
        <v>Punjab</v>
      </c>
      <c r="E6122" s="15">
        <v>1980.0</v>
      </c>
      <c r="F6122" s="16">
        <v>350.04987</v>
      </c>
      <c r="G6122" s="16">
        <v>0.0</v>
      </c>
      <c r="H6122" s="16">
        <v>0.0</v>
      </c>
      <c r="I6122" s="16">
        <v>0.0</v>
      </c>
      <c r="J6122" s="16">
        <v>0.0</v>
      </c>
      <c r="K6122" s="16">
        <v>0.0</v>
      </c>
      <c r="L6122" s="16">
        <v>350.04987</v>
      </c>
      <c r="M6122" s="16">
        <v>446.3161</v>
      </c>
      <c r="N6122" s="16">
        <v>369.14</v>
      </c>
      <c r="O6122" s="24">
        <v>24.8</v>
      </c>
      <c r="P6122" s="18">
        <f t="shared" si="1"/>
        <v>350.04987</v>
      </c>
    </row>
    <row r="6123" ht="15.75" customHeight="1">
      <c r="A6123" s="19" t="s">
        <v>265</v>
      </c>
      <c r="B6123" s="19" t="s">
        <v>61</v>
      </c>
      <c r="C6123" s="20" t="s">
        <v>95</v>
      </c>
      <c r="D6123" s="14" t="str">
        <f>VLOOKUP(C6123,'State Key'!$A$2:$B$210,2,False)</f>
        <v>Uttar Pradesh</v>
      </c>
      <c r="E6123" s="21">
        <v>1760.0</v>
      </c>
      <c r="F6123" s="22">
        <v>275.05</v>
      </c>
      <c r="G6123" s="22">
        <v>0.0</v>
      </c>
      <c r="H6123" s="22">
        <v>376.96</v>
      </c>
      <c r="I6123" s="22">
        <v>0.0</v>
      </c>
      <c r="J6123" s="22">
        <v>0.0</v>
      </c>
      <c r="K6123" s="22">
        <v>0.0</v>
      </c>
      <c r="L6123" s="22">
        <v>652.01</v>
      </c>
      <c r="M6123" s="22">
        <v>415.441</v>
      </c>
      <c r="N6123" s="22">
        <v>477.1</v>
      </c>
      <c r="O6123" s="24">
        <v>34.5</v>
      </c>
      <c r="P6123" s="18">
        <f t="shared" si="1"/>
        <v>652.01</v>
      </c>
    </row>
    <row r="6124" ht="15.75" customHeight="1">
      <c r="A6124" s="13" t="s">
        <v>265</v>
      </c>
      <c r="B6124" s="13" t="s">
        <v>61</v>
      </c>
      <c r="C6124" s="14" t="s">
        <v>96</v>
      </c>
      <c r="D6124" s="14" t="str">
        <f>VLOOKUP(C6124,'State Key'!$A$2:$B$210,2,False)</f>
        <v>Uttar Pradesh</v>
      </c>
      <c r="E6124" s="15">
        <v>1550.0</v>
      </c>
      <c r="F6124" s="16">
        <v>506.4</v>
      </c>
      <c r="G6124" s="16">
        <v>0.0</v>
      </c>
      <c r="H6124" s="16">
        <v>80.15</v>
      </c>
      <c r="I6124" s="16">
        <v>0.0</v>
      </c>
      <c r="J6124" s="16">
        <v>0.0</v>
      </c>
      <c r="K6124" s="16">
        <v>0.0</v>
      </c>
      <c r="L6124" s="16">
        <v>586.55</v>
      </c>
      <c r="M6124" s="16">
        <v>547.027</v>
      </c>
      <c r="N6124" s="16">
        <v>396.53</v>
      </c>
      <c r="O6124" s="24">
        <v>21.7</v>
      </c>
      <c r="P6124" s="18">
        <f t="shared" si="1"/>
        <v>586.55</v>
      </c>
    </row>
    <row r="6125" ht="15.75" customHeight="1">
      <c r="A6125" s="19" t="s">
        <v>265</v>
      </c>
      <c r="B6125" s="19" t="s">
        <v>61</v>
      </c>
      <c r="C6125" s="20" t="s">
        <v>97</v>
      </c>
      <c r="D6125" s="14" t="str">
        <f>VLOOKUP(C6125,'State Key'!$A$2:$B$210,2,False)</f>
        <v>Uttar Pradesh</v>
      </c>
      <c r="E6125" s="21">
        <v>90.0</v>
      </c>
      <c r="F6125" s="22">
        <v>27.93</v>
      </c>
      <c r="G6125" s="22">
        <v>0.0</v>
      </c>
      <c r="H6125" s="22">
        <v>0.0</v>
      </c>
      <c r="I6125" s="22">
        <v>0.0</v>
      </c>
      <c r="J6125" s="22">
        <v>0.0</v>
      </c>
      <c r="K6125" s="22">
        <v>0.0</v>
      </c>
      <c r="L6125" s="22">
        <v>27.93</v>
      </c>
      <c r="M6125" s="22">
        <v>25.64</v>
      </c>
      <c r="N6125" s="22">
        <v>54.27</v>
      </c>
      <c r="O6125" s="24">
        <v>63.5</v>
      </c>
      <c r="P6125" s="18">
        <f t="shared" si="1"/>
        <v>27.93</v>
      </c>
    </row>
    <row r="6126" ht="15.75" customHeight="1">
      <c r="A6126" s="13" t="s">
        <v>265</v>
      </c>
      <c r="B6126" s="13" t="s">
        <v>61</v>
      </c>
      <c r="C6126" s="14" t="s">
        <v>98</v>
      </c>
      <c r="D6126" s="14" t="str">
        <f>VLOOKUP(C6126,'State Key'!$A$2:$B$210,2,False)</f>
        <v>Haryana</v>
      </c>
      <c r="E6126" s="15">
        <v>600.0</v>
      </c>
      <c r="F6126" s="16">
        <v>276.367</v>
      </c>
      <c r="G6126" s="16">
        <v>0.0</v>
      </c>
      <c r="H6126" s="16">
        <v>0.0</v>
      </c>
      <c r="I6126" s="16">
        <v>0.0</v>
      </c>
      <c r="J6126" s="16">
        <v>0.0</v>
      </c>
      <c r="K6126" s="16">
        <v>0.0</v>
      </c>
      <c r="L6126" s="16">
        <v>276.367</v>
      </c>
      <c r="M6126" s="16">
        <v>229.172</v>
      </c>
      <c r="N6126" s="16">
        <v>410.08</v>
      </c>
      <c r="O6126" s="24">
        <v>53.7</v>
      </c>
      <c r="P6126" s="18">
        <f t="shared" si="1"/>
        <v>276.367</v>
      </c>
    </row>
    <row r="6127" ht="15.75" customHeight="1">
      <c r="A6127" s="19" t="s">
        <v>265</v>
      </c>
      <c r="B6127" s="19" t="s">
        <v>99</v>
      </c>
      <c r="C6127" s="20" t="s">
        <v>210</v>
      </c>
      <c r="D6127" s="14" t="str">
        <f>VLOOKUP(C6127,'State Key'!$A$2:$B$210,2,False)</f>
        <v>Karnataka</v>
      </c>
      <c r="E6127" s="21">
        <v>1200.0</v>
      </c>
      <c r="F6127" s="22">
        <v>0.0</v>
      </c>
      <c r="G6127" s="22">
        <v>0.0</v>
      </c>
      <c r="H6127" s="22">
        <v>0.0</v>
      </c>
      <c r="I6127" s="22">
        <v>0.0</v>
      </c>
      <c r="J6127" s="22">
        <v>267.313</v>
      </c>
      <c r="K6127" s="22">
        <v>0.0</v>
      </c>
      <c r="L6127" s="22">
        <v>267.313</v>
      </c>
      <c r="M6127" s="22">
        <v>290.968</v>
      </c>
      <c r="N6127" s="22">
        <v>151.11</v>
      </c>
      <c r="O6127" s="24">
        <v>15.6</v>
      </c>
      <c r="P6127" s="18">
        <f t="shared" si="1"/>
        <v>267.313</v>
      </c>
    </row>
    <row r="6128" ht="15.75" customHeight="1">
      <c r="A6128" s="13" t="s">
        <v>265</v>
      </c>
      <c r="B6128" s="13" t="s">
        <v>99</v>
      </c>
      <c r="C6128" s="14" t="s">
        <v>100</v>
      </c>
      <c r="D6128" s="14" t="str">
        <f>VLOOKUP(C6128,'State Key'!$A$2:$B$210,2,False)</f>
        <v>Karnataka</v>
      </c>
      <c r="E6128" s="15">
        <v>1700.0</v>
      </c>
      <c r="F6128" s="16">
        <v>82.56813</v>
      </c>
      <c r="G6128" s="16">
        <v>195.99881</v>
      </c>
      <c r="H6128" s="16">
        <v>319.34958</v>
      </c>
      <c r="I6128" s="16">
        <v>0.0</v>
      </c>
      <c r="J6128" s="16">
        <v>0.0</v>
      </c>
      <c r="K6128" s="16">
        <v>0.0</v>
      </c>
      <c r="L6128" s="16">
        <v>597.91652</v>
      </c>
      <c r="M6128" s="16">
        <v>715.33</v>
      </c>
      <c r="N6128" s="16">
        <v>206.0725</v>
      </c>
      <c r="O6128" s="23">
        <v>8.6</v>
      </c>
      <c r="P6128" s="18">
        <f t="shared" si="1"/>
        <v>597.91652</v>
      </c>
    </row>
    <row r="6129" ht="15.75" customHeight="1">
      <c r="A6129" s="19" t="s">
        <v>265</v>
      </c>
      <c r="B6129" s="19" t="s">
        <v>99</v>
      </c>
      <c r="C6129" s="20" t="s">
        <v>101</v>
      </c>
      <c r="D6129" s="14" t="str">
        <f>VLOOKUP(C6129,'State Key'!$A$2:$B$210,2,False)</f>
        <v>Telangana</v>
      </c>
      <c r="E6129" s="21">
        <v>1080.0</v>
      </c>
      <c r="F6129" s="22">
        <v>0.0</v>
      </c>
      <c r="G6129" s="22">
        <v>479.595</v>
      </c>
      <c r="H6129" s="22">
        <v>0.0</v>
      </c>
      <c r="I6129" s="22">
        <v>0.0</v>
      </c>
      <c r="J6129" s="22">
        <v>0.0</v>
      </c>
      <c r="K6129" s="22">
        <v>0.0</v>
      </c>
      <c r="L6129" s="22">
        <v>479.595</v>
      </c>
      <c r="M6129" s="22">
        <v>425.952</v>
      </c>
      <c r="N6129" s="22">
        <v>107.56</v>
      </c>
      <c r="O6129" s="23">
        <v>7.6</v>
      </c>
      <c r="P6129" s="18">
        <f t="shared" si="1"/>
        <v>479.595</v>
      </c>
    </row>
    <row r="6130" ht="15.75" customHeight="1">
      <c r="A6130" s="13" t="s">
        <v>265</v>
      </c>
      <c r="B6130" s="13" t="s">
        <v>99</v>
      </c>
      <c r="C6130" s="14" t="s">
        <v>102</v>
      </c>
      <c r="D6130" s="14" t="str">
        <f>VLOOKUP(C6130,'State Key'!$A$2:$B$210,2,False)</f>
        <v>Andhra Pradesh</v>
      </c>
      <c r="E6130" s="15">
        <v>2400.0</v>
      </c>
      <c r="F6130" s="16">
        <v>555.88628</v>
      </c>
      <c r="G6130" s="16">
        <v>0.0</v>
      </c>
      <c r="H6130" s="16">
        <v>0.0</v>
      </c>
      <c r="I6130" s="16">
        <v>0.0</v>
      </c>
      <c r="J6130" s="16">
        <v>76.93</v>
      </c>
      <c r="K6130" s="16">
        <v>0.0</v>
      </c>
      <c r="L6130" s="16">
        <v>632.81628</v>
      </c>
      <c r="M6130" s="16">
        <v>690.455</v>
      </c>
      <c r="N6130" s="16">
        <v>199.71</v>
      </c>
      <c r="O6130" s="23">
        <v>8.7</v>
      </c>
      <c r="P6130" s="18">
        <f t="shared" si="1"/>
        <v>632.81628</v>
      </c>
    </row>
    <row r="6131" ht="15.75" customHeight="1">
      <c r="A6131" s="19" t="s">
        <v>265</v>
      </c>
      <c r="B6131" s="19" t="s">
        <v>99</v>
      </c>
      <c r="C6131" s="20" t="s">
        <v>103</v>
      </c>
      <c r="D6131" s="14" t="str">
        <f>VLOOKUP(C6131,'State Key'!$A$2:$B$210,2,False)</f>
        <v>Andhra Pradesh</v>
      </c>
      <c r="E6131" s="21">
        <v>2560.0</v>
      </c>
      <c r="F6131" s="22">
        <v>878.119</v>
      </c>
      <c r="G6131" s="22">
        <v>205.569</v>
      </c>
      <c r="H6131" s="22">
        <v>0.0</v>
      </c>
      <c r="I6131" s="22">
        <v>0.0</v>
      </c>
      <c r="J6131" s="22">
        <v>0.0</v>
      </c>
      <c r="K6131" s="22">
        <v>0.0</v>
      </c>
      <c r="L6131" s="22">
        <v>1083.688</v>
      </c>
      <c r="M6131" s="22">
        <v>933.215</v>
      </c>
      <c r="N6131" s="22">
        <v>570.6</v>
      </c>
      <c r="O6131" s="24">
        <v>18.3</v>
      </c>
      <c r="P6131" s="18">
        <f t="shared" si="1"/>
        <v>1083.688</v>
      </c>
    </row>
    <row r="6132" ht="15.75" customHeight="1">
      <c r="A6132" s="13" t="s">
        <v>265</v>
      </c>
      <c r="B6132" s="13" t="s">
        <v>99</v>
      </c>
      <c r="C6132" s="14" t="s">
        <v>104</v>
      </c>
      <c r="D6132" s="14" t="str">
        <f>VLOOKUP(C6132,'State Key'!$A$2:$B$210,2,False)</f>
        <v>Tamil Nadu</v>
      </c>
      <c r="E6132" s="15">
        <v>1200.0</v>
      </c>
      <c r="F6132" s="16">
        <v>0.0</v>
      </c>
      <c r="G6132" s="16">
        <v>0.0</v>
      </c>
      <c r="H6132" s="16">
        <v>0.0</v>
      </c>
      <c r="I6132" s="16">
        <v>0.0</v>
      </c>
      <c r="J6132" s="16">
        <v>273.064</v>
      </c>
      <c r="K6132" s="16">
        <v>0.0</v>
      </c>
      <c r="L6132" s="16">
        <v>273.064</v>
      </c>
      <c r="M6132" s="16">
        <v>175.6423</v>
      </c>
      <c r="N6132" s="16">
        <v>501.2959</v>
      </c>
      <c r="O6132" s="24">
        <v>85.6</v>
      </c>
      <c r="P6132" s="18">
        <f t="shared" si="1"/>
        <v>273.064</v>
      </c>
    </row>
    <row r="6133" ht="15.75" customHeight="1">
      <c r="A6133" s="19" t="s">
        <v>265</v>
      </c>
      <c r="B6133" s="19" t="s">
        <v>99</v>
      </c>
      <c r="C6133" s="20" t="s">
        <v>105</v>
      </c>
      <c r="D6133" s="14" t="str">
        <f>VLOOKUP(C6133,'State Key'!$A$2:$B$210,2,False)</f>
        <v>Telangana</v>
      </c>
      <c r="E6133" s="21">
        <v>1100.0</v>
      </c>
      <c r="F6133" s="22">
        <v>0.0</v>
      </c>
      <c r="G6133" s="22">
        <v>141.061</v>
      </c>
      <c r="H6133" s="22">
        <v>216.164</v>
      </c>
      <c r="I6133" s="22">
        <v>0.0</v>
      </c>
      <c r="J6133" s="22">
        <v>0.0</v>
      </c>
      <c r="K6133" s="22">
        <v>0.0</v>
      </c>
      <c r="L6133" s="22">
        <v>357.225</v>
      </c>
      <c r="M6133" s="22">
        <v>370.828</v>
      </c>
      <c r="N6133" s="22">
        <v>254.506</v>
      </c>
      <c r="O6133" s="24">
        <v>20.6</v>
      </c>
      <c r="P6133" s="18">
        <f t="shared" si="1"/>
        <v>357.225</v>
      </c>
    </row>
    <row r="6134" ht="15.75" customHeight="1">
      <c r="A6134" s="13" t="s">
        <v>265</v>
      </c>
      <c r="B6134" s="13" t="s">
        <v>99</v>
      </c>
      <c r="C6134" s="14" t="s">
        <v>106</v>
      </c>
      <c r="D6134" s="14" t="str">
        <f>VLOOKUP(C6134,'State Key'!$A$2:$B$210,2,False)</f>
        <v>Telangana</v>
      </c>
      <c r="E6134" s="15">
        <v>1000.0</v>
      </c>
      <c r="F6134" s="16">
        <v>0.0</v>
      </c>
      <c r="G6134" s="16">
        <v>313.359</v>
      </c>
      <c r="H6134" s="16">
        <v>0.0</v>
      </c>
      <c r="I6134" s="16">
        <v>0.0</v>
      </c>
      <c r="J6134" s="16">
        <v>0.0</v>
      </c>
      <c r="K6134" s="16">
        <v>0.0</v>
      </c>
      <c r="L6134" s="16">
        <v>313.359</v>
      </c>
      <c r="M6134" s="16">
        <v>394.59</v>
      </c>
      <c r="N6134" s="16">
        <v>193.051</v>
      </c>
      <c r="O6134" s="24">
        <v>14.7</v>
      </c>
      <c r="P6134" s="18">
        <f t="shared" si="1"/>
        <v>313.359</v>
      </c>
    </row>
    <row r="6135" ht="15.75" customHeight="1">
      <c r="A6135" s="19" t="s">
        <v>265</v>
      </c>
      <c r="B6135" s="19" t="s">
        <v>99</v>
      </c>
      <c r="C6135" s="20" t="s">
        <v>107</v>
      </c>
      <c r="D6135" s="14" t="str">
        <f>VLOOKUP(C6135,'State Key'!$A$2:$B$210,2,False)</f>
        <v>Telangana</v>
      </c>
      <c r="E6135" s="21">
        <v>800.0</v>
      </c>
      <c r="F6135" s="22">
        <v>0.0</v>
      </c>
      <c r="G6135" s="22">
        <v>251.516</v>
      </c>
      <c r="H6135" s="22">
        <v>0.0</v>
      </c>
      <c r="I6135" s="22">
        <v>0.0</v>
      </c>
      <c r="J6135" s="22">
        <v>0.0</v>
      </c>
      <c r="K6135" s="22">
        <v>0.0</v>
      </c>
      <c r="L6135" s="22">
        <v>251.516</v>
      </c>
      <c r="M6135" s="22">
        <v>272.972</v>
      </c>
      <c r="N6135" s="22">
        <v>157.679</v>
      </c>
      <c r="O6135" s="24">
        <v>17.3</v>
      </c>
      <c r="P6135" s="18">
        <f t="shared" si="1"/>
        <v>251.516</v>
      </c>
    </row>
    <row r="6136" ht="15.75" customHeight="1">
      <c r="A6136" s="13" t="s">
        <v>265</v>
      </c>
      <c r="B6136" s="13" t="s">
        <v>99</v>
      </c>
      <c r="C6136" s="14" t="s">
        <v>108</v>
      </c>
      <c r="D6136" s="14" t="str">
        <f>VLOOKUP(C6136,'State Key'!$A$2:$B$210,2,False)</f>
        <v>Karnataka</v>
      </c>
      <c r="E6136" s="15">
        <v>2400.0</v>
      </c>
      <c r="F6136" s="16">
        <v>403.0</v>
      </c>
      <c r="G6136" s="16">
        <v>409.49</v>
      </c>
      <c r="H6136" s="16">
        <v>51.35</v>
      </c>
      <c r="I6136" s="16">
        <v>0.0</v>
      </c>
      <c r="J6136" s="16">
        <v>0.0</v>
      </c>
      <c r="K6136" s="16">
        <v>0.0</v>
      </c>
      <c r="L6136" s="16">
        <v>863.84</v>
      </c>
      <c r="M6136" s="16">
        <v>760.407</v>
      </c>
      <c r="N6136" s="16">
        <v>508.35</v>
      </c>
      <c r="O6136" s="24">
        <v>20.1</v>
      </c>
      <c r="P6136" s="18">
        <f t="shared" si="1"/>
        <v>863.84</v>
      </c>
    </row>
    <row r="6137" ht="15.75" customHeight="1">
      <c r="A6137" s="19" t="s">
        <v>265</v>
      </c>
      <c r="B6137" s="19" t="s">
        <v>99</v>
      </c>
      <c r="C6137" s="20" t="s">
        <v>266</v>
      </c>
      <c r="D6137" s="14" t="str">
        <f>VLOOKUP(C6137,'State Key'!$A$2:$B$210,2,False)</f>
        <v>Andhra Pradesh</v>
      </c>
      <c r="E6137" s="21">
        <v>1000.0</v>
      </c>
      <c r="F6137" s="22">
        <v>14.766</v>
      </c>
      <c r="G6137" s="22">
        <v>0.0</v>
      </c>
      <c r="H6137" s="22">
        <v>0.0</v>
      </c>
      <c r="I6137" s="22">
        <v>26.5048</v>
      </c>
      <c r="J6137" s="22">
        <v>50.05614</v>
      </c>
      <c r="K6137" s="22">
        <v>0.0</v>
      </c>
      <c r="L6137" s="22">
        <v>91.32694</v>
      </c>
      <c r="M6137" s="22">
        <v>104.983</v>
      </c>
      <c r="N6137" s="22">
        <v>28.533</v>
      </c>
      <c r="O6137" s="23">
        <v>8.2</v>
      </c>
      <c r="P6137" s="18">
        <f t="shared" si="1"/>
        <v>91.32694</v>
      </c>
    </row>
    <row r="6138" ht="15.75" customHeight="1">
      <c r="A6138" s="13" t="s">
        <v>265</v>
      </c>
      <c r="B6138" s="13" t="s">
        <v>99</v>
      </c>
      <c r="C6138" s="14" t="s">
        <v>109</v>
      </c>
      <c r="D6138" s="14" t="str">
        <f>VLOOKUP(C6138,'State Key'!$A$2:$B$210,2,False)</f>
        <v>Tamil Nadu</v>
      </c>
      <c r="E6138" s="15">
        <v>840.0</v>
      </c>
      <c r="F6138" s="16">
        <v>429.44715</v>
      </c>
      <c r="G6138" s="16">
        <v>0.0</v>
      </c>
      <c r="H6138" s="16">
        <v>0.0</v>
      </c>
      <c r="I6138" s="16">
        <v>0.0</v>
      </c>
      <c r="J6138" s="16">
        <v>0.0</v>
      </c>
      <c r="K6138" s="16">
        <v>0.0</v>
      </c>
      <c r="L6138" s="16">
        <v>429.44715</v>
      </c>
      <c r="M6138" s="16">
        <v>443.15</v>
      </c>
      <c r="N6138" s="16">
        <v>187.0</v>
      </c>
      <c r="O6138" s="23">
        <v>12.7</v>
      </c>
      <c r="P6138" s="18">
        <f t="shared" si="1"/>
        <v>429.44715</v>
      </c>
    </row>
    <row r="6139" ht="15.75" customHeight="1">
      <c r="A6139" s="19" t="s">
        <v>265</v>
      </c>
      <c r="B6139" s="19" t="s">
        <v>99</v>
      </c>
      <c r="C6139" s="20" t="s">
        <v>261</v>
      </c>
      <c r="D6139" s="14" t="str">
        <f>VLOOKUP(C6139,'State Key'!$A$2:$B$210,2,False)</f>
        <v>Tamil Nadu</v>
      </c>
      <c r="E6139" s="21">
        <v>600.0</v>
      </c>
      <c r="F6139" s="22">
        <v>219.67</v>
      </c>
      <c r="G6139" s="22">
        <v>0.0</v>
      </c>
      <c r="H6139" s="22">
        <v>0.0</v>
      </c>
      <c r="I6139" s="22">
        <v>0.0</v>
      </c>
      <c r="J6139" s="22">
        <v>0.0</v>
      </c>
      <c r="K6139" s="22">
        <v>0.0</v>
      </c>
      <c r="L6139" s="22">
        <v>219.67</v>
      </c>
      <c r="M6139" s="22">
        <v>141.95</v>
      </c>
      <c r="N6139" s="22">
        <v>188.21</v>
      </c>
      <c r="O6139" s="24">
        <v>39.8</v>
      </c>
      <c r="P6139" s="18">
        <f t="shared" si="1"/>
        <v>219.67</v>
      </c>
    </row>
    <row r="6140" ht="15.75" customHeight="1">
      <c r="A6140" s="13" t="s">
        <v>265</v>
      </c>
      <c r="B6140" s="13" t="s">
        <v>99</v>
      </c>
      <c r="C6140" s="14" t="s">
        <v>111</v>
      </c>
      <c r="D6140" s="14" t="str">
        <f>VLOOKUP(C6140,'State Key'!$A$2:$B$210,2,False)</f>
        <v>Tamil Nadu</v>
      </c>
      <c r="E6140" s="15">
        <v>1200.0</v>
      </c>
      <c r="F6140" s="16">
        <v>72.648</v>
      </c>
      <c r="G6140" s="16">
        <v>0.0</v>
      </c>
      <c r="H6140" s="16">
        <v>0.0</v>
      </c>
      <c r="I6140" s="16">
        <v>0.0</v>
      </c>
      <c r="J6140" s="16">
        <v>282.471</v>
      </c>
      <c r="K6140" s="16">
        <v>0.0</v>
      </c>
      <c r="L6140" s="16">
        <v>355.119</v>
      </c>
      <c r="M6140" s="16">
        <v>328.883</v>
      </c>
      <c r="N6140" s="16">
        <v>197.4</v>
      </c>
      <c r="O6140" s="24">
        <v>18.0</v>
      </c>
      <c r="P6140" s="18">
        <f t="shared" si="1"/>
        <v>355.119</v>
      </c>
    </row>
    <row r="6141" ht="15.75" customHeight="1">
      <c r="A6141" s="19" t="s">
        <v>265</v>
      </c>
      <c r="B6141" s="19" t="s">
        <v>99</v>
      </c>
      <c r="C6141" s="20" t="s">
        <v>262</v>
      </c>
      <c r="D6141" s="14" t="str">
        <f>VLOOKUP(C6141,'State Key'!$A$2:$B$210,2,False)</f>
        <v>Tamil Nadu</v>
      </c>
      <c r="E6141" s="21">
        <v>630.0</v>
      </c>
      <c r="F6141" s="22">
        <v>370.3</v>
      </c>
      <c r="G6141" s="22">
        <v>0.0</v>
      </c>
      <c r="H6141" s="22">
        <v>0.0</v>
      </c>
      <c r="I6141" s="22">
        <v>0.0</v>
      </c>
      <c r="J6141" s="22">
        <v>0.0</v>
      </c>
      <c r="K6141" s="22">
        <v>0.0</v>
      </c>
      <c r="L6141" s="22">
        <v>370.3</v>
      </c>
      <c r="M6141" s="22">
        <v>194.137</v>
      </c>
      <c r="N6141" s="22">
        <v>138.932</v>
      </c>
      <c r="O6141" s="24">
        <v>21.5</v>
      </c>
      <c r="P6141" s="18">
        <f t="shared" si="1"/>
        <v>370.3</v>
      </c>
    </row>
    <row r="6142" ht="15.75" customHeight="1">
      <c r="A6142" s="13" t="s">
        <v>265</v>
      </c>
      <c r="B6142" s="13" t="s">
        <v>99</v>
      </c>
      <c r="C6142" s="14" t="s">
        <v>263</v>
      </c>
      <c r="D6142" s="14" t="str">
        <f>VLOOKUP(C6142,'State Key'!$A$2:$B$210,2,False)</f>
        <v>Tamil Nadu</v>
      </c>
      <c r="E6142" s="15">
        <v>1200.0</v>
      </c>
      <c r="F6142" s="16">
        <v>261.72</v>
      </c>
      <c r="G6142" s="16">
        <v>0.0</v>
      </c>
      <c r="H6142" s="16">
        <v>0.0</v>
      </c>
      <c r="I6142" s="16">
        <v>0.0</v>
      </c>
      <c r="J6142" s="16">
        <v>0.0</v>
      </c>
      <c r="K6142" s="16">
        <v>0.0</v>
      </c>
      <c r="L6142" s="16">
        <v>261.72</v>
      </c>
      <c r="M6142" s="16">
        <v>304.516</v>
      </c>
      <c r="N6142" s="16">
        <v>119.14</v>
      </c>
      <c r="O6142" s="23">
        <v>11.7</v>
      </c>
      <c r="P6142" s="18">
        <f t="shared" si="1"/>
        <v>261.72</v>
      </c>
    </row>
    <row r="6143" ht="15.75" customHeight="1">
      <c r="A6143" s="19" t="s">
        <v>265</v>
      </c>
      <c r="B6143" s="19" t="s">
        <v>99</v>
      </c>
      <c r="C6143" s="20" t="s">
        <v>267</v>
      </c>
      <c r="D6143" s="14" t="str">
        <f>VLOOKUP(C6143,'State Key'!$A$2:$B$210,2,False)</f>
        <v>Tamil Nadu</v>
      </c>
      <c r="E6143" s="21">
        <v>800.0</v>
      </c>
      <c r="F6143" s="22">
        <v>0.0</v>
      </c>
      <c r="G6143" s="22">
        <v>56.753</v>
      </c>
      <c r="H6143" s="22">
        <v>0.0</v>
      </c>
      <c r="I6143" s="22">
        <v>0.0</v>
      </c>
      <c r="J6143" s="22">
        <v>38.783</v>
      </c>
      <c r="K6143" s="22">
        <v>0.0</v>
      </c>
      <c r="L6143" s="22">
        <v>95.536</v>
      </c>
      <c r="M6143" s="22">
        <v>60.169</v>
      </c>
      <c r="N6143" s="22">
        <v>469.49</v>
      </c>
      <c r="O6143" s="24">
        <v>234.1</v>
      </c>
      <c r="P6143" s="18">
        <f t="shared" si="1"/>
        <v>95.536</v>
      </c>
    </row>
    <row r="6144" ht="15.75" customHeight="1">
      <c r="A6144" s="13" t="s">
        <v>265</v>
      </c>
      <c r="B6144" s="13" t="s">
        <v>99</v>
      </c>
      <c r="C6144" s="14" t="s">
        <v>113</v>
      </c>
      <c r="D6144" s="14" t="str">
        <f>VLOOKUP(C6144,'State Key'!$A$2:$B$210,2,False)</f>
        <v>Tamil Nadu</v>
      </c>
      <c r="E6144" s="15">
        <v>1000.0</v>
      </c>
      <c r="F6144" s="16">
        <v>0.0</v>
      </c>
      <c r="G6144" s="16">
        <v>0.0</v>
      </c>
      <c r="H6144" s="16">
        <v>337.396</v>
      </c>
      <c r="I6144" s="16">
        <v>0.0</v>
      </c>
      <c r="J6144" s="16">
        <v>77.01</v>
      </c>
      <c r="K6144" s="16">
        <v>0.0</v>
      </c>
      <c r="L6144" s="16">
        <v>414.406</v>
      </c>
      <c r="M6144" s="16">
        <v>350.426</v>
      </c>
      <c r="N6144" s="16">
        <v>251.892</v>
      </c>
      <c r="O6144" s="24">
        <v>21.6</v>
      </c>
      <c r="P6144" s="18">
        <f t="shared" si="1"/>
        <v>414.406</v>
      </c>
    </row>
    <row r="6145" ht="15.75" customHeight="1">
      <c r="A6145" s="19" t="s">
        <v>265</v>
      </c>
      <c r="B6145" s="19" t="s">
        <v>99</v>
      </c>
      <c r="C6145" s="20" t="s">
        <v>228</v>
      </c>
      <c r="D6145" s="14" t="str">
        <f>VLOOKUP(C6145,'State Key'!$A$2:$B$210,2,False)</f>
        <v>Tamil Nadu</v>
      </c>
      <c r="E6145" s="21">
        <v>414.0</v>
      </c>
      <c r="F6145" s="22">
        <v>39.272</v>
      </c>
      <c r="G6145" s="22">
        <v>0.0</v>
      </c>
      <c r="H6145" s="22">
        <v>0.0</v>
      </c>
      <c r="I6145" s="22">
        <v>0.0</v>
      </c>
      <c r="J6145" s="22">
        <v>1.649</v>
      </c>
      <c r="K6145" s="22">
        <v>0.0</v>
      </c>
      <c r="L6145" s="22">
        <v>40.921</v>
      </c>
      <c r="M6145" s="22">
        <v>37.117</v>
      </c>
      <c r="N6145" s="22">
        <v>102.93</v>
      </c>
      <c r="O6145" s="24">
        <v>83.2</v>
      </c>
      <c r="P6145" s="18">
        <f t="shared" si="1"/>
        <v>40.921</v>
      </c>
    </row>
    <row r="6146" ht="15.75" customHeight="1">
      <c r="A6146" s="13" t="s">
        <v>265</v>
      </c>
      <c r="B6146" s="13" t="s">
        <v>99</v>
      </c>
      <c r="C6146" s="14" t="s">
        <v>114</v>
      </c>
      <c r="D6146" s="14" t="str">
        <f>VLOOKUP(C6146,'State Key'!$A$2:$B$210,2,False)</f>
        <v>Andhra Pradesh</v>
      </c>
      <c r="E6146" s="15">
        <v>1320.0</v>
      </c>
      <c r="F6146" s="16">
        <v>660.266</v>
      </c>
      <c r="G6146" s="16">
        <v>0.0</v>
      </c>
      <c r="H6146" s="16">
        <v>0.0</v>
      </c>
      <c r="I6146" s="16">
        <v>0.0</v>
      </c>
      <c r="J6146" s="16">
        <v>15.0</v>
      </c>
      <c r="K6146" s="16">
        <v>0.0</v>
      </c>
      <c r="L6146" s="16">
        <v>675.266</v>
      </c>
      <c r="M6146" s="16">
        <v>472.953</v>
      </c>
      <c r="N6146" s="16">
        <v>577.43</v>
      </c>
      <c r="O6146" s="24">
        <v>36.6</v>
      </c>
      <c r="P6146" s="18">
        <f t="shared" si="1"/>
        <v>675.266</v>
      </c>
    </row>
    <row r="6147" ht="15.75" customHeight="1">
      <c r="A6147" s="19" t="s">
        <v>265</v>
      </c>
      <c r="B6147" s="19" t="s">
        <v>99</v>
      </c>
      <c r="C6147" s="20" t="s">
        <v>115</v>
      </c>
      <c r="D6147" s="14" t="str">
        <f>VLOOKUP(C6147,'State Key'!$A$2:$B$210,2,False)</f>
        <v>Karnataka</v>
      </c>
      <c r="E6147" s="21">
        <v>1720.0</v>
      </c>
      <c r="F6147" s="22">
        <v>259.417</v>
      </c>
      <c r="G6147" s="22">
        <v>172.438</v>
      </c>
      <c r="H6147" s="22">
        <v>20.201</v>
      </c>
      <c r="I6147" s="22">
        <v>0.0</v>
      </c>
      <c r="J6147" s="22">
        <v>0.0</v>
      </c>
      <c r="K6147" s="22">
        <v>0.0</v>
      </c>
      <c r="L6147" s="22">
        <v>452.056</v>
      </c>
      <c r="M6147" s="22">
        <v>681.342</v>
      </c>
      <c r="N6147" s="22">
        <v>232.0</v>
      </c>
      <c r="O6147" s="23">
        <v>10.2</v>
      </c>
      <c r="P6147" s="18">
        <f t="shared" si="1"/>
        <v>452.056</v>
      </c>
    </row>
    <row r="6148" ht="15.75" customHeight="1">
      <c r="A6148" s="13" t="s">
        <v>265</v>
      </c>
      <c r="B6148" s="13" t="s">
        <v>99</v>
      </c>
      <c r="C6148" s="14" t="s">
        <v>116</v>
      </c>
      <c r="D6148" s="14" t="str">
        <f>VLOOKUP(C6148,'State Key'!$A$2:$B$210,2,False)</f>
        <v>Telangana</v>
      </c>
      <c r="E6148" s="15">
        <v>2600.0</v>
      </c>
      <c r="F6148" s="16">
        <v>766.49</v>
      </c>
      <c r="G6148" s="16">
        <v>0.0</v>
      </c>
      <c r="H6148" s="16">
        <v>0.0</v>
      </c>
      <c r="I6148" s="16">
        <v>0.0</v>
      </c>
      <c r="J6148" s="16">
        <v>0.0</v>
      </c>
      <c r="K6148" s="16">
        <v>0.0</v>
      </c>
      <c r="L6148" s="16">
        <v>766.49</v>
      </c>
      <c r="M6148" s="16">
        <v>862.253</v>
      </c>
      <c r="N6148" s="16">
        <v>562.48</v>
      </c>
      <c r="O6148" s="24">
        <v>19.6</v>
      </c>
      <c r="P6148" s="18">
        <f t="shared" si="1"/>
        <v>766.49</v>
      </c>
    </row>
    <row r="6149" ht="15.75" customHeight="1">
      <c r="A6149" s="19" t="s">
        <v>265</v>
      </c>
      <c r="B6149" s="19" t="s">
        <v>99</v>
      </c>
      <c r="C6149" s="20" t="s">
        <v>117</v>
      </c>
      <c r="D6149" s="14" t="str">
        <f>VLOOKUP(C6149,'State Key'!$A$2:$B$210,2,False)</f>
        <v>Telangana</v>
      </c>
      <c r="E6149" s="21">
        <v>62.5</v>
      </c>
      <c r="F6149" s="22">
        <v>0.0</v>
      </c>
      <c r="G6149" s="22">
        <v>0.0</v>
      </c>
      <c r="H6149" s="22">
        <v>0.0</v>
      </c>
      <c r="I6149" s="22">
        <v>0.0</v>
      </c>
      <c r="J6149" s="22">
        <v>0.0</v>
      </c>
      <c r="K6149" s="22">
        <v>0.0</v>
      </c>
      <c r="L6149" s="22">
        <v>0.0</v>
      </c>
      <c r="M6149" s="22">
        <v>0.0</v>
      </c>
      <c r="N6149" s="22">
        <v>0.0</v>
      </c>
      <c r="O6149" s="19" t="s">
        <v>58</v>
      </c>
      <c r="P6149" s="18">
        <f t="shared" si="1"/>
        <v>0</v>
      </c>
    </row>
    <row r="6150" ht="15.75" customHeight="1">
      <c r="A6150" s="13" t="s">
        <v>265</v>
      </c>
      <c r="B6150" s="13" t="s">
        <v>99</v>
      </c>
      <c r="C6150" s="14" t="s">
        <v>118</v>
      </c>
      <c r="D6150" s="14" t="str">
        <f>VLOOKUP(C6150,'State Key'!$A$2:$B$210,2,False)</f>
        <v>Andhra Pradesh</v>
      </c>
      <c r="E6150" s="15">
        <v>1650.0</v>
      </c>
      <c r="F6150" s="16">
        <v>571.311</v>
      </c>
      <c r="G6150" s="16">
        <v>124.309</v>
      </c>
      <c r="H6150" s="16">
        <v>0.0</v>
      </c>
      <c r="I6150" s="16">
        <v>0.0</v>
      </c>
      <c r="J6150" s="16">
        <v>0.0</v>
      </c>
      <c r="K6150" s="16">
        <v>0.0</v>
      </c>
      <c r="L6150" s="16">
        <v>695.62</v>
      </c>
      <c r="M6150" s="16">
        <v>580.002</v>
      </c>
      <c r="N6150" s="16">
        <v>348.997</v>
      </c>
      <c r="O6150" s="24">
        <v>18.1</v>
      </c>
      <c r="P6150" s="18">
        <f t="shared" si="1"/>
        <v>695.62</v>
      </c>
    </row>
    <row r="6151" ht="15.75" customHeight="1">
      <c r="A6151" s="19" t="s">
        <v>265</v>
      </c>
      <c r="B6151" s="19" t="s">
        <v>99</v>
      </c>
      <c r="C6151" s="20" t="s">
        <v>119</v>
      </c>
      <c r="D6151" s="14" t="str">
        <f>VLOOKUP(C6151,'State Key'!$A$2:$B$210,2,False)</f>
        <v>Andhra Pradesh</v>
      </c>
      <c r="E6151" s="21">
        <v>1320.0</v>
      </c>
      <c r="F6151" s="22">
        <v>464.224</v>
      </c>
      <c r="G6151" s="22">
        <v>0.0</v>
      </c>
      <c r="H6151" s="22">
        <v>0.0</v>
      </c>
      <c r="I6151" s="22">
        <v>0.0</v>
      </c>
      <c r="J6151" s="22">
        <v>209.406</v>
      </c>
      <c r="K6151" s="22">
        <v>0.0</v>
      </c>
      <c r="L6151" s="22">
        <v>673.63</v>
      </c>
      <c r="M6151" s="22">
        <v>471.014</v>
      </c>
      <c r="N6151" s="22">
        <v>603.55</v>
      </c>
      <c r="O6151" s="24">
        <v>38.4</v>
      </c>
      <c r="P6151" s="18">
        <f t="shared" si="1"/>
        <v>673.63</v>
      </c>
    </row>
    <row r="6152" ht="15.75" customHeight="1">
      <c r="A6152" s="13" t="s">
        <v>265</v>
      </c>
      <c r="B6152" s="13" t="s">
        <v>99</v>
      </c>
      <c r="C6152" s="14" t="s">
        <v>120</v>
      </c>
      <c r="D6152" s="14" t="str">
        <f>VLOOKUP(C6152,'State Key'!$A$2:$B$210,2,False)</f>
        <v>Andhra Pradesh</v>
      </c>
      <c r="E6152" s="15">
        <v>2000.0</v>
      </c>
      <c r="F6152" s="16">
        <v>618.88</v>
      </c>
      <c r="G6152" s="16">
        <v>0.0</v>
      </c>
      <c r="H6152" s="16">
        <v>132.07</v>
      </c>
      <c r="I6152" s="16">
        <v>0.0</v>
      </c>
      <c r="J6152" s="16">
        <v>0.0</v>
      </c>
      <c r="K6152" s="16">
        <v>0.0</v>
      </c>
      <c r="L6152" s="16">
        <v>750.95</v>
      </c>
      <c r="M6152" s="16">
        <v>760.133</v>
      </c>
      <c r="N6152" s="16">
        <v>391.99</v>
      </c>
      <c r="O6152" s="24">
        <v>15.5</v>
      </c>
      <c r="P6152" s="18">
        <f t="shared" si="1"/>
        <v>750.95</v>
      </c>
    </row>
    <row r="6153" ht="15.75" customHeight="1">
      <c r="A6153" s="19" t="s">
        <v>265</v>
      </c>
      <c r="B6153" s="19" t="s">
        <v>99</v>
      </c>
      <c r="C6153" s="20" t="s">
        <v>121</v>
      </c>
      <c r="D6153" s="14" t="str">
        <f>VLOOKUP(C6153,'State Key'!$A$2:$B$210,2,False)</f>
        <v>Andhra Pradesh</v>
      </c>
      <c r="E6153" s="21">
        <v>600.0</v>
      </c>
      <c r="F6153" s="22">
        <v>0.0</v>
      </c>
      <c r="G6153" s="22">
        <v>0.0</v>
      </c>
      <c r="H6153" s="22">
        <v>0.0</v>
      </c>
      <c r="I6153" s="22">
        <v>0.0</v>
      </c>
      <c r="J6153" s="22">
        <v>118.899</v>
      </c>
      <c r="K6153" s="22">
        <v>0.0</v>
      </c>
      <c r="L6153" s="22">
        <v>118.899</v>
      </c>
      <c r="M6153" s="22">
        <v>114.134</v>
      </c>
      <c r="N6153" s="22">
        <v>209.852</v>
      </c>
      <c r="O6153" s="24">
        <v>55.2</v>
      </c>
      <c r="P6153" s="18">
        <f t="shared" si="1"/>
        <v>118.899</v>
      </c>
    </row>
    <row r="6154" ht="15.75" customHeight="1">
      <c r="A6154" s="13" t="s">
        <v>265</v>
      </c>
      <c r="B6154" s="13" t="s">
        <v>99</v>
      </c>
      <c r="C6154" s="14" t="s">
        <v>122</v>
      </c>
      <c r="D6154" s="14" t="str">
        <f>VLOOKUP(C6154,'State Key'!$A$2:$B$210,2,False)</f>
        <v>Telangana</v>
      </c>
      <c r="E6154" s="15">
        <v>1200.0</v>
      </c>
      <c r="F6154" s="16">
        <v>0.0</v>
      </c>
      <c r="G6154" s="16">
        <v>499.075</v>
      </c>
      <c r="H6154" s="16">
        <v>0.0</v>
      </c>
      <c r="I6154" s="16">
        <v>0.0</v>
      </c>
      <c r="J6154" s="16">
        <v>0.0</v>
      </c>
      <c r="K6154" s="16">
        <v>0.0</v>
      </c>
      <c r="L6154" s="16">
        <v>499.075</v>
      </c>
      <c r="M6154" s="16">
        <v>460.024</v>
      </c>
      <c r="N6154" s="16">
        <v>164.91</v>
      </c>
      <c r="O6154" s="23">
        <v>10.8</v>
      </c>
      <c r="P6154" s="18">
        <f t="shared" si="1"/>
        <v>499.075</v>
      </c>
    </row>
    <row r="6155" ht="15.75" customHeight="1">
      <c r="A6155" s="19" t="s">
        <v>265</v>
      </c>
      <c r="B6155" s="19" t="s">
        <v>99</v>
      </c>
      <c r="C6155" s="20" t="s">
        <v>243</v>
      </c>
      <c r="D6155" s="14" t="str">
        <f>VLOOKUP(C6155,'State Key'!$A$2:$B$210,2,False)</f>
        <v>Tamil Nadu</v>
      </c>
      <c r="E6155" s="21">
        <v>63.5</v>
      </c>
      <c r="F6155" s="22">
        <v>0.0</v>
      </c>
      <c r="G6155" s="22">
        <v>0.0</v>
      </c>
      <c r="H6155" s="22">
        <v>0.0</v>
      </c>
      <c r="I6155" s="22">
        <v>0.0</v>
      </c>
      <c r="J6155" s="22">
        <v>0.0</v>
      </c>
      <c r="K6155" s="22">
        <v>0.0</v>
      </c>
      <c r="L6155" s="22">
        <v>0.0</v>
      </c>
      <c r="M6155" s="22">
        <v>0.0</v>
      </c>
      <c r="N6155" s="22">
        <v>0.0</v>
      </c>
      <c r="O6155" s="19" t="s">
        <v>58</v>
      </c>
      <c r="P6155" s="18">
        <f t="shared" si="1"/>
        <v>0</v>
      </c>
    </row>
    <row r="6156" ht="15.75" customHeight="1">
      <c r="A6156" s="13" t="s">
        <v>265</v>
      </c>
      <c r="B6156" s="13" t="s">
        <v>99</v>
      </c>
      <c r="C6156" s="14" t="s">
        <v>220</v>
      </c>
      <c r="D6156" s="14" t="str">
        <f>VLOOKUP(C6156,'State Key'!$A$2:$B$210,2,False)</f>
        <v>Telangana</v>
      </c>
      <c r="E6156" s="15">
        <v>1600.0</v>
      </c>
      <c r="F6156" s="16">
        <v>7.71</v>
      </c>
      <c r="G6156" s="16">
        <v>355.25</v>
      </c>
      <c r="H6156" s="16">
        <v>22.55</v>
      </c>
      <c r="I6156" s="16">
        <v>0.0</v>
      </c>
      <c r="J6156" s="16">
        <v>0.0</v>
      </c>
      <c r="K6156" s="16">
        <v>0.0</v>
      </c>
      <c r="L6156" s="16">
        <v>385.51</v>
      </c>
      <c r="M6156" s="16">
        <v>528.98</v>
      </c>
      <c r="N6156" s="16">
        <v>379.97</v>
      </c>
      <c r="O6156" s="24">
        <v>21.5</v>
      </c>
      <c r="P6156" s="18">
        <f t="shared" si="1"/>
        <v>385.51</v>
      </c>
    </row>
    <row r="6157" ht="15.75" customHeight="1">
      <c r="A6157" s="19" t="s">
        <v>265</v>
      </c>
      <c r="B6157" s="19" t="s">
        <v>99</v>
      </c>
      <c r="C6157" s="20" t="s">
        <v>124</v>
      </c>
      <c r="D6157" s="14" t="str">
        <f>VLOOKUP(C6157,'State Key'!$A$2:$B$210,2,False)</f>
        <v>Karnataka</v>
      </c>
      <c r="E6157" s="21">
        <v>260.0</v>
      </c>
      <c r="F6157" s="22">
        <v>0.0</v>
      </c>
      <c r="G6157" s="22">
        <v>0.0</v>
      </c>
      <c r="H6157" s="22">
        <v>0.0</v>
      </c>
      <c r="I6157" s="22">
        <v>0.0</v>
      </c>
      <c r="J6157" s="22">
        <v>55.69</v>
      </c>
      <c r="K6157" s="22">
        <v>0.0</v>
      </c>
      <c r="L6157" s="22">
        <v>55.69</v>
      </c>
      <c r="M6157" s="22">
        <v>55.69</v>
      </c>
      <c r="N6157" s="22">
        <v>0.0</v>
      </c>
      <c r="O6157" s="17">
        <v>0.0</v>
      </c>
      <c r="P6157" s="18">
        <f t="shared" si="1"/>
        <v>55.69</v>
      </c>
    </row>
    <row r="6158" ht="15.75" customHeight="1">
      <c r="A6158" s="13" t="s">
        <v>265</v>
      </c>
      <c r="B6158" s="13" t="s">
        <v>99</v>
      </c>
      <c r="C6158" s="14" t="s">
        <v>125</v>
      </c>
      <c r="D6158" s="14" t="str">
        <f>VLOOKUP(C6158,'State Key'!$A$2:$B$210,2,False)</f>
        <v>Karnataka</v>
      </c>
      <c r="E6158" s="15">
        <v>600.0</v>
      </c>
      <c r="F6158" s="16">
        <v>0.0</v>
      </c>
      <c r="G6158" s="16">
        <v>0.0</v>
      </c>
      <c r="H6158" s="16">
        <v>0.0</v>
      </c>
      <c r="I6158" s="16">
        <v>0.0</v>
      </c>
      <c r="J6158" s="16">
        <v>133.05</v>
      </c>
      <c r="K6158" s="16">
        <v>0.0</v>
      </c>
      <c r="L6158" s="16">
        <v>133.05</v>
      </c>
      <c r="M6158" s="16">
        <v>132.36</v>
      </c>
      <c r="N6158" s="16">
        <v>5.7</v>
      </c>
      <c r="O6158" s="17">
        <v>1.3</v>
      </c>
      <c r="P6158" s="18">
        <f t="shared" si="1"/>
        <v>133.05</v>
      </c>
    </row>
    <row r="6159" ht="15.75" customHeight="1">
      <c r="A6159" s="19" t="s">
        <v>265</v>
      </c>
      <c r="B6159" s="19" t="s">
        <v>99</v>
      </c>
      <c r="C6159" s="20" t="s">
        <v>126</v>
      </c>
      <c r="D6159" s="14" t="str">
        <f>VLOOKUP(C6159,'State Key'!$A$2:$B$210,2,False)</f>
        <v>Tamil Nadu</v>
      </c>
      <c r="E6159" s="21">
        <v>300.0</v>
      </c>
      <c r="F6159" s="22">
        <v>0.0</v>
      </c>
      <c r="G6159" s="22">
        <v>0.0</v>
      </c>
      <c r="H6159" s="22">
        <v>0.0</v>
      </c>
      <c r="I6159" s="22">
        <v>0.0</v>
      </c>
      <c r="J6159" s="22">
        <v>0.0</v>
      </c>
      <c r="K6159" s="22">
        <v>0.0</v>
      </c>
      <c r="L6159" s="22">
        <v>0.0</v>
      </c>
      <c r="M6159" s="22">
        <v>0.0</v>
      </c>
      <c r="N6159" s="22">
        <v>0.0</v>
      </c>
      <c r="O6159" s="19" t="s">
        <v>58</v>
      </c>
      <c r="P6159" s="18">
        <f t="shared" si="1"/>
        <v>0</v>
      </c>
    </row>
    <row r="6160" ht="15.75" customHeight="1">
      <c r="A6160" s="13" t="s">
        <v>265</v>
      </c>
      <c r="B6160" s="13" t="s">
        <v>99</v>
      </c>
      <c r="C6160" s="14" t="s">
        <v>127</v>
      </c>
      <c r="D6160" s="14" t="str">
        <f>VLOOKUP(C6160,'State Key'!$A$2:$B$210,2,False)</f>
        <v>Tamil Nadu</v>
      </c>
      <c r="E6160" s="15">
        <v>525.0</v>
      </c>
      <c r="F6160" s="16">
        <v>0.0</v>
      </c>
      <c r="G6160" s="16">
        <v>0.0</v>
      </c>
      <c r="H6160" s="16">
        <v>0.0</v>
      </c>
      <c r="I6160" s="16">
        <v>0.0</v>
      </c>
      <c r="J6160" s="16">
        <v>139.515</v>
      </c>
      <c r="K6160" s="16">
        <v>0.0</v>
      </c>
      <c r="L6160" s="16">
        <v>139.515</v>
      </c>
      <c r="M6160" s="16">
        <v>137.569</v>
      </c>
      <c r="N6160" s="16">
        <v>8.57</v>
      </c>
      <c r="O6160" s="17">
        <v>1.9</v>
      </c>
      <c r="P6160" s="18">
        <f t="shared" si="1"/>
        <v>139.515</v>
      </c>
    </row>
    <row r="6161" ht="15.75" customHeight="1">
      <c r="A6161" s="19" t="s">
        <v>265</v>
      </c>
      <c r="B6161" s="19" t="s">
        <v>99</v>
      </c>
      <c r="C6161" s="20" t="s">
        <v>128</v>
      </c>
      <c r="D6161" s="14" t="str">
        <f>VLOOKUP(C6161,'State Key'!$A$2:$B$210,2,False)</f>
        <v>Tamil Nadu</v>
      </c>
      <c r="E6161" s="21">
        <v>1050.0</v>
      </c>
      <c r="F6161" s="22">
        <v>339.556</v>
      </c>
      <c r="G6161" s="22">
        <v>0.0</v>
      </c>
      <c r="H6161" s="22">
        <v>0.0</v>
      </c>
      <c r="I6161" s="22">
        <v>0.0</v>
      </c>
      <c r="J6161" s="22">
        <v>0.0</v>
      </c>
      <c r="K6161" s="22">
        <v>0.0</v>
      </c>
      <c r="L6161" s="22">
        <v>339.556</v>
      </c>
      <c r="M6161" s="22">
        <v>319.465</v>
      </c>
      <c r="N6161" s="22">
        <v>208.95</v>
      </c>
      <c r="O6161" s="24">
        <v>19.6</v>
      </c>
      <c r="P6161" s="18">
        <f t="shared" si="1"/>
        <v>339.556</v>
      </c>
    </row>
    <row r="6162" ht="15.75" customHeight="1">
      <c r="A6162" s="13" t="s">
        <v>265</v>
      </c>
      <c r="B6162" s="13" t="s">
        <v>99</v>
      </c>
      <c r="C6162" s="14" t="s">
        <v>130</v>
      </c>
      <c r="D6162" s="14" t="str">
        <f>VLOOKUP(C6162,'State Key'!$A$2:$B$210,2,False)</f>
        <v>Tamil Nadu</v>
      </c>
      <c r="E6162" s="15">
        <v>1500.0</v>
      </c>
      <c r="F6162" s="16">
        <v>495.654</v>
      </c>
      <c r="G6162" s="16">
        <v>0.0</v>
      </c>
      <c r="H6162" s="16">
        <v>0.0</v>
      </c>
      <c r="I6162" s="16">
        <v>0.0</v>
      </c>
      <c r="J6162" s="16">
        <v>0.0</v>
      </c>
      <c r="K6162" s="16">
        <v>0.0</v>
      </c>
      <c r="L6162" s="16">
        <v>495.654</v>
      </c>
      <c r="M6162" s="16">
        <v>516.551</v>
      </c>
      <c r="N6162" s="16">
        <v>631.64</v>
      </c>
      <c r="O6162" s="24">
        <v>36.7</v>
      </c>
      <c r="P6162" s="18">
        <f t="shared" si="1"/>
        <v>495.654</v>
      </c>
    </row>
    <row r="6163" ht="15.75" customHeight="1">
      <c r="A6163" s="19" t="s">
        <v>265</v>
      </c>
      <c r="B6163" s="19" t="s">
        <v>99</v>
      </c>
      <c r="C6163" s="20" t="s">
        <v>131</v>
      </c>
      <c r="D6163" s="14" t="str">
        <f>VLOOKUP(C6163,'State Key'!$A$2:$B$210,2,False)</f>
        <v>Andhra Pradesh</v>
      </c>
      <c r="E6163" s="21">
        <v>1040.0</v>
      </c>
      <c r="F6163" s="22">
        <v>371.12909</v>
      </c>
      <c r="G6163" s="22">
        <v>0.0</v>
      </c>
      <c r="H6163" s="22">
        <v>0.0</v>
      </c>
      <c r="I6163" s="22">
        <v>0.0</v>
      </c>
      <c r="J6163" s="22">
        <v>0.0</v>
      </c>
      <c r="K6163" s="22">
        <v>0.0</v>
      </c>
      <c r="L6163" s="22">
        <v>371.12909</v>
      </c>
      <c r="M6163" s="22">
        <v>385.411</v>
      </c>
      <c r="N6163" s="22">
        <v>86.911</v>
      </c>
      <c r="O6163" s="17">
        <v>6.8</v>
      </c>
      <c r="P6163" s="18">
        <f t="shared" si="1"/>
        <v>371.12909</v>
      </c>
    </row>
    <row r="6164" ht="15.75" customHeight="1">
      <c r="A6164" s="13" t="s">
        <v>265</v>
      </c>
      <c r="B6164" s="13" t="s">
        <v>99</v>
      </c>
      <c r="C6164" s="14" t="s">
        <v>249</v>
      </c>
      <c r="D6164" s="14" t="str">
        <f>VLOOKUP(C6164,'State Key'!$A$2:$B$210,2,False)</f>
        <v>Telangana</v>
      </c>
      <c r="E6164" s="15">
        <v>2400.0</v>
      </c>
      <c r="F6164" s="16">
        <v>0.0</v>
      </c>
      <c r="G6164" s="16">
        <v>526.238</v>
      </c>
      <c r="H6164" s="16">
        <v>0.0</v>
      </c>
      <c r="I6164" s="16">
        <v>0.0</v>
      </c>
      <c r="J6164" s="16">
        <v>0.0</v>
      </c>
      <c r="K6164" s="16">
        <v>0.0</v>
      </c>
      <c r="L6164" s="16">
        <v>526.238</v>
      </c>
      <c r="M6164" s="16">
        <v>625.321</v>
      </c>
      <c r="N6164" s="16">
        <v>245.199</v>
      </c>
      <c r="O6164" s="23">
        <v>11.8</v>
      </c>
      <c r="P6164" s="18">
        <f t="shared" si="1"/>
        <v>526.238</v>
      </c>
    </row>
    <row r="6165" ht="15.75" customHeight="1">
      <c r="A6165" s="19" t="s">
        <v>265</v>
      </c>
      <c r="B6165" s="19" t="s">
        <v>99</v>
      </c>
      <c r="C6165" s="20" t="s">
        <v>132</v>
      </c>
      <c r="D6165" s="14" t="str">
        <f>VLOOKUP(C6165,'State Key'!$A$2:$B$210,2,False)</f>
        <v>Karnataka</v>
      </c>
      <c r="E6165" s="21">
        <v>1600.0</v>
      </c>
      <c r="F6165" s="22">
        <v>0.0</v>
      </c>
      <c r="G6165" s="22">
        <v>195.102</v>
      </c>
      <c r="H6165" s="22">
        <v>0.0</v>
      </c>
      <c r="I6165" s="22">
        <v>0.0</v>
      </c>
      <c r="J6165" s="22">
        <v>0.0</v>
      </c>
      <c r="K6165" s="22">
        <v>0.0</v>
      </c>
      <c r="L6165" s="22">
        <v>195.102</v>
      </c>
      <c r="M6165" s="22">
        <v>265.186</v>
      </c>
      <c r="N6165" s="22">
        <v>260.42</v>
      </c>
      <c r="O6165" s="24">
        <v>29.5</v>
      </c>
      <c r="P6165" s="18">
        <f t="shared" si="1"/>
        <v>195.102</v>
      </c>
    </row>
    <row r="6166" ht="15.75" customHeight="1">
      <c r="A6166" s="13" t="s">
        <v>265</v>
      </c>
      <c r="B6166" s="13" t="s">
        <v>133</v>
      </c>
      <c r="C6166" s="14" t="s">
        <v>211</v>
      </c>
      <c r="D6166" s="14" t="str">
        <f>VLOOKUP(C6166,'State Key'!$A$2:$B$210,2,False)</f>
        <v>Gujarat</v>
      </c>
      <c r="E6166" s="15">
        <v>2640.0</v>
      </c>
      <c r="F6166" s="16">
        <v>0.0</v>
      </c>
      <c r="G6166" s="16">
        <v>0.0</v>
      </c>
      <c r="H6166" s="16">
        <v>0.0</v>
      </c>
      <c r="I6166" s="16">
        <v>0.0</v>
      </c>
      <c r="J6166" s="16">
        <v>654.023</v>
      </c>
      <c r="K6166" s="16">
        <v>0.0</v>
      </c>
      <c r="L6166" s="16">
        <v>654.023</v>
      </c>
      <c r="M6166" s="16">
        <v>660.744</v>
      </c>
      <c r="N6166" s="16">
        <v>137.869</v>
      </c>
      <c r="O6166" s="17">
        <v>6.3</v>
      </c>
      <c r="P6166" s="18">
        <f t="shared" si="1"/>
        <v>654.023</v>
      </c>
    </row>
    <row r="6167" ht="15.75" customHeight="1">
      <c r="A6167" s="19" t="s">
        <v>265</v>
      </c>
      <c r="B6167" s="19" t="s">
        <v>133</v>
      </c>
      <c r="C6167" s="20" t="s">
        <v>212</v>
      </c>
      <c r="D6167" s="14" t="str">
        <f>VLOOKUP(C6167,'State Key'!$A$2:$B$210,2,False)</f>
        <v>Gujarat</v>
      </c>
      <c r="E6167" s="21">
        <v>1980.0</v>
      </c>
      <c r="F6167" s="22">
        <v>0.0</v>
      </c>
      <c r="G6167" s="22">
        <v>0.0</v>
      </c>
      <c r="H6167" s="22">
        <v>0.0</v>
      </c>
      <c r="I6167" s="22">
        <v>0.0</v>
      </c>
      <c r="J6167" s="22">
        <v>589.273</v>
      </c>
      <c r="K6167" s="22">
        <v>0.0</v>
      </c>
      <c r="L6167" s="22">
        <v>589.273</v>
      </c>
      <c r="M6167" s="22">
        <v>610.875</v>
      </c>
      <c r="N6167" s="22">
        <v>78.144</v>
      </c>
      <c r="O6167" s="17">
        <v>3.8</v>
      </c>
      <c r="P6167" s="18">
        <f t="shared" si="1"/>
        <v>589.273</v>
      </c>
    </row>
    <row r="6168" ht="15.75" customHeight="1">
      <c r="A6168" s="13" t="s">
        <v>265</v>
      </c>
      <c r="B6168" s="13" t="s">
        <v>133</v>
      </c>
      <c r="C6168" s="14" t="s">
        <v>213</v>
      </c>
      <c r="D6168" s="14" t="str">
        <f>VLOOKUP(C6168,'State Key'!$A$2:$B$210,2,False)</f>
        <v>Chhattisgarh</v>
      </c>
      <c r="E6168" s="15">
        <v>600.0</v>
      </c>
      <c r="F6168" s="16">
        <v>107.146</v>
      </c>
      <c r="G6168" s="16">
        <v>0.0</v>
      </c>
      <c r="H6168" s="16">
        <v>0.0</v>
      </c>
      <c r="I6168" s="16">
        <v>0.0</v>
      </c>
      <c r="J6168" s="16">
        <v>0.0</v>
      </c>
      <c r="K6168" s="16">
        <v>102.675</v>
      </c>
      <c r="L6168" s="16">
        <v>209.821</v>
      </c>
      <c r="M6168" s="16">
        <v>187.008</v>
      </c>
      <c r="N6168" s="16">
        <v>287.254</v>
      </c>
      <c r="O6168" s="24">
        <v>46.1</v>
      </c>
      <c r="P6168" s="18">
        <f t="shared" si="1"/>
        <v>209.821</v>
      </c>
    </row>
    <row r="6169" ht="15.75" customHeight="1">
      <c r="A6169" s="19" t="s">
        <v>265</v>
      </c>
      <c r="B6169" s="19" t="s">
        <v>133</v>
      </c>
      <c r="C6169" s="20" t="s">
        <v>214</v>
      </c>
      <c r="D6169" s="14" t="str">
        <f>VLOOKUP(C6169,'State Key'!$A$2:$B$210,2,False)</f>
        <v>Chhattisgarh</v>
      </c>
      <c r="E6169" s="21">
        <v>1370.0</v>
      </c>
      <c r="F6169" s="22">
        <v>563.172</v>
      </c>
      <c r="G6169" s="22">
        <v>0.0</v>
      </c>
      <c r="H6169" s="22">
        <v>0.0</v>
      </c>
      <c r="I6169" s="22">
        <v>0.0</v>
      </c>
      <c r="J6169" s="22">
        <v>0.0</v>
      </c>
      <c r="K6169" s="22">
        <v>96.855</v>
      </c>
      <c r="L6169" s="22">
        <v>660.027</v>
      </c>
      <c r="M6169" s="22">
        <v>538.687</v>
      </c>
      <c r="N6169" s="22">
        <v>261.55</v>
      </c>
      <c r="O6169" s="24">
        <v>14.6</v>
      </c>
      <c r="P6169" s="18">
        <f t="shared" si="1"/>
        <v>660.027</v>
      </c>
    </row>
    <row r="6170" ht="15.75" customHeight="1">
      <c r="A6170" s="13" t="s">
        <v>265</v>
      </c>
      <c r="B6170" s="13" t="s">
        <v>133</v>
      </c>
      <c r="C6170" s="14" t="s">
        <v>215</v>
      </c>
      <c r="D6170" s="14" t="str">
        <f>VLOOKUP(C6170,'State Key'!$A$2:$B$210,2,False)</f>
        <v>Maharashtra</v>
      </c>
      <c r="E6170" s="15">
        <v>3300.0</v>
      </c>
      <c r="F6170" s="16">
        <v>1208.274</v>
      </c>
      <c r="G6170" s="16">
        <v>0.0</v>
      </c>
      <c r="H6170" s="16">
        <v>0.0</v>
      </c>
      <c r="I6170" s="16">
        <v>0.0</v>
      </c>
      <c r="J6170" s="16">
        <v>0.0</v>
      </c>
      <c r="K6170" s="16">
        <v>0.0</v>
      </c>
      <c r="L6170" s="16">
        <v>1208.274</v>
      </c>
      <c r="M6170" s="16">
        <v>1148.072</v>
      </c>
      <c r="N6170" s="16">
        <v>598.95</v>
      </c>
      <c r="O6170" s="24">
        <v>15.7</v>
      </c>
      <c r="P6170" s="18">
        <f t="shared" si="1"/>
        <v>1208.274</v>
      </c>
    </row>
    <row r="6171" ht="15.75" customHeight="1">
      <c r="A6171" s="19" t="s">
        <v>265</v>
      </c>
      <c r="B6171" s="19" t="s">
        <v>133</v>
      </c>
      <c r="C6171" s="20" t="s">
        <v>135</v>
      </c>
      <c r="D6171" s="14" t="str">
        <f>VLOOKUP(C6171,'State Key'!$A$2:$B$210,2,False)</f>
        <v>Madhya Pradesh</v>
      </c>
      <c r="E6171" s="21">
        <v>210.0</v>
      </c>
      <c r="F6171" s="22">
        <v>83.898</v>
      </c>
      <c r="G6171" s="22">
        <v>0.0</v>
      </c>
      <c r="H6171" s="22">
        <v>0.0</v>
      </c>
      <c r="I6171" s="22">
        <v>0.0</v>
      </c>
      <c r="J6171" s="22">
        <v>0.0</v>
      </c>
      <c r="K6171" s="22">
        <v>0.0</v>
      </c>
      <c r="L6171" s="22">
        <v>83.898</v>
      </c>
      <c r="M6171" s="22">
        <v>94.13</v>
      </c>
      <c r="N6171" s="22">
        <v>61.81</v>
      </c>
      <c r="O6171" s="24">
        <v>19.7</v>
      </c>
      <c r="P6171" s="18">
        <f t="shared" si="1"/>
        <v>83.898</v>
      </c>
    </row>
    <row r="6172" ht="15.75" customHeight="1">
      <c r="A6172" s="13" t="s">
        <v>265</v>
      </c>
      <c r="B6172" s="13" t="s">
        <v>133</v>
      </c>
      <c r="C6172" s="14" t="s">
        <v>136</v>
      </c>
      <c r="D6172" s="14" t="str">
        <f>VLOOKUP(C6172,'State Key'!$A$2:$B$210,2,False)</f>
        <v>Maharashtra</v>
      </c>
      <c r="E6172" s="15">
        <v>1350.0</v>
      </c>
      <c r="F6172" s="16">
        <v>556.983</v>
      </c>
      <c r="G6172" s="16">
        <v>0.0</v>
      </c>
      <c r="H6172" s="16">
        <v>0.0</v>
      </c>
      <c r="I6172" s="16">
        <v>0.0</v>
      </c>
      <c r="J6172" s="16">
        <v>0.0</v>
      </c>
      <c r="K6172" s="16">
        <v>0.0</v>
      </c>
      <c r="L6172" s="16">
        <v>556.983</v>
      </c>
      <c r="M6172" s="16">
        <v>564.725</v>
      </c>
      <c r="N6172" s="16">
        <v>100.82</v>
      </c>
      <c r="O6172" s="17">
        <v>5.4</v>
      </c>
      <c r="P6172" s="18">
        <f t="shared" si="1"/>
        <v>556.983</v>
      </c>
    </row>
    <row r="6173" ht="15.75" customHeight="1">
      <c r="A6173" s="19" t="s">
        <v>265</v>
      </c>
      <c r="B6173" s="19" t="s">
        <v>133</v>
      </c>
      <c r="C6173" s="20" t="s">
        <v>137</v>
      </c>
      <c r="D6173" s="14" t="str">
        <f>VLOOKUP(C6173,'State Key'!$A$2:$B$210,2,False)</f>
        <v>Madhya Pradesh</v>
      </c>
      <c r="E6173" s="21">
        <v>1250.0</v>
      </c>
      <c r="F6173" s="22">
        <v>410.33</v>
      </c>
      <c r="G6173" s="22">
        <v>0.0</v>
      </c>
      <c r="H6173" s="22">
        <v>0.0</v>
      </c>
      <c r="I6173" s="22">
        <v>0.0</v>
      </c>
      <c r="J6173" s="22">
        <v>0.0</v>
      </c>
      <c r="K6173" s="22">
        <v>135.69</v>
      </c>
      <c r="L6173" s="22">
        <v>546.02</v>
      </c>
      <c r="M6173" s="22">
        <v>310.61</v>
      </c>
      <c r="N6173" s="22">
        <v>663.64</v>
      </c>
      <c r="O6173" s="24">
        <v>64.1</v>
      </c>
      <c r="P6173" s="18">
        <f t="shared" si="1"/>
        <v>546.02</v>
      </c>
    </row>
    <row r="6174" ht="15.75" customHeight="1">
      <c r="A6174" s="13" t="s">
        <v>265</v>
      </c>
      <c r="B6174" s="13" t="s">
        <v>133</v>
      </c>
      <c r="C6174" s="14" t="s">
        <v>139</v>
      </c>
      <c r="D6174" s="14" t="str">
        <f>VLOOKUP(C6174,'State Key'!$A$2:$B$210,2,False)</f>
        <v>Chhattisgarh</v>
      </c>
      <c r="E6174" s="15">
        <v>600.0</v>
      </c>
      <c r="F6174" s="16">
        <v>0.0</v>
      </c>
      <c r="G6174" s="16">
        <v>151.8</v>
      </c>
      <c r="H6174" s="16">
        <v>0.0</v>
      </c>
      <c r="I6174" s="16">
        <v>13.9</v>
      </c>
      <c r="J6174" s="16">
        <v>0.0</v>
      </c>
      <c r="K6174" s="16">
        <v>0.0</v>
      </c>
      <c r="L6174" s="16">
        <v>165.7</v>
      </c>
      <c r="M6174" s="16">
        <v>129.83</v>
      </c>
      <c r="N6174" s="16">
        <v>53.61</v>
      </c>
      <c r="O6174" s="23">
        <v>12.4</v>
      </c>
      <c r="P6174" s="18">
        <f t="shared" si="1"/>
        <v>165.7</v>
      </c>
    </row>
    <row r="6175" ht="15.75" customHeight="1">
      <c r="A6175" s="19" t="s">
        <v>265</v>
      </c>
      <c r="B6175" s="19" t="s">
        <v>133</v>
      </c>
      <c r="C6175" s="20" t="s">
        <v>140</v>
      </c>
      <c r="D6175" s="14" t="str">
        <f>VLOOKUP(C6175,'State Key'!$A$2:$B$210,2,False)</f>
        <v>Chhattisgarh</v>
      </c>
      <c r="E6175" s="21">
        <v>300.0</v>
      </c>
      <c r="F6175" s="22">
        <v>94.25</v>
      </c>
      <c r="G6175" s="22">
        <v>0.0</v>
      </c>
      <c r="H6175" s="22">
        <v>0.0</v>
      </c>
      <c r="I6175" s="22">
        <v>3.094</v>
      </c>
      <c r="J6175" s="22">
        <v>0.0</v>
      </c>
      <c r="K6175" s="22">
        <v>0.0</v>
      </c>
      <c r="L6175" s="22">
        <v>97.344</v>
      </c>
      <c r="M6175" s="22">
        <v>132.204</v>
      </c>
      <c r="N6175" s="22">
        <v>157.6</v>
      </c>
      <c r="O6175" s="24">
        <v>35.8</v>
      </c>
      <c r="P6175" s="18">
        <f t="shared" si="1"/>
        <v>97.344</v>
      </c>
    </row>
    <row r="6176" ht="15.75" customHeight="1">
      <c r="A6176" s="13" t="s">
        <v>265</v>
      </c>
      <c r="B6176" s="13" t="s">
        <v>133</v>
      </c>
      <c r="C6176" s="14" t="s">
        <v>141</v>
      </c>
      <c r="D6176" s="14" t="str">
        <f>VLOOKUP(C6176,'State Key'!$A$2:$B$210,2,False)</f>
        <v>Chhattisgarh</v>
      </c>
      <c r="E6176" s="15">
        <v>1200.0</v>
      </c>
      <c r="F6176" s="16">
        <v>475.495</v>
      </c>
      <c r="G6176" s="16">
        <v>0.0</v>
      </c>
      <c r="H6176" s="16">
        <v>0.0</v>
      </c>
      <c r="I6176" s="16">
        <v>0.0</v>
      </c>
      <c r="J6176" s="16">
        <v>0.0</v>
      </c>
      <c r="K6176" s="16">
        <v>0.0</v>
      </c>
      <c r="L6176" s="16">
        <v>475.495</v>
      </c>
      <c r="M6176" s="16">
        <v>516.092</v>
      </c>
      <c r="N6176" s="16">
        <v>458.23</v>
      </c>
      <c r="O6176" s="24">
        <v>26.6</v>
      </c>
      <c r="P6176" s="18">
        <f t="shared" si="1"/>
        <v>475.495</v>
      </c>
    </row>
    <row r="6177" ht="15.75" customHeight="1">
      <c r="A6177" s="19" t="s">
        <v>265</v>
      </c>
      <c r="B6177" s="19" t="s">
        <v>133</v>
      </c>
      <c r="C6177" s="20" t="s">
        <v>142</v>
      </c>
      <c r="D6177" s="14" t="str">
        <f>VLOOKUP(C6177,'State Key'!$A$2:$B$210,2,False)</f>
        <v>Maharashtra</v>
      </c>
      <c r="E6177" s="21">
        <v>270.0</v>
      </c>
      <c r="F6177" s="22">
        <v>92.061</v>
      </c>
      <c r="G6177" s="22">
        <v>0.0</v>
      </c>
      <c r="H6177" s="22">
        <v>0.0</v>
      </c>
      <c r="I6177" s="22">
        <v>5.117</v>
      </c>
      <c r="J6177" s="22">
        <v>0.0</v>
      </c>
      <c r="K6177" s="22">
        <v>0.0</v>
      </c>
      <c r="L6177" s="22">
        <v>97.178</v>
      </c>
      <c r="M6177" s="22">
        <v>94.822</v>
      </c>
      <c r="N6177" s="22">
        <v>110.53</v>
      </c>
      <c r="O6177" s="24">
        <v>35.0</v>
      </c>
      <c r="P6177" s="18">
        <f t="shared" si="1"/>
        <v>97.178</v>
      </c>
    </row>
    <row r="6178" ht="15.75" customHeight="1">
      <c r="A6178" s="13" t="s">
        <v>265</v>
      </c>
      <c r="B6178" s="13" t="s">
        <v>133</v>
      </c>
      <c r="C6178" s="14" t="s">
        <v>143</v>
      </c>
      <c r="D6178" s="14" t="str">
        <f>VLOOKUP(C6178,'State Key'!$A$2:$B$210,2,False)</f>
        <v>Chhattisgarh</v>
      </c>
      <c r="E6178" s="15">
        <v>500.0</v>
      </c>
      <c r="F6178" s="16">
        <v>147.548</v>
      </c>
      <c r="G6178" s="16">
        <v>40.158</v>
      </c>
      <c r="H6178" s="16">
        <v>0.0</v>
      </c>
      <c r="I6178" s="16">
        <v>0.0</v>
      </c>
      <c r="J6178" s="16">
        <v>0.0</v>
      </c>
      <c r="K6178" s="16">
        <v>0.0</v>
      </c>
      <c r="L6178" s="16">
        <v>187.706</v>
      </c>
      <c r="M6178" s="16">
        <v>196.677</v>
      </c>
      <c r="N6178" s="16">
        <v>256.8</v>
      </c>
      <c r="O6178" s="24">
        <v>39.2</v>
      </c>
      <c r="P6178" s="18">
        <f t="shared" si="1"/>
        <v>187.706</v>
      </c>
    </row>
    <row r="6179" ht="15.75" customHeight="1">
      <c r="A6179" s="19" t="s">
        <v>265</v>
      </c>
      <c r="B6179" s="19" t="s">
        <v>133</v>
      </c>
      <c r="C6179" s="20" t="s">
        <v>144</v>
      </c>
      <c r="D6179" s="14" t="str">
        <f>VLOOKUP(C6179,'State Key'!$A$2:$B$210,2,False)</f>
        <v>Maharashtra</v>
      </c>
      <c r="E6179" s="21">
        <v>1870.0</v>
      </c>
      <c r="F6179" s="22">
        <v>388.344</v>
      </c>
      <c r="G6179" s="22">
        <v>0.0</v>
      </c>
      <c r="H6179" s="22">
        <v>0.0</v>
      </c>
      <c r="I6179" s="22">
        <v>0.0</v>
      </c>
      <c r="J6179" s="22">
        <v>0.0</v>
      </c>
      <c r="K6179" s="22">
        <v>0.0</v>
      </c>
      <c r="L6179" s="22">
        <v>388.344</v>
      </c>
      <c r="M6179" s="22">
        <v>704.904</v>
      </c>
      <c r="N6179" s="22">
        <v>365.805</v>
      </c>
      <c r="O6179" s="24">
        <v>15.6</v>
      </c>
      <c r="P6179" s="18">
        <f t="shared" si="1"/>
        <v>388.344</v>
      </c>
    </row>
    <row r="6180" ht="15.75" customHeight="1">
      <c r="A6180" s="13" t="s">
        <v>265</v>
      </c>
      <c r="B6180" s="13" t="s">
        <v>133</v>
      </c>
      <c r="C6180" s="14" t="s">
        <v>145</v>
      </c>
      <c r="D6180" s="14" t="str">
        <f>VLOOKUP(C6180,'State Key'!$A$2:$B$210,2,False)</f>
        <v>Madhya Pradesh</v>
      </c>
      <c r="E6180" s="15">
        <v>500.0</v>
      </c>
      <c r="F6180" s="16">
        <v>111.5737822</v>
      </c>
      <c r="G6180" s="16">
        <v>0.0</v>
      </c>
      <c r="H6180" s="16">
        <v>0.0</v>
      </c>
      <c r="I6180" s="16">
        <v>52.5988485</v>
      </c>
      <c r="J6180" s="16">
        <v>0.0</v>
      </c>
      <c r="K6180" s="16">
        <v>0.11109408</v>
      </c>
      <c r="L6180" s="16">
        <v>164.28372478</v>
      </c>
      <c r="M6180" s="16">
        <v>240.755</v>
      </c>
      <c r="N6180" s="16">
        <v>66.97</v>
      </c>
      <c r="O6180" s="23">
        <v>8.3</v>
      </c>
      <c r="P6180" s="18">
        <f t="shared" si="1"/>
        <v>164.2837248</v>
      </c>
    </row>
    <row r="6181" ht="15.75" customHeight="1">
      <c r="A6181" s="19" t="s">
        <v>265</v>
      </c>
      <c r="B6181" s="19" t="s">
        <v>133</v>
      </c>
      <c r="C6181" s="20" t="s">
        <v>146</v>
      </c>
      <c r="D6181" s="14" t="str">
        <f>VLOOKUP(C6181,'State Key'!$A$2:$B$210,2,False)</f>
        <v>Chhattisgarh</v>
      </c>
      <c r="E6181" s="21">
        <v>600.0</v>
      </c>
      <c r="F6181" s="22">
        <v>16.296</v>
      </c>
      <c r="G6181" s="22">
        <v>0.0</v>
      </c>
      <c r="H6181" s="22">
        <v>62.754</v>
      </c>
      <c r="I6181" s="22">
        <v>82.891</v>
      </c>
      <c r="J6181" s="22">
        <v>0.0</v>
      </c>
      <c r="K6181" s="22">
        <v>0.0</v>
      </c>
      <c r="L6181" s="22">
        <v>161.941</v>
      </c>
      <c r="M6181" s="22">
        <v>201.604</v>
      </c>
      <c r="N6181" s="22">
        <v>237.38</v>
      </c>
      <c r="O6181" s="24">
        <v>35.3</v>
      </c>
      <c r="P6181" s="18">
        <f t="shared" si="1"/>
        <v>161.941</v>
      </c>
    </row>
    <row r="6182" ht="15.75" customHeight="1">
      <c r="A6182" s="13" t="s">
        <v>265</v>
      </c>
      <c r="B6182" s="13" t="s">
        <v>133</v>
      </c>
      <c r="C6182" s="14" t="s">
        <v>147</v>
      </c>
      <c r="D6182" s="14" t="str">
        <f>VLOOKUP(C6182,'State Key'!$A$2:$B$210,2,False)</f>
        <v>Maharashtra</v>
      </c>
      <c r="E6182" s="15">
        <v>600.0</v>
      </c>
      <c r="F6182" s="16">
        <v>122.016</v>
      </c>
      <c r="G6182" s="16">
        <v>0.0</v>
      </c>
      <c r="H6182" s="16">
        <v>0.0</v>
      </c>
      <c r="I6182" s="16">
        <v>0.0</v>
      </c>
      <c r="J6182" s="16">
        <v>0.0</v>
      </c>
      <c r="K6182" s="16">
        <v>16.233</v>
      </c>
      <c r="L6182" s="16">
        <v>138.249</v>
      </c>
      <c r="M6182" s="16">
        <v>172.167</v>
      </c>
      <c r="N6182" s="16">
        <v>137.84</v>
      </c>
      <c r="O6182" s="24">
        <v>24.0</v>
      </c>
      <c r="P6182" s="18">
        <f t="shared" si="1"/>
        <v>138.249</v>
      </c>
    </row>
    <row r="6183" ht="15.75" customHeight="1">
      <c r="A6183" s="19" t="s">
        <v>265</v>
      </c>
      <c r="B6183" s="19" t="s">
        <v>133</v>
      </c>
      <c r="C6183" s="20" t="s">
        <v>148</v>
      </c>
      <c r="D6183" s="14" t="str">
        <f>VLOOKUP(C6183,'State Key'!$A$2:$B$210,2,False)</f>
        <v>Chhattisgarh</v>
      </c>
      <c r="E6183" s="21">
        <v>30.0</v>
      </c>
      <c r="F6183" s="22">
        <v>2.936</v>
      </c>
      <c r="G6183" s="22">
        <v>0.0</v>
      </c>
      <c r="H6183" s="22">
        <v>0.0</v>
      </c>
      <c r="I6183" s="22">
        <v>0.0</v>
      </c>
      <c r="J6183" s="22">
        <v>0.0</v>
      </c>
      <c r="K6183" s="22">
        <v>56.4619</v>
      </c>
      <c r="L6183" s="22">
        <v>59.3979</v>
      </c>
      <c r="M6183" s="22">
        <v>61.112</v>
      </c>
      <c r="N6183" s="22">
        <v>2.79</v>
      </c>
      <c r="O6183" s="17">
        <v>1.4</v>
      </c>
      <c r="P6183" s="18">
        <f t="shared" si="1"/>
        <v>59.3979</v>
      </c>
    </row>
    <row r="6184" ht="15.75" customHeight="1">
      <c r="A6184" s="13" t="s">
        <v>265</v>
      </c>
      <c r="B6184" s="13" t="s">
        <v>133</v>
      </c>
      <c r="C6184" s="14" t="s">
        <v>149</v>
      </c>
      <c r="D6184" s="14" t="str">
        <f>VLOOKUP(C6184,'State Key'!$A$2:$B$210,2,False)</f>
        <v>Maharashtra</v>
      </c>
      <c r="E6184" s="15">
        <v>2920.0</v>
      </c>
      <c r="F6184" s="16">
        <v>955.83</v>
      </c>
      <c r="G6184" s="16">
        <v>129.01</v>
      </c>
      <c r="H6184" s="16">
        <v>0.0</v>
      </c>
      <c r="I6184" s="16">
        <v>0.0</v>
      </c>
      <c r="J6184" s="16">
        <v>39.159</v>
      </c>
      <c r="K6184" s="16">
        <v>0.0</v>
      </c>
      <c r="L6184" s="16">
        <v>1123.999</v>
      </c>
      <c r="M6184" s="16">
        <v>1147.055</v>
      </c>
      <c r="N6184" s="16">
        <v>640.85</v>
      </c>
      <c r="O6184" s="24">
        <v>16.8</v>
      </c>
      <c r="P6184" s="18">
        <f t="shared" si="1"/>
        <v>1123.999</v>
      </c>
    </row>
    <row r="6185" ht="15.75" customHeight="1">
      <c r="A6185" s="19" t="s">
        <v>265</v>
      </c>
      <c r="B6185" s="19" t="s">
        <v>133</v>
      </c>
      <c r="C6185" s="20" t="s">
        <v>150</v>
      </c>
      <c r="D6185" s="14" t="str">
        <f>VLOOKUP(C6185,'State Key'!$A$2:$B$210,2,False)</f>
        <v>Maharashtra</v>
      </c>
      <c r="E6185" s="21">
        <v>500.0</v>
      </c>
      <c r="F6185" s="22">
        <v>175.296</v>
      </c>
      <c r="G6185" s="22">
        <v>0.0</v>
      </c>
      <c r="H6185" s="22">
        <v>0.0</v>
      </c>
      <c r="I6185" s="22">
        <v>0.0</v>
      </c>
      <c r="J6185" s="22">
        <v>0.0</v>
      </c>
      <c r="K6185" s="22">
        <v>0.0</v>
      </c>
      <c r="L6185" s="22">
        <v>175.296</v>
      </c>
      <c r="M6185" s="22">
        <v>136.915</v>
      </c>
      <c r="N6185" s="22">
        <v>105.37</v>
      </c>
      <c r="O6185" s="24">
        <v>23.1</v>
      </c>
      <c r="P6185" s="18">
        <f t="shared" si="1"/>
        <v>175.296</v>
      </c>
    </row>
    <row r="6186" ht="15.75" customHeight="1">
      <c r="A6186" s="13" t="s">
        <v>265</v>
      </c>
      <c r="B6186" s="13" t="s">
        <v>133</v>
      </c>
      <c r="C6186" s="14" t="s">
        <v>151</v>
      </c>
      <c r="D6186" s="14" t="str">
        <f>VLOOKUP(C6186,'State Key'!$A$2:$B$210,2,False)</f>
        <v>Maharashtra</v>
      </c>
      <c r="E6186" s="15">
        <v>600.0</v>
      </c>
      <c r="F6186" s="16">
        <v>92.55</v>
      </c>
      <c r="G6186" s="16">
        <v>0.0</v>
      </c>
      <c r="H6186" s="16">
        <v>0.0</v>
      </c>
      <c r="I6186" s="16">
        <v>139.013</v>
      </c>
      <c r="J6186" s="16">
        <v>0.0</v>
      </c>
      <c r="K6186" s="16">
        <v>0.0</v>
      </c>
      <c r="L6186" s="16">
        <v>231.563</v>
      </c>
      <c r="M6186" s="16">
        <v>218.777</v>
      </c>
      <c r="N6186" s="16">
        <v>177.08</v>
      </c>
      <c r="O6186" s="24">
        <v>24.3</v>
      </c>
      <c r="P6186" s="18">
        <f t="shared" si="1"/>
        <v>231.563</v>
      </c>
    </row>
    <row r="6187" ht="15.75" customHeight="1">
      <c r="A6187" s="19" t="s">
        <v>265</v>
      </c>
      <c r="B6187" s="19" t="s">
        <v>133</v>
      </c>
      <c r="C6187" s="20" t="s">
        <v>152</v>
      </c>
      <c r="D6187" s="14" t="str">
        <f>VLOOKUP(C6187,'State Key'!$A$2:$B$210,2,False)</f>
        <v>Chhattisgarh</v>
      </c>
      <c r="E6187" s="21">
        <v>500.0</v>
      </c>
      <c r="F6187" s="22">
        <v>255.621</v>
      </c>
      <c r="G6187" s="22">
        <v>0.0</v>
      </c>
      <c r="H6187" s="22">
        <v>0.0</v>
      </c>
      <c r="I6187" s="22">
        <v>0.0</v>
      </c>
      <c r="J6187" s="22">
        <v>0.0</v>
      </c>
      <c r="K6187" s="22">
        <v>0.0</v>
      </c>
      <c r="L6187" s="22">
        <v>255.621</v>
      </c>
      <c r="M6187" s="22">
        <v>229.707</v>
      </c>
      <c r="N6187" s="22">
        <v>386.902</v>
      </c>
      <c r="O6187" s="24">
        <v>50.5</v>
      </c>
      <c r="P6187" s="18">
        <f t="shared" si="1"/>
        <v>255.621</v>
      </c>
    </row>
    <row r="6188" ht="15.75" customHeight="1">
      <c r="A6188" s="13" t="s">
        <v>265</v>
      </c>
      <c r="B6188" s="13" t="s">
        <v>133</v>
      </c>
      <c r="C6188" s="14" t="s">
        <v>153</v>
      </c>
      <c r="D6188" s="14" t="str">
        <f>VLOOKUP(C6188,'State Key'!$A$2:$B$210,2,False)</f>
        <v>Madhya Pradesh</v>
      </c>
      <c r="E6188" s="15">
        <v>1600.0</v>
      </c>
      <c r="F6188" s="16">
        <v>443.71</v>
      </c>
      <c r="G6188" s="16">
        <v>20.49</v>
      </c>
      <c r="H6188" s="16">
        <v>0.0</v>
      </c>
      <c r="I6188" s="16">
        <v>0.0</v>
      </c>
      <c r="J6188" s="16">
        <v>0.0</v>
      </c>
      <c r="K6188" s="16">
        <v>97.0</v>
      </c>
      <c r="L6188" s="16">
        <v>561.2</v>
      </c>
      <c r="M6188" s="16">
        <v>479.096</v>
      </c>
      <c r="N6188" s="16">
        <v>305.206</v>
      </c>
      <c r="O6188" s="24">
        <v>19.1</v>
      </c>
      <c r="P6188" s="18">
        <f t="shared" si="1"/>
        <v>561.2</v>
      </c>
    </row>
    <row r="6189" ht="15.75" customHeight="1">
      <c r="A6189" s="19" t="s">
        <v>265</v>
      </c>
      <c r="B6189" s="19" t="s">
        <v>133</v>
      </c>
      <c r="C6189" s="20" t="s">
        <v>154</v>
      </c>
      <c r="D6189" s="14" t="str">
        <f>VLOOKUP(C6189,'State Key'!$A$2:$B$210,2,False)</f>
        <v>Gujarat</v>
      </c>
      <c r="E6189" s="21">
        <v>630.0</v>
      </c>
      <c r="F6189" s="22">
        <v>0.0</v>
      </c>
      <c r="G6189" s="22">
        <v>0.0</v>
      </c>
      <c r="H6189" s="22">
        <v>0.0</v>
      </c>
      <c r="I6189" s="22">
        <v>0.0</v>
      </c>
      <c r="J6189" s="22">
        <v>0.0</v>
      </c>
      <c r="K6189" s="22">
        <v>0.0</v>
      </c>
      <c r="L6189" s="22">
        <v>0.0</v>
      </c>
      <c r="M6189" s="22">
        <v>6.891</v>
      </c>
      <c r="N6189" s="22">
        <v>260.45</v>
      </c>
      <c r="O6189" s="24">
        <v>1133.9</v>
      </c>
      <c r="P6189" s="18">
        <f t="shared" si="1"/>
        <v>0</v>
      </c>
    </row>
    <row r="6190" ht="15.75" customHeight="1">
      <c r="A6190" s="13" t="s">
        <v>265</v>
      </c>
      <c r="B6190" s="13" t="s">
        <v>133</v>
      </c>
      <c r="C6190" s="14" t="s">
        <v>155</v>
      </c>
      <c r="D6190" s="14" t="str">
        <f>VLOOKUP(C6190,'State Key'!$A$2:$B$210,2,False)</f>
        <v>Maharashtra</v>
      </c>
      <c r="E6190" s="15">
        <v>120.0</v>
      </c>
      <c r="F6190" s="16">
        <v>0.0</v>
      </c>
      <c r="G6190" s="16">
        <v>0.0</v>
      </c>
      <c r="H6190" s="16">
        <v>0.0</v>
      </c>
      <c r="I6190" s="16">
        <v>0.0</v>
      </c>
      <c r="J6190" s="16">
        <v>0.0</v>
      </c>
      <c r="K6190" s="16">
        <v>0.0</v>
      </c>
      <c r="L6190" s="16">
        <v>0.0</v>
      </c>
      <c r="M6190" s="16">
        <v>0.0</v>
      </c>
      <c r="N6190" s="16">
        <v>0.0</v>
      </c>
      <c r="O6190" s="13" t="s">
        <v>58</v>
      </c>
      <c r="P6190" s="18">
        <f t="shared" si="1"/>
        <v>0</v>
      </c>
    </row>
    <row r="6191" ht="15.75" customHeight="1">
      <c r="A6191" s="19" t="s">
        <v>265</v>
      </c>
      <c r="B6191" s="19" t="s">
        <v>133</v>
      </c>
      <c r="C6191" s="20" t="s">
        <v>156</v>
      </c>
      <c r="D6191" s="14" t="str">
        <f>VLOOKUP(C6191,'State Key'!$A$2:$B$210,2,False)</f>
        <v>Maharashtra</v>
      </c>
      <c r="E6191" s="21">
        <v>600.0</v>
      </c>
      <c r="F6191" s="22">
        <v>201.918</v>
      </c>
      <c r="G6191" s="22">
        <v>0.0</v>
      </c>
      <c r="H6191" s="22">
        <v>0.0</v>
      </c>
      <c r="I6191" s="22">
        <v>20.372</v>
      </c>
      <c r="J6191" s="22">
        <v>0.0</v>
      </c>
      <c r="K6191" s="22">
        <v>0.0</v>
      </c>
      <c r="L6191" s="22">
        <v>222.29</v>
      </c>
      <c r="M6191" s="22">
        <v>246.039</v>
      </c>
      <c r="N6191" s="22">
        <v>158.95</v>
      </c>
      <c r="O6191" s="24">
        <v>19.4</v>
      </c>
      <c r="P6191" s="18">
        <f t="shared" si="1"/>
        <v>222.29</v>
      </c>
    </row>
    <row r="6192" ht="15.75" customHeight="1">
      <c r="A6192" s="13" t="s">
        <v>265</v>
      </c>
      <c r="B6192" s="13" t="s">
        <v>133</v>
      </c>
      <c r="C6192" s="14" t="s">
        <v>268</v>
      </c>
      <c r="D6192" s="14" t="str">
        <f>VLOOKUP(C6192,'State Key'!$A$2:$B$210,2,False)</f>
        <v>Chhattisgarh</v>
      </c>
      <c r="E6192" s="15">
        <v>1800.0</v>
      </c>
      <c r="F6192" s="16">
        <v>687.9735</v>
      </c>
      <c r="G6192" s="16">
        <v>0.0</v>
      </c>
      <c r="H6192" s="16">
        <v>0.0</v>
      </c>
      <c r="I6192" s="16">
        <v>31.1046</v>
      </c>
      <c r="J6192" s="16">
        <v>0.0</v>
      </c>
      <c r="K6192" s="16">
        <v>0.0</v>
      </c>
      <c r="L6192" s="16">
        <v>719.0781</v>
      </c>
      <c r="M6192" s="16">
        <v>701.789</v>
      </c>
      <c r="N6192" s="16">
        <v>579.81</v>
      </c>
      <c r="O6192" s="24">
        <v>24.8</v>
      </c>
      <c r="P6192" s="18">
        <f t="shared" si="1"/>
        <v>719.0781</v>
      </c>
    </row>
    <row r="6193" ht="15.75" customHeight="1">
      <c r="A6193" s="19" t="s">
        <v>265</v>
      </c>
      <c r="B6193" s="19" t="s">
        <v>133</v>
      </c>
      <c r="C6193" s="20" t="s">
        <v>157</v>
      </c>
      <c r="D6193" s="14" t="str">
        <f>VLOOKUP(C6193,'State Key'!$A$2:$B$210,2,False)</f>
        <v>Maharashtra</v>
      </c>
      <c r="E6193" s="21">
        <v>300.0</v>
      </c>
      <c r="F6193" s="22">
        <v>0.0</v>
      </c>
      <c r="G6193" s="22">
        <v>0.0</v>
      </c>
      <c r="H6193" s="22">
        <v>0.0</v>
      </c>
      <c r="I6193" s="22">
        <v>0.0</v>
      </c>
      <c r="J6193" s="22">
        <v>0.0</v>
      </c>
      <c r="K6193" s="22">
        <v>0.0</v>
      </c>
      <c r="L6193" s="22">
        <v>0.0</v>
      </c>
      <c r="M6193" s="22">
        <v>20.328</v>
      </c>
      <c r="N6193" s="22">
        <v>6.72</v>
      </c>
      <c r="O6193" s="23">
        <v>9.9</v>
      </c>
      <c r="P6193" s="18">
        <f t="shared" si="1"/>
        <v>0</v>
      </c>
    </row>
    <row r="6194" ht="15.75" customHeight="1">
      <c r="A6194" s="13" t="s">
        <v>265</v>
      </c>
      <c r="B6194" s="13" t="s">
        <v>133</v>
      </c>
      <c r="C6194" s="14" t="s">
        <v>158</v>
      </c>
      <c r="D6194" s="14" t="str">
        <f>VLOOKUP(C6194,'State Key'!$A$2:$B$210,2,False)</f>
        <v>Chhattisgarh</v>
      </c>
      <c r="E6194" s="15">
        <v>270.0</v>
      </c>
      <c r="F6194" s="16">
        <v>65.967</v>
      </c>
      <c r="G6194" s="16">
        <v>0.0</v>
      </c>
      <c r="H6194" s="16">
        <v>0.0</v>
      </c>
      <c r="I6194" s="16">
        <v>0.0</v>
      </c>
      <c r="J6194" s="16">
        <v>0.0</v>
      </c>
      <c r="K6194" s="16">
        <v>49.637</v>
      </c>
      <c r="L6194" s="16">
        <v>115.604</v>
      </c>
      <c r="M6194" s="16">
        <v>133.45</v>
      </c>
      <c r="N6194" s="16">
        <v>6.4634</v>
      </c>
      <c r="O6194" s="17">
        <v>1.5</v>
      </c>
      <c r="P6194" s="18">
        <f t="shared" si="1"/>
        <v>115.604</v>
      </c>
    </row>
    <row r="6195" ht="15.75" customHeight="1">
      <c r="A6195" s="19" t="s">
        <v>265</v>
      </c>
      <c r="B6195" s="19" t="s">
        <v>133</v>
      </c>
      <c r="C6195" s="20" t="s">
        <v>160</v>
      </c>
      <c r="D6195" s="14" t="str">
        <f>VLOOKUP(C6195,'State Key'!$A$2:$B$210,2,False)</f>
        <v>Maharashtra</v>
      </c>
      <c r="E6195" s="21">
        <v>1340.0</v>
      </c>
      <c r="F6195" s="22">
        <v>561.648</v>
      </c>
      <c r="G6195" s="22">
        <v>8.178</v>
      </c>
      <c r="H6195" s="22">
        <v>0.0</v>
      </c>
      <c r="I6195" s="22">
        <v>0.0</v>
      </c>
      <c r="J6195" s="22">
        <v>0.0</v>
      </c>
      <c r="K6195" s="22">
        <v>0.262</v>
      </c>
      <c r="L6195" s="22">
        <v>570.088</v>
      </c>
      <c r="M6195" s="22">
        <v>597.53</v>
      </c>
      <c r="N6195" s="22">
        <v>286.6</v>
      </c>
      <c r="O6195" s="24">
        <v>14.4</v>
      </c>
      <c r="P6195" s="18">
        <f t="shared" si="1"/>
        <v>570.088</v>
      </c>
    </row>
    <row r="6196" ht="15.75" customHeight="1">
      <c r="A6196" s="13" t="s">
        <v>265</v>
      </c>
      <c r="B6196" s="13" t="s">
        <v>133</v>
      </c>
      <c r="C6196" s="14" t="s">
        <v>161</v>
      </c>
      <c r="D6196" s="14" t="str">
        <f>VLOOKUP(C6196,'State Key'!$A$2:$B$210,2,False)</f>
        <v>Madhya Pradesh</v>
      </c>
      <c r="E6196" s="15">
        <v>1320.0</v>
      </c>
      <c r="F6196" s="16">
        <v>354.99</v>
      </c>
      <c r="G6196" s="16">
        <v>20.32</v>
      </c>
      <c r="H6196" s="16">
        <v>7.31</v>
      </c>
      <c r="I6196" s="16">
        <v>0.0</v>
      </c>
      <c r="J6196" s="16">
        <v>0.0</v>
      </c>
      <c r="K6196" s="16">
        <v>15.68</v>
      </c>
      <c r="L6196" s="16">
        <v>398.3</v>
      </c>
      <c r="M6196" s="16">
        <v>436.805</v>
      </c>
      <c r="N6196" s="16">
        <v>247.63</v>
      </c>
      <c r="O6196" s="24">
        <v>17.0</v>
      </c>
      <c r="P6196" s="18">
        <f t="shared" si="1"/>
        <v>398.3</v>
      </c>
    </row>
    <row r="6197" ht="15.75" customHeight="1">
      <c r="A6197" s="19" t="s">
        <v>265</v>
      </c>
      <c r="B6197" s="19" t="s">
        <v>133</v>
      </c>
      <c r="C6197" s="20" t="s">
        <v>162</v>
      </c>
      <c r="D6197" s="14" t="str">
        <f>VLOOKUP(C6197,'State Key'!$A$2:$B$210,2,False)</f>
        <v>Maharashtra</v>
      </c>
      <c r="E6197" s="21">
        <v>2190.0</v>
      </c>
      <c r="F6197" s="22">
        <v>878.499</v>
      </c>
      <c r="G6197" s="22">
        <v>65.555</v>
      </c>
      <c r="H6197" s="22">
        <v>0.0</v>
      </c>
      <c r="I6197" s="22">
        <v>0.0</v>
      </c>
      <c r="J6197" s="22">
        <v>33.845</v>
      </c>
      <c r="K6197" s="22">
        <v>0.0</v>
      </c>
      <c r="L6197" s="22">
        <v>977.899</v>
      </c>
      <c r="M6197" s="22">
        <v>915.41</v>
      </c>
      <c r="N6197" s="22">
        <v>318.023</v>
      </c>
      <c r="O6197" s="23">
        <v>10.4</v>
      </c>
      <c r="P6197" s="18">
        <f t="shared" si="1"/>
        <v>977.899</v>
      </c>
    </row>
    <row r="6198" ht="15.75" customHeight="1">
      <c r="A6198" s="13" t="s">
        <v>265</v>
      </c>
      <c r="B6198" s="13" t="s">
        <v>133</v>
      </c>
      <c r="C6198" s="14" t="s">
        <v>163</v>
      </c>
      <c r="D6198" s="14" t="str">
        <f>VLOOKUP(C6198,'State Key'!$A$2:$B$210,2,False)</f>
        <v>Chhattisgarh</v>
      </c>
      <c r="E6198" s="15">
        <v>2600.0</v>
      </c>
      <c r="F6198" s="16">
        <v>1427.71</v>
      </c>
      <c r="G6198" s="16">
        <v>0.0</v>
      </c>
      <c r="H6198" s="16">
        <v>0.0</v>
      </c>
      <c r="I6198" s="16">
        <v>0.0</v>
      </c>
      <c r="J6198" s="16">
        <v>0.0</v>
      </c>
      <c r="K6198" s="16">
        <v>0.0</v>
      </c>
      <c r="L6198" s="16">
        <v>1427.71</v>
      </c>
      <c r="M6198" s="16">
        <v>1217.056</v>
      </c>
      <c r="N6198" s="16">
        <v>448.69</v>
      </c>
      <c r="O6198" s="23">
        <v>11.1</v>
      </c>
      <c r="P6198" s="18">
        <f t="shared" si="1"/>
        <v>1427.71</v>
      </c>
    </row>
    <row r="6199" ht="15.75" customHeight="1">
      <c r="A6199" s="19" t="s">
        <v>265</v>
      </c>
      <c r="B6199" s="19" t="s">
        <v>133</v>
      </c>
      <c r="C6199" s="20" t="s">
        <v>164</v>
      </c>
      <c r="D6199" s="14" t="str">
        <f>VLOOKUP(C6199,'State Key'!$A$2:$B$210,2,False)</f>
        <v>Chhattisgarh</v>
      </c>
      <c r="E6199" s="21">
        <v>1340.0</v>
      </c>
      <c r="F6199" s="22">
        <v>739.763</v>
      </c>
      <c r="G6199" s="22">
        <v>0.0</v>
      </c>
      <c r="H6199" s="22">
        <v>0.0</v>
      </c>
      <c r="I6199" s="22">
        <v>0.0</v>
      </c>
      <c r="J6199" s="22">
        <v>0.0</v>
      </c>
      <c r="K6199" s="22">
        <v>0.0</v>
      </c>
      <c r="L6199" s="22">
        <v>739.763</v>
      </c>
      <c r="M6199" s="22">
        <v>675.634</v>
      </c>
      <c r="N6199" s="22">
        <v>470.52</v>
      </c>
      <c r="O6199" s="24">
        <v>20.9</v>
      </c>
      <c r="P6199" s="18">
        <f t="shared" si="1"/>
        <v>739.763</v>
      </c>
    </row>
    <row r="6200" ht="15.75" customHeight="1">
      <c r="A6200" s="13" t="s">
        <v>265</v>
      </c>
      <c r="B6200" s="13" t="s">
        <v>133</v>
      </c>
      <c r="C6200" s="14" t="s">
        <v>165</v>
      </c>
      <c r="D6200" s="14" t="str">
        <f>VLOOKUP(C6200,'State Key'!$A$2:$B$210,2,False)</f>
        <v>Chhattisgarh</v>
      </c>
      <c r="E6200" s="15">
        <v>1600.0</v>
      </c>
      <c r="F6200" s="16">
        <v>0.0</v>
      </c>
      <c r="G6200" s="16">
        <v>0.0</v>
      </c>
      <c r="H6200" s="16">
        <v>794.52</v>
      </c>
      <c r="I6200" s="16">
        <v>0.0</v>
      </c>
      <c r="J6200" s="16">
        <v>0.0</v>
      </c>
      <c r="K6200" s="16">
        <v>0.0</v>
      </c>
      <c r="L6200" s="16">
        <v>794.52</v>
      </c>
      <c r="M6200" s="16">
        <v>734.073</v>
      </c>
      <c r="N6200" s="16">
        <v>499.47</v>
      </c>
      <c r="O6200" s="24">
        <v>20.4</v>
      </c>
      <c r="P6200" s="18">
        <f t="shared" si="1"/>
        <v>794.52</v>
      </c>
    </row>
    <row r="6201" ht="15.75" customHeight="1">
      <c r="A6201" s="19" t="s">
        <v>265</v>
      </c>
      <c r="B6201" s="19" t="s">
        <v>133</v>
      </c>
      <c r="C6201" s="20" t="s">
        <v>166</v>
      </c>
      <c r="D6201" s="14" t="str">
        <f>VLOOKUP(C6201,'State Key'!$A$2:$B$210,2,False)</f>
        <v>Madhya Pradesh</v>
      </c>
      <c r="E6201" s="21">
        <v>1200.0</v>
      </c>
      <c r="F6201" s="22">
        <v>73.706</v>
      </c>
      <c r="G6201" s="22">
        <v>0.0</v>
      </c>
      <c r="H6201" s="22">
        <v>0.0</v>
      </c>
      <c r="I6201" s="22">
        <v>0.0</v>
      </c>
      <c r="J6201" s="22">
        <v>0.0</v>
      </c>
      <c r="K6201" s="22">
        <v>266.394</v>
      </c>
      <c r="L6201" s="22">
        <v>340.1</v>
      </c>
      <c r="M6201" s="22">
        <v>408.063</v>
      </c>
      <c r="N6201" s="22">
        <v>58.21</v>
      </c>
      <c r="O6201" s="17">
        <v>4.3</v>
      </c>
      <c r="P6201" s="18">
        <f t="shared" si="1"/>
        <v>340.1</v>
      </c>
    </row>
    <row r="6202" ht="15.75" customHeight="1">
      <c r="A6202" s="13" t="s">
        <v>265</v>
      </c>
      <c r="B6202" s="13" t="s">
        <v>133</v>
      </c>
      <c r="C6202" s="14" t="s">
        <v>167</v>
      </c>
      <c r="D6202" s="14" t="str">
        <f>VLOOKUP(C6202,'State Key'!$A$2:$B$210,2,False)</f>
        <v>Chhattisgarh</v>
      </c>
      <c r="E6202" s="15">
        <v>1000.0</v>
      </c>
      <c r="F6202" s="16">
        <v>376.564</v>
      </c>
      <c r="G6202" s="16">
        <v>0.0</v>
      </c>
      <c r="H6202" s="16">
        <v>141.965</v>
      </c>
      <c r="I6202" s="16">
        <v>0.0</v>
      </c>
      <c r="J6202" s="16">
        <v>0.0</v>
      </c>
      <c r="K6202" s="16">
        <v>0.0</v>
      </c>
      <c r="L6202" s="16">
        <v>518.529</v>
      </c>
      <c r="M6202" s="16">
        <v>239.197</v>
      </c>
      <c r="N6202" s="16">
        <v>593.2</v>
      </c>
      <c r="O6202" s="24">
        <v>74.4</v>
      </c>
      <c r="P6202" s="18">
        <f t="shared" si="1"/>
        <v>518.529</v>
      </c>
    </row>
    <row r="6203" ht="15.75" customHeight="1">
      <c r="A6203" s="19" t="s">
        <v>265</v>
      </c>
      <c r="B6203" s="19" t="s">
        <v>133</v>
      </c>
      <c r="C6203" s="20" t="s">
        <v>168</v>
      </c>
      <c r="D6203" s="14" t="str">
        <f>VLOOKUP(C6203,'State Key'!$A$2:$B$210,2,False)</f>
        <v>Maharashtra</v>
      </c>
      <c r="E6203" s="21">
        <v>2320.0</v>
      </c>
      <c r="F6203" s="22">
        <v>1010.4</v>
      </c>
      <c r="G6203" s="22">
        <v>28.04</v>
      </c>
      <c r="H6203" s="22">
        <v>82.6</v>
      </c>
      <c r="I6203" s="22">
        <v>0.0</v>
      </c>
      <c r="J6203" s="22">
        <v>0.0</v>
      </c>
      <c r="K6203" s="22">
        <v>0.21</v>
      </c>
      <c r="L6203" s="22">
        <v>1121.25</v>
      </c>
      <c r="M6203" s="22">
        <v>897.632</v>
      </c>
      <c r="N6203" s="22">
        <v>729.75</v>
      </c>
      <c r="O6203" s="24">
        <v>24.4</v>
      </c>
      <c r="P6203" s="18">
        <f t="shared" si="1"/>
        <v>1121.25</v>
      </c>
    </row>
    <row r="6204" ht="15.75" customHeight="1">
      <c r="A6204" s="13" t="s">
        <v>265</v>
      </c>
      <c r="B6204" s="13" t="s">
        <v>133</v>
      </c>
      <c r="C6204" s="14" t="s">
        <v>169</v>
      </c>
      <c r="D6204" s="14" t="str">
        <f>VLOOKUP(C6204,'State Key'!$A$2:$B$210,2,False)</f>
        <v>Madhya Pradesh</v>
      </c>
      <c r="E6204" s="15">
        <v>246.01</v>
      </c>
      <c r="F6204" s="16">
        <v>0.0</v>
      </c>
      <c r="G6204" s="16">
        <v>0.0</v>
      </c>
      <c r="H6204" s="16">
        <v>0.0</v>
      </c>
      <c r="I6204" s="16">
        <v>0.0</v>
      </c>
      <c r="J6204" s="16">
        <v>0.0</v>
      </c>
      <c r="K6204" s="16">
        <v>0.0</v>
      </c>
      <c r="L6204" s="16">
        <v>0.0</v>
      </c>
      <c r="M6204" s="16">
        <v>0.0</v>
      </c>
      <c r="N6204" s="16">
        <v>0.0</v>
      </c>
      <c r="O6204" s="13" t="s">
        <v>58</v>
      </c>
      <c r="P6204" s="18">
        <f t="shared" si="1"/>
        <v>0</v>
      </c>
    </row>
    <row r="6205" ht="15.75" customHeight="1">
      <c r="A6205" s="19" t="s">
        <v>265</v>
      </c>
      <c r="B6205" s="19" t="s">
        <v>133</v>
      </c>
      <c r="C6205" s="20" t="s">
        <v>172</v>
      </c>
      <c r="D6205" s="14" t="str">
        <f>VLOOKUP(C6205,'State Key'!$A$2:$B$210,2,False)</f>
        <v>Gujarat</v>
      </c>
      <c r="E6205" s="21">
        <v>4000.0</v>
      </c>
      <c r="F6205" s="22">
        <v>0.0</v>
      </c>
      <c r="G6205" s="22">
        <v>0.0</v>
      </c>
      <c r="H6205" s="22">
        <v>0.0</v>
      </c>
      <c r="I6205" s="22">
        <v>0.0</v>
      </c>
      <c r="J6205" s="22">
        <v>0.0</v>
      </c>
      <c r="K6205" s="22">
        <v>0.0</v>
      </c>
      <c r="L6205" s="22">
        <v>0.0</v>
      </c>
      <c r="M6205" s="22">
        <v>0.0</v>
      </c>
      <c r="N6205" s="22">
        <v>2065.29</v>
      </c>
      <c r="O6205" s="19" t="s">
        <v>58</v>
      </c>
      <c r="P6205" s="18">
        <f t="shared" si="1"/>
        <v>0</v>
      </c>
    </row>
    <row r="6206" ht="15.75" customHeight="1">
      <c r="A6206" s="13" t="s">
        <v>265</v>
      </c>
      <c r="B6206" s="13" t="s">
        <v>133</v>
      </c>
      <c r="C6206" s="14" t="s">
        <v>174</v>
      </c>
      <c r="D6206" s="14" t="str">
        <f>VLOOKUP(C6206,'State Key'!$A$2:$B$210,2,False)</f>
        <v>Maharashtra</v>
      </c>
      <c r="E6206" s="15">
        <v>630.0</v>
      </c>
      <c r="F6206" s="16">
        <v>170.516</v>
      </c>
      <c r="G6206" s="16">
        <v>0.0</v>
      </c>
      <c r="H6206" s="16">
        <v>0.0</v>
      </c>
      <c r="I6206" s="16">
        <v>0.0</v>
      </c>
      <c r="J6206" s="16">
        <v>0.0</v>
      </c>
      <c r="K6206" s="16">
        <v>0.0</v>
      </c>
      <c r="L6206" s="16">
        <v>170.516</v>
      </c>
      <c r="M6206" s="16">
        <v>244.795</v>
      </c>
      <c r="N6206" s="16">
        <v>220.83</v>
      </c>
      <c r="O6206" s="24">
        <v>27.1</v>
      </c>
      <c r="P6206" s="18">
        <f t="shared" si="1"/>
        <v>170.516</v>
      </c>
    </row>
    <row r="6207" ht="15.75" customHeight="1">
      <c r="A6207" s="19" t="s">
        <v>265</v>
      </c>
      <c r="B6207" s="19" t="s">
        <v>133</v>
      </c>
      <c r="C6207" s="20" t="s">
        <v>175</v>
      </c>
      <c r="D6207" s="14" t="str">
        <f>VLOOKUP(C6207,'State Key'!$A$2:$B$210,2,False)</f>
        <v>Chhattisgarh</v>
      </c>
      <c r="E6207" s="21">
        <v>600.0</v>
      </c>
      <c r="F6207" s="22">
        <v>223.528</v>
      </c>
      <c r="G6207" s="22">
        <v>0.0</v>
      </c>
      <c r="H6207" s="22">
        <v>0.0</v>
      </c>
      <c r="I6207" s="22">
        <v>0.565</v>
      </c>
      <c r="J6207" s="22">
        <v>0.0</v>
      </c>
      <c r="K6207" s="22">
        <v>0.0</v>
      </c>
      <c r="L6207" s="22">
        <v>224.093</v>
      </c>
      <c r="M6207" s="22">
        <v>253.506</v>
      </c>
      <c r="N6207" s="22">
        <v>279.33</v>
      </c>
      <c r="O6207" s="24">
        <v>33.1</v>
      </c>
      <c r="P6207" s="18">
        <f t="shared" si="1"/>
        <v>224.093</v>
      </c>
    </row>
    <row r="6208" ht="15.75" customHeight="1">
      <c r="A6208" s="13" t="s">
        <v>265</v>
      </c>
      <c r="B6208" s="13" t="s">
        <v>133</v>
      </c>
      <c r="C6208" s="14" t="s">
        <v>176</v>
      </c>
      <c r="D6208" s="14" t="str">
        <f>VLOOKUP(C6208,'State Key'!$A$2:$B$210,2,False)</f>
        <v>Madhya Pradesh</v>
      </c>
      <c r="E6208" s="15">
        <v>1320.0</v>
      </c>
      <c r="F6208" s="16">
        <v>0.0</v>
      </c>
      <c r="G6208" s="16">
        <v>0.0</v>
      </c>
      <c r="H6208" s="16">
        <v>346.0746</v>
      </c>
      <c r="I6208" s="16">
        <v>151.6007</v>
      </c>
      <c r="J6208" s="16">
        <v>0.0</v>
      </c>
      <c r="K6208" s="16">
        <v>0.0</v>
      </c>
      <c r="L6208" s="16">
        <v>497.6753</v>
      </c>
      <c r="M6208" s="16">
        <v>534.6527</v>
      </c>
      <c r="N6208" s="16">
        <v>225.7701</v>
      </c>
      <c r="O6208" s="23">
        <v>12.7</v>
      </c>
      <c r="P6208" s="18">
        <f t="shared" si="1"/>
        <v>497.6753</v>
      </c>
    </row>
    <row r="6209" ht="15.75" customHeight="1">
      <c r="A6209" s="19" t="s">
        <v>265</v>
      </c>
      <c r="B6209" s="19" t="s">
        <v>133</v>
      </c>
      <c r="C6209" s="20" t="s">
        <v>177</v>
      </c>
      <c r="D6209" s="14" t="str">
        <f>VLOOKUP(C6209,'State Key'!$A$2:$B$210,2,False)</f>
        <v>Madhya Pradesh</v>
      </c>
      <c r="E6209" s="21">
        <v>90.0</v>
      </c>
      <c r="F6209" s="22">
        <v>33.19</v>
      </c>
      <c r="G6209" s="22">
        <v>0.0</v>
      </c>
      <c r="H6209" s="22">
        <v>0.0</v>
      </c>
      <c r="I6209" s="22">
        <v>0.0</v>
      </c>
      <c r="J6209" s="22">
        <v>0.0</v>
      </c>
      <c r="K6209" s="22">
        <v>0.0</v>
      </c>
      <c r="L6209" s="22">
        <v>33.19</v>
      </c>
      <c r="M6209" s="22">
        <v>52.08</v>
      </c>
      <c r="N6209" s="22">
        <v>42.17</v>
      </c>
      <c r="O6209" s="24">
        <v>24.3</v>
      </c>
      <c r="P6209" s="18">
        <f t="shared" si="1"/>
        <v>33.19</v>
      </c>
    </row>
    <row r="6210" ht="15.75" customHeight="1">
      <c r="A6210" s="13" t="s">
        <v>265</v>
      </c>
      <c r="B6210" s="13" t="s">
        <v>133</v>
      </c>
      <c r="C6210" s="14" t="s">
        <v>178</v>
      </c>
      <c r="D6210" s="14" t="str">
        <f>VLOOKUP(C6210,'State Key'!$A$2:$B$210,2,False)</f>
        <v>Chhattisgarh</v>
      </c>
      <c r="E6210" s="15">
        <v>1000.0</v>
      </c>
      <c r="F6210" s="16">
        <v>62.354</v>
      </c>
      <c r="G6210" s="16">
        <v>0.0</v>
      </c>
      <c r="H6210" s="16">
        <v>312.146</v>
      </c>
      <c r="I6210" s="16">
        <v>0.0</v>
      </c>
      <c r="J6210" s="16">
        <v>0.0</v>
      </c>
      <c r="K6210" s="16">
        <v>51.121</v>
      </c>
      <c r="L6210" s="16">
        <v>425.621</v>
      </c>
      <c r="M6210" s="16">
        <v>508.164</v>
      </c>
      <c r="N6210" s="16">
        <v>801.131</v>
      </c>
      <c r="O6210" s="24">
        <v>47.3</v>
      </c>
      <c r="P6210" s="18">
        <f t="shared" si="1"/>
        <v>425.621</v>
      </c>
    </row>
    <row r="6211" ht="15.75" customHeight="1">
      <c r="A6211" s="19" t="s">
        <v>265</v>
      </c>
      <c r="B6211" s="19" t="s">
        <v>133</v>
      </c>
      <c r="C6211" s="20" t="s">
        <v>179</v>
      </c>
      <c r="D6211" s="14" t="str">
        <f>VLOOKUP(C6211,'State Key'!$A$2:$B$210,2,False)</f>
        <v>Maharashtra</v>
      </c>
      <c r="E6211" s="21">
        <v>500.0</v>
      </c>
      <c r="F6211" s="22">
        <v>144.004</v>
      </c>
      <c r="G6211" s="22">
        <v>4.035</v>
      </c>
      <c r="H6211" s="22">
        <v>0.0</v>
      </c>
      <c r="I6211" s="22">
        <v>0.0</v>
      </c>
      <c r="J6211" s="22">
        <v>0.0</v>
      </c>
      <c r="K6211" s="22">
        <v>0.0</v>
      </c>
      <c r="L6211" s="22">
        <v>148.039</v>
      </c>
      <c r="M6211" s="22">
        <v>196.454</v>
      </c>
      <c r="N6211" s="22">
        <v>79.29</v>
      </c>
      <c r="O6211" s="23">
        <v>12.1</v>
      </c>
      <c r="P6211" s="18">
        <f t="shared" si="1"/>
        <v>148.039</v>
      </c>
    </row>
    <row r="6212" ht="15.75" customHeight="1">
      <c r="A6212" s="13" t="s">
        <v>265</v>
      </c>
      <c r="B6212" s="13" t="s">
        <v>133</v>
      </c>
      <c r="C6212" s="14" t="s">
        <v>180</v>
      </c>
      <c r="D6212" s="14" t="str">
        <f>VLOOKUP(C6212,'State Key'!$A$2:$B$210,2,False)</f>
        <v>Maharashtra</v>
      </c>
      <c r="E6212" s="15">
        <v>750.0</v>
      </c>
      <c r="F6212" s="16">
        <v>125.686</v>
      </c>
      <c r="G6212" s="16">
        <v>122.162</v>
      </c>
      <c r="H6212" s="16">
        <v>0.0</v>
      </c>
      <c r="I6212" s="16">
        <v>0.0</v>
      </c>
      <c r="J6212" s="16">
        <v>0.0</v>
      </c>
      <c r="K6212" s="16">
        <v>0.0</v>
      </c>
      <c r="L6212" s="16">
        <v>247.848</v>
      </c>
      <c r="M6212" s="16">
        <v>308.366</v>
      </c>
      <c r="N6212" s="16">
        <v>132.013</v>
      </c>
      <c r="O6212" s="23">
        <v>12.8</v>
      </c>
      <c r="P6212" s="18">
        <f t="shared" si="1"/>
        <v>247.848</v>
      </c>
    </row>
    <row r="6213" ht="15.75" customHeight="1">
      <c r="A6213" s="19" t="s">
        <v>265</v>
      </c>
      <c r="B6213" s="19" t="s">
        <v>133</v>
      </c>
      <c r="C6213" s="20" t="s">
        <v>181</v>
      </c>
      <c r="D6213" s="14" t="str">
        <f>VLOOKUP(C6213,'State Key'!$A$2:$B$210,2,False)</f>
        <v>Chhattisgarh</v>
      </c>
      <c r="E6213" s="21">
        <v>600.0</v>
      </c>
      <c r="F6213" s="22">
        <v>204.438</v>
      </c>
      <c r="G6213" s="22">
        <v>0.0</v>
      </c>
      <c r="H6213" s="22">
        <v>0.0</v>
      </c>
      <c r="I6213" s="22">
        <v>0.0</v>
      </c>
      <c r="J6213" s="22">
        <v>0.0</v>
      </c>
      <c r="K6213" s="22">
        <v>0.0</v>
      </c>
      <c r="L6213" s="22">
        <v>204.438</v>
      </c>
      <c r="M6213" s="22">
        <v>237.291</v>
      </c>
      <c r="N6213" s="22">
        <v>136.81</v>
      </c>
      <c r="O6213" s="24">
        <v>17.3</v>
      </c>
      <c r="P6213" s="18">
        <f t="shared" si="1"/>
        <v>204.438</v>
      </c>
    </row>
    <row r="6214" ht="15.75" customHeight="1">
      <c r="A6214" s="13" t="s">
        <v>265</v>
      </c>
      <c r="B6214" s="13" t="s">
        <v>133</v>
      </c>
      <c r="C6214" s="14" t="s">
        <v>183</v>
      </c>
      <c r="D6214" s="14" t="str">
        <f>VLOOKUP(C6214,'State Key'!$A$2:$B$210,2,False)</f>
        <v>Chhattisgarh</v>
      </c>
      <c r="E6214" s="15">
        <v>100.0</v>
      </c>
      <c r="F6214" s="16">
        <v>3.582</v>
      </c>
      <c r="G6214" s="16">
        <v>0.0</v>
      </c>
      <c r="H6214" s="16">
        <v>0.0</v>
      </c>
      <c r="I6214" s="16">
        <v>0.0</v>
      </c>
      <c r="J6214" s="16">
        <v>0.0</v>
      </c>
      <c r="K6214" s="16">
        <v>70.742</v>
      </c>
      <c r="L6214" s="16">
        <v>74.324</v>
      </c>
      <c r="M6214" s="16">
        <v>91.85</v>
      </c>
      <c r="N6214" s="16">
        <v>1.74</v>
      </c>
      <c r="O6214" s="17">
        <v>0.6</v>
      </c>
      <c r="P6214" s="18">
        <f t="shared" si="1"/>
        <v>74.324</v>
      </c>
    </row>
    <row r="6215" ht="15.75" customHeight="1">
      <c r="A6215" s="19" t="s">
        <v>265</v>
      </c>
      <c r="B6215" s="19" t="s">
        <v>133</v>
      </c>
      <c r="C6215" s="20" t="s">
        <v>184</v>
      </c>
      <c r="D6215" s="14" t="str">
        <f>VLOOKUP(C6215,'State Key'!$A$2:$B$210,2,False)</f>
        <v>Gujarat</v>
      </c>
      <c r="E6215" s="21">
        <v>362.0</v>
      </c>
      <c r="F6215" s="22">
        <v>107.7162</v>
      </c>
      <c r="G6215" s="22">
        <v>0.0</v>
      </c>
      <c r="H6215" s="22">
        <v>0.0</v>
      </c>
      <c r="I6215" s="22">
        <v>0.0</v>
      </c>
      <c r="J6215" s="22">
        <v>0.0</v>
      </c>
      <c r="K6215" s="22">
        <v>0.0</v>
      </c>
      <c r="L6215" s="22">
        <v>107.7162</v>
      </c>
      <c r="M6215" s="22">
        <v>95.5966</v>
      </c>
      <c r="N6215" s="22">
        <v>110.45</v>
      </c>
      <c r="O6215" s="24">
        <v>34.7</v>
      </c>
      <c r="P6215" s="18">
        <f t="shared" si="1"/>
        <v>107.7162</v>
      </c>
    </row>
    <row r="6216" ht="15.75" customHeight="1">
      <c r="A6216" s="13" t="s">
        <v>265</v>
      </c>
      <c r="B6216" s="13" t="s">
        <v>133</v>
      </c>
      <c r="C6216" s="14" t="s">
        <v>185</v>
      </c>
      <c r="D6216" s="14" t="str">
        <f>VLOOKUP(C6216,'State Key'!$A$2:$B$210,2,False)</f>
        <v>Gujarat</v>
      </c>
      <c r="E6216" s="15">
        <v>1200.0</v>
      </c>
      <c r="F6216" s="16">
        <v>0.0</v>
      </c>
      <c r="G6216" s="16">
        <v>0.0</v>
      </c>
      <c r="H6216" s="16">
        <v>0.0</v>
      </c>
      <c r="I6216" s="16">
        <v>0.0</v>
      </c>
      <c r="J6216" s="16">
        <v>342.526</v>
      </c>
      <c r="K6216" s="16">
        <v>0.0</v>
      </c>
      <c r="L6216" s="16">
        <v>342.526</v>
      </c>
      <c r="M6216" s="16">
        <v>245.251</v>
      </c>
      <c r="N6216" s="16">
        <v>251.19</v>
      </c>
      <c r="O6216" s="24">
        <v>30.7</v>
      </c>
      <c r="P6216" s="18">
        <f t="shared" si="1"/>
        <v>342.526</v>
      </c>
    </row>
    <row r="6217" ht="15.75" customHeight="1">
      <c r="A6217" s="19" t="s">
        <v>265</v>
      </c>
      <c r="B6217" s="19" t="s">
        <v>133</v>
      </c>
      <c r="C6217" s="20" t="s">
        <v>187</v>
      </c>
      <c r="D6217" s="14" t="str">
        <f>VLOOKUP(C6217,'State Key'!$A$2:$B$210,2,False)</f>
        <v>Madhya Pradesh</v>
      </c>
      <c r="E6217" s="21">
        <v>1340.0</v>
      </c>
      <c r="F6217" s="22">
        <v>495.875</v>
      </c>
      <c r="G6217" s="22">
        <v>0.0</v>
      </c>
      <c r="H6217" s="22">
        <v>0.0</v>
      </c>
      <c r="I6217" s="22">
        <v>0.0</v>
      </c>
      <c r="J6217" s="22">
        <v>0.0</v>
      </c>
      <c r="K6217" s="22">
        <v>0.0</v>
      </c>
      <c r="L6217" s="22">
        <v>495.875</v>
      </c>
      <c r="M6217" s="22">
        <v>475.997</v>
      </c>
      <c r="N6217" s="22">
        <v>347.7</v>
      </c>
      <c r="O6217" s="24">
        <v>21.9</v>
      </c>
      <c r="P6217" s="18">
        <f t="shared" si="1"/>
        <v>495.875</v>
      </c>
    </row>
    <row r="6218" ht="15.75" customHeight="1">
      <c r="A6218" s="13" t="s">
        <v>265</v>
      </c>
      <c r="B6218" s="13" t="s">
        <v>133</v>
      </c>
      <c r="C6218" s="14" t="s">
        <v>188</v>
      </c>
      <c r="D6218" s="14" t="str">
        <f>VLOOKUP(C6218,'State Key'!$A$2:$B$210,2,False)</f>
        <v>Madhya Pradesh</v>
      </c>
      <c r="E6218" s="15">
        <v>3960.0</v>
      </c>
      <c r="F6218" s="16">
        <v>0.0</v>
      </c>
      <c r="G6218" s="16">
        <v>0.0</v>
      </c>
      <c r="H6218" s="16">
        <v>1537.243</v>
      </c>
      <c r="I6218" s="16">
        <v>0.0</v>
      </c>
      <c r="J6218" s="16">
        <v>0.0</v>
      </c>
      <c r="K6218" s="16">
        <v>0.0</v>
      </c>
      <c r="L6218" s="16">
        <v>1537.243</v>
      </c>
      <c r="M6218" s="16">
        <v>1605.396</v>
      </c>
      <c r="N6218" s="16">
        <v>135.14</v>
      </c>
      <c r="O6218" s="17">
        <v>2.5</v>
      </c>
      <c r="P6218" s="18">
        <f t="shared" si="1"/>
        <v>1537.243</v>
      </c>
    </row>
    <row r="6219" ht="15.75" customHeight="1">
      <c r="A6219" s="19" t="s">
        <v>265</v>
      </c>
      <c r="B6219" s="19" t="s">
        <v>133</v>
      </c>
      <c r="C6219" s="20" t="s">
        <v>189</v>
      </c>
      <c r="D6219" s="14" t="str">
        <f>VLOOKUP(C6219,'State Key'!$A$2:$B$210,2,False)</f>
        <v>Madhya Pradesh</v>
      </c>
      <c r="E6219" s="21">
        <v>500.0</v>
      </c>
      <c r="F6219" s="22">
        <v>185.10042</v>
      </c>
      <c r="G6219" s="22">
        <v>0.0</v>
      </c>
      <c r="H6219" s="22">
        <v>0.0</v>
      </c>
      <c r="I6219" s="22">
        <v>0.0</v>
      </c>
      <c r="J6219" s="22">
        <v>0.0</v>
      </c>
      <c r="K6219" s="22">
        <v>0.0</v>
      </c>
      <c r="L6219" s="22">
        <v>185.10042</v>
      </c>
      <c r="M6219" s="22">
        <v>214.521</v>
      </c>
      <c r="N6219" s="22">
        <v>210.14</v>
      </c>
      <c r="O6219" s="24">
        <v>29.4</v>
      </c>
      <c r="P6219" s="18">
        <f t="shared" si="1"/>
        <v>185.10042</v>
      </c>
    </row>
    <row r="6220" ht="15.75" customHeight="1">
      <c r="A6220" s="13" t="s">
        <v>265</v>
      </c>
      <c r="B6220" s="13" t="s">
        <v>133</v>
      </c>
      <c r="C6220" s="14" t="s">
        <v>190</v>
      </c>
      <c r="D6220" s="14" t="str">
        <f>VLOOKUP(C6220,'State Key'!$A$2:$B$210,2,False)</f>
        <v>Madhya Pradesh</v>
      </c>
      <c r="E6220" s="15">
        <v>600.0</v>
      </c>
      <c r="F6220" s="16">
        <v>176.944</v>
      </c>
      <c r="G6220" s="16">
        <v>0.0</v>
      </c>
      <c r="H6220" s="16">
        <v>0.0</v>
      </c>
      <c r="I6220" s="16">
        <v>135.915</v>
      </c>
      <c r="J6220" s="16">
        <v>0.0</v>
      </c>
      <c r="K6220" s="16">
        <v>0.0</v>
      </c>
      <c r="L6220" s="16">
        <v>312.859</v>
      </c>
      <c r="M6220" s="16">
        <v>274.329</v>
      </c>
      <c r="N6220" s="16">
        <v>202.91</v>
      </c>
      <c r="O6220" s="24">
        <v>22.2</v>
      </c>
      <c r="P6220" s="18">
        <f t="shared" si="1"/>
        <v>312.859</v>
      </c>
    </row>
    <row r="6221" ht="15.75" customHeight="1">
      <c r="A6221" s="19" t="s">
        <v>265</v>
      </c>
      <c r="B6221" s="19" t="s">
        <v>133</v>
      </c>
      <c r="C6221" s="20" t="s">
        <v>191</v>
      </c>
      <c r="D6221" s="14" t="str">
        <f>VLOOKUP(C6221,'State Key'!$A$2:$B$210,2,False)</f>
        <v>Maharashtra</v>
      </c>
      <c r="E6221" s="21">
        <v>300.0</v>
      </c>
      <c r="F6221" s="22">
        <v>0.0</v>
      </c>
      <c r="G6221" s="22">
        <v>0.0</v>
      </c>
      <c r="H6221" s="22">
        <v>0.0</v>
      </c>
      <c r="I6221" s="22">
        <v>0.0</v>
      </c>
      <c r="J6221" s="22">
        <v>0.0</v>
      </c>
      <c r="K6221" s="22">
        <v>135.282</v>
      </c>
      <c r="L6221" s="22">
        <v>135.282</v>
      </c>
      <c r="M6221" s="22">
        <v>128.12</v>
      </c>
      <c r="N6221" s="22">
        <v>89.17</v>
      </c>
      <c r="O6221" s="24">
        <v>20.9</v>
      </c>
      <c r="P6221" s="18">
        <f t="shared" si="1"/>
        <v>135.282</v>
      </c>
    </row>
    <row r="6222" ht="15.75" customHeight="1">
      <c r="A6222" s="13" t="s">
        <v>265</v>
      </c>
      <c r="B6222" s="13" t="s">
        <v>133</v>
      </c>
      <c r="C6222" s="14" t="s">
        <v>192</v>
      </c>
      <c r="D6222" s="14" t="str">
        <f>VLOOKUP(C6222,'State Key'!$A$2:$B$210,2,False)</f>
        <v>Madhya Pradesh</v>
      </c>
      <c r="E6222" s="15">
        <v>2520.0</v>
      </c>
      <c r="F6222" s="16">
        <v>932.141</v>
      </c>
      <c r="G6222" s="16">
        <v>0.0</v>
      </c>
      <c r="H6222" s="16">
        <v>0.0</v>
      </c>
      <c r="I6222" s="16">
        <v>0.0</v>
      </c>
      <c r="J6222" s="16">
        <v>0.0</v>
      </c>
      <c r="K6222" s="16">
        <v>0.0</v>
      </c>
      <c r="L6222" s="16">
        <v>932.141</v>
      </c>
      <c r="M6222" s="16">
        <v>974.575</v>
      </c>
      <c r="N6222" s="16">
        <v>442.485</v>
      </c>
      <c r="O6222" s="23">
        <v>13.6</v>
      </c>
      <c r="P6222" s="18">
        <f t="shared" si="1"/>
        <v>932.141</v>
      </c>
    </row>
    <row r="6223" ht="15.75" customHeight="1">
      <c r="A6223" s="19" t="s">
        <v>265</v>
      </c>
      <c r="B6223" s="19" t="s">
        <v>133</v>
      </c>
      <c r="C6223" s="20" t="s">
        <v>193</v>
      </c>
      <c r="D6223" s="14" t="str">
        <f>VLOOKUP(C6223,'State Key'!$A$2:$B$210,2,False)</f>
        <v>Gujarat</v>
      </c>
      <c r="E6223" s="21">
        <v>500.0</v>
      </c>
      <c r="F6223" s="22">
        <v>7.713</v>
      </c>
      <c r="G6223" s="22">
        <v>0.0</v>
      </c>
      <c r="H6223" s="22">
        <v>0.0</v>
      </c>
      <c r="I6223" s="22">
        <v>0.0</v>
      </c>
      <c r="J6223" s="22">
        <v>8.05</v>
      </c>
      <c r="K6223" s="22">
        <v>0.0</v>
      </c>
      <c r="L6223" s="22">
        <v>15.763</v>
      </c>
      <c r="M6223" s="22">
        <v>0.432</v>
      </c>
      <c r="N6223" s="22">
        <v>83.54</v>
      </c>
      <c r="O6223" s="24">
        <v>5801.4</v>
      </c>
      <c r="P6223" s="18">
        <f t="shared" si="1"/>
        <v>15.763</v>
      </c>
    </row>
    <row r="6224" ht="15.75" customHeight="1">
      <c r="A6224" s="13" t="s">
        <v>265</v>
      </c>
      <c r="B6224" s="13" t="s">
        <v>133</v>
      </c>
      <c r="C6224" s="14" t="s">
        <v>194</v>
      </c>
      <c r="D6224" s="14" t="str">
        <f>VLOOKUP(C6224,'State Key'!$A$2:$B$210,2,False)</f>
        <v>Chhattisgarh</v>
      </c>
      <c r="E6224" s="15">
        <v>2980.0</v>
      </c>
      <c r="F6224" s="16">
        <v>1319.16</v>
      </c>
      <c r="G6224" s="16">
        <v>0.0</v>
      </c>
      <c r="H6224" s="16">
        <v>0.0</v>
      </c>
      <c r="I6224" s="16">
        <v>0.0</v>
      </c>
      <c r="J6224" s="16">
        <v>0.0</v>
      </c>
      <c r="K6224" s="16">
        <v>0.0</v>
      </c>
      <c r="L6224" s="16">
        <v>1319.16</v>
      </c>
      <c r="M6224" s="16">
        <v>1244.15</v>
      </c>
      <c r="N6224" s="16">
        <v>449.82</v>
      </c>
      <c r="O6224" s="23">
        <v>10.8</v>
      </c>
      <c r="P6224" s="18">
        <f t="shared" si="1"/>
        <v>1319.16</v>
      </c>
    </row>
    <row r="6225" ht="15.75" customHeight="1">
      <c r="A6225" s="19" t="s">
        <v>265</v>
      </c>
      <c r="B6225" s="19" t="s">
        <v>133</v>
      </c>
      <c r="C6225" s="20" t="s">
        <v>195</v>
      </c>
      <c r="D6225" s="14" t="str">
        <f>VLOOKUP(C6225,'State Key'!$A$2:$B$210,2,False)</f>
        <v>Maharashtra</v>
      </c>
      <c r="E6225" s="21">
        <v>1320.0</v>
      </c>
      <c r="F6225" s="22">
        <v>166.4</v>
      </c>
      <c r="G6225" s="22">
        <v>278.8</v>
      </c>
      <c r="H6225" s="22">
        <v>42.32</v>
      </c>
      <c r="I6225" s="22">
        <v>8.0</v>
      </c>
      <c r="J6225" s="22">
        <v>0.0</v>
      </c>
      <c r="K6225" s="22">
        <v>0.0</v>
      </c>
      <c r="L6225" s="22">
        <v>495.52</v>
      </c>
      <c r="M6225" s="22">
        <v>472.649</v>
      </c>
      <c r="N6225" s="22">
        <v>231.09</v>
      </c>
      <c r="O6225" s="24">
        <v>14.7</v>
      </c>
      <c r="P6225" s="18">
        <f t="shared" si="1"/>
        <v>495.52</v>
      </c>
    </row>
    <row r="6226" ht="15.75" customHeight="1">
      <c r="A6226" s="13" t="s">
        <v>265</v>
      </c>
      <c r="B6226" s="13" t="s">
        <v>133</v>
      </c>
      <c r="C6226" s="14" t="s">
        <v>196</v>
      </c>
      <c r="D6226" s="14" t="str">
        <f>VLOOKUP(C6226,'State Key'!$A$2:$B$210,2,False)</f>
        <v>Chhattisgarh</v>
      </c>
      <c r="E6226" s="15">
        <v>63.0</v>
      </c>
      <c r="F6226" s="16">
        <v>3.1456</v>
      </c>
      <c r="G6226" s="16">
        <v>0.0</v>
      </c>
      <c r="H6226" s="16">
        <v>0.0</v>
      </c>
      <c r="I6226" s="16">
        <v>0.0</v>
      </c>
      <c r="J6226" s="16">
        <v>0.0</v>
      </c>
      <c r="K6226" s="16">
        <v>45.4314</v>
      </c>
      <c r="L6226" s="16">
        <v>48.577</v>
      </c>
      <c r="M6226" s="16">
        <v>52.13</v>
      </c>
      <c r="N6226" s="16">
        <v>3.04</v>
      </c>
      <c r="O6226" s="17">
        <v>1.7</v>
      </c>
      <c r="P6226" s="18">
        <f t="shared" si="1"/>
        <v>48.577</v>
      </c>
    </row>
    <row r="6227" ht="15.75" customHeight="1">
      <c r="A6227" s="19" t="s">
        <v>265</v>
      </c>
      <c r="B6227" s="19" t="s">
        <v>133</v>
      </c>
      <c r="C6227" s="20" t="s">
        <v>198</v>
      </c>
      <c r="D6227" s="14" t="str">
        <f>VLOOKUP(C6227,'State Key'!$A$2:$B$210,2,False)</f>
        <v>Chhattisgarh</v>
      </c>
      <c r="E6227" s="21">
        <v>2400.0</v>
      </c>
      <c r="F6227" s="22">
        <v>192.99</v>
      </c>
      <c r="G6227" s="22">
        <v>0.0</v>
      </c>
      <c r="H6227" s="22">
        <v>1065.863</v>
      </c>
      <c r="I6227" s="22">
        <v>92.998</v>
      </c>
      <c r="J6227" s="22">
        <v>0.0</v>
      </c>
      <c r="K6227" s="22">
        <v>0.0</v>
      </c>
      <c r="L6227" s="22">
        <v>1351.851</v>
      </c>
      <c r="M6227" s="22">
        <v>1328.146</v>
      </c>
      <c r="N6227" s="22">
        <v>275.763</v>
      </c>
      <c r="O6227" s="17">
        <v>6.2</v>
      </c>
      <c r="P6227" s="18">
        <f t="shared" si="1"/>
        <v>1351.851</v>
      </c>
    </row>
    <row r="6228" ht="15.75" customHeight="1">
      <c r="A6228" s="13" t="s">
        <v>265</v>
      </c>
      <c r="B6228" s="13" t="s">
        <v>133</v>
      </c>
      <c r="C6228" s="14" t="s">
        <v>200</v>
      </c>
      <c r="D6228" s="14" t="str">
        <f>VLOOKUP(C6228,'State Key'!$A$2:$B$210,2,False)</f>
        <v>Maharashtra</v>
      </c>
      <c r="E6228" s="15">
        <v>750.0</v>
      </c>
      <c r="F6228" s="16">
        <v>0.0</v>
      </c>
      <c r="G6228" s="16">
        <v>0.0</v>
      </c>
      <c r="H6228" s="16">
        <v>0.0</v>
      </c>
      <c r="I6228" s="16">
        <v>0.0</v>
      </c>
      <c r="J6228" s="16">
        <v>188.09</v>
      </c>
      <c r="K6228" s="16">
        <v>0.0</v>
      </c>
      <c r="L6228" s="16">
        <v>188.09</v>
      </c>
      <c r="M6228" s="16">
        <v>168.937</v>
      </c>
      <c r="N6228" s="16">
        <v>251.69</v>
      </c>
      <c r="O6228" s="24">
        <v>44.7</v>
      </c>
      <c r="P6228" s="18">
        <f t="shared" si="1"/>
        <v>188.09</v>
      </c>
    </row>
    <row r="6229" ht="15.75" customHeight="1">
      <c r="A6229" s="19" t="s">
        <v>265</v>
      </c>
      <c r="B6229" s="19" t="s">
        <v>133</v>
      </c>
      <c r="C6229" s="20" t="s">
        <v>201</v>
      </c>
      <c r="D6229" s="14" t="str">
        <f>VLOOKUP(C6229,'State Key'!$A$2:$B$210,2,False)</f>
        <v>Chhattisgarh</v>
      </c>
      <c r="E6229" s="21">
        <v>1440.0</v>
      </c>
      <c r="F6229" s="22">
        <v>447.879</v>
      </c>
      <c r="G6229" s="22">
        <v>0.0</v>
      </c>
      <c r="H6229" s="22">
        <v>0.0</v>
      </c>
      <c r="I6229" s="22">
        <v>0.0</v>
      </c>
      <c r="J6229" s="22">
        <v>0.0</v>
      </c>
      <c r="K6229" s="22">
        <v>0.0</v>
      </c>
      <c r="L6229" s="22">
        <v>447.879</v>
      </c>
      <c r="M6229" s="22">
        <v>542.719</v>
      </c>
      <c r="N6229" s="22">
        <v>1141.64</v>
      </c>
      <c r="O6229" s="24">
        <v>63.1</v>
      </c>
      <c r="P6229" s="18">
        <f t="shared" si="1"/>
        <v>447.879</v>
      </c>
    </row>
    <row r="6230" ht="15.75" customHeight="1">
      <c r="A6230" s="13" t="s">
        <v>265</v>
      </c>
      <c r="B6230" s="13" t="s">
        <v>133</v>
      </c>
      <c r="C6230" s="14" t="s">
        <v>202</v>
      </c>
      <c r="D6230" s="14" t="str">
        <f>VLOOKUP(C6230,'State Key'!$A$2:$B$210,2,False)</f>
        <v>Gujarat</v>
      </c>
      <c r="E6230" s="15">
        <v>1110.0</v>
      </c>
      <c r="F6230" s="16">
        <v>236.067</v>
      </c>
      <c r="G6230" s="16">
        <v>0.0</v>
      </c>
      <c r="H6230" s="16">
        <v>0.0</v>
      </c>
      <c r="I6230" s="16">
        <v>0.0</v>
      </c>
      <c r="J6230" s="16">
        <v>0.0</v>
      </c>
      <c r="K6230" s="16">
        <v>0.0</v>
      </c>
      <c r="L6230" s="16">
        <v>236.067</v>
      </c>
      <c r="M6230" s="16">
        <v>296.906</v>
      </c>
      <c r="N6230" s="16">
        <v>470.41</v>
      </c>
      <c r="O6230" s="24">
        <v>47.5</v>
      </c>
      <c r="P6230" s="18">
        <f t="shared" si="1"/>
        <v>236.067</v>
      </c>
    </row>
    <row r="6231" ht="15.75" customHeight="1">
      <c r="A6231" s="19" t="s">
        <v>265</v>
      </c>
      <c r="B6231" s="19" t="s">
        <v>133</v>
      </c>
      <c r="C6231" s="20" t="s">
        <v>203</v>
      </c>
      <c r="D6231" s="14" t="str">
        <f>VLOOKUP(C6231,'State Key'!$A$2:$B$210,2,False)</f>
        <v>Madhya Pradesh</v>
      </c>
      <c r="E6231" s="21">
        <v>4760.0</v>
      </c>
      <c r="F6231" s="22">
        <v>2068.92</v>
      </c>
      <c r="G6231" s="22">
        <v>0.0</v>
      </c>
      <c r="H6231" s="22">
        <v>0.0</v>
      </c>
      <c r="I6231" s="22">
        <v>0.0</v>
      </c>
      <c r="J6231" s="22">
        <v>0.0</v>
      </c>
      <c r="K6231" s="22">
        <v>0.0</v>
      </c>
      <c r="L6231" s="22">
        <v>2068.92</v>
      </c>
      <c r="M6231" s="22">
        <v>1929.454</v>
      </c>
      <c r="N6231" s="22">
        <v>1035.14</v>
      </c>
      <c r="O6231" s="24">
        <v>16.1</v>
      </c>
      <c r="P6231" s="18">
        <f t="shared" si="1"/>
        <v>2068.92</v>
      </c>
    </row>
    <row r="6232" ht="15.75" customHeight="1">
      <c r="A6232" s="13" t="s">
        <v>265</v>
      </c>
      <c r="B6232" s="13" t="s">
        <v>133</v>
      </c>
      <c r="C6232" s="14" t="s">
        <v>255</v>
      </c>
      <c r="D6232" s="14" t="str">
        <f>VLOOKUP(C6232,'State Key'!$A$2:$B$210,2,False)</f>
        <v>Chhattisgarh</v>
      </c>
      <c r="E6232" s="15">
        <v>600.0</v>
      </c>
      <c r="F6232" s="16">
        <v>78.19</v>
      </c>
      <c r="G6232" s="16">
        <v>0.0</v>
      </c>
      <c r="H6232" s="16">
        <v>0.0</v>
      </c>
      <c r="I6232" s="16">
        <v>238.716</v>
      </c>
      <c r="J6232" s="16">
        <v>0.0</v>
      </c>
      <c r="K6232" s="16">
        <v>0.0</v>
      </c>
      <c r="L6232" s="16">
        <v>316.906</v>
      </c>
      <c r="M6232" s="16">
        <v>258.443</v>
      </c>
      <c r="N6232" s="16">
        <v>188.06</v>
      </c>
      <c r="O6232" s="24">
        <v>21.8</v>
      </c>
      <c r="P6232" s="18">
        <f t="shared" si="1"/>
        <v>316.906</v>
      </c>
    </row>
    <row r="6233" ht="15.75" customHeight="1">
      <c r="A6233" s="19" t="s">
        <v>265</v>
      </c>
      <c r="B6233" s="19" t="s">
        <v>133</v>
      </c>
      <c r="C6233" s="20" t="s">
        <v>204</v>
      </c>
      <c r="D6233" s="14" t="str">
        <f>VLOOKUP(C6233,'State Key'!$A$2:$B$210,2,False)</f>
        <v>Gujarat</v>
      </c>
      <c r="E6233" s="21">
        <v>2270.0</v>
      </c>
      <c r="F6233" s="22">
        <v>389.81817</v>
      </c>
      <c r="G6233" s="22">
        <v>0.0</v>
      </c>
      <c r="H6233" s="22">
        <v>0.0</v>
      </c>
      <c r="I6233" s="22">
        <v>0.0</v>
      </c>
      <c r="J6233" s="22">
        <v>0.0</v>
      </c>
      <c r="K6233" s="22">
        <v>0.0</v>
      </c>
      <c r="L6233" s="22">
        <v>389.81817</v>
      </c>
      <c r="M6233" s="22">
        <v>296.276</v>
      </c>
      <c r="N6233" s="22">
        <v>710.73</v>
      </c>
      <c r="O6233" s="24">
        <v>72.0</v>
      </c>
      <c r="P6233" s="18">
        <f t="shared" si="1"/>
        <v>389.81817</v>
      </c>
    </row>
    <row r="6234" ht="12.75" customHeight="1">
      <c r="A6234" s="13" t="s">
        <v>265</v>
      </c>
      <c r="B6234" s="13" t="s">
        <v>133</v>
      </c>
      <c r="C6234" s="14" t="s">
        <v>205</v>
      </c>
      <c r="D6234" s="14" t="str">
        <f>VLOOKUP(C6234,'State Key'!$A$2:$B$210,2,False)</f>
        <v>Maharashtra</v>
      </c>
      <c r="E6234" s="15">
        <v>540.0</v>
      </c>
      <c r="F6234" s="16">
        <v>220.33</v>
      </c>
      <c r="G6234" s="16">
        <v>0.0</v>
      </c>
      <c r="H6234" s="16">
        <v>0.0</v>
      </c>
      <c r="I6234" s="16">
        <v>0.0</v>
      </c>
      <c r="J6234" s="16">
        <v>0.0</v>
      </c>
      <c r="K6234" s="16">
        <v>18.33</v>
      </c>
      <c r="L6234" s="16">
        <v>238.66</v>
      </c>
      <c r="M6234" s="16">
        <v>189.93</v>
      </c>
      <c r="N6234" s="16">
        <v>197.13</v>
      </c>
      <c r="O6234" s="24">
        <v>31.1</v>
      </c>
      <c r="P6234" s="18">
        <f t="shared" si="1"/>
        <v>238.66</v>
      </c>
    </row>
  </sheetData>
  <autoFilter ref="$A$3:$O$6234">
    <sortState ref="A3:O6234">
      <sortCondition ref="A3:A6234"/>
    </sortState>
  </autoFilter>
  <mergeCells count="5">
    <mergeCell ref="A1:O1"/>
    <mergeCell ref="A2:C2"/>
    <mergeCell ref="F2:K2"/>
    <mergeCell ref="L2:M2"/>
    <mergeCell ref="N2:O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6" t="s">
        <v>269</v>
      </c>
      <c r="B1" s="27"/>
      <c r="C1" s="27"/>
      <c r="D1" s="27"/>
    </row>
    <row r="2">
      <c r="A2" s="28" t="s">
        <v>270</v>
      </c>
      <c r="B2" s="28" t="s">
        <v>9</v>
      </c>
      <c r="C2" s="29" t="s">
        <v>271</v>
      </c>
      <c r="D2" s="29" t="s">
        <v>272</v>
      </c>
    </row>
    <row r="3">
      <c r="A3" s="30">
        <v>1.0</v>
      </c>
      <c r="B3" s="31" t="s">
        <v>273</v>
      </c>
      <c r="C3" s="32">
        <v>0.0</v>
      </c>
      <c r="D3" s="33" t="s">
        <v>274</v>
      </c>
    </row>
    <row r="4">
      <c r="A4" s="30">
        <v>2.0</v>
      </c>
      <c r="B4" s="31" t="s">
        <v>275</v>
      </c>
      <c r="C4" s="32">
        <v>19.3</v>
      </c>
      <c r="D4" s="34">
        <f>SUMIFS('Master Data'!M51:M1514,'Master Data'!D51:D1514, "Haryana")/1000</f>
        <v>14.752221</v>
      </c>
    </row>
    <row r="5">
      <c r="A5" s="30">
        <v>3.0</v>
      </c>
      <c r="B5" s="31" t="s">
        <v>276</v>
      </c>
      <c r="C5" s="32">
        <v>21.1</v>
      </c>
      <c r="D5" s="35">
        <f>SUMIFS('Master Data'!M48:M1510,'Master Data'!D48:D1510, "Punjab")/1000</f>
        <v>16.14692</v>
      </c>
    </row>
    <row r="6">
      <c r="A6" s="30">
        <v>4.0</v>
      </c>
      <c r="B6" s="31" t="s">
        <v>277</v>
      </c>
      <c r="C6" s="32">
        <v>33.6</v>
      </c>
      <c r="D6" s="34">
        <f>SUMIFS('Master Data'!M1:M1620,'Master Data'!D1:D1620, "Rajasthan")/1000</f>
        <v>25.1019882</v>
      </c>
    </row>
    <row r="7">
      <c r="A7" s="30">
        <v>5.0</v>
      </c>
      <c r="B7" s="31" t="s">
        <v>278</v>
      </c>
      <c r="C7" s="32">
        <v>99.7</v>
      </c>
      <c r="D7" s="34">
        <f>SUMIFS('Master Data'!M2:M1621,'Master Data'!D2:D1621, "Uttar Pradesh")/1000</f>
        <v>75.905263</v>
      </c>
    </row>
    <row r="8">
      <c r="A8" s="30">
        <v>6.0</v>
      </c>
      <c r="B8" s="31" t="s">
        <v>279</v>
      </c>
      <c r="C8" s="32">
        <v>116.2</v>
      </c>
      <c r="D8" s="34">
        <f>SUMIFS('Master Data'!M2:M1621,'Master Data'!D2:D1621, "Chhattisgarh")/1000</f>
        <v>86.6752238</v>
      </c>
    </row>
    <row r="9">
      <c r="A9" s="30">
        <v>7.0</v>
      </c>
      <c r="B9" s="31" t="s">
        <v>280</v>
      </c>
      <c r="C9" s="32">
        <v>15.8</v>
      </c>
      <c r="D9" s="34">
        <f>SUMIFS('Master Data'!M2:M1621,'Master Data'!D2:D1621, "Gujarat")/1000</f>
        <v>28.7144335</v>
      </c>
    </row>
    <row r="10">
      <c r="A10" s="30">
        <v>8.0</v>
      </c>
      <c r="B10" s="31" t="s">
        <v>281</v>
      </c>
      <c r="C10" s="32">
        <v>93.4</v>
      </c>
      <c r="D10" s="34">
        <f>SUMIFS('Master Data'!M2:M1621,'Master Data'!D2:D1621, "Madhya Pradesh")/1000</f>
        <v>69.6738363</v>
      </c>
    </row>
    <row r="11">
      <c r="A11" s="30">
        <v>9.0</v>
      </c>
      <c r="B11" s="31" t="s">
        <v>282</v>
      </c>
      <c r="C11" s="32">
        <v>90.8</v>
      </c>
      <c r="D11" s="34">
        <f>SUMIFS('Master Data'!M2:M1621,'Master Data'!D2:D1621, "Maharashtra")/1000</f>
        <v>69.7463754</v>
      </c>
    </row>
    <row r="12">
      <c r="A12" s="30">
        <v>10.0</v>
      </c>
      <c r="B12" s="31" t="s">
        <v>283</v>
      </c>
      <c r="C12" s="32">
        <v>49.1</v>
      </c>
      <c r="D12" s="34">
        <f>SUMIFS('Master Data'!M2:M1621,'Master Data'!D2:D1621, "Andhra Pradesh")/1000</f>
        <v>37.4500204</v>
      </c>
    </row>
    <row r="13">
      <c r="A13" s="30">
        <v>11.0</v>
      </c>
      <c r="B13" s="31" t="s">
        <v>284</v>
      </c>
      <c r="C13" s="32">
        <v>25.4</v>
      </c>
      <c r="D13" s="34">
        <f>SUMIFS('Master Data'!M2:M1621,'Master Data'!D2:D1621, "Karnataka")/1000</f>
        <v>21.5895942</v>
      </c>
    </row>
    <row r="14">
      <c r="A14" s="30">
        <v>12.0</v>
      </c>
      <c r="B14" s="31" t="s">
        <v>285</v>
      </c>
      <c r="C14" s="32">
        <v>31.7</v>
      </c>
      <c r="D14" s="34">
        <f>SUMIFS('Master Data'!M2:M1621,'Master Data'!D2:D1621, "Tamil Nadu")/1000</f>
        <v>30.2490058</v>
      </c>
    </row>
    <row r="15">
      <c r="A15" s="30">
        <v>13.0</v>
      </c>
      <c r="B15" s="31" t="s">
        <v>286</v>
      </c>
      <c r="C15" s="32">
        <v>36.9</v>
      </c>
      <c r="D15" s="34">
        <f>SUMIFS('Master Data'!M2:M1621,'Master Data'!D2:D1621, "Telangana")/1000</f>
        <v>26.999568</v>
      </c>
    </row>
    <row r="16">
      <c r="A16" s="30">
        <v>14.0</v>
      </c>
      <c r="B16" s="31" t="s">
        <v>287</v>
      </c>
      <c r="C16" s="32">
        <v>40.9</v>
      </c>
      <c r="D16" s="34">
        <f>SUMIFS('Master Data'!M2:M1621,'Master Data'!D2:D1621, "Bihar")/1000</f>
        <v>30.2913948</v>
      </c>
      <c r="F16" s="36" t="s">
        <v>288</v>
      </c>
    </row>
    <row r="17">
      <c r="A17" s="30">
        <v>15.0</v>
      </c>
      <c r="B17" s="31" t="s">
        <v>289</v>
      </c>
      <c r="C17" s="32">
        <v>23.2</v>
      </c>
      <c r="D17" s="34">
        <f>SUMIFS('Master Data'!M2:M1621,'Master Data'!D2:D1621, "Jharkhand")/1000</f>
        <v>17.111033</v>
      </c>
    </row>
    <row r="18">
      <c r="A18" s="30">
        <v>16.0</v>
      </c>
      <c r="B18" s="31" t="s">
        <v>290</v>
      </c>
      <c r="C18" s="32">
        <v>48.2</v>
      </c>
      <c r="D18" s="34">
        <f>SUMIFS('Master Data'!M2:M1621,'Master Data'!D2:D1621, "Odisha")/1000</f>
        <v>35.643398</v>
      </c>
    </row>
    <row r="19">
      <c r="A19" s="30">
        <v>17.0</v>
      </c>
      <c r="B19" s="31" t="s">
        <v>291</v>
      </c>
      <c r="C19" s="32">
        <v>59.3</v>
      </c>
      <c r="D19" s="34">
        <f>SUMIFS('Master Data'!M2:M1621,'Master Data'!D2:D1621, "West Bengal")/1000</f>
        <v>45.0032868</v>
      </c>
    </row>
    <row r="20">
      <c r="A20" s="30">
        <v>18.0</v>
      </c>
      <c r="B20" s="31" t="s">
        <v>292</v>
      </c>
      <c r="C20" s="32">
        <v>3.1</v>
      </c>
      <c r="D20" s="34">
        <f>SUMIFS('Master Data'!M2:M1621,'Master Data'!D2:D1621, "Assam")/1000</f>
        <v>0</v>
      </c>
    </row>
    <row r="21">
      <c r="A21" s="37" t="s">
        <v>293</v>
      </c>
      <c r="B21" s="31" t="s">
        <v>293</v>
      </c>
      <c r="C21" s="32">
        <v>807.8</v>
      </c>
      <c r="D21" s="34">
        <f>SUM(D4:D19)</f>
        <v>631.0535622</v>
      </c>
    </row>
  </sheetData>
  <hyperlinks>
    <hyperlink r:id="rId1" ref="A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16.0"/>
    <col customWidth="1" min="2" max="2" width="6.0"/>
    <col customWidth="1" min="3" max="3" width="8.0"/>
    <col customWidth="1" min="4" max="4" width="12.0"/>
    <col customWidth="1" min="5" max="6" width="10.0"/>
    <col customWidth="1" min="7" max="7" width="11.0"/>
    <col customWidth="1" min="8" max="8" width="10.0"/>
    <col customWidth="1" min="9" max="9" width="9.0"/>
    <col customWidth="1" min="10" max="13" width="13.0"/>
    <col customWidth="1" min="14" max="15" width="9.0"/>
    <col customWidth="1" min="16" max="16" width="10.0"/>
    <col customWidth="1" min="17" max="17" width="9.0"/>
    <col customWidth="1" min="18" max="18" width="11.0"/>
    <col customWidth="1" min="19" max="26" width="8.71"/>
  </cols>
  <sheetData>
    <row r="1" ht="24.0" customHeight="1">
      <c r="A1" s="1" t="s">
        <v>294</v>
      </c>
      <c r="B1" s="2"/>
      <c r="C1" s="2"/>
      <c r="D1" s="2"/>
      <c r="E1" s="2"/>
      <c r="F1" s="2"/>
      <c r="G1" s="2"/>
      <c r="H1" s="2"/>
      <c r="I1" s="2"/>
      <c r="J1" s="2"/>
      <c r="K1" s="2"/>
      <c r="L1" s="2"/>
      <c r="M1" s="2"/>
      <c r="N1" s="2"/>
      <c r="O1" s="2"/>
      <c r="P1" s="2"/>
      <c r="Q1" s="2"/>
      <c r="R1" s="3"/>
    </row>
    <row r="2" ht="39.75" customHeight="1">
      <c r="A2" s="10" t="s">
        <v>6</v>
      </c>
      <c r="B2" s="10" t="s">
        <v>295</v>
      </c>
      <c r="C2" s="10" t="s">
        <v>296</v>
      </c>
      <c r="D2" s="10" t="s">
        <v>297</v>
      </c>
      <c r="E2" s="10" t="s">
        <v>298</v>
      </c>
      <c r="F2" s="10" t="s">
        <v>299</v>
      </c>
      <c r="G2" s="10" t="s">
        <v>300</v>
      </c>
      <c r="H2" s="10" t="s">
        <v>301</v>
      </c>
      <c r="I2" s="10" t="s">
        <v>302</v>
      </c>
      <c r="J2" s="10" t="s">
        <v>303</v>
      </c>
      <c r="K2" s="10" t="s">
        <v>304</v>
      </c>
      <c r="L2" s="10" t="s">
        <v>305</v>
      </c>
      <c r="M2" s="10" t="s">
        <v>306</v>
      </c>
      <c r="N2" s="10" t="s">
        <v>307</v>
      </c>
      <c r="O2" s="10" t="s">
        <v>308</v>
      </c>
      <c r="P2" s="10" t="s">
        <v>309</v>
      </c>
      <c r="Q2" s="10" t="s">
        <v>310</v>
      </c>
      <c r="R2" s="10" t="s">
        <v>311</v>
      </c>
    </row>
    <row r="3">
      <c r="A3" s="38" t="s">
        <v>21</v>
      </c>
      <c r="B3" s="38">
        <v>2023.0</v>
      </c>
      <c r="C3" s="38">
        <v>4.0</v>
      </c>
      <c r="D3" s="39">
        <v>47851.96703</v>
      </c>
      <c r="E3" s="39">
        <v>5268.24167</v>
      </c>
      <c r="F3" s="39">
        <v>8760.56649</v>
      </c>
      <c r="G3" s="39">
        <v>4782.98931</v>
      </c>
      <c r="H3" s="39">
        <v>491.68228</v>
      </c>
      <c r="I3" s="39">
        <v>2732.5134</v>
      </c>
      <c r="J3" s="39">
        <v>69887.96018</v>
      </c>
      <c r="K3" s="39">
        <v>71026.1926</v>
      </c>
      <c r="L3" s="39">
        <v>35725.1625</v>
      </c>
      <c r="M3" s="40">
        <v>-1138.23242</v>
      </c>
      <c r="N3" s="41">
        <v>0.6847</v>
      </c>
      <c r="O3" s="41">
        <v>0.1254</v>
      </c>
      <c r="P3" s="41">
        <v>0.0684</v>
      </c>
      <c r="Q3" s="41">
        <v>0.007</v>
      </c>
      <c r="R3" s="41">
        <v>0.0754</v>
      </c>
    </row>
    <row r="4">
      <c r="A4" s="42" t="s">
        <v>206</v>
      </c>
      <c r="B4" s="42">
        <v>2023.0</v>
      </c>
      <c r="C4" s="42">
        <v>5.0</v>
      </c>
      <c r="D4" s="43">
        <v>49103.86948</v>
      </c>
      <c r="E4" s="43">
        <v>5426.16394</v>
      </c>
      <c r="F4" s="43">
        <v>8885.31788</v>
      </c>
      <c r="G4" s="43">
        <v>4650.00493</v>
      </c>
      <c r="H4" s="43">
        <v>482.1802</v>
      </c>
      <c r="I4" s="43">
        <v>3351.98437</v>
      </c>
      <c r="J4" s="43">
        <v>71899.5208</v>
      </c>
      <c r="K4" s="43">
        <v>71243.3342</v>
      </c>
      <c r="L4" s="43">
        <v>36487.6921</v>
      </c>
      <c r="M4" s="24">
        <v>656.186600000001</v>
      </c>
      <c r="N4" s="44">
        <v>0.683</v>
      </c>
      <c r="O4" s="44">
        <v>0.1236</v>
      </c>
      <c r="P4" s="44">
        <v>0.0647</v>
      </c>
      <c r="Q4" s="44">
        <v>0.0067</v>
      </c>
      <c r="R4" s="44">
        <v>0.0714</v>
      </c>
    </row>
    <row r="5">
      <c r="A5" s="38" t="s">
        <v>207</v>
      </c>
      <c r="B5" s="38">
        <v>2023.0</v>
      </c>
      <c r="C5" s="38">
        <v>6.0</v>
      </c>
      <c r="D5" s="39">
        <v>47288.48978</v>
      </c>
      <c r="E5" s="39">
        <v>5051.60758</v>
      </c>
      <c r="F5" s="39">
        <v>8155.56432</v>
      </c>
      <c r="G5" s="39">
        <v>4762.67825</v>
      </c>
      <c r="H5" s="39">
        <v>322.1407</v>
      </c>
      <c r="I5" s="39">
        <v>2827.9458</v>
      </c>
      <c r="J5" s="39">
        <v>68408.42643</v>
      </c>
      <c r="K5" s="39">
        <v>69162.1376</v>
      </c>
      <c r="L5" s="39">
        <v>35188.1896</v>
      </c>
      <c r="M5" s="40">
        <v>-753.711169999995</v>
      </c>
      <c r="N5" s="41">
        <v>0.6913</v>
      </c>
      <c r="O5" s="41">
        <v>0.1192</v>
      </c>
      <c r="P5" s="41">
        <v>0.0696</v>
      </c>
      <c r="Q5" s="41">
        <v>0.0047</v>
      </c>
      <c r="R5" s="41">
        <v>0.0743</v>
      </c>
    </row>
    <row r="6">
      <c r="A6" s="42" t="s">
        <v>208</v>
      </c>
      <c r="B6" s="42">
        <v>2023.0</v>
      </c>
      <c r="C6" s="42">
        <v>7.0</v>
      </c>
      <c r="D6" s="43">
        <v>46116.78309</v>
      </c>
      <c r="E6" s="43">
        <v>4274.00765</v>
      </c>
      <c r="F6" s="43">
        <v>8805.53766</v>
      </c>
      <c r="G6" s="43">
        <v>3637.881</v>
      </c>
      <c r="H6" s="43">
        <v>409.888</v>
      </c>
      <c r="I6" s="43">
        <v>3133.9562</v>
      </c>
      <c r="J6" s="43">
        <v>66378.0536</v>
      </c>
      <c r="K6" s="43">
        <v>66919.716</v>
      </c>
      <c r="L6" s="43">
        <v>34648.7475</v>
      </c>
      <c r="M6" s="40">
        <v>-541.662400000001</v>
      </c>
      <c r="N6" s="44">
        <v>0.6948</v>
      </c>
      <c r="O6" s="44">
        <v>0.1327</v>
      </c>
      <c r="P6" s="44">
        <v>0.0548</v>
      </c>
      <c r="Q6" s="44">
        <v>0.0062</v>
      </c>
      <c r="R6" s="44">
        <v>0.061</v>
      </c>
    </row>
    <row r="7">
      <c r="A7" s="38" t="s">
        <v>216</v>
      </c>
      <c r="B7" s="38">
        <v>2023.0</v>
      </c>
      <c r="C7" s="38">
        <v>8.0</v>
      </c>
      <c r="D7" s="39">
        <v>45524.15909</v>
      </c>
      <c r="E7" s="39">
        <v>4781.48923</v>
      </c>
      <c r="F7" s="39">
        <v>7749.17871</v>
      </c>
      <c r="G7" s="39">
        <v>4333.66182</v>
      </c>
      <c r="H7" s="39">
        <v>585.0579</v>
      </c>
      <c r="I7" s="39">
        <v>2888.1454</v>
      </c>
      <c r="J7" s="39">
        <v>65861.69215</v>
      </c>
      <c r="K7" s="39">
        <v>71111.8083</v>
      </c>
      <c r="L7" s="39">
        <v>29245.847</v>
      </c>
      <c r="M7" s="40">
        <v>-5250.11615</v>
      </c>
      <c r="N7" s="41">
        <v>0.6912</v>
      </c>
      <c r="O7" s="41">
        <v>0.1177</v>
      </c>
      <c r="P7" s="41">
        <v>0.0658</v>
      </c>
      <c r="Q7" s="41">
        <v>0.0089</v>
      </c>
      <c r="R7" s="41">
        <v>0.0747</v>
      </c>
    </row>
    <row r="8">
      <c r="A8" s="42" t="s">
        <v>217</v>
      </c>
      <c r="B8" s="42">
        <v>2023.0</v>
      </c>
      <c r="C8" s="42">
        <v>9.0</v>
      </c>
      <c r="D8" s="43">
        <v>44191.83735</v>
      </c>
      <c r="E8" s="43">
        <v>4566.7886</v>
      </c>
      <c r="F8" s="43">
        <v>7533.04913</v>
      </c>
      <c r="G8" s="43">
        <v>5548.38414</v>
      </c>
      <c r="H8" s="43">
        <v>726.1646</v>
      </c>
      <c r="I8" s="43">
        <v>2577.3538</v>
      </c>
      <c r="J8" s="43">
        <v>65143.57762</v>
      </c>
      <c r="K8" s="43">
        <v>71127.8534</v>
      </c>
      <c r="L8" s="43">
        <v>23117.3822</v>
      </c>
      <c r="M8" s="40">
        <v>-5984.27578000001</v>
      </c>
      <c r="N8" s="44">
        <v>0.6784</v>
      </c>
      <c r="O8" s="44">
        <v>0.1156</v>
      </c>
      <c r="P8" s="44">
        <v>0.0852</v>
      </c>
      <c r="Q8" s="44">
        <v>0.0111</v>
      </c>
      <c r="R8" s="44">
        <v>0.0963</v>
      </c>
    </row>
    <row r="9">
      <c r="A9" s="38" t="s">
        <v>218</v>
      </c>
      <c r="B9" s="38">
        <v>2023.0</v>
      </c>
      <c r="C9" s="38">
        <v>10.0</v>
      </c>
      <c r="D9" s="39">
        <v>48633.89225</v>
      </c>
      <c r="E9" s="39">
        <v>5265.13194</v>
      </c>
      <c r="F9" s="39">
        <v>7691.03343</v>
      </c>
      <c r="G9" s="39">
        <v>7496.73613</v>
      </c>
      <c r="H9" s="39">
        <v>599.51612</v>
      </c>
      <c r="I9" s="39">
        <v>3030.11609</v>
      </c>
      <c r="J9" s="39">
        <v>72716.42596</v>
      </c>
      <c r="K9" s="39">
        <v>75425.3702</v>
      </c>
      <c r="L9" s="39">
        <v>20494.6404</v>
      </c>
      <c r="M9" s="40">
        <v>-2708.94424000001</v>
      </c>
      <c r="N9" s="41">
        <v>0.6688</v>
      </c>
      <c r="O9" s="41">
        <v>0.1058</v>
      </c>
      <c r="P9" s="41">
        <v>0.1031</v>
      </c>
      <c r="Q9" s="41">
        <v>0.0082</v>
      </c>
      <c r="R9" s="41">
        <v>0.1113</v>
      </c>
    </row>
    <row r="10">
      <c r="A10" s="42" t="s">
        <v>221</v>
      </c>
      <c r="B10" s="42">
        <v>2023.0</v>
      </c>
      <c r="C10" s="42">
        <v>11.0</v>
      </c>
      <c r="D10" s="43">
        <v>49610.94589</v>
      </c>
      <c r="E10" s="43">
        <v>5260.92516</v>
      </c>
      <c r="F10" s="43">
        <v>8702.96371</v>
      </c>
      <c r="G10" s="43">
        <v>5869.74275</v>
      </c>
      <c r="H10" s="43">
        <v>1012.3792</v>
      </c>
      <c r="I10" s="43">
        <v>2912.8522</v>
      </c>
      <c r="J10" s="43">
        <v>73369.80891</v>
      </c>
      <c r="K10" s="43">
        <v>66913.17</v>
      </c>
      <c r="L10" s="43">
        <v>27170.399</v>
      </c>
      <c r="M10" s="24">
        <v>6456.63891000001</v>
      </c>
      <c r="N10" s="44">
        <v>0.6762</v>
      </c>
      <c r="O10" s="44">
        <v>0.1186</v>
      </c>
      <c r="P10" s="44">
        <v>0.08</v>
      </c>
      <c r="Q10" s="44">
        <v>0.0138</v>
      </c>
      <c r="R10" s="44">
        <v>0.0938</v>
      </c>
    </row>
    <row r="11">
      <c r="A11" s="38" t="s">
        <v>222</v>
      </c>
      <c r="B11" s="38">
        <v>2023.0</v>
      </c>
      <c r="C11" s="38">
        <v>12.0</v>
      </c>
      <c r="D11" s="39">
        <v>50765.02036</v>
      </c>
      <c r="E11" s="39">
        <v>5404.11264</v>
      </c>
      <c r="F11" s="39">
        <v>9541.58024</v>
      </c>
      <c r="G11" s="39">
        <v>5419.289299</v>
      </c>
      <c r="H11" s="39">
        <v>1063.60234</v>
      </c>
      <c r="I11" s="39">
        <v>3214.3426</v>
      </c>
      <c r="J11" s="39">
        <v>75407.947479</v>
      </c>
      <c r="K11" s="39">
        <v>67627.5439</v>
      </c>
      <c r="L11" s="39">
        <v>35155.1108</v>
      </c>
      <c r="M11" s="24">
        <v>7780.40357899999</v>
      </c>
      <c r="N11" s="41">
        <v>0.6732</v>
      </c>
      <c r="O11" s="41">
        <v>0.1265</v>
      </c>
      <c r="P11" s="41">
        <v>0.0719</v>
      </c>
      <c r="Q11" s="41">
        <v>0.0141</v>
      </c>
      <c r="R11" s="41">
        <v>0.086</v>
      </c>
    </row>
    <row r="12">
      <c r="A12" s="42" t="s">
        <v>223</v>
      </c>
      <c r="B12" s="42">
        <v>2024.0</v>
      </c>
      <c r="C12" s="42">
        <v>1.0</v>
      </c>
      <c r="D12" s="43">
        <v>51509.35207</v>
      </c>
      <c r="E12" s="43">
        <v>6022.23337</v>
      </c>
      <c r="F12" s="43">
        <v>9088.29163</v>
      </c>
      <c r="G12" s="43">
        <v>3273.2056</v>
      </c>
      <c r="H12" s="43">
        <v>6122.21443</v>
      </c>
      <c r="I12" s="43">
        <v>1066.3276</v>
      </c>
      <c r="J12" s="43">
        <v>77081.6247</v>
      </c>
      <c r="K12" s="43">
        <v>73226.0612</v>
      </c>
      <c r="L12" s="43">
        <v>39230.5348</v>
      </c>
      <c r="M12" s="24">
        <v>3855.5635</v>
      </c>
      <c r="N12" s="44">
        <v>0.6682</v>
      </c>
      <c r="O12" s="44">
        <v>0.1179</v>
      </c>
      <c r="P12" s="44">
        <v>0.0425</v>
      </c>
      <c r="Q12" s="44">
        <v>0.0794</v>
      </c>
      <c r="R12" s="44">
        <v>0.1219</v>
      </c>
    </row>
    <row r="13">
      <c r="A13" s="38" t="s">
        <v>224</v>
      </c>
      <c r="B13" s="38">
        <v>2024.0</v>
      </c>
      <c r="C13" s="38">
        <v>2.0</v>
      </c>
      <c r="D13" s="39">
        <v>49400.69069</v>
      </c>
      <c r="E13" s="39">
        <v>5641.05668</v>
      </c>
      <c r="F13" s="39">
        <v>9494.69778</v>
      </c>
      <c r="G13" s="39">
        <v>2477.49709</v>
      </c>
      <c r="H13" s="39">
        <v>6274.576169</v>
      </c>
      <c r="I13" s="39">
        <v>1141.3805</v>
      </c>
      <c r="J13" s="39">
        <v>74429.898909</v>
      </c>
      <c r="K13" s="39">
        <v>68574.1935</v>
      </c>
      <c r="L13" s="39">
        <v>44292.1499</v>
      </c>
      <c r="M13" s="24">
        <v>5855.705409</v>
      </c>
      <c r="N13" s="41">
        <v>0.6637</v>
      </c>
      <c r="O13" s="41">
        <v>0.1276</v>
      </c>
      <c r="P13" s="41">
        <v>0.0333</v>
      </c>
      <c r="Q13" s="41">
        <v>0.0843</v>
      </c>
      <c r="R13" s="41">
        <v>0.1176</v>
      </c>
    </row>
    <row r="14">
      <c r="A14" s="42" t="s">
        <v>225</v>
      </c>
      <c r="B14" s="42">
        <v>2024.0</v>
      </c>
      <c r="C14" s="42">
        <v>3.0</v>
      </c>
      <c r="D14" s="43">
        <v>52534.26517</v>
      </c>
      <c r="E14" s="43">
        <v>6217.40702</v>
      </c>
      <c r="F14" s="43">
        <v>10509.98186</v>
      </c>
      <c r="G14" s="43">
        <v>3143.3423</v>
      </c>
      <c r="H14" s="43">
        <v>6671.685243</v>
      </c>
      <c r="I14" s="43">
        <v>1280.9857</v>
      </c>
      <c r="J14" s="43">
        <v>80357.667293</v>
      </c>
      <c r="K14" s="43">
        <v>74215.7435</v>
      </c>
      <c r="L14" s="43">
        <v>50234.4545</v>
      </c>
      <c r="M14" s="24">
        <v>6141.92379300001</v>
      </c>
      <c r="N14" s="44">
        <v>0.6538</v>
      </c>
      <c r="O14" s="44">
        <v>0.1308</v>
      </c>
      <c r="P14" s="44">
        <v>0.0391</v>
      </c>
      <c r="Q14" s="44">
        <v>0.083</v>
      </c>
      <c r="R14" s="44">
        <v>0.1221</v>
      </c>
    </row>
    <row r="15">
      <c r="A15" s="38" t="s">
        <v>229</v>
      </c>
      <c r="B15" s="38">
        <v>2024.0</v>
      </c>
      <c r="C15" s="38">
        <v>4.0</v>
      </c>
      <c r="D15" s="39">
        <v>48279.9712</v>
      </c>
      <c r="E15" s="39">
        <v>5370.59563</v>
      </c>
      <c r="F15" s="39">
        <v>10283.94963</v>
      </c>
      <c r="G15" s="39">
        <v>3299.9813</v>
      </c>
      <c r="H15" s="39">
        <v>6853.57877</v>
      </c>
      <c r="I15" s="39">
        <v>949.1048</v>
      </c>
      <c r="J15" s="39">
        <v>75037.18133</v>
      </c>
      <c r="K15" s="39">
        <v>77072.9646</v>
      </c>
      <c r="L15" s="39">
        <v>48155.1974</v>
      </c>
      <c r="M15" s="40">
        <v>-2035.78327</v>
      </c>
      <c r="N15" s="41">
        <v>0.6434</v>
      </c>
      <c r="O15" s="41">
        <v>0.1371</v>
      </c>
      <c r="P15" s="41">
        <v>0.044</v>
      </c>
      <c r="Q15" s="41">
        <v>0.0913</v>
      </c>
      <c r="R15" s="41">
        <v>0.1353</v>
      </c>
    </row>
    <row r="16">
      <c r="A16" s="42" t="s">
        <v>232</v>
      </c>
      <c r="B16" s="42">
        <v>2024.0</v>
      </c>
      <c r="C16" s="42">
        <v>5.0</v>
      </c>
      <c r="D16" s="43">
        <v>52259.25804</v>
      </c>
      <c r="E16" s="43">
        <v>5318.56319</v>
      </c>
      <c r="F16" s="43">
        <v>10551.45358</v>
      </c>
      <c r="G16" s="43">
        <v>3050.593</v>
      </c>
      <c r="H16" s="43">
        <v>7121.42807</v>
      </c>
      <c r="I16" s="43">
        <v>1137.25047</v>
      </c>
      <c r="J16" s="43">
        <v>79438.54635</v>
      </c>
      <c r="K16" s="43">
        <v>79785.431</v>
      </c>
      <c r="L16" s="43">
        <v>47840.2129</v>
      </c>
      <c r="M16" s="40">
        <v>-346.884649999993</v>
      </c>
      <c r="N16" s="44">
        <v>0.6579</v>
      </c>
      <c r="O16" s="44">
        <v>0.1328</v>
      </c>
      <c r="P16" s="44">
        <v>0.0384</v>
      </c>
      <c r="Q16" s="44">
        <v>0.0896</v>
      </c>
      <c r="R16" s="44">
        <v>0.128</v>
      </c>
    </row>
    <row r="17">
      <c r="A17" s="38" t="s">
        <v>233</v>
      </c>
      <c r="B17" s="38">
        <v>2024.0</v>
      </c>
      <c r="C17" s="38">
        <v>6.0</v>
      </c>
      <c r="D17" s="39">
        <v>49132.32484</v>
      </c>
      <c r="E17" s="39">
        <v>4937.03411</v>
      </c>
      <c r="F17" s="39">
        <v>11364.94248</v>
      </c>
      <c r="G17" s="39">
        <v>3037.956</v>
      </c>
      <c r="H17" s="39">
        <v>6187.22941</v>
      </c>
      <c r="I17" s="39">
        <v>843.64823</v>
      </c>
      <c r="J17" s="39">
        <v>75503.13507</v>
      </c>
      <c r="K17" s="39">
        <v>76205.8792</v>
      </c>
      <c r="L17" s="39">
        <v>47181.6572</v>
      </c>
      <c r="M17" s="40">
        <v>-702.744129999992</v>
      </c>
      <c r="N17" s="41">
        <v>0.6507</v>
      </c>
      <c r="O17" s="41">
        <v>0.1505</v>
      </c>
      <c r="P17" s="41">
        <v>0.0402</v>
      </c>
      <c r="Q17" s="41">
        <v>0.0819</v>
      </c>
      <c r="R17" s="41">
        <v>0.1221</v>
      </c>
    </row>
    <row r="18">
      <c r="A18" s="42" t="s">
        <v>234</v>
      </c>
      <c r="B18" s="42">
        <v>2024.0</v>
      </c>
      <c r="C18" s="42">
        <v>7.0</v>
      </c>
      <c r="D18" s="43">
        <v>47581.8341</v>
      </c>
      <c r="E18" s="43">
        <v>4012.26448</v>
      </c>
      <c r="F18" s="43">
        <v>10783.38499</v>
      </c>
      <c r="G18" s="43">
        <v>2441.0942</v>
      </c>
      <c r="H18" s="43">
        <v>5366.4582</v>
      </c>
      <c r="I18" s="43">
        <v>1085.43901</v>
      </c>
      <c r="J18" s="43">
        <v>71270.47498</v>
      </c>
      <c r="K18" s="43">
        <v>72650.9597</v>
      </c>
      <c r="L18" s="43">
        <v>45527.2981</v>
      </c>
      <c r="M18" s="40">
        <v>-1380.48472000001</v>
      </c>
      <c r="N18" s="44">
        <v>0.6676</v>
      </c>
      <c r="O18" s="44">
        <v>0.1513</v>
      </c>
      <c r="P18" s="44">
        <v>0.0343</v>
      </c>
      <c r="Q18" s="44">
        <v>0.0753</v>
      </c>
      <c r="R18" s="44">
        <v>0.1096</v>
      </c>
    </row>
    <row r="19">
      <c r="A19" s="38" t="s">
        <v>235</v>
      </c>
      <c r="B19" s="38">
        <v>2024.0</v>
      </c>
      <c r="C19" s="38">
        <v>8.0</v>
      </c>
      <c r="D19" s="39">
        <v>41512.53841</v>
      </c>
      <c r="E19" s="39">
        <v>3755.05604</v>
      </c>
      <c r="F19" s="39">
        <v>9518.25295</v>
      </c>
      <c r="G19" s="39">
        <v>1986.1296</v>
      </c>
      <c r="H19" s="39">
        <v>5936.41769</v>
      </c>
      <c r="I19" s="39">
        <v>1021.91038</v>
      </c>
      <c r="J19" s="39">
        <v>63730.30507</v>
      </c>
      <c r="K19" s="39">
        <v>69592.1912</v>
      </c>
      <c r="L19" s="39">
        <v>39650.9063</v>
      </c>
      <c r="M19" s="40">
        <v>-5861.88613</v>
      </c>
      <c r="N19" s="41">
        <v>0.6514</v>
      </c>
      <c r="O19" s="41">
        <v>0.1494</v>
      </c>
      <c r="P19" s="41">
        <v>0.0312</v>
      </c>
      <c r="Q19" s="41">
        <v>0.0931</v>
      </c>
      <c r="R19" s="41">
        <v>0.1243</v>
      </c>
    </row>
    <row r="20">
      <c r="A20" s="42" t="s">
        <v>236</v>
      </c>
      <c r="B20" s="42">
        <v>2024.0</v>
      </c>
      <c r="C20" s="42">
        <v>9.0</v>
      </c>
      <c r="D20" s="43">
        <v>42374.91161</v>
      </c>
      <c r="E20" s="43">
        <v>3723.99404</v>
      </c>
      <c r="F20" s="43">
        <v>10261.92159</v>
      </c>
      <c r="G20" s="43">
        <v>2151.9704</v>
      </c>
      <c r="H20" s="43">
        <v>5582.41286</v>
      </c>
      <c r="I20" s="43">
        <v>1348.09398</v>
      </c>
      <c r="J20" s="43">
        <v>65443.30448</v>
      </c>
      <c r="K20" s="43">
        <v>68037.4009</v>
      </c>
      <c r="L20" s="43">
        <v>37012.6596</v>
      </c>
      <c r="M20" s="40">
        <v>-2594.09642000001</v>
      </c>
      <c r="N20" s="44">
        <v>0.6475</v>
      </c>
      <c r="O20" s="44">
        <v>0.1568</v>
      </c>
      <c r="P20" s="44">
        <v>0.0329</v>
      </c>
      <c r="Q20" s="44">
        <v>0.0853</v>
      </c>
      <c r="R20" s="44">
        <v>0.1182</v>
      </c>
    </row>
    <row r="21" ht="15.75" customHeight="1">
      <c r="A21" s="38" t="s">
        <v>237</v>
      </c>
      <c r="B21" s="38">
        <v>2024.0</v>
      </c>
      <c r="C21" s="38">
        <v>10.0</v>
      </c>
      <c r="D21" s="39">
        <v>49543.10052</v>
      </c>
      <c r="E21" s="39">
        <v>4717.89485</v>
      </c>
      <c r="F21" s="39">
        <v>11753.30619</v>
      </c>
      <c r="G21" s="39">
        <v>1703.56192</v>
      </c>
      <c r="H21" s="39">
        <v>5178.7627</v>
      </c>
      <c r="I21" s="39">
        <v>1236.1558</v>
      </c>
      <c r="J21" s="39">
        <v>74132.78198</v>
      </c>
      <c r="K21" s="39">
        <v>75549.3519</v>
      </c>
      <c r="L21" s="39">
        <v>35467.4578</v>
      </c>
      <c r="M21" s="40">
        <v>-1416.56991999999</v>
      </c>
      <c r="N21" s="41">
        <v>0.6683</v>
      </c>
      <c r="O21" s="41">
        <v>0.1585</v>
      </c>
      <c r="P21" s="41">
        <v>0.023</v>
      </c>
      <c r="Q21" s="41">
        <v>0.0699</v>
      </c>
      <c r="R21" s="41">
        <v>0.0929</v>
      </c>
    </row>
    <row r="22" ht="15.75" customHeight="1">
      <c r="A22" s="42" t="s">
        <v>238</v>
      </c>
      <c r="B22" s="42">
        <v>2024.0</v>
      </c>
      <c r="C22" s="42">
        <v>11.0</v>
      </c>
      <c r="D22" s="43">
        <v>49480.79548</v>
      </c>
      <c r="E22" s="43">
        <v>4988.83471</v>
      </c>
      <c r="F22" s="43">
        <v>12342.54677</v>
      </c>
      <c r="G22" s="43">
        <v>1232.15103</v>
      </c>
      <c r="H22" s="43">
        <v>4059.72291</v>
      </c>
      <c r="I22" s="43">
        <v>1210.61751</v>
      </c>
      <c r="J22" s="43">
        <v>73314.66841</v>
      </c>
      <c r="K22" s="43">
        <v>68451.7958</v>
      </c>
      <c r="L22" s="43">
        <v>40199.0053</v>
      </c>
      <c r="M22" s="24">
        <v>4862.87261000001</v>
      </c>
      <c r="N22" s="44">
        <v>0.6749</v>
      </c>
      <c r="O22" s="44">
        <v>0.1684</v>
      </c>
      <c r="P22" s="44">
        <v>0.0168</v>
      </c>
      <c r="Q22" s="44">
        <v>0.0554</v>
      </c>
      <c r="R22" s="44">
        <v>0.0722</v>
      </c>
    </row>
    <row r="23" ht="15.75" customHeight="1">
      <c r="A23" s="38" t="s">
        <v>239</v>
      </c>
      <c r="B23" s="38">
        <v>2024.0</v>
      </c>
      <c r="C23" s="38">
        <v>12.0</v>
      </c>
      <c r="D23" s="39">
        <v>50479.54061</v>
      </c>
      <c r="E23" s="39">
        <v>5109.90979</v>
      </c>
      <c r="F23" s="39">
        <v>13671.80647</v>
      </c>
      <c r="G23" s="39">
        <v>1632.8596</v>
      </c>
      <c r="H23" s="39">
        <v>3317.55355</v>
      </c>
      <c r="I23" s="39">
        <v>1557.05753</v>
      </c>
      <c r="J23" s="39">
        <v>75768.72755</v>
      </c>
      <c r="K23" s="39">
        <v>70730.2808</v>
      </c>
      <c r="L23" s="39">
        <v>45222.9621</v>
      </c>
      <c r="M23" s="24">
        <v>5038.44675</v>
      </c>
      <c r="N23" s="41">
        <v>0.6662</v>
      </c>
      <c r="O23" s="41">
        <v>0.1804</v>
      </c>
      <c r="P23" s="41">
        <v>0.0216</v>
      </c>
      <c r="Q23" s="41">
        <v>0.0438</v>
      </c>
      <c r="R23" s="41">
        <v>0.0654</v>
      </c>
    </row>
    <row r="24" ht="15.75" customHeight="1">
      <c r="A24" s="42" t="s">
        <v>240</v>
      </c>
      <c r="B24" s="42">
        <v>2025.0</v>
      </c>
      <c r="C24" s="42">
        <v>1.0</v>
      </c>
      <c r="D24" s="43">
        <v>51699.02678</v>
      </c>
      <c r="E24" s="43">
        <v>5336.61126</v>
      </c>
      <c r="F24" s="43">
        <v>13721.77653</v>
      </c>
      <c r="G24" s="43">
        <v>1416.1012</v>
      </c>
      <c r="H24" s="43">
        <v>4107.54509</v>
      </c>
      <c r="I24" s="43">
        <v>1662.21724</v>
      </c>
      <c r="J24" s="43">
        <v>77943.2781</v>
      </c>
      <c r="K24" s="43">
        <v>72802.2194</v>
      </c>
      <c r="L24" s="43">
        <v>50218.6307</v>
      </c>
      <c r="M24" s="24">
        <v>5141.05869999999</v>
      </c>
      <c r="N24" s="44">
        <v>0.6633</v>
      </c>
      <c r="O24" s="44">
        <v>0.176</v>
      </c>
      <c r="P24" s="44">
        <v>0.0182</v>
      </c>
      <c r="Q24" s="44">
        <v>0.0527</v>
      </c>
      <c r="R24" s="44">
        <v>0.0709</v>
      </c>
    </row>
    <row r="25" ht="15.75" customHeight="1">
      <c r="A25" s="38" t="s">
        <v>244</v>
      </c>
      <c r="B25" s="38">
        <v>2025.0</v>
      </c>
      <c r="C25" s="38">
        <v>2.0</v>
      </c>
      <c r="D25" s="39">
        <v>47887.99391</v>
      </c>
      <c r="E25" s="39">
        <v>5076.8959</v>
      </c>
      <c r="F25" s="39">
        <v>12649.34587</v>
      </c>
      <c r="G25" s="39">
        <v>1260.8974</v>
      </c>
      <c r="H25" s="39">
        <v>5064.94033</v>
      </c>
      <c r="I25" s="39">
        <v>1591.31912</v>
      </c>
      <c r="J25" s="39">
        <v>73531.39253</v>
      </c>
      <c r="K25" s="39">
        <v>69766.5377</v>
      </c>
      <c r="L25" s="39">
        <v>53940.3928</v>
      </c>
      <c r="M25" s="24">
        <v>3764.85483</v>
      </c>
      <c r="N25" s="41">
        <v>0.6513</v>
      </c>
      <c r="O25" s="41">
        <v>0.172</v>
      </c>
      <c r="P25" s="41">
        <v>0.0171</v>
      </c>
      <c r="Q25" s="41">
        <v>0.0689</v>
      </c>
      <c r="R25" s="41">
        <v>0.086</v>
      </c>
    </row>
    <row r="26" ht="15.75" customHeight="1">
      <c r="A26" s="42" t="s">
        <v>247</v>
      </c>
      <c r="B26" s="42">
        <v>2025.0</v>
      </c>
      <c r="C26" s="42">
        <v>3.0</v>
      </c>
      <c r="D26" s="43">
        <v>52511.33665</v>
      </c>
      <c r="E26" s="43">
        <v>6516.461</v>
      </c>
      <c r="F26" s="43">
        <v>14263.09424</v>
      </c>
      <c r="G26" s="43">
        <v>1447.2882</v>
      </c>
      <c r="H26" s="43">
        <v>5129.8477</v>
      </c>
      <c r="I26" s="43">
        <v>1704.3857</v>
      </c>
      <c r="J26" s="43">
        <v>81572.41349</v>
      </c>
      <c r="K26" s="43">
        <v>78119.0758</v>
      </c>
      <c r="L26" s="43">
        <v>57568.5338</v>
      </c>
      <c r="M26" s="24">
        <v>3453.33769</v>
      </c>
      <c r="N26" s="44">
        <v>0.6437</v>
      </c>
      <c r="O26" s="44">
        <v>0.1749</v>
      </c>
      <c r="P26" s="44">
        <v>0.0177</v>
      </c>
      <c r="Q26" s="44">
        <v>0.0629</v>
      </c>
      <c r="R26" s="44">
        <v>0.0806</v>
      </c>
    </row>
    <row r="27" ht="15.75" customHeight="1">
      <c r="A27" s="38" t="s">
        <v>250</v>
      </c>
      <c r="B27" s="38">
        <v>2025.0</v>
      </c>
      <c r="C27" s="38">
        <v>4.0</v>
      </c>
      <c r="D27" s="39">
        <v>47607.15969392</v>
      </c>
      <c r="E27" s="39">
        <v>5527.19198</v>
      </c>
      <c r="F27" s="39">
        <v>13441.39866</v>
      </c>
      <c r="G27" s="39">
        <v>1663.5278894</v>
      </c>
      <c r="H27" s="39">
        <v>4671.046</v>
      </c>
      <c r="I27" s="39">
        <v>1423.14556</v>
      </c>
      <c r="J27" s="39">
        <v>74333.46978332</v>
      </c>
      <c r="K27" s="39">
        <v>75941.0426</v>
      </c>
      <c r="L27" s="39">
        <v>55883.3816</v>
      </c>
      <c r="M27" s="40">
        <v>-1607.57281668</v>
      </c>
      <c r="N27" s="41">
        <v>0.6405</v>
      </c>
      <c r="O27" s="41">
        <v>0.1808</v>
      </c>
      <c r="P27" s="41">
        <v>0.0224</v>
      </c>
      <c r="Q27" s="41">
        <v>0.0628</v>
      </c>
      <c r="R27" s="41">
        <v>0.0852</v>
      </c>
    </row>
    <row r="28" ht="15.75" customHeight="1">
      <c r="A28" s="42" t="s">
        <v>251</v>
      </c>
      <c r="B28" s="42">
        <v>2025.0</v>
      </c>
      <c r="C28" s="42">
        <v>5.0</v>
      </c>
      <c r="D28" s="43">
        <v>49114.98528</v>
      </c>
      <c r="E28" s="43">
        <v>5812.85072</v>
      </c>
      <c r="F28" s="43">
        <v>13478.11389</v>
      </c>
      <c r="G28" s="43">
        <v>1437.9029</v>
      </c>
      <c r="H28" s="43">
        <v>5495.815</v>
      </c>
      <c r="I28" s="43">
        <v>1733.153</v>
      </c>
      <c r="J28" s="43">
        <v>77072.82079</v>
      </c>
      <c r="K28" s="43">
        <v>73512.1048</v>
      </c>
      <c r="L28" s="43">
        <v>59528.9206</v>
      </c>
      <c r="M28" s="24">
        <v>3560.71599</v>
      </c>
      <c r="N28" s="44">
        <v>0.6373</v>
      </c>
      <c r="O28" s="44">
        <v>0.1749</v>
      </c>
      <c r="P28" s="44">
        <v>0.0187</v>
      </c>
      <c r="Q28" s="44">
        <v>0.0713</v>
      </c>
      <c r="R28" s="44">
        <v>0.09</v>
      </c>
    </row>
    <row r="29" ht="15.75" customHeight="1">
      <c r="A29" s="38" t="s">
        <v>252</v>
      </c>
      <c r="B29" s="38">
        <v>2025.0</v>
      </c>
      <c r="C29" s="38">
        <v>6.0</v>
      </c>
      <c r="D29" s="39">
        <v>45228.64461238</v>
      </c>
      <c r="E29" s="39">
        <v>4727.10268</v>
      </c>
      <c r="F29" s="39">
        <v>12963.36642</v>
      </c>
      <c r="G29" s="39">
        <v>1147.3251544</v>
      </c>
      <c r="H29" s="39">
        <v>5092.23916</v>
      </c>
      <c r="I29" s="39">
        <v>1918.23599</v>
      </c>
      <c r="J29" s="39">
        <v>71076.91401678</v>
      </c>
      <c r="K29" s="39">
        <v>69733.6063</v>
      </c>
      <c r="L29" s="39">
        <v>0.0</v>
      </c>
      <c r="M29" s="24">
        <v>1343.30771677999</v>
      </c>
      <c r="N29" s="41">
        <v>0.6363</v>
      </c>
      <c r="O29" s="41">
        <v>0.1824</v>
      </c>
      <c r="P29" s="41">
        <v>0.0161</v>
      </c>
      <c r="Q29" s="41">
        <v>0.0716</v>
      </c>
      <c r="R29" s="41">
        <v>0.0877</v>
      </c>
    </row>
    <row r="30" ht="15.75" customHeight="1">
      <c r="A30" s="42" t="s">
        <v>253</v>
      </c>
      <c r="B30" s="42">
        <v>2025.0</v>
      </c>
      <c r="C30" s="42">
        <v>7.0</v>
      </c>
      <c r="D30" s="43">
        <v>41917.8286676586</v>
      </c>
      <c r="E30" s="43">
        <v>3851.14648</v>
      </c>
      <c r="F30" s="43">
        <v>11773.17239</v>
      </c>
      <c r="G30" s="43">
        <v>752.5829966842</v>
      </c>
      <c r="H30" s="43">
        <v>4021.07629</v>
      </c>
      <c r="I30" s="43">
        <v>1570.01337</v>
      </c>
      <c r="J30" s="43">
        <v>63885.8201943428</v>
      </c>
      <c r="K30" s="43">
        <v>70931.2149</v>
      </c>
      <c r="L30" s="43">
        <v>53659.2542</v>
      </c>
      <c r="M30" s="40">
        <v>-7045.39470565716</v>
      </c>
      <c r="N30" s="44">
        <v>0.6561</v>
      </c>
      <c r="O30" s="44">
        <v>0.1843</v>
      </c>
      <c r="P30" s="44">
        <v>0.0118</v>
      </c>
      <c r="Q30" s="44">
        <v>0.0629</v>
      </c>
      <c r="R30" s="44">
        <v>0.0747</v>
      </c>
    </row>
    <row r="31" ht="15.75" customHeight="1">
      <c r="A31" s="38" t="s">
        <v>254</v>
      </c>
      <c r="B31" s="38">
        <v>2025.0</v>
      </c>
      <c r="C31" s="38">
        <v>8.0</v>
      </c>
      <c r="D31" s="39">
        <v>45088.792934329</v>
      </c>
      <c r="E31" s="39">
        <v>3842.91051</v>
      </c>
      <c r="F31" s="39">
        <v>11443.20647</v>
      </c>
      <c r="G31" s="39">
        <v>1575.32043326</v>
      </c>
      <c r="H31" s="39">
        <v>3491.563798</v>
      </c>
      <c r="I31" s="39">
        <v>1504.65921</v>
      </c>
      <c r="J31" s="39">
        <v>66946.453355589</v>
      </c>
      <c r="K31" s="39">
        <v>70128.1434</v>
      </c>
      <c r="L31" s="39">
        <v>50814.9459</v>
      </c>
      <c r="M31" s="40">
        <v>-3181.69004441104</v>
      </c>
      <c r="N31" s="41">
        <v>0.6735</v>
      </c>
      <c r="O31" s="41">
        <v>0.1709</v>
      </c>
      <c r="P31" s="41">
        <v>0.0235</v>
      </c>
      <c r="Q31" s="41">
        <v>0.0522</v>
      </c>
      <c r="R31" s="41">
        <v>0.0757</v>
      </c>
    </row>
    <row r="32" ht="15.75" customHeight="1">
      <c r="A32" s="42" t="s">
        <v>256</v>
      </c>
      <c r="B32" s="42">
        <v>2025.0</v>
      </c>
      <c r="C32" s="42">
        <v>9.0</v>
      </c>
      <c r="D32" s="43">
        <v>42272.2818822</v>
      </c>
      <c r="E32" s="43">
        <v>3618.976</v>
      </c>
      <c r="F32" s="43">
        <v>11636.41701</v>
      </c>
      <c r="G32" s="43">
        <v>1535.7952217</v>
      </c>
      <c r="H32" s="43">
        <v>3437.57557</v>
      </c>
      <c r="I32" s="43">
        <v>1541.54181</v>
      </c>
      <c r="J32" s="43">
        <v>64042.5874939</v>
      </c>
      <c r="K32" s="43">
        <v>68250.7769</v>
      </c>
      <c r="L32" s="43">
        <v>46471.7376</v>
      </c>
      <c r="M32" s="40">
        <v>-4208.1894061</v>
      </c>
      <c r="N32" s="44">
        <v>0.6601</v>
      </c>
      <c r="O32" s="44">
        <v>0.1817</v>
      </c>
      <c r="P32" s="44">
        <v>0.024</v>
      </c>
      <c r="Q32" s="44">
        <v>0.0537</v>
      </c>
      <c r="R32" s="44">
        <v>0.0777</v>
      </c>
    </row>
    <row r="33" ht="15.75" customHeight="1">
      <c r="A33" s="38" t="s">
        <v>257</v>
      </c>
      <c r="B33" s="38">
        <v>2025.0</v>
      </c>
      <c r="C33" s="38">
        <v>10.0</v>
      </c>
      <c r="D33" s="39">
        <v>44548.55975614</v>
      </c>
      <c r="E33" s="39">
        <v>4500.15989</v>
      </c>
      <c r="F33" s="39">
        <v>12434.31801</v>
      </c>
      <c r="G33" s="39">
        <v>1674.7647483</v>
      </c>
      <c r="H33" s="39">
        <v>2828.616331</v>
      </c>
      <c r="I33" s="39">
        <v>1465.61872208</v>
      </c>
      <c r="J33" s="39">
        <v>67452.03745752</v>
      </c>
      <c r="K33" s="39">
        <v>65645.3494</v>
      </c>
      <c r="L33" s="39">
        <v>48120.4187</v>
      </c>
      <c r="M33" s="24">
        <v>1806.68805751999</v>
      </c>
      <c r="N33" s="41">
        <v>0.6604</v>
      </c>
      <c r="O33" s="41">
        <v>0.1843</v>
      </c>
      <c r="P33" s="41">
        <v>0.0248</v>
      </c>
      <c r="Q33" s="41">
        <v>0.0419</v>
      </c>
      <c r="R33" s="41">
        <v>0.0667</v>
      </c>
    </row>
    <row r="34" ht="15.75" customHeight="1">
      <c r="A34" s="42" t="s">
        <v>258</v>
      </c>
      <c r="B34" s="42">
        <v>2025.0</v>
      </c>
      <c r="C34" s="42">
        <v>11.0</v>
      </c>
      <c r="D34" s="43">
        <v>46175.41781064</v>
      </c>
      <c r="E34" s="43">
        <v>4592.81245</v>
      </c>
      <c r="F34" s="43">
        <v>12861.80391</v>
      </c>
      <c r="G34" s="43">
        <v>1747.7164706</v>
      </c>
      <c r="H34" s="43">
        <v>3041.330983</v>
      </c>
      <c r="I34" s="43">
        <v>1571.41841344</v>
      </c>
      <c r="J34" s="43">
        <v>69990.50003768</v>
      </c>
      <c r="K34" s="43">
        <v>64341.1403</v>
      </c>
      <c r="L34" s="43">
        <v>54069.6274</v>
      </c>
      <c r="M34" s="24">
        <v>5649.35973768</v>
      </c>
      <c r="N34" s="44">
        <v>0.6597</v>
      </c>
      <c r="O34" s="44">
        <v>0.1838</v>
      </c>
      <c r="P34" s="44">
        <v>0.025</v>
      </c>
      <c r="Q34" s="44">
        <v>0.0435</v>
      </c>
      <c r="R34" s="44">
        <v>0.0685</v>
      </c>
    </row>
    <row r="35" ht="15.75" customHeight="1">
      <c r="A35" s="38" t="s">
        <v>264</v>
      </c>
      <c r="B35" s="38">
        <v>2025.0</v>
      </c>
      <c r="C35" s="38">
        <v>12.0</v>
      </c>
      <c r="D35" s="39">
        <v>48015.64265236</v>
      </c>
      <c r="E35" s="39">
        <v>5126.24992</v>
      </c>
      <c r="F35" s="39">
        <v>13039.27247</v>
      </c>
      <c r="G35" s="39">
        <v>1715.899566</v>
      </c>
      <c r="H35" s="39">
        <v>3429.21486</v>
      </c>
      <c r="I35" s="39">
        <v>1589.65769432</v>
      </c>
      <c r="J35" s="39">
        <v>72915.93716268</v>
      </c>
      <c r="K35" s="39">
        <v>73012.6637</v>
      </c>
      <c r="L35" s="39">
        <v>53641.0275</v>
      </c>
      <c r="M35" s="40">
        <v>-96.7265373200062</v>
      </c>
      <c r="N35" s="41">
        <v>0.6585</v>
      </c>
      <c r="O35" s="41">
        <v>0.1788</v>
      </c>
      <c r="P35" s="41">
        <v>0.0235</v>
      </c>
      <c r="Q35" s="41">
        <v>0.047</v>
      </c>
      <c r="R35" s="41">
        <v>0.0705</v>
      </c>
    </row>
    <row r="36" ht="15.75" customHeight="1">
      <c r="A36" s="42" t="s">
        <v>265</v>
      </c>
      <c r="B36" s="42">
        <v>2026.0</v>
      </c>
      <c r="C36" s="42">
        <v>1.0</v>
      </c>
      <c r="D36" s="43">
        <v>50846.6301922</v>
      </c>
      <c r="E36" s="43">
        <v>4794.30181</v>
      </c>
      <c r="F36" s="43">
        <v>13612.05627</v>
      </c>
      <c r="G36" s="43">
        <v>1784.4949485</v>
      </c>
      <c r="H36" s="43">
        <v>3631.04114</v>
      </c>
      <c r="I36" s="43">
        <v>1527.35939408</v>
      </c>
      <c r="J36" s="43">
        <v>76195.88375478</v>
      </c>
      <c r="K36" s="43">
        <v>73949.2719</v>
      </c>
      <c r="L36" s="43">
        <v>55987.9109</v>
      </c>
      <c r="M36" s="24">
        <v>2246.61185478</v>
      </c>
      <c r="N36" s="44">
        <v>0.6673</v>
      </c>
      <c r="O36" s="44">
        <v>0.1786</v>
      </c>
      <c r="P36" s="44">
        <v>0.0234</v>
      </c>
      <c r="Q36" s="44">
        <v>0.0477</v>
      </c>
      <c r="R36" s="44">
        <v>0.0711</v>
      </c>
    </row>
    <row r="37" ht="15.75" customHeight="1">
      <c r="A37" s="45" t="s">
        <v>312</v>
      </c>
      <c r="B37" s="45"/>
      <c r="C37" s="45"/>
      <c r="D37" s="46">
        <v>1626089.84788183</v>
      </c>
      <c r="E37" s="46">
        <v>168436.98292</v>
      </c>
      <c r="F37" s="46">
        <v>372766.66963</v>
      </c>
      <c r="G37" s="46">
        <v>95091.3267978442</v>
      </c>
      <c r="H37" s="46">
        <v>127806.503594</v>
      </c>
      <c r="I37" s="46">
        <v>61349.90659392</v>
      </c>
      <c r="J37" s="46">
        <v>2451541.23741759</v>
      </c>
      <c r="K37" s="46">
        <v>2430782.5266</v>
      </c>
      <c r="L37" s="46">
        <v>1437152.4487</v>
      </c>
      <c r="M37" s="45"/>
      <c r="N37" s="45"/>
      <c r="O37" s="45"/>
      <c r="P37" s="45"/>
      <c r="Q37" s="45"/>
      <c r="R37" s="45"/>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R1"/>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7D31"/>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16.0"/>
    <col customWidth="1" min="2" max="2" width="10.0"/>
    <col customWidth="1" min="3" max="3" width="7.0"/>
    <col customWidth="1" min="4" max="4" width="11.0"/>
    <col customWidth="1" min="5" max="6" width="10.0"/>
    <col customWidth="1" min="7" max="7" width="11.0"/>
    <col customWidth="1" min="8" max="8" width="10.0"/>
    <col customWidth="1" min="9" max="9" width="9.0"/>
    <col customWidth="1" min="10" max="11" width="13.0"/>
    <col customWidth="1" min="12" max="12" width="12.0"/>
    <col customWidth="1" min="13" max="13" width="13.0"/>
    <col customWidth="1" min="14" max="14" width="10.0"/>
    <col customWidth="1" min="15" max="15" width="9.0"/>
    <col customWidth="1" min="16" max="16" width="11.0"/>
    <col customWidth="1" min="17" max="26" width="8.71"/>
  </cols>
  <sheetData>
    <row r="1" ht="24.0" customHeight="1">
      <c r="A1" s="1" t="s">
        <v>313</v>
      </c>
      <c r="B1" s="2"/>
      <c r="C1" s="2"/>
      <c r="D1" s="2"/>
      <c r="E1" s="2"/>
      <c r="F1" s="2"/>
      <c r="G1" s="2"/>
      <c r="H1" s="2"/>
      <c r="I1" s="2"/>
      <c r="J1" s="2"/>
      <c r="K1" s="2"/>
      <c r="L1" s="2"/>
      <c r="M1" s="2"/>
      <c r="N1" s="2"/>
      <c r="O1" s="2"/>
      <c r="P1" s="3"/>
    </row>
    <row r="2" ht="39.75" customHeight="1">
      <c r="A2" s="10" t="s">
        <v>6</v>
      </c>
      <c r="B2" s="10" t="s">
        <v>7</v>
      </c>
      <c r="C2" s="10" t="s">
        <v>314</v>
      </c>
      <c r="D2" s="10" t="s">
        <v>297</v>
      </c>
      <c r="E2" s="10" t="s">
        <v>298</v>
      </c>
      <c r="F2" s="10" t="s">
        <v>299</v>
      </c>
      <c r="G2" s="10" t="s">
        <v>300</v>
      </c>
      <c r="H2" s="10" t="s">
        <v>301</v>
      </c>
      <c r="I2" s="10" t="s">
        <v>302</v>
      </c>
      <c r="J2" s="10" t="s">
        <v>303</v>
      </c>
      <c r="K2" s="10" t="s">
        <v>304</v>
      </c>
      <c r="L2" s="10" t="s">
        <v>315</v>
      </c>
      <c r="M2" s="10" t="s">
        <v>305</v>
      </c>
      <c r="N2" s="10" t="s">
        <v>309</v>
      </c>
      <c r="O2" s="10" t="s">
        <v>310</v>
      </c>
      <c r="P2" s="10" t="s">
        <v>311</v>
      </c>
    </row>
    <row r="3">
      <c r="A3" s="38" t="s">
        <v>21</v>
      </c>
      <c r="B3" s="47" t="s">
        <v>22</v>
      </c>
      <c r="C3" s="38">
        <v>37.0</v>
      </c>
      <c r="D3" s="39">
        <v>9533.1893</v>
      </c>
      <c r="E3" s="39">
        <v>8.169</v>
      </c>
      <c r="F3" s="39">
        <v>4267.506</v>
      </c>
      <c r="G3" s="39">
        <v>264.47</v>
      </c>
      <c r="H3" s="39">
        <v>30.27</v>
      </c>
      <c r="I3" s="39">
        <v>345.054</v>
      </c>
      <c r="J3" s="39">
        <v>14448.6583</v>
      </c>
      <c r="K3" s="39">
        <v>14602.435</v>
      </c>
      <c r="L3" s="39">
        <v>-153.776699999999</v>
      </c>
      <c r="M3" s="39">
        <v>6011.992</v>
      </c>
      <c r="N3" s="41">
        <v>0.0183</v>
      </c>
      <c r="O3" s="41">
        <v>0.0021</v>
      </c>
      <c r="P3" s="41">
        <v>0.0204</v>
      </c>
    </row>
    <row r="4">
      <c r="A4" s="42" t="s">
        <v>21</v>
      </c>
      <c r="B4" s="48" t="s">
        <v>61</v>
      </c>
      <c r="C4" s="42">
        <v>37.0</v>
      </c>
      <c r="D4" s="43">
        <v>12988.57858</v>
      </c>
      <c r="E4" s="43">
        <v>12.145</v>
      </c>
      <c r="F4" s="43">
        <v>1479.22498</v>
      </c>
      <c r="G4" s="43">
        <v>451.9575</v>
      </c>
      <c r="H4" s="43">
        <v>0.0</v>
      </c>
      <c r="I4" s="43">
        <v>0.067</v>
      </c>
      <c r="J4" s="43">
        <v>14931.97306</v>
      </c>
      <c r="K4" s="43">
        <v>14036.089</v>
      </c>
      <c r="L4" s="43">
        <v>895.88406</v>
      </c>
      <c r="M4" s="43">
        <v>10796.336</v>
      </c>
      <c r="N4" s="44">
        <v>0.0303</v>
      </c>
      <c r="O4" s="44">
        <v>0.0</v>
      </c>
      <c r="P4" s="44">
        <v>0.0303</v>
      </c>
    </row>
    <row r="5">
      <c r="A5" s="38" t="s">
        <v>21</v>
      </c>
      <c r="B5" s="49" t="s">
        <v>99</v>
      </c>
      <c r="C5" s="38">
        <v>33.0</v>
      </c>
      <c r="D5" s="39">
        <v>5617.44224</v>
      </c>
      <c r="E5" s="39">
        <v>4800.95067</v>
      </c>
      <c r="F5" s="39">
        <v>614.71371</v>
      </c>
      <c r="G5" s="39">
        <v>2059.4482</v>
      </c>
      <c r="H5" s="39">
        <v>0.0</v>
      </c>
      <c r="I5" s="39">
        <v>0.0</v>
      </c>
      <c r="J5" s="39">
        <v>13092.55482</v>
      </c>
      <c r="K5" s="39">
        <v>13811.8749</v>
      </c>
      <c r="L5" s="39">
        <v>-719.320080000001</v>
      </c>
      <c r="M5" s="39">
        <v>4530.6525</v>
      </c>
      <c r="N5" s="41">
        <v>0.1573</v>
      </c>
      <c r="O5" s="41">
        <v>0.0</v>
      </c>
      <c r="P5" s="41">
        <v>0.1573</v>
      </c>
    </row>
    <row r="6">
      <c r="A6" s="42" t="s">
        <v>21</v>
      </c>
      <c r="B6" s="50" t="s">
        <v>133</v>
      </c>
      <c r="C6" s="42">
        <v>72.0</v>
      </c>
      <c r="D6" s="43">
        <v>19712.75691</v>
      </c>
      <c r="E6" s="43">
        <v>446.977</v>
      </c>
      <c r="F6" s="43">
        <v>2399.1218</v>
      </c>
      <c r="G6" s="43">
        <v>2007.11361</v>
      </c>
      <c r="H6" s="43">
        <v>461.41228</v>
      </c>
      <c r="I6" s="43">
        <v>2387.3924</v>
      </c>
      <c r="J6" s="43">
        <v>27414.774</v>
      </c>
      <c r="K6" s="43">
        <v>28575.7937</v>
      </c>
      <c r="L6" s="43">
        <v>-1161.0197</v>
      </c>
      <c r="M6" s="43">
        <v>14386.182</v>
      </c>
      <c r="N6" s="44">
        <v>0.0732</v>
      </c>
      <c r="O6" s="44">
        <v>0.0168</v>
      </c>
      <c r="P6" s="44">
        <v>0.09</v>
      </c>
    </row>
    <row r="7">
      <c r="A7" s="38" t="s">
        <v>206</v>
      </c>
      <c r="B7" s="47" t="s">
        <v>22</v>
      </c>
      <c r="C7" s="38">
        <v>37.0</v>
      </c>
      <c r="D7" s="39">
        <v>10133.747</v>
      </c>
      <c r="E7" s="39">
        <v>16.23</v>
      </c>
      <c r="F7" s="39">
        <v>4028.5088</v>
      </c>
      <c r="G7" s="39">
        <v>270.896</v>
      </c>
      <c r="H7" s="39">
        <v>24.634</v>
      </c>
      <c r="I7" s="39">
        <v>510.812</v>
      </c>
      <c r="J7" s="39">
        <v>14984.8278</v>
      </c>
      <c r="K7" s="39">
        <v>14532.03</v>
      </c>
      <c r="L7" s="39">
        <v>452.797799999999</v>
      </c>
      <c r="M7" s="39">
        <v>6443.335</v>
      </c>
      <c r="N7" s="41">
        <v>0.0181</v>
      </c>
      <c r="O7" s="41">
        <v>0.0016</v>
      </c>
      <c r="P7" s="41">
        <v>0.0197</v>
      </c>
    </row>
    <row r="8">
      <c r="A8" s="42" t="s">
        <v>206</v>
      </c>
      <c r="B8" s="48" t="s">
        <v>61</v>
      </c>
      <c r="C8" s="42">
        <v>37.0</v>
      </c>
      <c r="D8" s="43">
        <v>12723.78866</v>
      </c>
      <c r="E8" s="43">
        <v>0.0</v>
      </c>
      <c r="F8" s="43">
        <v>1216.8322</v>
      </c>
      <c r="G8" s="43">
        <v>316.14913</v>
      </c>
      <c r="H8" s="43">
        <v>0.07</v>
      </c>
      <c r="I8" s="43">
        <v>0.0</v>
      </c>
      <c r="J8" s="43">
        <v>14256.83999</v>
      </c>
      <c r="K8" s="43">
        <v>14176.0655</v>
      </c>
      <c r="L8" s="43">
        <v>80.7744899999998</v>
      </c>
      <c r="M8" s="43">
        <v>10858.887</v>
      </c>
      <c r="N8" s="44">
        <v>0.0222</v>
      </c>
      <c r="O8" s="44">
        <v>0.0</v>
      </c>
      <c r="P8" s="44">
        <v>0.0222</v>
      </c>
    </row>
    <row r="9">
      <c r="A9" s="38" t="s">
        <v>206</v>
      </c>
      <c r="B9" s="49" t="s">
        <v>99</v>
      </c>
      <c r="C9" s="38">
        <v>33.0</v>
      </c>
      <c r="D9" s="39">
        <v>5766.15244</v>
      </c>
      <c r="E9" s="39">
        <v>4938.22294</v>
      </c>
      <c r="F9" s="39">
        <v>895.33678</v>
      </c>
      <c r="G9" s="39">
        <v>2337.1228</v>
      </c>
      <c r="H9" s="39">
        <v>0.0</v>
      </c>
      <c r="I9" s="39">
        <v>11.72957</v>
      </c>
      <c r="J9" s="39">
        <v>13948.56453</v>
      </c>
      <c r="K9" s="39">
        <v>13320.8696</v>
      </c>
      <c r="L9" s="39">
        <v>627.69493</v>
      </c>
      <c r="M9" s="39">
        <v>5112.5621</v>
      </c>
      <c r="N9" s="41">
        <v>0.1676</v>
      </c>
      <c r="O9" s="41">
        <v>0.0</v>
      </c>
      <c r="P9" s="41">
        <v>0.1676</v>
      </c>
    </row>
    <row r="10">
      <c r="A10" s="42" t="s">
        <v>206</v>
      </c>
      <c r="B10" s="50" t="s">
        <v>133</v>
      </c>
      <c r="C10" s="42">
        <v>72.0</v>
      </c>
      <c r="D10" s="43">
        <v>20480.18138</v>
      </c>
      <c r="E10" s="43">
        <v>471.711</v>
      </c>
      <c r="F10" s="43">
        <v>2744.6401</v>
      </c>
      <c r="G10" s="43">
        <v>1725.837</v>
      </c>
      <c r="H10" s="43">
        <v>457.4762</v>
      </c>
      <c r="I10" s="43">
        <v>2829.4428</v>
      </c>
      <c r="J10" s="43">
        <v>28709.28848</v>
      </c>
      <c r="K10" s="43">
        <v>29214.3691</v>
      </c>
      <c r="L10" s="43">
        <v>-505.080620000001</v>
      </c>
      <c r="M10" s="43">
        <v>14072.908</v>
      </c>
      <c r="N10" s="44">
        <v>0.0601</v>
      </c>
      <c r="O10" s="44">
        <v>0.0159</v>
      </c>
      <c r="P10" s="44">
        <v>0.076</v>
      </c>
    </row>
    <row r="11">
      <c r="A11" s="38" t="s">
        <v>207</v>
      </c>
      <c r="B11" s="47" t="s">
        <v>22</v>
      </c>
      <c r="C11" s="38">
        <v>37.0</v>
      </c>
      <c r="D11" s="39">
        <v>9605.10615</v>
      </c>
      <c r="E11" s="39">
        <v>12.342</v>
      </c>
      <c r="F11" s="39">
        <v>3602.192</v>
      </c>
      <c r="G11" s="39">
        <v>147.9776</v>
      </c>
      <c r="H11" s="39">
        <v>6.152</v>
      </c>
      <c r="I11" s="39">
        <v>263.905</v>
      </c>
      <c r="J11" s="39">
        <v>13637.67475</v>
      </c>
      <c r="K11" s="39">
        <v>13906.7829</v>
      </c>
      <c r="L11" s="39">
        <v>-269.10815</v>
      </c>
      <c r="M11" s="39">
        <v>6122.224</v>
      </c>
      <c r="N11" s="41">
        <v>0.0109</v>
      </c>
      <c r="O11" s="41">
        <v>5.0E-4</v>
      </c>
      <c r="P11" s="41">
        <v>0.0114</v>
      </c>
    </row>
    <row r="12">
      <c r="A12" s="42" t="s">
        <v>207</v>
      </c>
      <c r="B12" s="48" t="s">
        <v>61</v>
      </c>
      <c r="C12" s="42">
        <v>37.0</v>
      </c>
      <c r="D12" s="43">
        <v>12879.30762</v>
      </c>
      <c r="E12" s="43">
        <v>0.27668</v>
      </c>
      <c r="F12" s="43">
        <v>963.57319</v>
      </c>
      <c r="G12" s="43">
        <v>250.6724</v>
      </c>
      <c r="H12" s="43">
        <v>0.0</v>
      </c>
      <c r="I12" s="43">
        <v>0.0</v>
      </c>
      <c r="J12" s="43">
        <v>14093.82989</v>
      </c>
      <c r="K12" s="43">
        <v>14947.108</v>
      </c>
      <c r="L12" s="43">
        <v>-853.278109999999</v>
      </c>
      <c r="M12" s="43">
        <v>9849.143</v>
      </c>
      <c r="N12" s="44">
        <v>0.0178</v>
      </c>
      <c r="O12" s="44">
        <v>0.0</v>
      </c>
      <c r="P12" s="44">
        <v>0.0178</v>
      </c>
    </row>
    <row r="13">
      <c r="A13" s="38" t="s">
        <v>207</v>
      </c>
      <c r="B13" s="49" t="s">
        <v>99</v>
      </c>
      <c r="C13" s="38">
        <v>33.0</v>
      </c>
      <c r="D13" s="39">
        <v>5502.8455</v>
      </c>
      <c r="E13" s="39">
        <v>4601.9889</v>
      </c>
      <c r="F13" s="39">
        <v>438.63323</v>
      </c>
      <c r="G13" s="39">
        <v>1984.8388</v>
      </c>
      <c r="H13" s="39">
        <v>0.0</v>
      </c>
      <c r="I13" s="39">
        <v>0.0</v>
      </c>
      <c r="J13" s="39">
        <v>12528.30643</v>
      </c>
      <c r="K13" s="39">
        <v>12833.5476</v>
      </c>
      <c r="L13" s="39">
        <v>-305.241169999999</v>
      </c>
      <c r="M13" s="39">
        <v>4731.4367</v>
      </c>
      <c r="N13" s="41">
        <v>0.1584</v>
      </c>
      <c r="O13" s="41">
        <v>0.0</v>
      </c>
      <c r="P13" s="41">
        <v>0.1584</v>
      </c>
    </row>
    <row r="14">
      <c r="A14" s="42" t="s">
        <v>207</v>
      </c>
      <c r="B14" s="50" t="s">
        <v>133</v>
      </c>
      <c r="C14" s="42">
        <v>72.0</v>
      </c>
      <c r="D14" s="43">
        <v>19301.23051</v>
      </c>
      <c r="E14" s="43">
        <v>437.0</v>
      </c>
      <c r="F14" s="43">
        <v>3151.1659</v>
      </c>
      <c r="G14" s="43">
        <v>2379.18945</v>
      </c>
      <c r="H14" s="43">
        <v>315.9887</v>
      </c>
      <c r="I14" s="43">
        <v>2564.0408</v>
      </c>
      <c r="J14" s="43">
        <v>28148.61536</v>
      </c>
      <c r="K14" s="43">
        <v>27474.6991</v>
      </c>
      <c r="L14" s="43">
        <v>673.916260000002</v>
      </c>
      <c r="M14" s="43">
        <v>14485.3859</v>
      </c>
      <c r="N14" s="44">
        <v>0.0845</v>
      </c>
      <c r="O14" s="44">
        <v>0.0112</v>
      </c>
      <c r="P14" s="44">
        <v>0.0957</v>
      </c>
    </row>
    <row r="15">
      <c r="A15" s="38" t="s">
        <v>208</v>
      </c>
      <c r="B15" s="47" t="s">
        <v>22</v>
      </c>
      <c r="C15" s="38">
        <v>37.0</v>
      </c>
      <c r="D15" s="39">
        <v>9582.81146</v>
      </c>
      <c r="E15" s="39">
        <v>4.031</v>
      </c>
      <c r="F15" s="39">
        <v>3605.12</v>
      </c>
      <c r="G15" s="39">
        <v>246.619</v>
      </c>
      <c r="H15" s="39">
        <v>33.219</v>
      </c>
      <c r="I15" s="39">
        <v>371.863</v>
      </c>
      <c r="J15" s="39">
        <v>13843.66346</v>
      </c>
      <c r="K15" s="39">
        <v>13651.7288</v>
      </c>
      <c r="L15" s="39">
        <v>191.934660000001</v>
      </c>
      <c r="M15" s="39">
        <v>6266.706</v>
      </c>
      <c r="N15" s="41">
        <v>0.0178</v>
      </c>
      <c r="O15" s="41">
        <v>0.0024</v>
      </c>
      <c r="P15" s="41">
        <v>0.0202</v>
      </c>
    </row>
    <row r="16">
      <c r="A16" s="42" t="s">
        <v>208</v>
      </c>
      <c r="B16" s="48" t="s">
        <v>61</v>
      </c>
      <c r="C16" s="42">
        <v>37.0</v>
      </c>
      <c r="D16" s="43">
        <v>13360.55461</v>
      </c>
      <c r="E16" s="43">
        <v>0.0</v>
      </c>
      <c r="F16" s="43">
        <v>1202.90816</v>
      </c>
      <c r="G16" s="43">
        <v>186.1362</v>
      </c>
      <c r="H16" s="43">
        <v>0.0</v>
      </c>
      <c r="I16" s="43">
        <v>0.0</v>
      </c>
      <c r="J16" s="43">
        <v>14749.59897</v>
      </c>
      <c r="K16" s="43">
        <v>14791.024</v>
      </c>
      <c r="L16" s="43">
        <v>-41.4250300000003</v>
      </c>
      <c r="M16" s="43">
        <v>9775.987</v>
      </c>
      <c r="N16" s="44">
        <v>0.0126</v>
      </c>
      <c r="O16" s="44">
        <v>0.0</v>
      </c>
      <c r="P16" s="44">
        <v>0.0126</v>
      </c>
    </row>
    <row r="17">
      <c r="A17" s="38" t="s">
        <v>208</v>
      </c>
      <c r="B17" s="49" t="s">
        <v>99</v>
      </c>
      <c r="C17" s="38">
        <v>33.0</v>
      </c>
      <c r="D17" s="39">
        <v>5061.82738</v>
      </c>
      <c r="E17" s="39">
        <v>4017.15865</v>
      </c>
      <c r="F17" s="39">
        <v>489.5097</v>
      </c>
      <c r="G17" s="39">
        <v>1522.668</v>
      </c>
      <c r="H17" s="39">
        <v>0.0</v>
      </c>
      <c r="I17" s="39">
        <v>0.0</v>
      </c>
      <c r="J17" s="39">
        <v>11091.16373</v>
      </c>
      <c r="K17" s="39">
        <v>11629.8739</v>
      </c>
      <c r="L17" s="39">
        <v>-538.71017</v>
      </c>
      <c r="M17" s="39">
        <v>4152.2585</v>
      </c>
      <c r="N17" s="41">
        <v>0.1373</v>
      </c>
      <c r="O17" s="41">
        <v>0.0</v>
      </c>
      <c r="P17" s="41">
        <v>0.1373</v>
      </c>
    </row>
    <row r="18">
      <c r="A18" s="42" t="s">
        <v>208</v>
      </c>
      <c r="B18" s="50" t="s">
        <v>133</v>
      </c>
      <c r="C18" s="42">
        <v>72.0</v>
      </c>
      <c r="D18" s="43">
        <v>18111.58964</v>
      </c>
      <c r="E18" s="43">
        <v>252.818</v>
      </c>
      <c r="F18" s="43">
        <v>3507.9998</v>
      </c>
      <c r="G18" s="43">
        <v>1682.4578</v>
      </c>
      <c r="H18" s="43">
        <v>376.669</v>
      </c>
      <c r="I18" s="43">
        <v>2762.0932</v>
      </c>
      <c r="J18" s="43">
        <v>26693.62744</v>
      </c>
      <c r="K18" s="43">
        <v>26847.0893</v>
      </c>
      <c r="L18" s="43">
        <v>-153.461859999999</v>
      </c>
      <c r="M18" s="43">
        <v>14453.796</v>
      </c>
      <c r="N18" s="44">
        <v>0.063</v>
      </c>
      <c r="O18" s="44">
        <v>0.0141</v>
      </c>
      <c r="P18" s="44">
        <v>0.0771</v>
      </c>
    </row>
    <row r="19">
      <c r="A19" s="38" t="s">
        <v>216</v>
      </c>
      <c r="B19" s="47" t="s">
        <v>22</v>
      </c>
      <c r="C19" s="38">
        <v>37.0</v>
      </c>
      <c r="D19" s="39">
        <v>9379.93794</v>
      </c>
      <c r="E19" s="39">
        <v>8.135</v>
      </c>
      <c r="F19" s="39">
        <v>3219.958</v>
      </c>
      <c r="G19" s="39">
        <v>279.875</v>
      </c>
      <c r="H19" s="39">
        <v>135.8854</v>
      </c>
      <c r="I19" s="39">
        <v>420.074</v>
      </c>
      <c r="J19" s="39">
        <v>13443.86534</v>
      </c>
      <c r="K19" s="39">
        <v>13933.013</v>
      </c>
      <c r="L19" s="39">
        <v>-489.147660000001</v>
      </c>
      <c r="M19" s="39">
        <v>5783.24</v>
      </c>
      <c r="N19" s="41">
        <v>0.0208</v>
      </c>
      <c r="O19" s="41">
        <v>0.0101</v>
      </c>
      <c r="P19" s="41">
        <v>0.0309</v>
      </c>
    </row>
    <row r="20">
      <c r="A20" s="42" t="s">
        <v>216</v>
      </c>
      <c r="B20" s="48" t="s">
        <v>61</v>
      </c>
      <c r="C20" s="42">
        <v>37.0</v>
      </c>
      <c r="D20" s="43">
        <v>13072.36979</v>
      </c>
      <c r="E20" s="43">
        <v>0.0</v>
      </c>
      <c r="F20" s="43">
        <v>778.46929</v>
      </c>
      <c r="G20" s="43">
        <v>173.079</v>
      </c>
      <c r="H20" s="43">
        <v>0.256</v>
      </c>
      <c r="I20" s="43">
        <v>0.0</v>
      </c>
      <c r="J20" s="43">
        <v>14024.17408</v>
      </c>
      <c r="K20" s="43">
        <v>16655.142</v>
      </c>
      <c r="L20" s="43">
        <v>-2630.96792</v>
      </c>
      <c r="M20" s="43">
        <v>6996.016</v>
      </c>
      <c r="N20" s="44">
        <v>0.0123</v>
      </c>
      <c r="O20" s="44">
        <v>0.0</v>
      </c>
      <c r="P20" s="44">
        <v>0.0123</v>
      </c>
    </row>
    <row r="21" ht="15.75" customHeight="1">
      <c r="A21" s="38" t="s">
        <v>216</v>
      </c>
      <c r="B21" s="49" t="s">
        <v>99</v>
      </c>
      <c r="C21" s="38">
        <v>33.0</v>
      </c>
      <c r="D21" s="39">
        <v>5332.99391</v>
      </c>
      <c r="E21" s="39">
        <v>4515.31223</v>
      </c>
      <c r="F21" s="39">
        <v>533.25962</v>
      </c>
      <c r="G21" s="39">
        <v>1576.45382</v>
      </c>
      <c r="H21" s="39">
        <v>0.0</v>
      </c>
      <c r="I21" s="39">
        <v>0.0</v>
      </c>
      <c r="J21" s="39">
        <v>11958.01958</v>
      </c>
      <c r="K21" s="39">
        <v>12513.9286</v>
      </c>
      <c r="L21" s="39">
        <v>-555.909020000001</v>
      </c>
      <c r="M21" s="39">
        <v>3604.8973</v>
      </c>
      <c r="N21" s="41">
        <v>0.1318</v>
      </c>
      <c r="O21" s="41">
        <v>0.0</v>
      </c>
      <c r="P21" s="41">
        <v>0.1318</v>
      </c>
    </row>
    <row r="22" ht="15.75" customHeight="1">
      <c r="A22" s="42" t="s">
        <v>216</v>
      </c>
      <c r="B22" s="50" t="s">
        <v>133</v>
      </c>
      <c r="C22" s="42">
        <v>72.0</v>
      </c>
      <c r="D22" s="43">
        <v>17738.85745</v>
      </c>
      <c r="E22" s="43">
        <v>258.042</v>
      </c>
      <c r="F22" s="43">
        <v>3217.4918</v>
      </c>
      <c r="G22" s="43">
        <v>2304.254</v>
      </c>
      <c r="H22" s="43">
        <v>448.9165</v>
      </c>
      <c r="I22" s="43">
        <v>2468.0714</v>
      </c>
      <c r="J22" s="43">
        <v>26435.63315</v>
      </c>
      <c r="K22" s="43">
        <v>28009.7247</v>
      </c>
      <c r="L22" s="43">
        <v>-1574.09155</v>
      </c>
      <c r="M22" s="43">
        <v>12861.6937</v>
      </c>
      <c r="N22" s="44">
        <v>0.0872</v>
      </c>
      <c r="O22" s="44">
        <v>0.017</v>
      </c>
      <c r="P22" s="44">
        <v>0.1042</v>
      </c>
    </row>
    <row r="23" ht="15.75" customHeight="1">
      <c r="A23" s="38" t="s">
        <v>217</v>
      </c>
      <c r="B23" s="47" t="s">
        <v>22</v>
      </c>
      <c r="C23" s="38">
        <v>37.0</v>
      </c>
      <c r="D23" s="39">
        <v>9240.26956</v>
      </c>
      <c r="E23" s="39">
        <v>0.0</v>
      </c>
      <c r="F23" s="39">
        <v>3142.107</v>
      </c>
      <c r="G23" s="39">
        <v>265.116</v>
      </c>
      <c r="H23" s="39">
        <v>150.022</v>
      </c>
      <c r="I23" s="39">
        <v>285.521</v>
      </c>
      <c r="J23" s="39">
        <v>13083.03556</v>
      </c>
      <c r="K23" s="39">
        <v>14206.949</v>
      </c>
      <c r="L23" s="39">
        <v>-1123.91344</v>
      </c>
      <c r="M23" s="39">
        <v>4657.004</v>
      </c>
      <c r="N23" s="41">
        <v>0.0203</v>
      </c>
      <c r="O23" s="41">
        <v>0.0115</v>
      </c>
      <c r="P23" s="41">
        <v>0.0318</v>
      </c>
    </row>
    <row r="24" ht="15.75" customHeight="1">
      <c r="A24" s="42" t="s">
        <v>217</v>
      </c>
      <c r="B24" s="48" t="s">
        <v>61</v>
      </c>
      <c r="C24" s="42">
        <v>37.0</v>
      </c>
      <c r="D24" s="43">
        <v>12959.69061</v>
      </c>
      <c r="E24" s="43">
        <v>0.0</v>
      </c>
      <c r="F24" s="43">
        <v>867.11054</v>
      </c>
      <c r="G24" s="43">
        <v>345.10038</v>
      </c>
      <c r="H24" s="43">
        <v>0.201</v>
      </c>
      <c r="I24" s="43">
        <v>0.0</v>
      </c>
      <c r="J24" s="43">
        <v>14172.10253</v>
      </c>
      <c r="K24" s="43">
        <v>15589.8436</v>
      </c>
      <c r="L24" s="43">
        <v>-1417.74107</v>
      </c>
      <c r="M24" s="43">
        <v>5554.931</v>
      </c>
      <c r="N24" s="44">
        <v>0.0244</v>
      </c>
      <c r="O24" s="44">
        <v>0.0</v>
      </c>
      <c r="P24" s="44">
        <v>0.0244</v>
      </c>
    </row>
    <row r="25" ht="15.75" customHeight="1">
      <c r="A25" s="38" t="s">
        <v>217</v>
      </c>
      <c r="B25" s="49" t="s">
        <v>99</v>
      </c>
      <c r="C25" s="38">
        <v>33.0</v>
      </c>
      <c r="D25" s="39">
        <v>5444.27717</v>
      </c>
      <c r="E25" s="39">
        <v>4349.5426</v>
      </c>
      <c r="F25" s="39">
        <v>445.30359</v>
      </c>
      <c r="G25" s="39">
        <v>2371.74731</v>
      </c>
      <c r="H25" s="39">
        <v>226.6579</v>
      </c>
      <c r="I25" s="39">
        <v>0.0</v>
      </c>
      <c r="J25" s="39">
        <v>12837.52857</v>
      </c>
      <c r="K25" s="39">
        <v>13192.0073</v>
      </c>
      <c r="L25" s="39">
        <v>-354.478729999999</v>
      </c>
      <c r="M25" s="39">
        <v>3204.5572</v>
      </c>
      <c r="N25" s="41">
        <v>0.1848</v>
      </c>
      <c r="O25" s="41">
        <v>0.0177</v>
      </c>
      <c r="P25" s="41">
        <v>0.2025</v>
      </c>
    </row>
    <row r="26" ht="15.75" customHeight="1">
      <c r="A26" s="42" t="s">
        <v>217</v>
      </c>
      <c r="B26" s="50" t="s">
        <v>133</v>
      </c>
      <c r="C26" s="42">
        <v>72.0</v>
      </c>
      <c r="D26" s="43">
        <v>16547.60001</v>
      </c>
      <c r="E26" s="43">
        <v>217.246</v>
      </c>
      <c r="F26" s="43">
        <v>3078.528</v>
      </c>
      <c r="G26" s="43">
        <v>2566.42045</v>
      </c>
      <c r="H26" s="43">
        <v>349.2837</v>
      </c>
      <c r="I26" s="43">
        <v>2291.8328</v>
      </c>
      <c r="J26" s="43">
        <v>25050.91096</v>
      </c>
      <c r="K26" s="43">
        <v>28139.0535</v>
      </c>
      <c r="L26" s="43">
        <v>-3088.14254</v>
      </c>
      <c r="M26" s="43">
        <v>9700.89</v>
      </c>
      <c r="N26" s="44">
        <v>0.1024</v>
      </c>
      <c r="O26" s="44">
        <v>0.0139</v>
      </c>
      <c r="P26" s="44">
        <v>0.1163</v>
      </c>
    </row>
    <row r="27" ht="15.75" customHeight="1">
      <c r="A27" s="38" t="s">
        <v>218</v>
      </c>
      <c r="B27" s="47" t="s">
        <v>22</v>
      </c>
      <c r="C27" s="38">
        <v>37.0</v>
      </c>
      <c r="D27" s="39">
        <v>9752.95631</v>
      </c>
      <c r="E27" s="39">
        <v>0.0</v>
      </c>
      <c r="F27" s="39">
        <v>3560.671</v>
      </c>
      <c r="G27" s="39">
        <v>309.59634</v>
      </c>
      <c r="H27" s="39">
        <v>139.13672</v>
      </c>
      <c r="I27" s="39">
        <v>456.4693</v>
      </c>
      <c r="J27" s="39">
        <v>14218.82967</v>
      </c>
      <c r="K27" s="39">
        <v>14907.1549</v>
      </c>
      <c r="L27" s="39">
        <v>-688.325229999999</v>
      </c>
      <c r="M27" s="39">
        <v>3884.927</v>
      </c>
      <c r="N27" s="41">
        <v>0.0218</v>
      </c>
      <c r="O27" s="41">
        <v>0.0098</v>
      </c>
      <c r="P27" s="41">
        <v>0.0316</v>
      </c>
    </row>
    <row r="28" ht="15.75" customHeight="1">
      <c r="A28" s="42" t="s">
        <v>218</v>
      </c>
      <c r="B28" s="48" t="s">
        <v>61</v>
      </c>
      <c r="C28" s="42">
        <v>38.0</v>
      </c>
      <c r="D28" s="43">
        <v>12905.0735</v>
      </c>
      <c r="E28" s="43">
        <v>124.35019</v>
      </c>
      <c r="F28" s="43">
        <v>643.06855</v>
      </c>
      <c r="G28" s="43">
        <v>401.2639</v>
      </c>
      <c r="H28" s="43">
        <v>0.0</v>
      </c>
      <c r="I28" s="43">
        <v>0.0</v>
      </c>
      <c r="J28" s="43">
        <v>14073.75614</v>
      </c>
      <c r="K28" s="43">
        <v>15461.7234</v>
      </c>
      <c r="L28" s="43">
        <v>-1387.96726</v>
      </c>
      <c r="M28" s="43">
        <v>4228.875</v>
      </c>
      <c r="N28" s="44">
        <v>0.0285</v>
      </c>
      <c r="O28" s="44">
        <v>0.0</v>
      </c>
      <c r="P28" s="44">
        <v>0.0285</v>
      </c>
    </row>
    <row r="29" ht="15.75" customHeight="1">
      <c r="A29" s="38" t="s">
        <v>218</v>
      </c>
      <c r="B29" s="49" t="s">
        <v>99</v>
      </c>
      <c r="C29" s="38">
        <v>34.0</v>
      </c>
      <c r="D29" s="39">
        <v>6322.86501</v>
      </c>
      <c r="E29" s="39">
        <v>4842.32675</v>
      </c>
      <c r="F29" s="39">
        <v>448.67912</v>
      </c>
      <c r="G29" s="39">
        <v>2898.93134</v>
      </c>
      <c r="H29" s="39">
        <v>0.0</v>
      </c>
      <c r="I29" s="39">
        <v>0.0</v>
      </c>
      <c r="J29" s="39">
        <v>14512.80222</v>
      </c>
      <c r="K29" s="39">
        <v>14523.5621</v>
      </c>
      <c r="L29" s="39">
        <v>-10.7598800000014</v>
      </c>
      <c r="M29" s="39">
        <v>3302.4996</v>
      </c>
      <c r="N29" s="41">
        <v>0.1997</v>
      </c>
      <c r="O29" s="41">
        <v>0.0</v>
      </c>
      <c r="P29" s="41">
        <v>0.1997</v>
      </c>
    </row>
    <row r="30" ht="15.75" customHeight="1">
      <c r="A30" s="42" t="s">
        <v>218</v>
      </c>
      <c r="B30" s="50" t="s">
        <v>133</v>
      </c>
      <c r="C30" s="42">
        <v>72.0</v>
      </c>
      <c r="D30" s="43">
        <v>19652.99743</v>
      </c>
      <c r="E30" s="43">
        <v>298.455</v>
      </c>
      <c r="F30" s="43">
        <v>3038.61476</v>
      </c>
      <c r="G30" s="43">
        <v>3886.94455</v>
      </c>
      <c r="H30" s="43">
        <v>460.3794</v>
      </c>
      <c r="I30" s="43">
        <v>2573.64679</v>
      </c>
      <c r="J30" s="43">
        <v>29911.03793</v>
      </c>
      <c r="K30" s="43">
        <v>30532.9298</v>
      </c>
      <c r="L30" s="43">
        <v>-621.89187</v>
      </c>
      <c r="M30" s="43">
        <v>9078.3388</v>
      </c>
      <c r="N30" s="44">
        <v>0.13</v>
      </c>
      <c r="O30" s="44">
        <v>0.0154</v>
      </c>
      <c r="P30" s="44">
        <v>0.1454</v>
      </c>
    </row>
    <row r="31" ht="15.75" customHeight="1">
      <c r="A31" s="38" t="s">
        <v>221</v>
      </c>
      <c r="B31" s="47" t="s">
        <v>22</v>
      </c>
      <c r="C31" s="38">
        <v>37.0</v>
      </c>
      <c r="D31" s="39">
        <v>10383.9993</v>
      </c>
      <c r="E31" s="39">
        <v>0.0</v>
      </c>
      <c r="F31" s="39">
        <v>3984.597</v>
      </c>
      <c r="G31" s="39">
        <v>282.8654</v>
      </c>
      <c r="H31" s="39">
        <v>61.531</v>
      </c>
      <c r="I31" s="39">
        <v>361.463</v>
      </c>
      <c r="J31" s="39">
        <v>15074.4557</v>
      </c>
      <c r="K31" s="39">
        <v>14155.52</v>
      </c>
      <c r="L31" s="39">
        <v>918.9357</v>
      </c>
      <c r="M31" s="39">
        <v>4724.935</v>
      </c>
      <c r="N31" s="41">
        <v>0.0188</v>
      </c>
      <c r="O31" s="41">
        <v>0.0041</v>
      </c>
      <c r="P31" s="41">
        <v>0.0229</v>
      </c>
    </row>
    <row r="32" ht="15.75" customHeight="1">
      <c r="A32" s="42" t="s">
        <v>221</v>
      </c>
      <c r="B32" s="48" t="s">
        <v>61</v>
      </c>
      <c r="C32" s="42">
        <v>38.0</v>
      </c>
      <c r="D32" s="43">
        <v>13556.70961</v>
      </c>
      <c r="E32" s="43">
        <v>0.0</v>
      </c>
      <c r="F32" s="43">
        <v>642.039</v>
      </c>
      <c r="G32" s="43">
        <v>403.81535</v>
      </c>
      <c r="H32" s="43">
        <v>0.552</v>
      </c>
      <c r="I32" s="43">
        <v>0.0</v>
      </c>
      <c r="J32" s="43">
        <v>14603.11596</v>
      </c>
      <c r="K32" s="43">
        <v>12739.4675</v>
      </c>
      <c r="L32" s="43">
        <v>1863.64846</v>
      </c>
      <c r="M32" s="43">
        <v>6376.281</v>
      </c>
      <c r="N32" s="44">
        <v>0.0277</v>
      </c>
      <c r="O32" s="44">
        <v>0.0</v>
      </c>
      <c r="P32" s="44">
        <v>0.0277</v>
      </c>
    </row>
    <row r="33" ht="15.75" customHeight="1">
      <c r="A33" s="38" t="s">
        <v>221</v>
      </c>
      <c r="B33" s="49" t="s">
        <v>99</v>
      </c>
      <c r="C33" s="38">
        <v>34.0</v>
      </c>
      <c r="D33" s="39">
        <v>5906.75468</v>
      </c>
      <c r="E33" s="39">
        <v>4809.62316</v>
      </c>
      <c r="F33" s="39">
        <v>720.51791</v>
      </c>
      <c r="G33" s="39">
        <v>1716.808</v>
      </c>
      <c r="H33" s="39">
        <v>0.0</v>
      </c>
      <c r="I33" s="39">
        <v>0.0</v>
      </c>
      <c r="J33" s="39">
        <v>13153.70375</v>
      </c>
      <c r="K33" s="39">
        <v>12494.2101</v>
      </c>
      <c r="L33" s="39">
        <v>659.49365</v>
      </c>
      <c r="M33" s="39">
        <v>4040.727</v>
      </c>
      <c r="N33" s="41">
        <v>0.1305</v>
      </c>
      <c r="O33" s="41">
        <v>0.0</v>
      </c>
      <c r="P33" s="41">
        <v>0.1305</v>
      </c>
    </row>
    <row r="34" ht="15.75" customHeight="1">
      <c r="A34" s="42" t="s">
        <v>221</v>
      </c>
      <c r="B34" s="50" t="s">
        <v>133</v>
      </c>
      <c r="C34" s="42">
        <v>72.0</v>
      </c>
      <c r="D34" s="43">
        <v>19763.4823</v>
      </c>
      <c r="E34" s="43">
        <v>451.302</v>
      </c>
      <c r="F34" s="43">
        <v>3355.8098</v>
      </c>
      <c r="G34" s="43">
        <v>3466.254</v>
      </c>
      <c r="H34" s="43">
        <v>950.2962</v>
      </c>
      <c r="I34" s="43">
        <v>2551.3892</v>
      </c>
      <c r="J34" s="43">
        <v>30538.5335</v>
      </c>
      <c r="K34" s="43">
        <v>27523.9724</v>
      </c>
      <c r="L34" s="43">
        <v>3014.5611</v>
      </c>
      <c r="M34" s="43">
        <v>12028.456</v>
      </c>
      <c r="N34" s="44">
        <v>0.1135</v>
      </c>
      <c r="O34" s="44">
        <v>0.0311</v>
      </c>
      <c r="P34" s="44">
        <v>0.1446</v>
      </c>
    </row>
    <row r="35" ht="15.75" customHeight="1">
      <c r="A35" s="38" t="s">
        <v>222</v>
      </c>
      <c r="B35" s="47" t="s">
        <v>22</v>
      </c>
      <c r="C35" s="38">
        <v>37.0</v>
      </c>
      <c r="D35" s="39">
        <v>10335.60791</v>
      </c>
      <c r="E35" s="39">
        <v>8.1425</v>
      </c>
      <c r="F35" s="39">
        <v>4290.35122</v>
      </c>
      <c r="G35" s="39">
        <v>391.6796</v>
      </c>
      <c r="H35" s="39">
        <v>189.68434</v>
      </c>
      <c r="I35" s="39">
        <v>741.849</v>
      </c>
      <c r="J35" s="39">
        <v>15957.31457</v>
      </c>
      <c r="K35" s="39">
        <v>13657.063</v>
      </c>
      <c r="L35" s="39">
        <v>2300.25157</v>
      </c>
      <c r="M35" s="39">
        <v>6982.2703</v>
      </c>
      <c r="N35" s="41">
        <v>0.0245</v>
      </c>
      <c r="O35" s="41">
        <v>0.0119</v>
      </c>
      <c r="P35" s="41">
        <v>0.0364</v>
      </c>
    </row>
    <row r="36" ht="15.75" customHeight="1">
      <c r="A36" s="42" t="s">
        <v>222</v>
      </c>
      <c r="B36" s="48" t="s">
        <v>61</v>
      </c>
      <c r="C36" s="42">
        <v>38.0</v>
      </c>
      <c r="D36" s="43">
        <v>14007.77988</v>
      </c>
      <c r="E36" s="43">
        <v>0.0</v>
      </c>
      <c r="F36" s="43">
        <v>1034.96673</v>
      </c>
      <c r="G36" s="43">
        <v>498.83307</v>
      </c>
      <c r="H36" s="43">
        <v>3.944</v>
      </c>
      <c r="I36" s="43">
        <v>0.0</v>
      </c>
      <c r="J36" s="43">
        <v>15545.52368</v>
      </c>
      <c r="K36" s="43">
        <v>13509.9292</v>
      </c>
      <c r="L36" s="43">
        <v>2035.59448</v>
      </c>
      <c r="M36" s="43">
        <v>8602.031</v>
      </c>
      <c r="N36" s="44">
        <v>0.0321</v>
      </c>
      <c r="O36" s="44">
        <v>3.0E-4</v>
      </c>
      <c r="P36" s="44">
        <v>0.0324</v>
      </c>
    </row>
    <row r="37" ht="15.75" customHeight="1">
      <c r="A37" s="38" t="s">
        <v>222</v>
      </c>
      <c r="B37" s="49" t="s">
        <v>99</v>
      </c>
      <c r="C37" s="38">
        <v>34.0</v>
      </c>
      <c r="D37" s="39">
        <v>5944.34245</v>
      </c>
      <c r="E37" s="39">
        <v>5023.42014</v>
      </c>
      <c r="F37" s="39">
        <v>547.01759</v>
      </c>
      <c r="G37" s="39">
        <v>1805.3241</v>
      </c>
      <c r="H37" s="39">
        <v>0.0</v>
      </c>
      <c r="I37" s="39">
        <v>0.0</v>
      </c>
      <c r="J37" s="39">
        <v>13320.10428</v>
      </c>
      <c r="K37" s="39">
        <v>11968.3143</v>
      </c>
      <c r="L37" s="39">
        <v>1351.78998</v>
      </c>
      <c r="M37" s="39">
        <v>5368.933</v>
      </c>
      <c r="N37" s="41">
        <v>0.1355</v>
      </c>
      <c r="O37" s="41">
        <v>0.0</v>
      </c>
      <c r="P37" s="41">
        <v>0.1355</v>
      </c>
    </row>
    <row r="38" ht="15.75" customHeight="1">
      <c r="A38" s="42" t="s">
        <v>222</v>
      </c>
      <c r="B38" s="50" t="s">
        <v>133</v>
      </c>
      <c r="C38" s="42">
        <v>72.0</v>
      </c>
      <c r="D38" s="43">
        <v>20477.29012</v>
      </c>
      <c r="E38" s="43">
        <v>372.55</v>
      </c>
      <c r="F38" s="43">
        <v>3669.2447</v>
      </c>
      <c r="G38" s="43">
        <v>2723.452529</v>
      </c>
      <c r="H38" s="43">
        <v>869.974</v>
      </c>
      <c r="I38" s="43">
        <v>2472.4936</v>
      </c>
      <c r="J38" s="43">
        <v>30585.004949</v>
      </c>
      <c r="K38" s="43">
        <v>28492.2374</v>
      </c>
      <c r="L38" s="43">
        <v>2092.767549</v>
      </c>
      <c r="M38" s="43">
        <v>14201.8765</v>
      </c>
      <c r="N38" s="44">
        <v>0.089</v>
      </c>
      <c r="O38" s="44">
        <v>0.0284</v>
      </c>
      <c r="P38" s="44">
        <v>0.1174</v>
      </c>
    </row>
    <row r="39" ht="15.75" customHeight="1">
      <c r="A39" s="38" t="s">
        <v>223</v>
      </c>
      <c r="B39" s="47" t="s">
        <v>22</v>
      </c>
      <c r="C39" s="38">
        <v>37.0</v>
      </c>
      <c r="D39" s="39">
        <v>10257.915</v>
      </c>
      <c r="E39" s="39">
        <v>4.086</v>
      </c>
      <c r="F39" s="39">
        <v>4458.9901</v>
      </c>
      <c r="G39" s="39">
        <v>623.246</v>
      </c>
      <c r="H39" s="39">
        <v>416.323</v>
      </c>
      <c r="I39" s="39">
        <v>110.4776</v>
      </c>
      <c r="J39" s="39">
        <v>15871.0377</v>
      </c>
      <c r="K39" s="39">
        <v>14353.9088</v>
      </c>
      <c r="L39" s="39">
        <v>1517.1289</v>
      </c>
      <c r="M39" s="39">
        <v>8488.901</v>
      </c>
      <c r="N39" s="41">
        <v>0.0393</v>
      </c>
      <c r="O39" s="41">
        <v>0.0262</v>
      </c>
      <c r="P39" s="41">
        <v>0.0655</v>
      </c>
    </row>
    <row r="40" ht="15.75" customHeight="1">
      <c r="A40" s="42" t="s">
        <v>223</v>
      </c>
      <c r="B40" s="48" t="s">
        <v>61</v>
      </c>
      <c r="C40" s="42">
        <v>38.0</v>
      </c>
      <c r="D40" s="43">
        <v>13704.01303</v>
      </c>
      <c r="E40" s="43">
        <v>148.373</v>
      </c>
      <c r="F40" s="43">
        <v>852.13024</v>
      </c>
      <c r="G40" s="43">
        <v>0.0</v>
      </c>
      <c r="H40" s="43">
        <v>478.291</v>
      </c>
      <c r="I40" s="43">
        <v>0.0</v>
      </c>
      <c r="J40" s="43">
        <v>15182.80727</v>
      </c>
      <c r="K40" s="43">
        <v>14528.2175</v>
      </c>
      <c r="L40" s="43">
        <v>654.589769999999</v>
      </c>
      <c r="M40" s="43">
        <v>9387.3869</v>
      </c>
      <c r="N40" s="44">
        <v>0.0</v>
      </c>
      <c r="O40" s="44">
        <v>0.0315</v>
      </c>
      <c r="P40" s="44">
        <v>0.0315</v>
      </c>
    </row>
    <row r="41" ht="15.75" customHeight="1">
      <c r="A41" s="38" t="s">
        <v>223</v>
      </c>
      <c r="B41" s="49" t="s">
        <v>99</v>
      </c>
      <c r="C41" s="38">
        <v>34.0</v>
      </c>
      <c r="D41" s="39">
        <v>6705.20934</v>
      </c>
      <c r="E41" s="39">
        <v>5295.86137</v>
      </c>
      <c r="F41" s="39">
        <v>557.71409</v>
      </c>
      <c r="G41" s="39">
        <v>0.0</v>
      </c>
      <c r="H41" s="39">
        <v>2190.33348</v>
      </c>
      <c r="I41" s="39">
        <v>0.0</v>
      </c>
      <c r="J41" s="39">
        <v>14749.11828</v>
      </c>
      <c r="K41" s="39">
        <v>13880.386</v>
      </c>
      <c r="L41" s="39">
        <v>868.73228</v>
      </c>
      <c r="M41" s="39">
        <v>6144.9038</v>
      </c>
      <c r="N41" s="41">
        <v>0.0</v>
      </c>
      <c r="O41" s="41">
        <v>0.1485</v>
      </c>
      <c r="P41" s="41">
        <v>0.1485</v>
      </c>
    </row>
    <row r="42" ht="15.75" customHeight="1">
      <c r="A42" s="42" t="s">
        <v>223</v>
      </c>
      <c r="B42" s="50" t="s">
        <v>133</v>
      </c>
      <c r="C42" s="42">
        <v>72.0</v>
      </c>
      <c r="D42" s="43">
        <v>20842.2147</v>
      </c>
      <c r="E42" s="43">
        <v>573.913</v>
      </c>
      <c r="F42" s="43">
        <v>3219.4572</v>
      </c>
      <c r="G42" s="43">
        <v>2649.9596</v>
      </c>
      <c r="H42" s="43">
        <v>3037.26695</v>
      </c>
      <c r="I42" s="43">
        <v>955.85</v>
      </c>
      <c r="J42" s="43">
        <v>31278.66145</v>
      </c>
      <c r="K42" s="43">
        <v>30463.5489</v>
      </c>
      <c r="L42" s="43">
        <v>815.112549999998</v>
      </c>
      <c r="M42" s="43">
        <v>15209.3431</v>
      </c>
      <c r="N42" s="44">
        <v>0.0847</v>
      </c>
      <c r="O42" s="44">
        <v>0.0971</v>
      </c>
      <c r="P42" s="44">
        <v>0.1818</v>
      </c>
    </row>
    <row r="43" ht="15.75" customHeight="1">
      <c r="A43" s="38" t="s">
        <v>224</v>
      </c>
      <c r="B43" s="47" t="s">
        <v>22</v>
      </c>
      <c r="C43" s="38">
        <v>37.0</v>
      </c>
      <c r="D43" s="39">
        <v>9928.6777</v>
      </c>
      <c r="E43" s="39">
        <v>0.0</v>
      </c>
      <c r="F43" s="39">
        <v>4369.201</v>
      </c>
      <c r="G43" s="39">
        <v>704.653</v>
      </c>
      <c r="H43" s="39">
        <v>427.3463</v>
      </c>
      <c r="I43" s="39">
        <v>111.687</v>
      </c>
      <c r="J43" s="39">
        <v>15541.565</v>
      </c>
      <c r="K43" s="39">
        <v>14224.182</v>
      </c>
      <c r="L43" s="39">
        <v>1317.383</v>
      </c>
      <c r="M43" s="39">
        <v>9738.554</v>
      </c>
      <c r="N43" s="41">
        <v>0.0453</v>
      </c>
      <c r="O43" s="41">
        <v>0.0275</v>
      </c>
      <c r="P43" s="41">
        <v>0.0728</v>
      </c>
    </row>
    <row r="44" ht="15.75" customHeight="1">
      <c r="A44" s="42" t="s">
        <v>224</v>
      </c>
      <c r="B44" s="48" t="s">
        <v>61</v>
      </c>
      <c r="C44" s="42">
        <v>38.0</v>
      </c>
      <c r="D44" s="43">
        <v>13966.16957</v>
      </c>
      <c r="E44" s="43">
        <v>91.897</v>
      </c>
      <c r="F44" s="43">
        <v>1458.44926</v>
      </c>
      <c r="G44" s="43">
        <v>0.0</v>
      </c>
      <c r="H44" s="43">
        <v>281.666</v>
      </c>
      <c r="I44" s="43">
        <v>0.27</v>
      </c>
      <c r="J44" s="43">
        <v>15798.45183</v>
      </c>
      <c r="K44" s="43">
        <v>13201.672</v>
      </c>
      <c r="L44" s="43">
        <v>2596.77983</v>
      </c>
      <c r="M44" s="43">
        <v>11394.213</v>
      </c>
      <c r="N44" s="44">
        <v>0.0</v>
      </c>
      <c r="O44" s="44">
        <v>0.0178</v>
      </c>
      <c r="P44" s="44">
        <v>0.0178</v>
      </c>
    </row>
    <row r="45" ht="15.75" customHeight="1">
      <c r="A45" s="38" t="s">
        <v>224</v>
      </c>
      <c r="B45" s="49" t="s">
        <v>99</v>
      </c>
      <c r="C45" s="38">
        <v>34.0</v>
      </c>
      <c r="D45" s="39">
        <v>5928.72359</v>
      </c>
      <c r="E45" s="39">
        <v>4952.01668</v>
      </c>
      <c r="F45" s="39">
        <v>621.64352</v>
      </c>
      <c r="G45" s="39">
        <v>0.0</v>
      </c>
      <c r="H45" s="39">
        <v>2215.034909</v>
      </c>
      <c r="I45" s="39">
        <v>0.0</v>
      </c>
      <c r="J45" s="39">
        <v>13717.418699</v>
      </c>
      <c r="K45" s="39">
        <v>13355.5536</v>
      </c>
      <c r="L45" s="39">
        <v>361.865099000001</v>
      </c>
      <c r="M45" s="39">
        <v>6445.6093</v>
      </c>
      <c r="N45" s="41">
        <v>0.0</v>
      </c>
      <c r="O45" s="41">
        <v>0.1615</v>
      </c>
      <c r="P45" s="41">
        <v>0.1615</v>
      </c>
    </row>
    <row r="46" ht="15.75" customHeight="1">
      <c r="A46" s="42" t="s">
        <v>224</v>
      </c>
      <c r="B46" s="50" t="s">
        <v>133</v>
      </c>
      <c r="C46" s="42">
        <v>72.0</v>
      </c>
      <c r="D46" s="43">
        <v>19577.11983</v>
      </c>
      <c r="E46" s="43">
        <v>597.143</v>
      </c>
      <c r="F46" s="43">
        <v>3045.404</v>
      </c>
      <c r="G46" s="43">
        <v>1772.84409</v>
      </c>
      <c r="H46" s="43">
        <v>3350.52896</v>
      </c>
      <c r="I46" s="43">
        <v>1029.4235</v>
      </c>
      <c r="J46" s="43">
        <v>29372.46338</v>
      </c>
      <c r="K46" s="43">
        <v>27792.7859</v>
      </c>
      <c r="L46" s="43">
        <v>1579.67748</v>
      </c>
      <c r="M46" s="43">
        <v>16713.7736</v>
      </c>
      <c r="N46" s="44">
        <v>0.0604</v>
      </c>
      <c r="O46" s="44">
        <v>0.1141</v>
      </c>
      <c r="P46" s="44">
        <v>0.1745</v>
      </c>
    </row>
    <row r="47" ht="15.75" customHeight="1">
      <c r="A47" s="38" t="s">
        <v>225</v>
      </c>
      <c r="B47" s="47" t="s">
        <v>22</v>
      </c>
      <c r="C47" s="38">
        <v>37.0</v>
      </c>
      <c r="D47" s="39">
        <v>11001.4489</v>
      </c>
      <c r="E47" s="39">
        <v>0.0</v>
      </c>
      <c r="F47" s="39">
        <v>4509.183</v>
      </c>
      <c r="G47" s="39">
        <v>710.56</v>
      </c>
      <c r="H47" s="39">
        <v>250.389</v>
      </c>
      <c r="I47" s="39">
        <v>180.1667</v>
      </c>
      <c r="J47" s="39">
        <v>16651.7476</v>
      </c>
      <c r="K47" s="39">
        <v>15534.88</v>
      </c>
      <c r="L47" s="39">
        <v>1116.8676</v>
      </c>
      <c r="M47" s="39">
        <v>10798.594</v>
      </c>
      <c r="N47" s="41">
        <v>0.0427</v>
      </c>
      <c r="O47" s="41">
        <v>0.015</v>
      </c>
      <c r="P47" s="41">
        <v>0.0577</v>
      </c>
    </row>
    <row r="48" ht="15.75" customHeight="1">
      <c r="A48" s="42" t="s">
        <v>225</v>
      </c>
      <c r="B48" s="48" t="s">
        <v>61</v>
      </c>
      <c r="C48" s="42">
        <v>40.0</v>
      </c>
      <c r="D48" s="43">
        <v>14233.18694</v>
      </c>
      <c r="E48" s="43">
        <v>90.92848</v>
      </c>
      <c r="F48" s="43">
        <v>1666.83281</v>
      </c>
      <c r="G48" s="43">
        <v>0.0</v>
      </c>
      <c r="H48" s="43">
        <v>341.105</v>
      </c>
      <c r="I48" s="43">
        <v>0.07</v>
      </c>
      <c r="J48" s="43">
        <v>16332.12323</v>
      </c>
      <c r="K48" s="43">
        <v>14144.5585</v>
      </c>
      <c r="L48" s="43">
        <v>2187.56473</v>
      </c>
      <c r="M48" s="43">
        <v>13533.115</v>
      </c>
      <c r="N48" s="44">
        <v>0.0</v>
      </c>
      <c r="O48" s="44">
        <v>0.0209</v>
      </c>
      <c r="P48" s="44">
        <v>0.0209</v>
      </c>
    </row>
    <row r="49" ht="15.75" customHeight="1">
      <c r="A49" s="38" t="s">
        <v>225</v>
      </c>
      <c r="B49" s="49" t="s">
        <v>99</v>
      </c>
      <c r="C49" s="38">
        <v>35.0</v>
      </c>
      <c r="D49" s="39">
        <v>6694.15845</v>
      </c>
      <c r="E49" s="39">
        <v>5532.74954</v>
      </c>
      <c r="F49" s="39">
        <v>611.25462</v>
      </c>
      <c r="G49" s="39">
        <v>0.0</v>
      </c>
      <c r="H49" s="39">
        <v>2773.761943</v>
      </c>
      <c r="I49" s="39">
        <v>0.0</v>
      </c>
      <c r="J49" s="39">
        <v>15611.924553</v>
      </c>
      <c r="K49" s="39">
        <v>14622.8137</v>
      </c>
      <c r="L49" s="39">
        <v>989.110853</v>
      </c>
      <c r="M49" s="39">
        <v>7414.2204</v>
      </c>
      <c r="N49" s="41">
        <v>0.0</v>
      </c>
      <c r="O49" s="41">
        <v>0.1777</v>
      </c>
      <c r="P49" s="41">
        <v>0.1777</v>
      </c>
    </row>
    <row r="50" ht="15.75" customHeight="1">
      <c r="A50" s="42" t="s">
        <v>225</v>
      </c>
      <c r="B50" s="50" t="s">
        <v>133</v>
      </c>
      <c r="C50" s="42">
        <v>72.0</v>
      </c>
      <c r="D50" s="43">
        <v>20605.47088</v>
      </c>
      <c r="E50" s="43">
        <v>593.729</v>
      </c>
      <c r="F50" s="43">
        <v>3722.71143</v>
      </c>
      <c r="G50" s="43">
        <v>2432.7823</v>
      </c>
      <c r="H50" s="43">
        <v>3306.4293</v>
      </c>
      <c r="I50" s="43">
        <v>1100.749</v>
      </c>
      <c r="J50" s="43">
        <v>31761.87191</v>
      </c>
      <c r="K50" s="43">
        <v>29913.4913</v>
      </c>
      <c r="L50" s="43">
        <v>1848.38061</v>
      </c>
      <c r="M50" s="43">
        <v>18488.5251</v>
      </c>
      <c r="N50" s="44">
        <v>0.0766</v>
      </c>
      <c r="O50" s="44">
        <v>0.1041</v>
      </c>
      <c r="P50" s="44">
        <v>0.1807</v>
      </c>
    </row>
    <row r="51" ht="15.75" customHeight="1">
      <c r="A51" s="38" t="s">
        <v>229</v>
      </c>
      <c r="B51" s="47" t="s">
        <v>22</v>
      </c>
      <c r="C51" s="38">
        <v>37.0</v>
      </c>
      <c r="D51" s="39">
        <v>9226.7814</v>
      </c>
      <c r="E51" s="39">
        <v>0.0</v>
      </c>
      <c r="F51" s="39">
        <v>4699.19</v>
      </c>
      <c r="G51" s="39">
        <v>547.494</v>
      </c>
      <c r="H51" s="39">
        <v>127.308</v>
      </c>
      <c r="I51" s="39">
        <v>200.79</v>
      </c>
      <c r="J51" s="39">
        <v>14801.5634</v>
      </c>
      <c r="K51" s="39">
        <v>15172.5309</v>
      </c>
      <c r="L51" s="39">
        <v>-370.967499999999</v>
      </c>
      <c r="M51" s="39">
        <v>10385.384</v>
      </c>
      <c r="N51" s="41">
        <v>0.037</v>
      </c>
      <c r="O51" s="41">
        <v>0.0086</v>
      </c>
      <c r="P51" s="41">
        <v>0.0456</v>
      </c>
    </row>
    <row r="52" ht="15.75" customHeight="1">
      <c r="A52" s="42" t="s">
        <v>229</v>
      </c>
      <c r="B52" s="48" t="s">
        <v>61</v>
      </c>
      <c r="C52" s="42">
        <v>39.0</v>
      </c>
      <c r="D52" s="43">
        <v>13337.4299</v>
      </c>
      <c r="E52" s="43">
        <v>12.34</v>
      </c>
      <c r="F52" s="43">
        <v>1453.41674</v>
      </c>
      <c r="G52" s="43">
        <v>0.0</v>
      </c>
      <c r="H52" s="43">
        <v>413.209</v>
      </c>
      <c r="I52" s="43">
        <v>0.458</v>
      </c>
      <c r="J52" s="43">
        <v>15216.85364</v>
      </c>
      <c r="K52" s="43">
        <v>15707.0859</v>
      </c>
      <c r="L52" s="43">
        <v>-490.232260000001</v>
      </c>
      <c r="M52" s="43">
        <v>13006.646</v>
      </c>
      <c r="N52" s="44">
        <v>0.0</v>
      </c>
      <c r="O52" s="44">
        <v>0.0272</v>
      </c>
      <c r="P52" s="44">
        <v>0.0272</v>
      </c>
    </row>
    <row r="53" ht="15.75" customHeight="1">
      <c r="A53" s="38" t="s">
        <v>229</v>
      </c>
      <c r="B53" s="49" t="s">
        <v>99</v>
      </c>
      <c r="C53" s="38">
        <v>36.0</v>
      </c>
      <c r="D53" s="39">
        <v>6189.61723</v>
      </c>
      <c r="E53" s="39">
        <v>4724.02363</v>
      </c>
      <c r="F53" s="39">
        <v>703.06109</v>
      </c>
      <c r="G53" s="39">
        <v>0.0</v>
      </c>
      <c r="H53" s="39">
        <v>3051.26203</v>
      </c>
      <c r="I53" s="39">
        <v>10.843</v>
      </c>
      <c r="J53" s="39">
        <v>14678.80698</v>
      </c>
      <c r="K53" s="39">
        <v>15088.1916</v>
      </c>
      <c r="L53" s="39">
        <v>-409.384620000001</v>
      </c>
      <c r="M53" s="39">
        <v>7166.4174</v>
      </c>
      <c r="N53" s="41">
        <v>0.0</v>
      </c>
      <c r="O53" s="41">
        <v>0.2079</v>
      </c>
      <c r="P53" s="41">
        <v>0.2079</v>
      </c>
    </row>
    <row r="54" ht="15.75" customHeight="1">
      <c r="A54" s="42" t="s">
        <v>229</v>
      </c>
      <c r="B54" s="50" t="s">
        <v>133</v>
      </c>
      <c r="C54" s="42">
        <v>72.0</v>
      </c>
      <c r="D54" s="43">
        <v>19526.14267</v>
      </c>
      <c r="E54" s="43">
        <v>634.232</v>
      </c>
      <c r="F54" s="43">
        <v>3428.2818</v>
      </c>
      <c r="G54" s="43">
        <v>2752.4873</v>
      </c>
      <c r="H54" s="43">
        <v>3261.79974</v>
      </c>
      <c r="I54" s="43">
        <v>737.0138</v>
      </c>
      <c r="J54" s="43">
        <v>30339.95731</v>
      </c>
      <c r="K54" s="43">
        <v>31105.1562</v>
      </c>
      <c r="L54" s="43">
        <v>-765.19889</v>
      </c>
      <c r="M54" s="43">
        <v>17596.75</v>
      </c>
      <c r="N54" s="44">
        <v>0.0907</v>
      </c>
      <c r="O54" s="44">
        <v>0.1075</v>
      </c>
      <c r="P54" s="44">
        <v>0.1982</v>
      </c>
    </row>
    <row r="55" ht="15.75" customHeight="1">
      <c r="A55" s="38" t="s">
        <v>232</v>
      </c>
      <c r="B55" s="47" t="s">
        <v>22</v>
      </c>
      <c r="C55" s="38">
        <v>37.0</v>
      </c>
      <c r="D55" s="39">
        <v>10826.7243</v>
      </c>
      <c r="E55" s="39">
        <v>0.0</v>
      </c>
      <c r="F55" s="39">
        <v>4124.864</v>
      </c>
      <c r="G55" s="39">
        <v>686.766</v>
      </c>
      <c r="H55" s="39">
        <v>82.784</v>
      </c>
      <c r="I55" s="39">
        <v>275.501</v>
      </c>
      <c r="J55" s="39">
        <v>15996.6393</v>
      </c>
      <c r="K55" s="39">
        <v>15583.2759</v>
      </c>
      <c r="L55" s="39">
        <v>413.3634</v>
      </c>
      <c r="M55" s="39">
        <v>10784.849</v>
      </c>
      <c r="N55" s="41">
        <v>0.0429</v>
      </c>
      <c r="O55" s="41">
        <v>0.0052</v>
      </c>
      <c r="P55" s="41">
        <v>0.0481</v>
      </c>
    </row>
    <row r="56" ht="15.75" customHeight="1">
      <c r="A56" s="42" t="s">
        <v>232</v>
      </c>
      <c r="B56" s="48" t="s">
        <v>61</v>
      </c>
      <c r="C56" s="42">
        <v>39.0</v>
      </c>
      <c r="D56" s="43">
        <v>14060.21547</v>
      </c>
      <c r="E56" s="43">
        <v>0.0</v>
      </c>
      <c r="F56" s="43">
        <v>1853.4894</v>
      </c>
      <c r="G56" s="43">
        <v>0.0</v>
      </c>
      <c r="H56" s="43">
        <v>294.9245</v>
      </c>
      <c r="I56" s="43">
        <v>20.5348</v>
      </c>
      <c r="J56" s="43">
        <v>16229.16417</v>
      </c>
      <c r="K56" s="43">
        <v>16921.7802</v>
      </c>
      <c r="L56" s="43">
        <v>-692.616030000001</v>
      </c>
      <c r="M56" s="43">
        <v>12242.412</v>
      </c>
      <c r="N56" s="44">
        <v>0.0</v>
      </c>
      <c r="O56" s="44">
        <v>0.0182</v>
      </c>
      <c r="P56" s="44">
        <v>0.0182</v>
      </c>
    </row>
    <row r="57" ht="15.75" customHeight="1">
      <c r="A57" s="38" t="s">
        <v>232</v>
      </c>
      <c r="B57" s="49" t="s">
        <v>99</v>
      </c>
      <c r="C57" s="38">
        <v>36.0</v>
      </c>
      <c r="D57" s="39">
        <v>6181.45287</v>
      </c>
      <c r="E57" s="39">
        <v>5026.69619</v>
      </c>
      <c r="F57" s="39">
        <v>720.30708</v>
      </c>
      <c r="G57" s="39">
        <v>0.0</v>
      </c>
      <c r="H57" s="39">
        <v>2984.60957</v>
      </c>
      <c r="I57" s="39">
        <v>121.99897</v>
      </c>
      <c r="J57" s="39">
        <v>15035.06468</v>
      </c>
      <c r="K57" s="39">
        <v>14967.0261</v>
      </c>
      <c r="L57" s="39">
        <v>68.0385800000004</v>
      </c>
      <c r="M57" s="39">
        <v>7295.7679</v>
      </c>
      <c r="N57" s="41">
        <v>0.0</v>
      </c>
      <c r="O57" s="41">
        <v>0.1985</v>
      </c>
      <c r="P57" s="41">
        <v>0.1985</v>
      </c>
    </row>
    <row r="58" ht="15.75" customHeight="1">
      <c r="A58" s="42" t="s">
        <v>232</v>
      </c>
      <c r="B58" s="50" t="s">
        <v>133</v>
      </c>
      <c r="C58" s="42">
        <v>72.0</v>
      </c>
      <c r="D58" s="43">
        <v>21190.8654</v>
      </c>
      <c r="E58" s="43">
        <v>291.867</v>
      </c>
      <c r="F58" s="43">
        <v>3852.7931</v>
      </c>
      <c r="G58" s="43">
        <v>2363.827</v>
      </c>
      <c r="H58" s="43">
        <v>3759.11</v>
      </c>
      <c r="I58" s="43">
        <v>719.2157</v>
      </c>
      <c r="J58" s="43">
        <v>32177.6782</v>
      </c>
      <c r="K58" s="43">
        <v>32313.3488</v>
      </c>
      <c r="L58" s="43">
        <v>-135.670599999998</v>
      </c>
      <c r="M58" s="43">
        <v>17517.184</v>
      </c>
      <c r="N58" s="44">
        <v>0.0735</v>
      </c>
      <c r="O58" s="44">
        <v>0.1168</v>
      </c>
      <c r="P58" s="44">
        <v>0.1903</v>
      </c>
    </row>
    <row r="59" ht="15.75" customHeight="1">
      <c r="A59" s="38" t="s">
        <v>233</v>
      </c>
      <c r="B59" s="47" t="s">
        <v>22</v>
      </c>
      <c r="C59" s="38">
        <v>37.0</v>
      </c>
      <c r="D59" s="39">
        <v>10034.9346</v>
      </c>
      <c r="E59" s="39">
        <v>0.0</v>
      </c>
      <c r="F59" s="39">
        <v>4457.187</v>
      </c>
      <c r="G59" s="39">
        <v>395.782</v>
      </c>
      <c r="H59" s="39">
        <v>7.226</v>
      </c>
      <c r="I59" s="39">
        <v>204.671</v>
      </c>
      <c r="J59" s="39">
        <v>15099.8006</v>
      </c>
      <c r="K59" s="39">
        <v>15285.045</v>
      </c>
      <c r="L59" s="39">
        <v>-185.2444</v>
      </c>
      <c r="M59" s="39">
        <v>10612.116</v>
      </c>
      <c r="N59" s="41">
        <v>0.0262</v>
      </c>
      <c r="O59" s="41">
        <v>5.0E-4</v>
      </c>
      <c r="P59" s="41">
        <v>0.0267</v>
      </c>
    </row>
    <row r="60" ht="15.75" customHeight="1">
      <c r="A60" s="42" t="s">
        <v>233</v>
      </c>
      <c r="B60" s="48" t="s">
        <v>61</v>
      </c>
      <c r="C60" s="42">
        <v>39.0</v>
      </c>
      <c r="D60" s="43">
        <v>13607.50281</v>
      </c>
      <c r="E60" s="43">
        <v>0.0</v>
      </c>
      <c r="F60" s="43">
        <v>2174.07598</v>
      </c>
      <c r="G60" s="43">
        <v>0.0</v>
      </c>
      <c r="H60" s="43">
        <v>214.9033</v>
      </c>
      <c r="I60" s="43">
        <v>30.97332</v>
      </c>
      <c r="J60" s="43">
        <v>16027.45541</v>
      </c>
      <c r="K60" s="43">
        <v>16604.9354</v>
      </c>
      <c r="L60" s="43">
        <v>-577.479989999998</v>
      </c>
      <c r="M60" s="43">
        <v>11578.427</v>
      </c>
      <c r="N60" s="44">
        <v>0.0</v>
      </c>
      <c r="O60" s="44">
        <v>0.0134</v>
      </c>
      <c r="P60" s="44">
        <v>0.0134</v>
      </c>
    </row>
    <row r="61" ht="15.75" customHeight="1">
      <c r="A61" s="38" t="s">
        <v>233</v>
      </c>
      <c r="B61" s="49" t="s">
        <v>99</v>
      </c>
      <c r="C61" s="38">
        <v>36.0</v>
      </c>
      <c r="D61" s="39">
        <v>5915.44113</v>
      </c>
      <c r="E61" s="39">
        <v>4555.24011</v>
      </c>
      <c r="F61" s="39">
        <v>1083.3074</v>
      </c>
      <c r="G61" s="39">
        <v>0.0</v>
      </c>
      <c r="H61" s="39">
        <v>2512.64611</v>
      </c>
      <c r="I61" s="39">
        <v>0.0</v>
      </c>
      <c r="J61" s="39">
        <v>14066.63475</v>
      </c>
      <c r="K61" s="39">
        <v>13611.8868</v>
      </c>
      <c r="L61" s="39">
        <v>454.747949999999</v>
      </c>
      <c r="M61" s="39">
        <v>7706.2015</v>
      </c>
      <c r="N61" s="41">
        <v>0.0</v>
      </c>
      <c r="O61" s="41">
        <v>0.1786</v>
      </c>
      <c r="P61" s="41">
        <v>0.1786</v>
      </c>
    </row>
    <row r="62" ht="15.75" customHeight="1">
      <c r="A62" s="42" t="s">
        <v>233</v>
      </c>
      <c r="B62" s="50" t="s">
        <v>133</v>
      </c>
      <c r="C62" s="42">
        <v>72.0</v>
      </c>
      <c r="D62" s="43">
        <v>19574.4463</v>
      </c>
      <c r="E62" s="43">
        <v>381.794</v>
      </c>
      <c r="F62" s="43">
        <v>3650.3721</v>
      </c>
      <c r="G62" s="43">
        <v>2642.174</v>
      </c>
      <c r="H62" s="43">
        <v>3452.454</v>
      </c>
      <c r="I62" s="43">
        <v>608.00391</v>
      </c>
      <c r="J62" s="43">
        <v>30309.24431</v>
      </c>
      <c r="K62" s="43">
        <v>30704.012</v>
      </c>
      <c r="L62" s="43">
        <v>-394.767690000001</v>
      </c>
      <c r="M62" s="43">
        <v>17284.9127</v>
      </c>
      <c r="N62" s="44">
        <v>0.0872</v>
      </c>
      <c r="O62" s="44">
        <v>0.1139</v>
      </c>
      <c r="P62" s="44">
        <v>0.2011</v>
      </c>
    </row>
    <row r="63" ht="15.75" customHeight="1">
      <c r="A63" s="38" t="s">
        <v>234</v>
      </c>
      <c r="B63" s="47" t="s">
        <v>22</v>
      </c>
      <c r="C63" s="38">
        <v>37.0</v>
      </c>
      <c r="D63" s="39">
        <v>9599.4421</v>
      </c>
      <c r="E63" s="39">
        <v>0.0</v>
      </c>
      <c r="F63" s="39">
        <v>4672.635</v>
      </c>
      <c r="G63" s="39">
        <v>341.458</v>
      </c>
      <c r="H63" s="39">
        <v>0.0</v>
      </c>
      <c r="I63" s="39">
        <v>267.3116</v>
      </c>
      <c r="J63" s="39">
        <v>14880.8467</v>
      </c>
      <c r="K63" s="39">
        <v>15178.131</v>
      </c>
      <c r="L63" s="39">
        <v>-297.284299999999</v>
      </c>
      <c r="M63" s="39">
        <v>10192.839</v>
      </c>
      <c r="N63" s="41">
        <v>0.0229</v>
      </c>
      <c r="O63" s="41">
        <v>0.0</v>
      </c>
      <c r="P63" s="41">
        <v>0.0229</v>
      </c>
    </row>
    <row r="64" ht="15.75" customHeight="1">
      <c r="A64" s="42" t="s">
        <v>234</v>
      </c>
      <c r="B64" s="48" t="s">
        <v>61</v>
      </c>
      <c r="C64" s="42">
        <v>39.0</v>
      </c>
      <c r="D64" s="43">
        <v>14632.16137</v>
      </c>
      <c r="E64" s="43">
        <v>0.0</v>
      </c>
      <c r="F64" s="43">
        <v>1721.20195</v>
      </c>
      <c r="G64" s="43">
        <v>0.0</v>
      </c>
      <c r="H64" s="43">
        <v>316.9679</v>
      </c>
      <c r="I64" s="43">
        <v>32.06668</v>
      </c>
      <c r="J64" s="43">
        <v>16702.3979</v>
      </c>
      <c r="K64" s="43">
        <v>17152.2661</v>
      </c>
      <c r="L64" s="43">
        <v>-449.868200000001</v>
      </c>
      <c r="M64" s="43">
        <v>11056.525</v>
      </c>
      <c r="N64" s="44">
        <v>0.0</v>
      </c>
      <c r="O64" s="44">
        <v>0.019</v>
      </c>
      <c r="P64" s="44">
        <v>0.019</v>
      </c>
    </row>
    <row r="65" ht="15.75" customHeight="1">
      <c r="A65" s="38" t="s">
        <v>234</v>
      </c>
      <c r="B65" s="49" t="s">
        <v>99</v>
      </c>
      <c r="C65" s="38">
        <v>36.0</v>
      </c>
      <c r="D65" s="39">
        <v>5974.56598</v>
      </c>
      <c r="E65" s="39">
        <v>3502.46348</v>
      </c>
      <c r="F65" s="39">
        <v>1081.46704</v>
      </c>
      <c r="G65" s="39">
        <v>0.0</v>
      </c>
      <c r="H65" s="39">
        <v>2185.3223</v>
      </c>
      <c r="I65" s="39">
        <v>0.0</v>
      </c>
      <c r="J65" s="39">
        <v>12743.8188</v>
      </c>
      <c r="K65" s="39">
        <v>12344.2813</v>
      </c>
      <c r="L65" s="39">
        <v>399.5375</v>
      </c>
      <c r="M65" s="39">
        <v>8036.4527</v>
      </c>
      <c r="N65" s="41">
        <v>0.0</v>
      </c>
      <c r="O65" s="41">
        <v>0.1715</v>
      </c>
      <c r="P65" s="41">
        <v>0.1715</v>
      </c>
    </row>
    <row r="66" ht="15.75" customHeight="1">
      <c r="A66" s="42" t="s">
        <v>234</v>
      </c>
      <c r="B66" s="50" t="s">
        <v>133</v>
      </c>
      <c r="C66" s="42">
        <v>72.0</v>
      </c>
      <c r="D66" s="43">
        <v>17375.66465</v>
      </c>
      <c r="E66" s="43">
        <v>509.801</v>
      </c>
      <c r="F66" s="43">
        <v>3308.081</v>
      </c>
      <c r="G66" s="43">
        <v>2099.6362</v>
      </c>
      <c r="H66" s="43">
        <v>2864.168</v>
      </c>
      <c r="I66" s="43">
        <v>786.06073</v>
      </c>
      <c r="J66" s="43">
        <v>26943.41158</v>
      </c>
      <c r="K66" s="43">
        <v>27976.2813</v>
      </c>
      <c r="L66" s="43">
        <v>-1032.86972</v>
      </c>
      <c r="M66" s="43">
        <v>16241.4814</v>
      </c>
      <c r="N66" s="44">
        <v>0.0779</v>
      </c>
      <c r="O66" s="44">
        <v>0.1063</v>
      </c>
      <c r="P66" s="44">
        <v>0.1842</v>
      </c>
    </row>
    <row r="67" ht="15.75" customHeight="1">
      <c r="A67" s="38" t="s">
        <v>235</v>
      </c>
      <c r="B67" s="47" t="s">
        <v>22</v>
      </c>
      <c r="C67" s="38">
        <v>37.0</v>
      </c>
      <c r="D67" s="39">
        <v>8695.0481</v>
      </c>
      <c r="E67" s="39">
        <v>0.0</v>
      </c>
      <c r="F67" s="39">
        <v>4107.437</v>
      </c>
      <c r="G67" s="39">
        <v>341.695</v>
      </c>
      <c r="H67" s="39">
        <v>0.0</v>
      </c>
      <c r="I67" s="39">
        <v>258.337</v>
      </c>
      <c r="J67" s="39">
        <v>13402.5171</v>
      </c>
      <c r="K67" s="39">
        <v>14744.2509</v>
      </c>
      <c r="L67" s="39">
        <v>-1341.7338</v>
      </c>
      <c r="M67" s="39">
        <v>8827.372</v>
      </c>
      <c r="N67" s="41">
        <v>0.0255</v>
      </c>
      <c r="O67" s="41">
        <v>0.0</v>
      </c>
      <c r="P67" s="41">
        <v>0.0255</v>
      </c>
    </row>
    <row r="68" ht="15.75" customHeight="1">
      <c r="A68" s="42" t="s">
        <v>235</v>
      </c>
      <c r="B68" s="48" t="s">
        <v>61</v>
      </c>
      <c r="C68" s="42">
        <v>39.0</v>
      </c>
      <c r="D68" s="43">
        <v>12030.20432</v>
      </c>
      <c r="E68" s="43">
        <v>4.02</v>
      </c>
      <c r="F68" s="43">
        <v>1456.503</v>
      </c>
      <c r="G68" s="43">
        <v>0.0</v>
      </c>
      <c r="H68" s="43">
        <v>324.314</v>
      </c>
      <c r="I68" s="43">
        <v>22.50628</v>
      </c>
      <c r="J68" s="43">
        <v>13837.5476</v>
      </c>
      <c r="K68" s="43">
        <v>15706.4659</v>
      </c>
      <c r="L68" s="43">
        <v>-1868.9183</v>
      </c>
      <c r="M68" s="43">
        <v>9165.041</v>
      </c>
      <c r="N68" s="44">
        <v>0.0</v>
      </c>
      <c r="O68" s="44">
        <v>0.0234</v>
      </c>
      <c r="P68" s="44">
        <v>0.0234</v>
      </c>
    </row>
    <row r="69" ht="15.75" customHeight="1">
      <c r="A69" s="38" t="s">
        <v>235</v>
      </c>
      <c r="B69" s="49" t="s">
        <v>99</v>
      </c>
      <c r="C69" s="38">
        <v>36.0</v>
      </c>
      <c r="D69" s="39">
        <v>5735.09949</v>
      </c>
      <c r="E69" s="39">
        <v>3179.47604</v>
      </c>
      <c r="F69" s="39">
        <v>1253.91995</v>
      </c>
      <c r="G69" s="39">
        <v>0.0</v>
      </c>
      <c r="H69" s="39">
        <v>2520.69969</v>
      </c>
      <c r="I69" s="39">
        <v>0.0</v>
      </c>
      <c r="J69" s="39">
        <v>12689.19517</v>
      </c>
      <c r="K69" s="39">
        <v>12579.5024</v>
      </c>
      <c r="L69" s="39">
        <v>109.692770000002</v>
      </c>
      <c r="M69" s="39">
        <v>8126.0719</v>
      </c>
      <c r="N69" s="41">
        <v>0.0</v>
      </c>
      <c r="O69" s="41">
        <v>0.1986</v>
      </c>
      <c r="P69" s="41">
        <v>0.1986</v>
      </c>
    </row>
    <row r="70" ht="15.75" customHeight="1">
      <c r="A70" s="42" t="s">
        <v>235</v>
      </c>
      <c r="B70" s="50" t="s">
        <v>133</v>
      </c>
      <c r="C70" s="42">
        <v>72.0</v>
      </c>
      <c r="D70" s="43">
        <v>15052.1865</v>
      </c>
      <c r="E70" s="43">
        <v>571.56</v>
      </c>
      <c r="F70" s="43">
        <v>2700.393</v>
      </c>
      <c r="G70" s="43">
        <v>1644.4346</v>
      </c>
      <c r="H70" s="43">
        <v>3091.404</v>
      </c>
      <c r="I70" s="43">
        <v>741.0671</v>
      </c>
      <c r="J70" s="43">
        <v>23801.0452</v>
      </c>
      <c r="K70" s="43">
        <v>26561.972</v>
      </c>
      <c r="L70" s="43">
        <v>-2760.9268</v>
      </c>
      <c r="M70" s="43">
        <v>13532.4214</v>
      </c>
      <c r="N70" s="44">
        <v>0.0691</v>
      </c>
      <c r="O70" s="44">
        <v>0.1299</v>
      </c>
      <c r="P70" s="44">
        <v>0.199</v>
      </c>
    </row>
    <row r="71" ht="15.75" customHeight="1">
      <c r="A71" s="38" t="s">
        <v>236</v>
      </c>
      <c r="B71" s="47" t="s">
        <v>22</v>
      </c>
      <c r="C71" s="38">
        <v>37.0</v>
      </c>
      <c r="D71" s="39">
        <v>8350.7257</v>
      </c>
      <c r="E71" s="39">
        <v>0.0</v>
      </c>
      <c r="F71" s="39">
        <v>4360.962</v>
      </c>
      <c r="G71" s="39">
        <v>365.203</v>
      </c>
      <c r="H71" s="39">
        <v>0.0</v>
      </c>
      <c r="I71" s="39">
        <v>223.483</v>
      </c>
      <c r="J71" s="39">
        <v>13300.3737</v>
      </c>
      <c r="K71" s="39">
        <v>14389.895</v>
      </c>
      <c r="L71" s="39">
        <v>-1089.5213</v>
      </c>
      <c r="M71" s="39">
        <v>7701.625</v>
      </c>
      <c r="N71" s="41">
        <v>0.0275</v>
      </c>
      <c r="O71" s="41">
        <v>0.0</v>
      </c>
      <c r="P71" s="41">
        <v>0.0275</v>
      </c>
    </row>
    <row r="72" ht="15.75" customHeight="1">
      <c r="A72" s="42" t="s">
        <v>236</v>
      </c>
      <c r="B72" s="48" t="s">
        <v>61</v>
      </c>
      <c r="C72" s="42">
        <v>39.0</v>
      </c>
      <c r="D72" s="43">
        <v>12257.859</v>
      </c>
      <c r="E72" s="43">
        <v>0.0</v>
      </c>
      <c r="F72" s="43">
        <v>1766.87084</v>
      </c>
      <c r="G72" s="43">
        <v>0.0</v>
      </c>
      <c r="H72" s="43">
        <v>235.446</v>
      </c>
      <c r="I72" s="43">
        <v>126.72908</v>
      </c>
      <c r="J72" s="43">
        <v>14386.90492</v>
      </c>
      <c r="K72" s="43">
        <v>15243.8354</v>
      </c>
      <c r="L72" s="43">
        <v>-856.930480000001</v>
      </c>
      <c r="M72" s="43">
        <v>8326.763</v>
      </c>
      <c r="N72" s="44">
        <v>0.0</v>
      </c>
      <c r="O72" s="44">
        <v>0.0164</v>
      </c>
      <c r="P72" s="44">
        <v>0.0164</v>
      </c>
    </row>
    <row r="73" ht="15.75" customHeight="1">
      <c r="A73" s="38" t="s">
        <v>236</v>
      </c>
      <c r="B73" s="49" t="s">
        <v>99</v>
      </c>
      <c r="C73" s="38">
        <v>36.0</v>
      </c>
      <c r="D73" s="39">
        <v>5493.51841</v>
      </c>
      <c r="E73" s="39">
        <v>3182.00304</v>
      </c>
      <c r="F73" s="39">
        <v>1270.00965</v>
      </c>
      <c r="G73" s="39">
        <v>0.0</v>
      </c>
      <c r="H73" s="39">
        <v>2590.07186</v>
      </c>
      <c r="I73" s="39">
        <v>0.0</v>
      </c>
      <c r="J73" s="39">
        <v>12535.60296</v>
      </c>
      <c r="K73" s="39">
        <v>12228.9335</v>
      </c>
      <c r="L73" s="39">
        <v>306.669459999999</v>
      </c>
      <c r="M73" s="39">
        <v>8416.9899</v>
      </c>
      <c r="N73" s="41">
        <v>0.0</v>
      </c>
      <c r="O73" s="41">
        <v>0.2066</v>
      </c>
      <c r="P73" s="41">
        <v>0.2066</v>
      </c>
    </row>
    <row r="74" ht="15.75" customHeight="1">
      <c r="A74" s="42" t="s">
        <v>236</v>
      </c>
      <c r="B74" s="50" t="s">
        <v>133</v>
      </c>
      <c r="C74" s="42">
        <v>72.0</v>
      </c>
      <c r="D74" s="43">
        <v>16272.8085</v>
      </c>
      <c r="E74" s="43">
        <v>541.991</v>
      </c>
      <c r="F74" s="43">
        <v>2864.0791</v>
      </c>
      <c r="G74" s="43">
        <v>1786.7674</v>
      </c>
      <c r="H74" s="43">
        <v>2756.895</v>
      </c>
      <c r="I74" s="43">
        <v>997.8819</v>
      </c>
      <c r="J74" s="43">
        <v>25220.4229</v>
      </c>
      <c r="K74" s="43">
        <v>26174.737</v>
      </c>
      <c r="L74" s="43">
        <v>-954.3141</v>
      </c>
      <c r="M74" s="43">
        <v>12567.2817</v>
      </c>
      <c r="N74" s="44">
        <v>0.0708</v>
      </c>
      <c r="O74" s="44">
        <v>0.1093</v>
      </c>
      <c r="P74" s="44">
        <v>0.1801</v>
      </c>
    </row>
    <row r="75" ht="15.75" customHeight="1">
      <c r="A75" s="38" t="s">
        <v>237</v>
      </c>
      <c r="B75" s="47" t="s">
        <v>22</v>
      </c>
      <c r="C75" s="38">
        <v>37.0</v>
      </c>
      <c r="D75" s="39">
        <v>9058.4319</v>
      </c>
      <c r="E75" s="39">
        <v>24.4</v>
      </c>
      <c r="F75" s="39">
        <v>5257.436</v>
      </c>
      <c r="G75" s="39">
        <v>377.42252</v>
      </c>
      <c r="H75" s="39">
        <v>0.0</v>
      </c>
      <c r="I75" s="39">
        <v>288.803</v>
      </c>
      <c r="J75" s="39">
        <v>15006.49342</v>
      </c>
      <c r="K75" s="39">
        <v>16223.039</v>
      </c>
      <c r="L75" s="39">
        <v>-1216.54558</v>
      </c>
      <c r="M75" s="39">
        <v>6438.788</v>
      </c>
      <c r="N75" s="41">
        <v>0.0252</v>
      </c>
      <c r="O75" s="41">
        <v>0.0</v>
      </c>
      <c r="P75" s="41">
        <v>0.0252</v>
      </c>
    </row>
    <row r="76" ht="15.75" customHeight="1">
      <c r="A76" s="42" t="s">
        <v>237</v>
      </c>
      <c r="B76" s="48" t="s">
        <v>61</v>
      </c>
      <c r="C76" s="42">
        <v>39.0</v>
      </c>
      <c r="D76" s="43">
        <v>13511.64005</v>
      </c>
      <c r="E76" s="43">
        <v>0.0</v>
      </c>
      <c r="F76" s="43">
        <v>1515.43942</v>
      </c>
      <c r="G76" s="43">
        <v>0.0</v>
      </c>
      <c r="H76" s="43">
        <v>398.991</v>
      </c>
      <c r="I76" s="43">
        <v>113.9707</v>
      </c>
      <c r="J76" s="43">
        <v>15540.04117</v>
      </c>
      <c r="K76" s="43">
        <v>15936.0743</v>
      </c>
      <c r="L76" s="43">
        <v>-396.03313</v>
      </c>
      <c r="M76" s="43">
        <v>7820.1324</v>
      </c>
      <c r="N76" s="44">
        <v>0.0</v>
      </c>
      <c r="O76" s="44">
        <v>0.0257</v>
      </c>
      <c r="P76" s="44">
        <v>0.0257</v>
      </c>
    </row>
    <row r="77" ht="15.75" customHeight="1">
      <c r="A77" s="38" t="s">
        <v>237</v>
      </c>
      <c r="B77" s="49" t="s">
        <v>99</v>
      </c>
      <c r="C77" s="38">
        <v>36.0</v>
      </c>
      <c r="D77" s="39">
        <v>6571.99705</v>
      </c>
      <c r="E77" s="39">
        <v>4011.71685</v>
      </c>
      <c r="F77" s="39">
        <v>1210.22977</v>
      </c>
      <c r="G77" s="39">
        <v>0.0</v>
      </c>
      <c r="H77" s="39">
        <v>2351.3807</v>
      </c>
      <c r="I77" s="39">
        <v>0.0</v>
      </c>
      <c r="J77" s="39">
        <v>14145.32437</v>
      </c>
      <c r="K77" s="39">
        <v>13784.4615</v>
      </c>
      <c r="L77" s="39">
        <v>360.862870000001</v>
      </c>
      <c r="M77" s="39">
        <v>8723.8311</v>
      </c>
      <c r="N77" s="41">
        <v>0.0</v>
      </c>
      <c r="O77" s="41">
        <v>0.1662</v>
      </c>
      <c r="P77" s="41">
        <v>0.1662</v>
      </c>
    </row>
    <row r="78" ht="15.75" customHeight="1">
      <c r="A78" s="42" t="s">
        <v>237</v>
      </c>
      <c r="B78" s="50" t="s">
        <v>133</v>
      </c>
      <c r="C78" s="42">
        <v>72.0</v>
      </c>
      <c r="D78" s="43">
        <v>20401.03152</v>
      </c>
      <c r="E78" s="43">
        <v>681.778</v>
      </c>
      <c r="F78" s="43">
        <v>3770.201</v>
      </c>
      <c r="G78" s="43">
        <v>1326.1394</v>
      </c>
      <c r="H78" s="43">
        <v>2428.391</v>
      </c>
      <c r="I78" s="43">
        <v>833.3821</v>
      </c>
      <c r="J78" s="43">
        <v>29440.92302</v>
      </c>
      <c r="K78" s="43">
        <v>29605.7771</v>
      </c>
      <c r="L78" s="43">
        <v>-164.854080000001</v>
      </c>
      <c r="M78" s="43">
        <v>12484.7063</v>
      </c>
      <c r="N78" s="44">
        <v>0.045</v>
      </c>
      <c r="O78" s="44">
        <v>0.0825</v>
      </c>
      <c r="P78" s="44">
        <v>0.1275</v>
      </c>
    </row>
    <row r="79" ht="15.75" customHeight="1">
      <c r="A79" s="38" t="s">
        <v>238</v>
      </c>
      <c r="B79" s="47" t="s">
        <v>22</v>
      </c>
      <c r="C79" s="38">
        <v>37.0</v>
      </c>
      <c r="D79" s="39">
        <v>9399.80752</v>
      </c>
      <c r="E79" s="39">
        <v>20.4</v>
      </c>
      <c r="F79" s="39">
        <v>5270.904</v>
      </c>
      <c r="G79" s="39">
        <v>349.387</v>
      </c>
      <c r="H79" s="39">
        <v>0.0</v>
      </c>
      <c r="I79" s="39">
        <v>216.805</v>
      </c>
      <c r="J79" s="39">
        <v>15257.30352</v>
      </c>
      <c r="K79" s="39">
        <v>15001.8626</v>
      </c>
      <c r="L79" s="39">
        <v>255.440920000001</v>
      </c>
      <c r="M79" s="39">
        <v>6604.714</v>
      </c>
      <c r="N79" s="41">
        <v>0.0229</v>
      </c>
      <c r="O79" s="41">
        <v>0.0</v>
      </c>
      <c r="P79" s="41">
        <v>0.0229</v>
      </c>
    </row>
    <row r="80" ht="15.75" customHeight="1">
      <c r="A80" s="42" t="s">
        <v>238</v>
      </c>
      <c r="B80" s="48" t="s">
        <v>61</v>
      </c>
      <c r="C80" s="42">
        <v>39.0</v>
      </c>
      <c r="D80" s="43">
        <v>13541.57005</v>
      </c>
      <c r="E80" s="43">
        <v>8.2</v>
      </c>
      <c r="F80" s="43">
        <v>2134.11788</v>
      </c>
      <c r="G80" s="43">
        <v>0.0</v>
      </c>
      <c r="H80" s="43">
        <v>43.632</v>
      </c>
      <c r="I80" s="43">
        <v>11.90634</v>
      </c>
      <c r="J80" s="43">
        <v>15739.42627</v>
      </c>
      <c r="K80" s="43">
        <v>13165.4226</v>
      </c>
      <c r="L80" s="43">
        <v>2574.00367</v>
      </c>
      <c r="M80" s="43">
        <v>10358.852</v>
      </c>
      <c r="N80" s="44">
        <v>0.0</v>
      </c>
      <c r="O80" s="44">
        <v>0.0028</v>
      </c>
      <c r="P80" s="44">
        <v>0.0028</v>
      </c>
    </row>
    <row r="81" ht="15.75" customHeight="1">
      <c r="A81" s="38" t="s">
        <v>238</v>
      </c>
      <c r="B81" s="49" t="s">
        <v>99</v>
      </c>
      <c r="C81" s="38">
        <v>36.0</v>
      </c>
      <c r="D81" s="39">
        <v>6141.3579</v>
      </c>
      <c r="E81" s="39">
        <v>4085.97371</v>
      </c>
      <c r="F81" s="39">
        <v>1021.05426</v>
      </c>
      <c r="G81" s="39">
        <v>0.0</v>
      </c>
      <c r="H81" s="39">
        <v>1491.27791</v>
      </c>
      <c r="I81" s="39">
        <v>73.6</v>
      </c>
      <c r="J81" s="39">
        <v>12813.26378</v>
      </c>
      <c r="K81" s="39">
        <v>12105.0749</v>
      </c>
      <c r="L81" s="39">
        <v>708.188880000002</v>
      </c>
      <c r="M81" s="39">
        <v>9395.0189</v>
      </c>
      <c r="N81" s="41">
        <v>0.0</v>
      </c>
      <c r="O81" s="41">
        <v>0.1164</v>
      </c>
      <c r="P81" s="41">
        <v>0.1164</v>
      </c>
    </row>
    <row r="82" ht="15.75" customHeight="1">
      <c r="A82" s="42" t="s">
        <v>238</v>
      </c>
      <c r="B82" s="50" t="s">
        <v>133</v>
      </c>
      <c r="C82" s="42">
        <v>72.0</v>
      </c>
      <c r="D82" s="43">
        <v>20398.06001</v>
      </c>
      <c r="E82" s="43">
        <v>874.261</v>
      </c>
      <c r="F82" s="43">
        <v>3916.47063</v>
      </c>
      <c r="G82" s="43">
        <v>882.76403</v>
      </c>
      <c r="H82" s="43">
        <v>2524.813</v>
      </c>
      <c r="I82" s="43">
        <v>908.30617</v>
      </c>
      <c r="J82" s="43">
        <v>29504.67484</v>
      </c>
      <c r="K82" s="43">
        <v>28179.4357</v>
      </c>
      <c r="L82" s="43">
        <v>1325.23914</v>
      </c>
      <c r="M82" s="43">
        <v>13840.4204</v>
      </c>
      <c r="N82" s="44">
        <v>0.0299</v>
      </c>
      <c r="O82" s="44">
        <v>0.0856</v>
      </c>
      <c r="P82" s="44">
        <v>0.1155</v>
      </c>
    </row>
    <row r="83" ht="15.75" customHeight="1">
      <c r="A83" s="38" t="s">
        <v>239</v>
      </c>
      <c r="B83" s="47" t="s">
        <v>22</v>
      </c>
      <c r="C83" s="38">
        <v>37.0</v>
      </c>
      <c r="D83" s="39">
        <v>10755.75509</v>
      </c>
      <c r="E83" s="39">
        <v>44.88</v>
      </c>
      <c r="F83" s="39">
        <v>4878.508</v>
      </c>
      <c r="G83" s="39">
        <v>413.816</v>
      </c>
      <c r="H83" s="39">
        <v>0.0</v>
      </c>
      <c r="I83" s="39">
        <v>458.178</v>
      </c>
      <c r="J83" s="39">
        <v>16551.13709</v>
      </c>
      <c r="K83" s="39">
        <v>15071.0189</v>
      </c>
      <c r="L83" s="39">
        <v>1480.11819</v>
      </c>
      <c r="M83" s="39">
        <v>8189.823</v>
      </c>
      <c r="N83" s="41">
        <v>0.025</v>
      </c>
      <c r="O83" s="41">
        <v>0.0</v>
      </c>
      <c r="P83" s="41">
        <v>0.025</v>
      </c>
    </row>
    <row r="84" ht="15.75" customHeight="1">
      <c r="A84" s="42" t="s">
        <v>239</v>
      </c>
      <c r="B84" s="48" t="s">
        <v>61</v>
      </c>
      <c r="C84" s="42">
        <v>39.0</v>
      </c>
      <c r="D84" s="43">
        <v>13483.29838</v>
      </c>
      <c r="E84" s="43">
        <v>0.0</v>
      </c>
      <c r="F84" s="43">
        <v>2642.17493</v>
      </c>
      <c r="G84" s="43">
        <v>0.0</v>
      </c>
      <c r="H84" s="43">
        <v>114.027</v>
      </c>
      <c r="I84" s="43">
        <v>132.5794</v>
      </c>
      <c r="J84" s="43">
        <v>16372.07971</v>
      </c>
      <c r="K84" s="43">
        <v>13877.4687</v>
      </c>
      <c r="L84" s="43">
        <v>2494.61101</v>
      </c>
      <c r="M84" s="43">
        <v>12776.943</v>
      </c>
      <c r="N84" s="44">
        <v>0.0</v>
      </c>
      <c r="O84" s="44">
        <v>0.007</v>
      </c>
      <c r="P84" s="44">
        <v>0.007</v>
      </c>
    </row>
    <row r="85" ht="15.75" customHeight="1">
      <c r="A85" s="38" t="s">
        <v>239</v>
      </c>
      <c r="B85" s="49" t="s">
        <v>99</v>
      </c>
      <c r="C85" s="38">
        <v>36.0</v>
      </c>
      <c r="D85" s="39">
        <v>5929.69142</v>
      </c>
      <c r="E85" s="39">
        <v>4332.36379</v>
      </c>
      <c r="F85" s="39">
        <v>1049.36664</v>
      </c>
      <c r="G85" s="39">
        <v>0.0</v>
      </c>
      <c r="H85" s="39">
        <v>835.39205</v>
      </c>
      <c r="I85" s="39">
        <v>15.77</v>
      </c>
      <c r="J85" s="39">
        <v>12162.5839</v>
      </c>
      <c r="K85" s="39">
        <v>12887.3523</v>
      </c>
      <c r="L85" s="39">
        <v>-724.768400000001</v>
      </c>
      <c r="M85" s="39">
        <v>8594.0548</v>
      </c>
      <c r="N85" s="41">
        <v>0.0</v>
      </c>
      <c r="O85" s="41">
        <v>0.0687</v>
      </c>
      <c r="P85" s="41">
        <v>0.0687</v>
      </c>
    </row>
    <row r="86" ht="15.75" customHeight="1">
      <c r="A86" s="42" t="s">
        <v>239</v>
      </c>
      <c r="B86" s="50" t="s">
        <v>133</v>
      </c>
      <c r="C86" s="42">
        <v>72.0</v>
      </c>
      <c r="D86" s="43">
        <v>20310.79572</v>
      </c>
      <c r="E86" s="43">
        <v>732.666</v>
      </c>
      <c r="F86" s="43">
        <v>5101.7569</v>
      </c>
      <c r="G86" s="43">
        <v>1219.0436</v>
      </c>
      <c r="H86" s="43">
        <v>2368.1345</v>
      </c>
      <c r="I86" s="43">
        <v>950.53013</v>
      </c>
      <c r="J86" s="43">
        <v>30682.92685</v>
      </c>
      <c r="K86" s="43">
        <v>28894.4409</v>
      </c>
      <c r="L86" s="43">
        <v>1788.48595</v>
      </c>
      <c r="M86" s="43">
        <v>15662.1413</v>
      </c>
      <c r="N86" s="44">
        <v>0.0397</v>
      </c>
      <c r="O86" s="44">
        <v>0.0772</v>
      </c>
      <c r="P86" s="44">
        <v>0.1169</v>
      </c>
    </row>
    <row r="87" ht="15.75" customHeight="1">
      <c r="A87" s="38" t="s">
        <v>240</v>
      </c>
      <c r="B87" s="47" t="s">
        <v>22</v>
      </c>
      <c r="C87" s="38">
        <v>38.0</v>
      </c>
      <c r="D87" s="39">
        <v>10790.3115</v>
      </c>
      <c r="E87" s="39">
        <v>16.14</v>
      </c>
      <c r="F87" s="39">
        <v>4997.382</v>
      </c>
      <c r="G87" s="39">
        <v>345.945</v>
      </c>
      <c r="H87" s="39">
        <v>0.0</v>
      </c>
      <c r="I87" s="39">
        <v>382.08</v>
      </c>
      <c r="J87" s="39">
        <v>16531.8585</v>
      </c>
      <c r="K87" s="39">
        <v>14774.552</v>
      </c>
      <c r="L87" s="39">
        <v>1757.3065</v>
      </c>
      <c r="M87" s="39">
        <v>9846.147</v>
      </c>
      <c r="N87" s="41">
        <v>0.0209</v>
      </c>
      <c r="O87" s="41">
        <v>0.0</v>
      </c>
      <c r="P87" s="41">
        <v>0.0209</v>
      </c>
    </row>
    <row r="88" ht="15.75" customHeight="1">
      <c r="A88" s="42" t="s">
        <v>240</v>
      </c>
      <c r="B88" s="48" t="s">
        <v>61</v>
      </c>
      <c r="C88" s="42">
        <v>40.0</v>
      </c>
      <c r="D88" s="43">
        <v>13538.17761</v>
      </c>
      <c r="E88" s="43">
        <v>4.14</v>
      </c>
      <c r="F88" s="43">
        <v>2634.72967</v>
      </c>
      <c r="G88" s="43">
        <v>7.898</v>
      </c>
      <c r="H88" s="43">
        <v>47.148</v>
      </c>
      <c r="I88" s="43">
        <v>51.276</v>
      </c>
      <c r="J88" s="43">
        <v>16283.36928</v>
      </c>
      <c r="K88" s="43">
        <v>14833.051</v>
      </c>
      <c r="L88" s="43">
        <v>1450.31828</v>
      </c>
      <c r="M88" s="43">
        <v>14164.881</v>
      </c>
      <c r="N88" s="44">
        <v>5.0E-4</v>
      </c>
      <c r="O88" s="44">
        <v>0.0029</v>
      </c>
      <c r="P88" s="44">
        <v>0.0034</v>
      </c>
    </row>
    <row r="89" ht="15.75" customHeight="1">
      <c r="A89" s="38" t="s">
        <v>240</v>
      </c>
      <c r="B89" s="49" t="s">
        <v>99</v>
      </c>
      <c r="C89" s="38">
        <v>36.0</v>
      </c>
      <c r="D89" s="39">
        <v>6864.48675</v>
      </c>
      <c r="E89" s="39">
        <v>4447.72526</v>
      </c>
      <c r="F89" s="39">
        <v>749.69716</v>
      </c>
      <c r="G89" s="39">
        <v>0.0</v>
      </c>
      <c r="H89" s="39">
        <v>1273.661</v>
      </c>
      <c r="I89" s="39">
        <v>113.13</v>
      </c>
      <c r="J89" s="39">
        <v>13448.70017</v>
      </c>
      <c r="K89" s="39">
        <v>13552.3603</v>
      </c>
      <c r="L89" s="39">
        <v>-103.66013</v>
      </c>
      <c r="M89" s="39">
        <v>8434.9334</v>
      </c>
      <c r="N89" s="41">
        <v>0.0</v>
      </c>
      <c r="O89" s="41">
        <v>0.0947</v>
      </c>
      <c r="P89" s="41">
        <v>0.0947</v>
      </c>
    </row>
    <row r="90" ht="15.75" customHeight="1">
      <c r="A90" s="42" t="s">
        <v>240</v>
      </c>
      <c r="B90" s="50" t="s">
        <v>133</v>
      </c>
      <c r="C90" s="42">
        <v>72.0</v>
      </c>
      <c r="D90" s="43">
        <v>20506.05092</v>
      </c>
      <c r="E90" s="43">
        <v>868.606</v>
      </c>
      <c r="F90" s="43">
        <v>5339.9677</v>
      </c>
      <c r="G90" s="43">
        <v>1062.2582</v>
      </c>
      <c r="H90" s="43">
        <v>2786.73609</v>
      </c>
      <c r="I90" s="43">
        <v>1115.73124</v>
      </c>
      <c r="J90" s="43">
        <v>31679.35015</v>
      </c>
      <c r="K90" s="43">
        <v>29642.2561</v>
      </c>
      <c r="L90" s="43">
        <v>2037.09405</v>
      </c>
      <c r="M90" s="43">
        <v>17772.6693</v>
      </c>
      <c r="N90" s="44">
        <v>0.0335</v>
      </c>
      <c r="O90" s="44">
        <v>0.088</v>
      </c>
      <c r="P90" s="44">
        <v>0.1215</v>
      </c>
    </row>
    <row r="91" ht="15.75" customHeight="1">
      <c r="A91" s="38" t="s">
        <v>244</v>
      </c>
      <c r="B91" s="47" t="s">
        <v>22</v>
      </c>
      <c r="C91" s="38">
        <v>38.0</v>
      </c>
      <c r="D91" s="39">
        <v>10146.9654</v>
      </c>
      <c r="E91" s="39">
        <v>0.0</v>
      </c>
      <c r="F91" s="39">
        <v>4575.629</v>
      </c>
      <c r="G91" s="39">
        <v>486.531</v>
      </c>
      <c r="H91" s="39">
        <v>0.0</v>
      </c>
      <c r="I91" s="39">
        <v>307.891</v>
      </c>
      <c r="J91" s="39">
        <v>15517.0164</v>
      </c>
      <c r="K91" s="39">
        <v>13929.589</v>
      </c>
      <c r="L91" s="39">
        <v>1587.4274</v>
      </c>
      <c r="M91" s="39">
        <v>11418.713</v>
      </c>
      <c r="N91" s="41">
        <v>0.0314</v>
      </c>
      <c r="O91" s="41">
        <v>0.0</v>
      </c>
      <c r="P91" s="41">
        <v>0.0314</v>
      </c>
    </row>
    <row r="92" ht="15.75" customHeight="1">
      <c r="A92" s="42" t="s">
        <v>244</v>
      </c>
      <c r="B92" s="48" t="s">
        <v>61</v>
      </c>
      <c r="C92" s="42">
        <v>41.0</v>
      </c>
      <c r="D92" s="43">
        <v>11515.48546</v>
      </c>
      <c r="E92" s="43">
        <v>4.07</v>
      </c>
      <c r="F92" s="43">
        <v>2490.6294</v>
      </c>
      <c r="G92" s="43">
        <v>0.0</v>
      </c>
      <c r="H92" s="43">
        <v>78.7</v>
      </c>
      <c r="I92" s="43">
        <v>31.95872</v>
      </c>
      <c r="J92" s="43">
        <v>14120.84358</v>
      </c>
      <c r="K92" s="43">
        <v>13937.9038</v>
      </c>
      <c r="L92" s="43">
        <v>182.939780000001</v>
      </c>
      <c r="M92" s="43">
        <v>14372.689</v>
      </c>
      <c r="N92" s="44">
        <v>0.0</v>
      </c>
      <c r="O92" s="44">
        <v>0.0056</v>
      </c>
      <c r="P92" s="44">
        <v>0.0056</v>
      </c>
    </row>
    <row r="93" ht="15.75" customHeight="1">
      <c r="A93" s="38" t="s">
        <v>244</v>
      </c>
      <c r="B93" s="49" t="s">
        <v>99</v>
      </c>
      <c r="C93" s="38">
        <v>36.0</v>
      </c>
      <c r="D93" s="39">
        <v>6957.65866</v>
      </c>
      <c r="E93" s="39">
        <v>4367.7679</v>
      </c>
      <c r="F93" s="39">
        <v>724.57697</v>
      </c>
      <c r="G93" s="39">
        <v>0.0</v>
      </c>
      <c r="H93" s="39">
        <v>1889.806</v>
      </c>
      <c r="I93" s="39">
        <v>137.12</v>
      </c>
      <c r="J93" s="39">
        <v>14076.92953</v>
      </c>
      <c r="K93" s="39">
        <v>13555.8877</v>
      </c>
      <c r="L93" s="39">
        <v>521.04183</v>
      </c>
      <c r="M93" s="39">
        <v>8940.0535</v>
      </c>
      <c r="N93" s="41">
        <v>0.0</v>
      </c>
      <c r="O93" s="41">
        <v>0.1342</v>
      </c>
      <c r="P93" s="41">
        <v>0.1342</v>
      </c>
    </row>
    <row r="94" ht="15.75" customHeight="1">
      <c r="A94" s="42" t="s">
        <v>244</v>
      </c>
      <c r="B94" s="50" t="s">
        <v>133</v>
      </c>
      <c r="C94" s="42">
        <v>72.0</v>
      </c>
      <c r="D94" s="43">
        <v>19267.88439</v>
      </c>
      <c r="E94" s="43">
        <v>705.058</v>
      </c>
      <c r="F94" s="43">
        <v>4858.5105</v>
      </c>
      <c r="G94" s="43">
        <v>774.3664</v>
      </c>
      <c r="H94" s="43">
        <v>3096.43433</v>
      </c>
      <c r="I94" s="43">
        <v>1114.3494</v>
      </c>
      <c r="J94" s="43">
        <v>29816.60302</v>
      </c>
      <c r="K94" s="43">
        <v>28343.1572</v>
      </c>
      <c r="L94" s="43">
        <v>1473.44582</v>
      </c>
      <c r="M94" s="43">
        <v>19208.9373</v>
      </c>
      <c r="N94" s="44">
        <v>0.026</v>
      </c>
      <c r="O94" s="44">
        <v>0.1038</v>
      </c>
      <c r="P94" s="44">
        <v>0.1298</v>
      </c>
    </row>
    <row r="95" ht="15.75" customHeight="1">
      <c r="A95" s="38" t="s">
        <v>247</v>
      </c>
      <c r="B95" s="47" t="s">
        <v>22</v>
      </c>
      <c r="C95" s="38">
        <v>37.0</v>
      </c>
      <c r="D95" s="39">
        <v>11401.29456</v>
      </c>
      <c r="E95" s="39">
        <v>0.0</v>
      </c>
      <c r="F95" s="39">
        <v>4855.789</v>
      </c>
      <c r="G95" s="39">
        <v>317.677</v>
      </c>
      <c r="H95" s="39">
        <v>0.0</v>
      </c>
      <c r="I95" s="39">
        <v>490.397</v>
      </c>
      <c r="J95" s="39">
        <v>17065.15756</v>
      </c>
      <c r="K95" s="39">
        <v>15993.9634</v>
      </c>
      <c r="L95" s="39">
        <v>1071.19416</v>
      </c>
      <c r="M95" s="39">
        <v>12468.928</v>
      </c>
      <c r="N95" s="41">
        <v>0.0186</v>
      </c>
      <c r="O95" s="41">
        <v>0.0</v>
      </c>
      <c r="P95" s="41">
        <v>0.0186</v>
      </c>
    </row>
    <row r="96" ht="15.75" customHeight="1">
      <c r="A96" s="42" t="s">
        <v>247</v>
      </c>
      <c r="B96" s="48" t="s">
        <v>61</v>
      </c>
      <c r="C96" s="42">
        <v>42.0</v>
      </c>
      <c r="D96" s="43">
        <v>13488.48679</v>
      </c>
      <c r="E96" s="43">
        <v>0.0</v>
      </c>
      <c r="F96" s="43">
        <v>3258.03044</v>
      </c>
      <c r="G96" s="43">
        <v>0.0</v>
      </c>
      <c r="H96" s="43">
        <v>203.858</v>
      </c>
      <c r="I96" s="43">
        <v>35.379</v>
      </c>
      <c r="J96" s="43">
        <v>16985.75423</v>
      </c>
      <c r="K96" s="43">
        <v>15730.4266</v>
      </c>
      <c r="L96" s="43">
        <v>1255.32763</v>
      </c>
      <c r="M96" s="43">
        <v>15678.18</v>
      </c>
      <c r="N96" s="44">
        <v>0.0</v>
      </c>
      <c r="O96" s="44">
        <v>0.012</v>
      </c>
      <c r="P96" s="44">
        <v>0.012</v>
      </c>
    </row>
    <row r="97" ht="15.75" customHeight="1">
      <c r="A97" s="38" t="s">
        <v>247</v>
      </c>
      <c r="B97" s="49" t="s">
        <v>99</v>
      </c>
      <c r="C97" s="38">
        <v>37.0</v>
      </c>
      <c r="D97" s="39">
        <v>6750.24757</v>
      </c>
      <c r="E97" s="39">
        <v>5622.02</v>
      </c>
      <c r="F97" s="39">
        <v>1005.4463</v>
      </c>
      <c r="G97" s="39">
        <v>0.0</v>
      </c>
      <c r="H97" s="39">
        <v>1860.911</v>
      </c>
      <c r="I97" s="39">
        <v>192.39</v>
      </c>
      <c r="J97" s="39">
        <v>15431.01487</v>
      </c>
      <c r="K97" s="39">
        <v>15258.0781</v>
      </c>
      <c r="L97" s="39">
        <v>172.936769999998</v>
      </c>
      <c r="M97" s="39">
        <v>9281.4069</v>
      </c>
      <c r="N97" s="41">
        <v>0.0</v>
      </c>
      <c r="O97" s="41">
        <v>0.1206</v>
      </c>
      <c r="P97" s="41">
        <v>0.1206</v>
      </c>
    </row>
    <row r="98" ht="15.75" customHeight="1">
      <c r="A98" s="42" t="s">
        <v>247</v>
      </c>
      <c r="B98" s="50" t="s">
        <v>133</v>
      </c>
      <c r="C98" s="42">
        <v>72.0</v>
      </c>
      <c r="D98" s="43">
        <v>20871.30773</v>
      </c>
      <c r="E98" s="43">
        <v>894.441</v>
      </c>
      <c r="F98" s="43">
        <v>5143.8285</v>
      </c>
      <c r="G98" s="43">
        <v>1129.6112</v>
      </c>
      <c r="H98" s="43">
        <v>3065.0787</v>
      </c>
      <c r="I98" s="43">
        <v>986.2197</v>
      </c>
      <c r="J98" s="43">
        <v>32090.48683</v>
      </c>
      <c r="K98" s="43">
        <v>31136.6077</v>
      </c>
      <c r="L98" s="43">
        <v>953.879130000001</v>
      </c>
      <c r="M98" s="43">
        <v>20140.0189</v>
      </c>
      <c r="N98" s="44">
        <v>0.0352</v>
      </c>
      <c r="O98" s="44">
        <v>0.0955</v>
      </c>
      <c r="P98" s="44">
        <v>0.1307</v>
      </c>
    </row>
    <row r="99" ht="15.75" customHeight="1">
      <c r="A99" s="38" t="s">
        <v>250</v>
      </c>
      <c r="B99" s="47" t="s">
        <v>22</v>
      </c>
      <c r="C99" s="38">
        <v>37.0</v>
      </c>
      <c r="D99" s="39">
        <v>9383.496</v>
      </c>
      <c r="E99" s="39">
        <v>0.0</v>
      </c>
      <c r="F99" s="39">
        <v>5050.137</v>
      </c>
      <c r="G99" s="39">
        <v>444.623</v>
      </c>
      <c r="H99" s="39">
        <v>0.0</v>
      </c>
      <c r="I99" s="39">
        <v>301.718</v>
      </c>
      <c r="J99" s="39">
        <v>15179.974</v>
      </c>
      <c r="K99" s="39">
        <v>15242.726</v>
      </c>
      <c r="L99" s="39">
        <v>-62.7520000000004</v>
      </c>
      <c r="M99" s="39">
        <v>12476.54</v>
      </c>
      <c r="N99" s="41">
        <v>0.0293</v>
      </c>
      <c r="O99" s="41">
        <v>0.0</v>
      </c>
      <c r="P99" s="41">
        <v>0.0293</v>
      </c>
    </row>
    <row r="100" ht="15.75" customHeight="1">
      <c r="A100" s="42" t="s">
        <v>250</v>
      </c>
      <c r="B100" s="48" t="s">
        <v>61</v>
      </c>
      <c r="C100" s="42">
        <v>42.0</v>
      </c>
      <c r="D100" s="43">
        <v>13085.19225</v>
      </c>
      <c r="E100" s="43">
        <v>0.0</v>
      </c>
      <c r="F100" s="43">
        <v>2979.36072</v>
      </c>
      <c r="G100" s="43">
        <v>0.0</v>
      </c>
      <c r="H100" s="43">
        <v>250.383</v>
      </c>
      <c r="I100" s="43">
        <v>25.024</v>
      </c>
      <c r="J100" s="43">
        <v>16339.95997</v>
      </c>
      <c r="K100" s="43">
        <v>15938.6084</v>
      </c>
      <c r="L100" s="43">
        <v>401.351570000001</v>
      </c>
      <c r="M100" s="43">
        <v>15978.684</v>
      </c>
      <c r="N100" s="44">
        <v>0.0</v>
      </c>
      <c r="O100" s="44">
        <v>0.0153</v>
      </c>
      <c r="P100" s="44">
        <v>0.0153</v>
      </c>
    </row>
    <row r="101" ht="15.75" customHeight="1">
      <c r="A101" s="38" t="s">
        <v>250</v>
      </c>
      <c r="B101" s="49" t="s">
        <v>99</v>
      </c>
      <c r="C101" s="38">
        <v>37.0</v>
      </c>
      <c r="D101" s="39">
        <v>6326.78744</v>
      </c>
      <c r="E101" s="39">
        <v>4555.76598</v>
      </c>
      <c r="F101" s="39">
        <v>904.12054</v>
      </c>
      <c r="G101" s="39">
        <v>0.0</v>
      </c>
      <c r="H101" s="39">
        <v>1960.225</v>
      </c>
      <c r="I101" s="39">
        <v>193.94</v>
      </c>
      <c r="J101" s="39">
        <v>13940.83896</v>
      </c>
      <c r="K101" s="39">
        <v>14359.1762</v>
      </c>
      <c r="L101" s="39">
        <v>-418.337239999999</v>
      </c>
      <c r="M101" s="39">
        <v>8759.559</v>
      </c>
      <c r="N101" s="41">
        <v>0.0</v>
      </c>
      <c r="O101" s="41">
        <v>0.1406</v>
      </c>
      <c r="P101" s="41">
        <v>0.1406</v>
      </c>
    </row>
    <row r="102" ht="15.75" customHeight="1">
      <c r="A102" s="42" t="s">
        <v>250</v>
      </c>
      <c r="B102" s="50" t="s">
        <v>133</v>
      </c>
      <c r="C102" s="42">
        <v>72.0</v>
      </c>
      <c r="D102" s="43">
        <v>18811.68400392</v>
      </c>
      <c r="E102" s="43">
        <v>971.426</v>
      </c>
      <c r="F102" s="43">
        <v>4507.7804</v>
      </c>
      <c r="G102" s="43">
        <v>1218.9048894</v>
      </c>
      <c r="H102" s="43">
        <v>2460.438</v>
      </c>
      <c r="I102" s="43">
        <v>902.46356</v>
      </c>
      <c r="J102" s="43">
        <v>28872.69685332</v>
      </c>
      <c r="K102" s="43">
        <v>30400.532</v>
      </c>
      <c r="L102" s="43">
        <v>-1527.83514668</v>
      </c>
      <c r="M102" s="43">
        <v>18668.5986</v>
      </c>
      <c r="N102" s="44">
        <v>0.0422</v>
      </c>
      <c r="O102" s="44">
        <v>0.0852</v>
      </c>
      <c r="P102" s="44">
        <v>0.1274</v>
      </c>
    </row>
    <row r="103" ht="15.75" customHeight="1">
      <c r="A103" s="38" t="s">
        <v>251</v>
      </c>
      <c r="B103" s="47" t="s">
        <v>22</v>
      </c>
      <c r="C103" s="38">
        <v>36.0</v>
      </c>
      <c r="D103" s="39">
        <v>9342.6356</v>
      </c>
      <c r="E103" s="39">
        <v>0.0</v>
      </c>
      <c r="F103" s="39">
        <v>5253.438</v>
      </c>
      <c r="G103" s="39">
        <v>660.637</v>
      </c>
      <c r="H103" s="39">
        <v>0.0</v>
      </c>
      <c r="I103" s="39">
        <v>190.744</v>
      </c>
      <c r="J103" s="39">
        <v>15447.4546</v>
      </c>
      <c r="K103" s="39">
        <v>15044.07</v>
      </c>
      <c r="L103" s="39">
        <v>403.384599999999</v>
      </c>
      <c r="M103" s="39">
        <v>12965.301</v>
      </c>
      <c r="N103" s="41">
        <v>0.0428</v>
      </c>
      <c r="O103" s="41">
        <v>0.0</v>
      </c>
      <c r="P103" s="41">
        <v>0.0428</v>
      </c>
    </row>
    <row r="104" ht="15.75" customHeight="1">
      <c r="A104" s="42" t="s">
        <v>251</v>
      </c>
      <c r="B104" s="48" t="s">
        <v>61</v>
      </c>
      <c r="C104" s="42">
        <v>42.0</v>
      </c>
      <c r="D104" s="43">
        <v>13686.72105</v>
      </c>
      <c r="E104" s="43">
        <v>0.0</v>
      </c>
      <c r="F104" s="43">
        <v>2699.44135</v>
      </c>
      <c r="G104" s="43">
        <v>0.0</v>
      </c>
      <c r="H104" s="43">
        <v>145.237</v>
      </c>
      <c r="I104" s="43">
        <v>153.127</v>
      </c>
      <c r="J104" s="43">
        <v>16684.5264</v>
      </c>
      <c r="K104" s="43">
        <v>15736.7105</v>
      </c>
      <c r="L104" s="43">
        <v>947.8159</v>
      </c>
      <c r="M104" s="43">
        <v>16969.6875</v>
      </c>
      <c r="N104" s="44">
        <v>0.0</v>
      </c>
      <c r="O104" s="44">
        <v>0.0087</v>
      </c>
      <c r="P104" s="44">
        <v>0.0087</v>
      </c>
    </row>
    <row r="105" ht="15.75" customHeight="1">
      <c r="A105" s="38" t="s">
        <v>251</v>
      </c>
      <c r="B105" s="49" t="s">
        <v>99</v>
      </c>
      <c r="C105" s="38">
        <v>37.0</v>
      </c>
      <c r="D105" s="39">
        <v>6199.1657</v>
      </c>
      <c r="E105" s="39">
        <v>4594.55172</v>
      </c>
      <c r="F105" s="39">
        <v>830.99614</v>
      </c>
      <c r="G105" s="39">
        <v>0.0</v>
      </c>
      <c r="H105" s="39">
        <v>1972.048</v>
      </c>
      <c r="I105" s="39">
        <v>438.624</v>
      </c>
      <c r="J105" s="39">
        <v>14035.38556</v>
      </c>
      <c r="K105" s="39">
        <v>12649.7888</v>
      </c>
      <c r="L105" s="39">
        <v>1385.59676</v>
      </c>
      <c r="M105" s="39">
        <v>10086.899</v>
      </c>
      <c r="N105" s="41">
        <v>0.0</v>
      </c>
      <c r="O105" s="41">
        <v>0.1405</v>
      </c>
      <c r="P105" s="41">
        <v>0.1405</v>
      </c>
    </row>
    <row r="106" ht="15.75" customHeight="1">
      <c r="A106" s="42" t="s">
        <v>251</v>
      </c>
      <c r="B106" s="50" t="s">
        <v>133</v>
      </c>
      <c r="C106" s="42">
        <v>68.0</v>
      </c>
      <c r="D106" s="43">
        <v>19886.46293</v>
      </c>
      <c r="E106" s="43">
        <v>1218.299</v>
      </c>
      <c r="F106" s="43">
        <v>4694.2384</v>
      </c>
      <c r="G106" s="43">
        <v>777.2659</v>
      </c>
      <c r="H106" s="43">
        <v>3378.53</v>
      </c>
      <c r="I106" s="43">
        <v>950.658</v>
      </c>
      <c r="J106" s="43">
        <v>30905.45423</v>
      </c>
      <c r="K106" s="43">
        <v>30081.5355</v>
      </c>
      <c r="L106" s="43">
        <v>823.918729999998</v>
      </c>
      <c r="M106" s="43">
        <v>19507.0331</v>
      </c>
      <c r="N106" s="44">
        <v>0.0251</v>
      </c>
      <c r="O106" s="44">
        <v>0.1093</v>
      </c>
      <c r="P106" s="44">
        <v>0.1344</v>
      </c>
    </row>
    <row r="107" ht="15.75" customHeight="1">
      <c r="A107" s="38" t="s">
        <v>252</v>
      </c>
      <c r="B107" s="47" t="s">
        <v>22</v>
      </c>
      <c r="C107" s="38">
        <v>36.0</v>
      </c>
      <c r="D107" s="39">
        <v>8046.53414</v>
      </c>
      <c r="E107" s="39">
        <v>0.0</v>
      </c>
      <c r="F107" s="39">
        <v>4598.379</v>
      </c>
      <c r="G107" s="39">
        <v>453.828</v>
      </c>
      <c r="H107" s="39">
        <v>0.0</v>
      </c>
      <c r="I107" s="39">
        <v>405.9618</v>
      </c>
      <c r="J107" s="39">
        <v>13504.70294</v>
      </c>
      <c r="K107" s="39">
        <v>14427.3519</v>
      </c>
      <c r="L107" s="39">
        <v>-922.64896</v>
      </c>
      <c r="M107" s="39">
        <v>0.0</v>
      </c>
      <c r="N107" s="41">
        <v>0.0336</v>
      </c>
      <c r="O107" s="41">
        <v>0.0</v>
      </c>
      <c r="P107" s="41">
        <v>0.0336</v>
      </c>
    </row>
    <row r="108" ht="15.75" customHeight="1">
      <c r="A108" s="42" t="s">
        <v>252</v>
      </c>
      <c r="B108" s="48" t="s">
        <v>61</v>
      </c>
      <c r="C108" s="42">
        <v>42.0</v>
      </c>
      <c r="D108" s="43">
        <v>12409.84815</v>
      </c>
      <c r="E108" s="43">
        <v>0.0</v>
      </c>
      <c r="F108" s="43">
        <v>2721.5035</v>
      </c>
      <c r="G108" s="43">
        <v>0.0</v>
      </c>
      <c r="H108" s="43">
        <v>138.788</v>
      </c>
      <c r="I108" s="43">
        <v>214.31439</v>
      </c>
      <c r="J108" s="43">
        <v>15484.45404</v>
      </c>
      <c r="K108" s="43">
        <v>15429.5988</v>
      </c>
      <c r="L108" s="43">
        <v>54.8552400000008</v>
      </c>
      <c r="M108" s="43">
        <v>0.0</v>
      </c>
      <c r="N108" s="44">
        <v>0.0</v>
      </c>
      <c r="O108" s="44">
        <v>0.009</v>
      </c>
      <c r="P108" s="44">
        <v>0.009</v>
      </c>
    </row>
    <row r="109" ht="15.75" customHeight="1">
      <c r="A109" s="38" t="s">
        <v>252</v>
      </c>
      <c r="B109" s="49" t="s">
        <v>99</v>
      </c>
      <c r="C109" s="38">
        <v>37.0</v>
      </c>
      <c r="D109" s="39">
        <v>5793.46837</v>
      </c>
      <c r="E109" s="39">
        <v>4126.76868</v>
      </c>
      <c r="F109" s="39">
        <v>1091.61672</v>
      </c>
      <c r="G109" s="39">
        <v>0.0</v>
      </c>
      <c r="H109" s="39">
        <v>2109.59143</v>
      </c>
      <c r="I109" s="39">
        <v>239.69</v>
      </c>
      <c r="J109" s="39">
        <v>13361.1352</v>
      </c>
      <c r="K109" s="39">
        <v>11750.198</v>
      </c>
      <c r="L109" s="39">
        <v>1610.9372</v>
      </c>
      <c r="M109" s="39">
        <v>0.0</v>
      </c>
      <c r="N109" s="41">
        <v>0.0</v>
      </c>
      <c r="O109" s="41">
        <v>0.1579</v>
      </c>
      <c r="P109" s="41">
        <v>0.1579</v>
      </c>
    </row>
    <row r="110" ht="15.75" customHeight="1">
      <c r="A110" s="42" t="s">
        <v>252</v>
      </c>
      <c r="B110" s="50" t="s">
        <v>133</v>
      </c>
      <c r="C110" s="42">
        <v>68.0</v>
      </c>
      <c r="D110" s="43">
        <v>18978.79395238</v>
      </c>
      <c r="E110" s="43">
        <v>600.334</v>
      </c>
      <c r="F110" s="43">
        <v>4551.8672</v>
      </c>
      <c r="G110" s="43">
        <v>693.4971544</v>
      </c>
      <c r="H110" s="43">
        <v>2843.85973</v>
      </c>
      <c r="I110" s="43">
        <v>1058.2698</v>
      </c>
      <c r="J110" s="43">
        <v>28726.62183678</v>
      </c>
      <c r="K110" s="43">
        <v>28126.4576</v>
      </c>
      <c r="L110" s="43">
        <v>600.164236780001</v>
      </c>
      <c r="M110" s="43">
        <v>0.0</v>
      </c>
      <c r="N110" s="44">
        <v>0.0241</v>
      </c>
      <c r="O110" s="44">
        <v>0.099</v>
      </c>
      <c r="P110" s="44">
        <v>0.1231</v>
      </c>
    </row>
    <row r="111" ht="15.75" customHeight="1">
      <c r="A111" s="38" t="s">
        <v>253</v>
      </c>
      <c r="B111" s="47" t="s">
        <v>22</v>
      </c>
      <c r="C111" s="38">
        <v>36.0</v>
      </c>
      <c r="D111" s="39">
        <v>7597.5336</v>
      </c>
      <c r="E111" s="39">
        <v>0.0</v>
      </c>
      <c r="F111" s="39">
        <v>4338.3483</v>
      </c>
      <c r="G111" s="39">
        <v>137.618</v>
      </c>
      <c r="H111" s="39">
        <v>0.0</v>
      </c>
      <c r="I111" s="39">
        <v>427.211</v>
      </c>
      <c r="J111" s="39">
        <v>12500.7109</v>
      </c>
      <c r="K111" s="39">
        <v>14720.4665</v>
      </c>
      <c r="L111" s="39">
        <v>-2219.7556</v>
      </c>
      <c r="M111" s="39">
        <v>9831.968</v>
      </c>
      <c r="N111" s="41">
        <v>0.011</v>
      </c>
      <c r="O111" s="41">
        <v>0.0</v>
      </c>
      <c r="P111" s="41">
        <v>0.011</v>
      </c>
    </row>
    <row r="112" ht="15.75" customHeight="1">
      <c r="A112" s="42" t="s">
        <v>253</v>
      </c>
      <c r="B112" s="48" t="s">
        <v>61</v>
      </c>
      <c r="C112" s="42">
        <v>42.0</v>
      </c>
      <c r="D112" s="43">
        <v>10982.83594</v>
      </c>
      <c r="E112" s="43">
        <v>0.0</v>
      </c>
      <c r="F112" s="43">
        <v>2209.40242</v>
      </c>
      <c r="G112" s="43">
        <v>0.0</v>
      </c>
      <c r="H112" s="43">
        <v>115.461</v>
      </c>
      <c r="I112" s="43">
        <v>173.412</v>
      </c>
      <c r="J112" s="43">
        <v>13481.11136</v>
      </c>
      <c r="K112" s="43">
        <v>16217.2272</v>
      </c>
      <c r="L112" s="43">
        <v>-2736.11584</v>
      </c>
      <c r="M112" s="43">
        <v>14406.6932</v>
      </c>
      <c r="N112" s="44">
        <v>0.0</v>
      </c>
      <c r="O112" s="44">
        <v>0.0086</v>
      </c>
      <c r="P112" s="44">
        <v>0.0086</v>
      </c>
    </row>
    <row r="113" ht="15.75" customHeight="1">
      <c r="A113" s="38" t="s">
        <v>253</v>
      </c>
      <c r="B113" s="49" t="s">
        <v>99</v>
      </c>
      <c r="C113" s="38">
        <v>37.0</v>
      </c>
      <c r="D113" s="39">
        <v>6075.90008</v>
      </c>
      <c r="E113" s="39">
        <v>3232.58248</v>
      </c>
      <c r="F113" s="39">
        <v>880.23127</v>
      </c>
      <c r="G113" s="39">
        <v>0.0</v>
      </c>
      <c r="H113" s="39">
        <v>1456.16529</v>
      </c>
      <c r="I113" s="39">
        <v>142.23</v>
      </c>
      <c r="J113" s="39">
        <v>11787.10912</v>
      </c>
      <c r="K113" s="39">
        <v>12440.1589</v>
      </c>
      <c r="L113" s="39">
        <v>-653.049780000001</v>
      </c>
      <c r="M113" s="39">
        <v>11000.9278</v>
      </c>
      <c r="N113" s="41">
        <v>0.0</v>
      </c>
      <c r="O113" s="41">
        <v>0.1235</v>
      </c>
      <c r="P113" s="41">
        <v>0.1235</v>
      </c>
    </row>
    <row r="114" ht="15.75" customHeight="1">
      <c r="A114" s="42" t="s">
        <v>253</v>
      </c>
      <c r="B114" s="50" t="s">
        <v>133</v>
      </c>
      <c r="C114" s="42">
        <v>68.0</v>
      </c>
      <c r="D114" s="43">
        <v>17261.5590476586</v>
      </c>
      <c r="E114" s="43">
        <v>618.564</v>
      </c>
      <c r="F114" s="43">
        <v>4345.1904</v>
      </c>
      <c r="G114" s="43">
        <v>614.9649966842</v>
      </c>
      <c r="H114" s="43">
        <v>2449.45</v>
      </c>
      <c r="I114" s="43">
        <v>827.16037</v>
      </c>
      <c r="J114" s="43">
        <v>26116.8888143428</v>
      </c>
      <c r="K114" s="43">
        <v>27553.3623</v>
      </c>
      <c r="L114" s="43">
        <v>-1436.47348565716</v>
      </c>
      <c r="M114" s="43">
        <v>18419.6652</v>
      </c>
      <c r="N114" s="44">
        <v>0.0235</v>
      </c>
      <c r="O114" s="44">
        <v>0.0938</v>
      </c>
      <c r="P114" s="44">
        <v>0.1173</v>
      </c>
    </row>
    <row r="115" ht="15.75" customHeight="1">
      <c r="A115" s="38" t="s">
        <v>254</v>
      </c>
      <c r="B115" s="47" t="s">
        <v>22</v>
      </c>
      <c r="C115" s="38">
        <v>36.0</v>
      </c>
      <c r="D115" s="39">
        <v>8663.52693</v>
      </c>
      <c r="E115" s="39">
        <v>0.0</v>
      </c>
      <c r="F115" s="39">
        <v>4180.691</v>
      </c>
      <c r="G115" s="39">
        <v>556.4</v>
      </c>
      <c r="H115" s="39">
        <v>0.0</v>
      </c>
      <c r="I115" s="39">
        <v>223.1368</v>
      </c>
      <c r="J115" s="39">
        <v>13623.75473</v>
      </c>
      <c r="K115" s="39">
        <v>14991.734</v>
      </c>
      <c r="L115" s="39">
        <v>-1367.97927</v>
      </c>
      <c r="M115" s="39">
        <v>8501.449</v>
      </c>
      <c r="N115" s="41">
        <v>0.0408</v>
      </c>
      <c r="O115" s="41">
        <v>0.0</v>
      </c>
      <c r="P115" s="41">
        <v>0.0408</v>
      </c>
    </row>
    <row r="116" ht="15.75" customHeight="1">
      <c r="A116" s="42" t="s">
        <v>254</v>
      </c>
      <c r="B116" s="48" t="s">
        <v>61</v>
      </c>
      <c r="C116" s="42">
        <v>42.0</v>
      </c>
      <c r="D116" s="43">
        <v>11568.01916</v>
      </c>
      <c r="E116" s="43">
        <v>0.0</v>
      </c>
      <c r="F116" s="43">
        <v>2209.00138</v>
      </c>
      <c r="G116" s="43">
        <v>0.0</v>
      </c>
      <c r="H116" s="43">
        <v>52.362</v>
      </c>
      <c r="I116" s="43">
        <v>144.51471</v>
      </c>
      <c r="J116" s="43">
        <v>13973.89725</v>
      </c>
      <c r="K116" s="43">
        <v>15201.285</v>
      </c>
      <c r="L116" s="43">
        <v>-1227.38775</v>
      </c>
      <c r="M116" s="43">
        <v>13253.044</v>
      </c>
      <c r="N116" s="44">
        <v>0.0</v>
      </c>
      <c r="O116" s="44">
        <v>0.0037</v>
      </c>
      <c r="P116" s="44">
        <v>0.0037</v>
      </c>
    </row>
    <row r="117" ht="15.75" customHeight="1">
      <c r="A117" s="38" t="s">
        <v>254</v>
      </c>
      <c r="B117" s="49" t="s">
        <v>99</v>
      </c>
      <c r="C117" s="38">
        <v>37.0</v>
      </c>
      <c r="D117" s="39">
        <v>6394.37418</v>
      </c>
      <c r="E117" s="39">
        <v>3082.97051</v>
      </c>
      <c r="F117" s="39">
        <v>981.57189</v>
      </c>
      <c r="G117" s="39">
        <v>0.0</v>
      </c>
      <c r="H117" s="39">
        <v>1082.481</v>
      </c>
      <c r="I117" s="39">
        <v>61.51</v>
      </c>
      <c r="J117" s="39">
        <v>11602.90758</v>
      </c>
      <c r="K117" s="39">
        <v>12383.6364</v>
      </c>
      <c r="L117" s="39">
        <v>-780.728819999998</v>
      </c>
      <c r="M117" s="39">
        <v>10165.4469</v>
      </c>
      <c r="N117" s="41">
        <v>0.0</v>
      </c>
      <c r="O117" s="41">
        <v>0.0933</v>
      </c>
      <c r="P117" s="41">
        <v>0.0933</v>
      </c>
    </row>
    <row r="118" ht="15.75" customHeight="1">
      <c r="A118" s="42" t="s">
        <v>254</v>
      </c>
      <c r="B118" s="50" t="s">
        <v>133</v>
      </c>
      <c r="C118" s="42">
        <v>69.0</v>
      </c>
      <c r="D118" s="43">
        <v>18462.872664329</v>
      </c>
      <c r="E118" s="43">
        <v>759.94</v>
      </c>
      <c r="F118" s="43">
        <v>4071.9422</v>
      </c>
      <c r="G118" s="43">
        <v>1018.92043326</v>
      </c>
      <c r="H118" s="43">
        <v>2356.720798</v>
      </c>
      <c r="I118" s="43">
        <v>1075.4977</v>
      </c>
      <c r="J118" s="43">
        <v>27745.893795589</v>
      </c>
      <c r="K118" s="43">
        <v>27551.488</v>
      </c>
      <c r="L118" s="43">
        <v>194.405795588958</v>
      </c>
      <c r="M118" s="43">
        <v>18895.006</v>
      </c>
      <c r="N118" s="44">
        <v>0.0367</v>
      </c>
      <c r="O118" s="44">
        <v>0.0849</v>
      </c>
      <c r="P118" s="44">
        <v>0.1216</v>
      </c>
    </row>
    <row r="119" ht="15.75" customHeight="1">
      <c r="A119" s="38" t="s">
        <v>256</v>
      </c>
      <c r="B119" s="47" t="s">
        <v>22</v>
      </c>
      <c r="C119" s="38">
        <v>36.0</v>
      </c>
      <c r="D119" s="39">
        <v>8384.064</v>
      </c>
      <c r="E119" s="39">
        <v>0.0</v>
      </c>
      <c r="F119" s="39">
        <v>4522.067</v>
      </c>
      <c r="G119" s="39">
        <v>633.472</v>
      </c>
      <c r="H119" s="39">
        <v>0.0</v>
      </c>
      <c r="I119" s="39">
        <v>235.7624</v>
      </c>
      <c r="J119" s="39">
        <v>13775.3654</v>
      </c>
      <c r="K119" s="39">
        <v>14220.9182</v>
      </c>
      <c r="L119" s="39">
        <v>-445.5528</v>
      </c>
      <c r="M119" s="39">
        <v>7995.709</v>
      </c>
      <c r="N119" s="41">
        <v>0.046</v>
      </c>
      <c r="O119" s="41">
        <v>0.0</v>
      </c>
      <c r="P119" s="41">
        <v>0.046</v>
      </c>
    </row>
    <row r="120" ht="15.75" customHeight="1">
      <c r="A120" s="42" t="s">
        <v>256</v>
      </c>
      <c r="B120" s="48" t="s">
        <v>61</v>
      </c>
      <c r="C120" s="42">
        <v>42.0</v>
      </c>
      <c r="D120" s="43">
        <v>11301.52265</v>
      </c>
      <c r="E120" s="43">
        <v>0.0</v>
      </c>
      <c r="F120" s="43">
        <v>2518.9366</v>
      </c>
      <c r="G120" s="43">
        <v>0.0</v>
      </c>
      <c r="H120" s="43">
        <v>100.429</v>
      </c>
      <c r="I120" s="43">
        <v>188.25667</v>
      </c>
      <c r="J120" s="43">
        <v>14109.14492</v>
      </c>
      <c r="K120" s="43">
        <v>14527.2958</v>
      </c>
      <c r="L120" s="43">
        <v>-418.150879999999</v>
      </c>
      <c r="M120" s="43">
        <v>12796.107</v>
      </c>
      <c r="N120" s="44">
        <v>0.0</v>
      </c>
      <c r="O120" s="44">
        <v>0.0071</v>
      </c>
      <c r="P120" s="44">
        <v>0.0071</v>
      </c>
    </row>
    <row r="121" ht="15.75" customHeight="1">
      <c r="A121" s="38" t="s">
        <v>256</v>
      </c>
      <c r="B121" s="49" t="s">
        <v>99</v>
      </c>
      <c r="C121" s="38">
        <v>37.0</v>
      </c>
      <c r="D121" s="39">
        <v>6246.37627</v>
      </c>
      <c r="E121" s="39">
        <v>2675.857</v>
      </c>
      <c r="F121" s="39">
        <v>936.27041</v>
      </c>
      <c r="G121" s="39">
        <v>0.0</v>
      </c>
      <c r="H121" s="39">
        <v>1207.66199</v>
      </c>
      <c r="I121" s="39">
        <v>16.45</v>
      </c>
      <c r="J121" s="39">
        <v>11082.61567</v>
      </c>
      <c r="K121" s="39">
        <v>12770.5829</v>
      </c>
      <c r="L121" s="39">
        <v>-1687.96723</v>
      </c>
      <c r="M121" s="39">
        <v>8445.2014</v>
      </c>
      <c r="N121" s="41">
        <v>0.0</v>
      </c>
      <c r="O121" s="41">
        <v>0.109</v>
      </c>
      <c r="P121" s="41">
        <v>0.109</v>
      </c>
    </row>
    <row r="122" ht="15.75" customHeight="1">
      <c r="A122" s="42" t="s">
        <v>256</v>
      </c>
      <c r="B122" s="50" t="s">
        <v>133</v>
      </c>
      <c r="C122" s="42">
        <v>69.0</v>
      </c>
      <c r="D122" s="43">
        <v>16340.3189622</v>
      </c>
      <c r="E122" s="43">
        <v>943.119</v>
      </c>
      <c r="F122" s="43">
        <v>3659.143</v>
      </c>
      <c r="G122" s="43">
        <v>902.3232217</v>
      </c>
      <c r="H122" s="43">
        <v>2129.48458</v>
      </c>
      <c r="I122" s="43">
        <v>1101.07274</v>
      </c>
      <c r="J122" s="43">
        <v>25075.4615039</v>
      </c>
      <c r="K122" s="43">
        <v>26731.98</v>
      </c>
      <c r="L122" s="43">
        <v>-1656.5184961</v>
      </c>
      <c r="M122" s="43">
        <v>17234.7202</v>
      </c>
      <c r="N122" s="44">
        <v>0.036</v>
      </c>
      <c r="O122" s="44">
        <v>0.0849</v>
      </c>
      <c r="P122" s="44">
        <v>0.1209</v>
      </c>
    </row>
    <row r="123" ht="15.75" customHeight="1">
      <c r="A123" s="38" t="s">
        <v>257</v>
      </c>
      <c r="B123" s="47" t="s">
        <v>22</v>
      </c>
      <c r="C123" s="38">
        <v>36.0</v>
      </c>
      <c r="D123" s="39">
        <v>9054.47252</v>
      </c>
      <c r="E123" s="39">
        <v>0.0</v>
      </c>
      <c r="F123" s="39">
        <v>4790.3305</v>
      </c>
      <c r="G123" s="39">
        <v>541.663</v>
      </c>
      <c r="H123" s="39">
        <v>0.0</v>
      </c>
      <c r="I123" s="39">
        <v>227.4752</v>
      </c>
      <c r="J123" s="39">
        <v>14613.94122</v>
      </c>
      <c r="K123" s="39">
        <v>14595.5994</v>
      </c>
      <c r="L123" s="39">
        <v>18.3418200000015</v>
      </c>
      <c r="M123" s="39">
        <v>7973.195</v>
      </c>
      <c r="N123" s="41">
        <v>0.0371</v>
      </c>
      <c r="O123" s="41">
        <v>0.0</v>
      </c>
      <c r="P123" s="41">
        <v>0.0371</v>
      </c>
    </row>
    <row r="124" ht="15.75" customHeight="1">
      <c r="A124" s="42" t="s">
        <v>257</v>
      </c>
      <c r="B124" s="48" t="s">
        <v>61</v>
      </c>
      <c r="C124" s="42">
        <v>42.0</v>
      </c>
      <c r="D124" s="43">
        <v>11038.63464</v>
      </c>
      <c r="E124" s="43">
        <v>0.0</v>
      </c>
      <c r="F124" s="43">
        <v>2502.24024</v>
      </c>
      <c r="G124" s="43">
        <v>0.0</v>
      </c>
      <c r="H124" s="43">
        <v>79.721</v>
      </c>
      <c r="I124" s="43">
        <v>128.022</v>
      </c>
      <c r="J124" s="43">
        <v>13748.61788</v>
      </c>
      <c r="K124" s="43">
        <v>13165.8077</v>
      </c>
      <c r="L124" s="43">
        <v>582.81018</v>
      </c>
      <c r="M124" s="43">
        <v>13282.265</v>
      </c>
      <c r="N124" s="44">
        <v>0.0</v>
      </c>
      <c r="O124" s="44">
        <v>0.0058</v>
      </c>
      <c r="P124" s="44">
        <v>0.0058</v>
      </c>
    </row>
    <row r="125" ht="15.75" customHeight="1">
      <c r="A125" s="38" t="s">
        <v>257</v>
      </c>
      <c r="B125" s="49" t="s">
        <v>99</v>
      </c>
      <c r="C125" s="38">
        <v>37.0</v>
      </c>
      <c r="D125" s="39">
        <v>6196.20885</v>
      </c>
      <c r="E125" s="39">
        <v>3411.39189</v>
      </c>
      <c r="F125" s="39">
        <v>1147.65717</v>
      </c>
      <c r="G125" s="39">
        <v>0.0</v>
      </c>
      <c r="H125" s="39">
        <v>1469.61142</v>
      </c>
      <c r="I125" s="39">
        <v>4.26</v>
      </c>
      <c r="J125" s="39">
        <v>12229.12933</v>
      </c>
      <c r="K125" s="39">
        <v>11876.0142</v>
      </c>
      <c r="L125" s="39">
        <v>353.11513</v>
      </c>
      <c r="M125" s="39">
        <v>8763.2238</v>
      </c>
      <c r="N125" s="41">
        <v>0.0</v>
      </c>
      <c r="O125" s="41">
        <v>0.1202</v>
      </c>
      <c r="P125" s="41">
        <v>0.1202</v>
      </c>
    </row>
    <row r="126" ht="15.75" customHeight="1">
      <c r="A126" s="42" t="s">
        <v>257</v>
      </c>
      <c r="B126" s="50" t="s">
        <v>133</v>
      </c>
      <c r="C126" s="42">
        <v>69.0</v>
      </c>
      <c r="D126" s="43">
        <v>18259.24374614</v>
      </c>
      <c r="E126" s="43">
        <v>1088.768</v>
      </c>
      <c r="F126" s="43">
        <v>3994.0901</v>
      </c>
      <c r="G126" s="43">
        <v>1133.1017483</v>
      </c>
      <c r="H126" s="43">
        <v>1279.283911</v>
      </c>
      <c r="I126" s="43">
        <v>1105.86152208</v>
      </c>
      <c r="J126" s="43">
        <v>26860.34902752</v>
      </c>
      <c r="K126" s="43">
        <v>26007.9281</v>
      </c>
      <c r="L126" s="43">
        <v>852.420927519997</v>
      </c>
      <c r="M126" s="43">
        <v>18101.7349</v>
      </c>
      <c r="N126" s="44">
        <v>0.0422</v>
      </c>
      <c r="O126" s="44">
        <v>0.0476</v>
      </c>
      <c r="P126" s="44">
        <v>0.0898</v>
      </c>
    </row>
    <row r="127" ht="15.75" customHeight="1">
      <c r="A127" s="38" t="s">
        <v>258</v>
      </c>
      <c r="B127" s="47" t="s">
        <v>22</v>
      </c>
      <c r="C127" s="38">
        <v>38.0</v>
      </c>
      <c r="D127" s="39">
        <v>9276.87118</v>
      </c>
      <c r="E127" s="39">
        <v>0.0</v>
      </c>
      <c r="F127" s="39">
        <v>5544.1252</v>
      </c>
      <c r="G127" s="39">
        <v>764.74112</v>
      </c>
      <c r="H127" s="39">
        <v>0.0</v>
      </c>
      <c r="I127" s="39">
        <v>262.699</v>
      </c>
      <c r="J127" s="39">
        <v>15848.4365</v>
      </c>
      <c r="K127" s="39">
        <v>14479.3886</v>
      </c>
      <c r="L127" s="39">
        <v>1369.0479</v>
      </c>
      <c r="M127" s="39">
        <v>9716.382</v>
      </c>
      <c r="N127" s="41">
        <v>0.0483</v>
      </c>
      <c r="O127" s="41">
        <v>0.0</v>
      </c>
      <c r="P127" s="41">
        <v>0.0483</v>
      </c>
    </row>
    <row r="128" ht="15.75" customHeight="1">
      <c r="A128" s="42" t="s">
        <v>258</v>
      </c>
      <c r="B128" s="48" t="s">
        <v>61</v>
      </c>
      <c r="C128" s="42">
        <v>42.0</v>
      </c>
      <c r="D128" s="43">
        <v>10645.89553</v>
      </c>
      <c r="E128" s="43">
        <v>0.0</v>
      </c>
      <c r="F128" s="43">
        <v>2442.39138</v>
      </c>
      <c r="G128" s="43">
        <v>0.0</v>
      </c>
      <c r="H128" s="43">
        <v>125.759</v>
      </c>
      <c r="I128" s="43">
        <v>235.666</v>
      </c>
      <c r="J128" s="43">
        <v>13449.71191</v>
      </c>
      <c r="K128" s="43">
        <v>12523.4631</v>
      </c>
      <c r="L128" s="43">
        <v>926.248809999999</v>
      </c>
      <c r="M128" s="43">
        <v>14095.205</v>
      </c>
      <c r="N128" s="44">
        <v>0.0</v>
      </c>
      <c r="O128" s="44">
        <v>0.0094</v>
      </c>
      <c r="P128" s="44">
        <v>0.0094</v>
      </c>
    </row>
    <row r="129" ht="15.75" customHeight="1">
      <c r="A129" s="38" t="s">
        <v>258</v>
      </c>
      <c r="B129" s="49" t="s">
        <v>99</v>
      </c>
      <c r="C129" s="38">
        <v>38.0</v>
      </c>
      <c r="D129" s="39">
        <v>6335.01983</v>
      </c>
      <c r="E129" s="39">
        <v>3961.60945</v>
      </c>
      <c r="F129" s="39">
        <v>848.50906</v>
      </c>
      <c r="G129" s="39">
        <v>0.0</v>
      </c>
      <c r="H129" s="39">
        <v>1430.1519</v>
      </c>
      <c r="I129" s="39">
        <v>39.25</v>
      </c>
      <c r="J129" s="39">
        <v>12614.54024</v>
      </c>
      <c r="K129" s="39">
        <v>12080.9876</v>
      </c>
      <c r="L129" s="39">
        <v>533.55264</v>
      </c>
      <c r="M129" s="39">
        <v>9170.3361</v>
      </c>
      <c r="N129" s="41">
        <v>0.0</v>
      </c>
      <c r="O129" s="41">
        <v>0.1134</v>
      </c>
      <c r="P129" s="41">
        <v>0.1134</v>
      </c>
    </row>
    <row r="130" ht="15.75" customHeight="1">
      <c r="A130" s="42" t="s">
        <v>258</v>
      </c>
      <c r="B130" s="50" t="s">
        <v>133</v>
      </c>
      <c r="C130" s="42">
        <v>69.0</v>
      </c>
      <c r="D130" s="43">
        <v>19917.63127064</v>
      </c>
      <c r="E130" s="43">
        <v>631.203</v>
      </c>
      <c r="F130" s="43">
        <v>4026.77827</v>
      </c>
      <c r="G130" s="43">
        <v>982.9753506</v>
      </c>
      <c r="H130" s="43">
        <v>1485.420083</v>
      </c>
      <c r="I130" s="43">
        <v>1033.80341344</v>
      </c>
      <c r="J130" s="43">
        <v>28077.81138768</v>
      </c>
      <c r="K130" s="43">
        <v>25257.301</v>
      </c>
      <c r="L130" s="43">
        <v>2820.51038768</v>
      </c>
      <c r="M130" s="43">
        <v>21087.7043</v>
      </c>
      <c r="N130" s="44">
        <v>0.035</v>
      </c>
      <c r="O130" s="44">
        <v>0.0529</v>
      </c>
      <c r="P130" s="44">
        <v>0.0879</v>
      </c>
    </row>
    <row r="131" ht="15.75" customHeight="1">
      <c r="A131" s="38" t="s">
        <v>264</v>
      </c>
      <c r="B131" s="47" t="s">
        <v>22</v>
      </c>
      <c r="C131" s="38">
        <v>38.0</v>
      </c>
      <c r="D131" s="39">
        <v>9739.347395</v>
      </c>
      <c r="E131" s="39">
        <v>0.0</v>
      </c>
      <c r="F131" s="39">
        <v>5908.4276</v>
      </c>
      <c r="G131" s="39">
        <v>862.10803</v>
      </c>
      <c r="H131" s="39">
        <v>0.0</v>
      </c>
      <c r="I131" s="39">
        <v>285.7444</v>
      </c>
      <c r="J131" s="39">
        <v>16795.627425</v>
      </c>
      <c r="K131" s="39">
        <v>15545.7574</v>
      </c>
      <c r="L131" s="39">
        <v>1249.870025</v>
      </c>
      <c r="M131" s="39">
        <v>10938.333</v>
      </c>
      <c r="N131" s="41">
        <v>0.0513</v>
      </c>
      <c r="O131" s="41">
        <v>0.0</v>
      </c>
      <c r="P131" s="41">
        <v>0.0513</v>
      </c>
    </row>
    <row r="132" ht="15.75" customHeight="1">
      <c r="A132" s="42" t="s">
        <v>264</v>
      </c>
      <c r="B132" s="48" t="s">
        <v>61</v>
      </c>
      <c r="C132" s="42">
        <v>42.0</v>
      </c>
      <c r="D132" s="43">
        <v>11873.18645</v>
      </c>
      <c r="E132" s="43">
        <v>0.0</v>
      </c>
      <c r="F132" s="43">
        <v>2159.79301</v>
      </c>
      <c r="G132" s="43">
        <v>0.0</v>
      </c>
      <c r="H132" s="43">
        <v>25.964</v>
      </c>
      <c r="I132" s="43">
        <v>135.717</v>
      </c>
      <c r="J132" s="43">
        <v>14194.66046</v>
      </c>
      <c r="K132" s="43">
        <v>14955.2508</v>
      </c>
      <c r="L132" s="43">
        <v>-760.590339999999</v>
      </c>
      <c r="M132" s="43">
        <v>13282.622</v>
      </c>
      <c r="N132" s="44">
        <v>0.0</v>
      </c>
      <c r="O132" s="44">
        <v>0.0018</v>
      </c>
      <c r="P132" s="44">
        <v>0.0018</v>
      </c>
    </row>
    <row r="133" ht="15.75" customHeight="1">
      <c r="A133" s="38" t="s">
        <v>264</v>
      </c>
      <c r="B133" s="49" t="s">
        <v>99</v>
      </c>
      <c r="C133" s="38">
        <v>38.0</v>
      </c>
      <c r="D133" s="39">
        <v>6768.59754</v>
      </c>
      <c r="E133" s="39">
        <v>4396.89492</v>
      </c>
      <c r="F133" s="39">
        <v>773.85716</v>
      </c>
      <c r="G133" s="39">
        <v>0.0</v>
      </c>
      <c r="H133" s="39">
        <v>1569.97186</v>
      </c>
      <c r="I133" s="39">
        <v>36.58</v>
      </c>
      <c r="J133" s="39">
        <v>13545.90148</v>
      </c>
      <c r="K133" s="39">
        <v>13570.3604</v>
      </c>
      <c r="L133" s="39">
        <v>-24.4589200000009</v>
      </c>
      <c r="M133" s="39">
        <v>9056.1743</v>
      </c>
      <c r="N133" s="41">
        <v>0.0</v>
      </c>
      <c r="O133" s="41">
        <v>0.1159</v>
      </c>
      <c r="P133" s="41">
        <v>0.1159</v>
      </c>
    </row>
    <row r="134" ht="15.75" customHeight="1">
      <c r="A134" s="42" t="s">
        <v>264</v>
      </c>
      <c r="B134" s="50" t="s">
        <v>133</v>
      </c>
      <c r="C134" s="42">
        <v>69.0</v>
      </c>
      <c r="D134" s="43">
        <v>19634.51126736</v>
      </c>
      <c r="E134" s="43">
        <v>729.355</v>
      </c>
      <c r="F134" s="43">
        <v>4197.1947</v>
      </c>
      <c r="G134" s="43">
        <v>853.791536</v>
      </c>
      <c r="H134" s="43">
        <v>1833.279</v>
      </c>
      <c r="I134" s="43">
        <v>1131.61629432</v>
      </c>
      <c r="J134" s="43">
        <v>28379.74779768</v>
      </c>
      <c r="K134" s="43">
        <v>28941.2951</v>
      </c>
      <c r="L134" s="43">
        <v>-561.547302319999</v>
      </c>
      <c r="M134" s="43">
        <v>20363.8982</v>
      </c>
      <c r="N134" s="44">
        <v>0.0301</v>
      </c>
      <c r="O134" s="44">
        <v>0.0646</v>
      </c>
      <c r="P134" s="44">
        <v>0.0947</v>
      </c>
    </row>
    <row r="135" ht="15.75" customHeight="1">
      <c r="A135" s="38" t="s">
        <v>265</v>
      </c>
      <c r="B135" s="47" t="s">
        <v>22</v>
      </c>
      <c r="C135" s="38">
        <v>38.0</v>
      </c>
      <c r="D135" s="39">
        <v>9407.6879</v>
      </c>
      <c r="E135" s="39">
        <v>0.0</v>
      </c>
      <c r="F135" s="39">
        <v>5126.837</v>
      </c>
      <c r="G135" s="39">
        <v>778.104</v>
      </c>
      <c r="H135" s="39">
        <v>0.0</v>
      </c>
      <c r="I135" s="39">
        <v>297.31</v>
      </c>
      <c r="J135" s="39">
        <v>15609.9389</v>
      </c>
      <c r="K135" s="39">
        <v>15120.8967</v>
      </c>
      <c r="L135" s="39">
        <v>489.042199999998</v>
      </c>
      <c r="M135" s="39">
        <v>11370.886</v>
      </c>
      <c r="N135" s="41">
        <v>0.0498</v>
      </c>
      <c r="O135" s="41">
        <v>0.0</v>
      </c>
      <c r="P135" s="41">
        <v>0.0498</v>
      </c>
    </row>
    <row r="136" ht="15.75" customHeight="1">
      <c r="A136" s="42" t="s">
        <v>265</v>
      </c>
      <c r="B136" s="48" t="s">
        <v>61</v>
      </c>
      <c r="C136" s="42">
        <v>42.0</v>
      </c>
      <c r="D136" s="43">
        <v>12878.75297</v>
      </c>
      <c r="E136" s="43">
        <v>0.0</v>
      </c>
      <c r="F136" s="43">
        <v>2993.34309</v>
      </c>
      <c r="G136" s="43">
        <v>4.001</v>
      </c>
      <c r="H136" s="43">
        <v>37.239</v>
      </c>
      <c r="I136" s="43">
        <v>71.934</v>
      </c>
      <c r="J136" s="43">
        <v>15985.27006</v>
      </c>
      <c r="K136" s="43">
        <v>15236.7156</v>
      </c>
      <c r="L136" s="43">
        <v>748.554460000001</v>
      </c>
      <c r="M136" s="43">
        <v>14035.896</v>
      </c>
      <c r="N136" s="44">
        <v>3.0E-4</v>
      </c>
      <c r="O136" s="44">
        <v>0.0023</v>
      </c>
      <c r="P136" s="44">
        <v>0.0026</v>
      </c>
    </row>
    <row r="137" ht="15.75" customHeight="1">
      <c r="A137" s="38" t="s">
        <v>265</v>
      </c>
      <c r="B137" s="49" t="s">
        <v>99</v>
      </c>
      <c r="C137" s="38">
        <v>39.0</v>
      </c>
      <c r="D137" s="39">
        <v>7882.03365</v>
      </c>
      <c r="E137" s="39">
        <v>3925.75381</v>
      </c>
      <c r="F137" s="39">
        <v>1099.08058</v>
      </c>
      <c r="G137" s="39">
        <v>26.5048</v>
      </c>
      <c r="H137" s="39">
        <v>1738.83614</v>
      </c>
      <c r="I137" s="39">
        <v>0.0</v>
      </c>
      <c r="J137" s="39">
        <v>14672.20898</v>
      </c>
      <c r="K137" s="39">
        <v>14364.0783</v>
      </c>
      <c r="L137" s="39">
        <v>308.130679999998</v>
      </c>
      <c r="M137" s="39">
        <v>9452.0304</v>
      </c>
      <c r="N137" s="41">
        <v>0.0018</v>
      </c>
      <c r="O137" s="41">
        <v>0.1185</v>
      </c>
      <c r="P137" s="41">
        <v>0.1203</v>
      </c>
    </row>
    <row r="138" ht="15.75" customHeight="1">
      <c r="A138" s="42" t="s">
        <v>265</v>
      </c>
      <c r="B138" s="50" t="s">
        <v>133</v>
      </c>
      <c r="C138" s="42">
        <v>69.0</v>
      </c>
      <c r="D138" s="43">
        <v>20678.1556722</v>
      </c>
      <c r="E138" s="43">
        <v>868.548</v>
      </c>
      <c r="F138" s="43">
        <v>4392.7956</v>
      </c>
      <c r="G138" s="43">
        <v>975.8851485</v>
      </c>
      <c r="H138" s="43">
        <v>1854.966</v>
      </c>
      <c r="I138" s="43">
        <v>1158.11539408</v>
      </c>
      <c r="J138" s="43">
        <v>29928.46581478</v>
      </c>
      <c r="K138" s="43">
        <v>29227.5813</v>
      </c>
      <c r="L138" s="43">
        <v>700.884514779998</v>
      </c>
      <c r="M138" s="43">
        <v>21129.0985</v>
      </c>
      <c r="N138" s="44">
        <v>0.0326</v>
      </c>
      <c r="O138" s="44">
        <v>0.062</v>
      </c>
      <c r="P138" s="44">
        <v>0.0946</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P1"/>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75623"/>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4.43" defaultRowHeight="15.0"/>
  <cols>
    <col customWidth="1" min="1" max="1" width="34.0"/>
    <col customWidth="1" min="2" max="2" width="10.0"/>
    <col customWidth="1" min="3" max="3" width="15.71"/>
    <col customWidth="1" min="4" max="4" width="12.86"/>
    <col customWidth="1" min="5" max="5" width="9.0"/>
    <col customWidth="1" min="6" max="6" width="7.0"/>
    <col customWidth="1" min="7" max="7" width="11.0"/>
    <col customWidth="1" min="8" max="9" width="10.0"/>
    <col customWidth="1" min="10" max="10" width="11.0"/>
    <col customWidth="1" min="11" max="11" width="10.0"/>
    <col customWidth="1" min="12" max="12" width="9.0"/>
    <col customWidth="1" min="13" max="14" width="12.0"/>
    <col customWidth="1" min="15" max="16" width="11.0"/>
    <col customWidth="1" min="17" max="17" width="8.0"/>
    <col customWidth="1" min="18" max="18" width="10.0"/>
    <col customWidth="1" min="19" max="19" width="11.0"/>
    <col customWidth="1" min="20" max="28" width="8.71"/>
  </cols>
  <sheetData>
    <row r="1" ht="24.0" customHeight="1">
      <c r="A1" s="1" t="s">
        <v>316</v>
      </c>
      <c r="B1" s="2"/>
      <c r="C1" s="2"/>
      <c r="D1" s="2"/>
      <c r="E1" s="2"/>
      <c r="F1" s="2"/>
      <c r="G1" s="2"/>
      <c r="H1" s="2"/>
      <c r="I1" s="2"/>
      <c r="J1" s="2"/>
      <c r="K1" s="2"/>
      <c r="L1" s="2"/>
      <c r="M1" s="2"/>
      <c r="N1" s="2"/>
      <c r="O1" s="2"/>
      <c r="P1" s="2"/>
      <c r="Q1" s="2"/>
      <c r="R1" s="2"/>
      <c r="S1" s="3"/>
    </row>
    <row r="2" ht="39.75" customHeight="1">
      <c r="A2" s="10" t="s">
        <v>8</v>
      </c>
      <c r="B2" s="10" t="s">
        <v>7</v>
      </c>
      <c r="C2" s="11" t="s">
        <v>9</v>
      </c>
      <c r="D2" s="11" t="s">
        <v>317</v>
      </c>
      <c r="E2" s="10" t="s">
        <v>10</v>
      </c>
      <c r="F2" s="10" t="s">
        <v>318</v>
      </c>
      <c r="G2" s="10" t="s">
        <v>319</v>
      </c>
      <c r="H2" s="10" t="s">
        <v>320</v>
      </c>
      <c r="I2" s="10" t="s">
        <v>321</v>
      </c>
      <c r="J2" s="10" t="s">
        <v>322</v>
      </c>
      <c r="K2" s="10" t="s">
        <v>323</v>
      </c>
      <c r="L2" s="10" t="s">
        <v>324</v>
      </c>
      <c r="M2" s="10" t="s">
        <v>325</v>
      </c>
      <c r="N2" s="10" t="s">
        <v>326</v>
      </c>
      <c r="O2" s="10" t="s">
        <v>327</v>
      </c>
      <c r="P2" s="10" t="s">
        <v>328</v>
      </c>
      <c r="Q2" s="10" t="s">
        <v>307</v>
      </c>
      <c r="R2" s="10" t="s">
        <v>309</v>
      </c>
      <c r="S2" s="10" t="s">
        <v>311</v>
      </c>
    </row>
    <row r="3" ht="15.75" customHeight="1">
      <c r="A3" s="51" t="s">
        <v>329</v>
      </c>
      <c r="B3" s="51"/>
      <c r="C3" s="51"/>
      <c r="D3" s="51"/>
      <c r="E3" s="51"/>
      <c r="F3" s="51"/>
      <c r="G3" s="51"/>
      <c r="H3" s="51"/>
      <c r="I3" s="51"/>
      <c r="J3" s="51"/>
      <c r="K3" s="51"/>
      <c r="L3" s="51"/>
      <c r="M3" s="51"/>
      <c r="N3" s="51"/>
      <c r="O3" s="51"/>
      <c r="P3" s="51"/>
      <c r="Q3" s="51"/>
      <c r="R3" s="51"/>
      <c r="S3" s="51"/>
    </row>
    <row r="4" ht="12.75" customHeight="1">
      <c r="A4" s="14" t="s">
        <v>24</v>
      </c>
      <c r="B4" s="47" t="s">
        <v>22</v>
      </c>
      <c r="C4" s="52" t="s">
        <v>291</v>
      </c>
      <c r="D4" s="52" t="s">
        <v>330</v>
      </c>
      <c r="E4" s="15">
        <v>270.0</v>
      </c>
      <c r="F4" s="38">
        <v>34.0</v>
      </c>
      <c r="G4" s="39">
        <v>43.003</v>
      </c>
      <c r="H4" s="39">
        <v>0.0</v>
      </c>
      <c r="I4" s="39">
        <v>3730.524</v>
      </c>
      <c r="J4" s="39">
        <v>0.0</v>
      </c>
      <c r="K4" s="39">
        <v>0.0</v>
      </c>
      <c r="L4" s="39">
        <v>7.626</v>
      </c>
      <c r="M4" s="39">
        <v>3781.153</v>
      </c>
      <c r="N4" s="39">
        <v>3741.253</v>
      </c>
      <c r="O4" s="39">
        <v>58.1</v>
      </c>
      <c r="P4" s="53">
        <v>12.6727272727273</v>
      </c>
      <c r="Q4" s="41">
        <v>0.0114</v>
      </c>
      <c r="R4" s="41">
        <v>0.0</v>
      </c>
      <c r="S4" s="41">
        <v>0.0</v>
      </c>
    </row>
    <row r="5" ht="12.75" customHeight="1">
      <c r="A5" s="20" t="s">
        <v>25</v>
      </c>
      <c r="B5" s="47" t="s">
        <v>22</v>
      </c>
      <c r="C5" s="52" t="s">
        <v>287</v>
      </c>
      <c r="D5" s="52" t="s">
        <v>331</v>
      </c>
      <c r="E5" s="21">
        <v>710.0</v>
      </c>
      <c r="F5" s="42">
        <v>34.0</v>
      </c>
      <c r="G5" s="43">
        <v>826.68</v>
      </c>
      <c r="H5" s="43">
        <v>0.0</v>
      </c>
      <c r="I5" s="43">
        <v>5334.19</v>
      </c>
      <c r="J5" s="43">
        <v>0.0</v>
      </c>
      <c r="K5" s="43">
        <v>0.0</v>
      </c>
      <c r="L5" s="43">
        <v>510.13</v>
      </c>
      <c r="M5" s="43">
        <v>6671.0</v>
      </c>
      <c r="N5" s="43">
        <v>6520.431</v>
      </c>
      <c r="O5" s="43">
        <v>159.84</v>
      </c>
      <c r="P5" s="54">
        <v>24.1757575757576</v>
      </c>
      <c r="Q5" s="44">
        <v>0.1239</v>
      </c>
      <c r="R5" s="44">
        <v>0.0</v>
      </c>
      <c r="S5" s="44">
        <v>0.0</v>
      </c>
    </row>
    <row r="6" ht="12.75" customHeight="1">
      <c r="A6" s="14" t="s">
        <v>26</v>
      </c>
      <c r="B6" s="47" t="s">
        <v>22</v>
      </c>
      <c r="C6" s="52" t="s">
        <v>287</v>
      </c>
      <c r="D6" s="52" t="s">
        <v>332</v>
      </c>
      <c r="E6" s="15">
        <v>2640.0</v>
      </c>
      <c r="F6" s="38">
        <v>34.0</v>
      </c>
      <c r="G6" s="39">
        <v>16095.488</v>
      </c>
      <c r="H6" s="39">
        <v>0.0</v>
      </c>
      <c r="I6" s="39">
        <v>14681.33</v>
      </c>
      <c r="J6" s="39">
        <v>282.294</v>
      </c>
      <c r="K6" s="39">
        <v>329.268</v>
      </c>
      <c r="L6" s="39">
        <v>525.46</v>
      </c>
      <c r="M6" s="39">
        <v>31913.84</v>
      </c>
      <c r="N6" s="39">
        <v>31410.7289</v>
      </c>
      <c r="O6" s="39">
        <v>845.5</v>
      </c>
      <c r="P6" s="54">
        <v>19.1151515151515</v>
      </c>
      <c r="Q6" s="41">
        <v>0.5043</v>
      </c>
      <c r="R6" s="41">
        <v>0.0088</v>
      </c>
      <c r="S6" s="41">
        <v>0.0191</v>
      </c>
    </row>
    <row r="7" ht="12.75" customHeight="1">
      <c r="A7" s="20" t="s">
        <v>27</v>
      </c>
      <c r="B7" s="47" t="s">
        <v>22</v>
      </c>
      <c r="C7" s="52" t="s">
        <v>289</v>
      </c>
      <c r="D7" s="52" t="s">
        <v>333</v>
      </c>
      <c r="E7" s="21">
        <v>500.0</v>
      </c>
      <c r="F7" s="42">
        <v>34.0</v>
      </c>
      <c r="G7" s="43">
        <v>5248.1177</v>
      </c>
      <c r="H7" s="43">
        <v>0.0</v>
      </c>
      <c r="I7" s="43">
        <v>283.85</v>
      </c>
      <c r="J7" s="43">
        <v>6.506</v>
      </c>
      <c r="K7" s="43">
        <v>6.631</v>
      </c>
      <c r="L7" s="43">
        <v>0.0</v>
      </c>
      <c r="M7" s="43">
        <v>5545.1047</v>
      </c>
      <c r="N7" s="43">
        <v>5491.491</v>
      </c>
      <c r="O7" s="43">
        <v>181.24</v>
      </c>
      <c r="P7" s="54">
        <v>35.08125</v>
      </c>
      <c r="Q7" s="44">
        <v>0.9464</v>
      </c>
      <c r="R7" s="44">
        <v>0.0012</v>
      </c>
      <c r="S7" s="44">
        <v>0.0024</v>
      </c>
    </row>
    <row r="8" ht="12.75" customHeight="1">
      <c r="A8" s="14" t="s">
        <v>28</v>
      </c>
      <c r="B8" s="47" t="s">
        <v>22</v>
      </c>
      <c r="C8" s="52" t="s">
        <v>291</v>
      </c>
      <c r="D8" s="52" t="s">
        <v>334</v>
      </c>
      <c r="E8" s="15">
        <v>750.0</v>
      </c>
      <c r="F8" s="38">
        <v>34.0</v>
      </c>
      <c r="G8" s="39">
        <v>3126.65892</v>
      </c>
      <c r="H8" s="39">
        <v>0.0</v>
      </c>
      <c r="I8" s="39">
        <v>3159.30075</v>
      </c>
      <c r="J8" s="39">
        <v>2359.97325</v>
      </c>
      <c r="K8" s="39">
        <v>0.0</v>
      </c>
      <c r="L8" s="39">
        <v>841.8804</v>
      </c>
      <c r="M8" s="39">
        <v>9487.81332</v>
      </c>
      <c r="N8" s="39">
        <v>9767.7858</v>
      </c>
      <c r="O8" s="39">
        <v>149.19</v>
      </c>
      <c r="P8" s="54">
        <v>17.2363636363636</v>
      </c>
      <c r="Q8" s="41">
        <v>0.3295</v>
      </c>
      <c r="R8" s="41">
        <v>0.2487</v>
      </c>
      <c r="S8" s="41">
        <v>0.2487</v>
      </c>
    </row>
    <row r="9" ht="12.75" customHeight="1">
      <c r="A9" s="20" t="s">
        <v>259</v>
      </c>
      <c r="B9" s="47" t="s">
        <v>22</v>
      </c>
      <c r="C9" s="52" t="s">
        <v>287</v>
      </c>
      <c r="D9" s="52" t="s">
        <v>335</v>
      </c>
      <c r="E9" s="21">
        <v>660.0</v>
      </c>
      <c r="F9" s="42">
        <v>3.0</v>
      </c>
      <c r="G9" s="43">
        <v>378.597215</v>
      </c>
      <c r="H9" s="43">
        <v>0.0</v>
      </c>
      <c r="I9" s="43">
        <v>0.0</v>
      </c>
      <c r="J9" s="43">
        <v>0.0</v>
      </c>
      <c r="K9" s="43">
        <v>0.0</v>
      </c>
      <c r="L9" s="43">
        <v>0.0</v>
      </c>
      <c r="M9" s="43">
        <v>378.597215</v>
      </c>
      <c r="N9" s="43">
        <v>326.265</v>
      </c>
      <c r="O9" s="43">
        <v>79.68</v>
      </c>
      <c r="P9" s="53">
        <v>11.7</v>
      </c>
      <c r="Q9" s="44">
        <v>1.0</v>
      </c>
      <c r="R9" s="44">
        <v>0.0</v>
      </c>
      <c r="S9" s="44">
        <v>0.0</v>
      </c>
    </row>
    <row r="10" ht="12.75" customHeight="1">
      <c r="A10" s="14" t="s">
        <v>29</v>
      </c>
      <c r="B10" s="47" t="s">
        <v>22</v>
      </c>
      <c r="C10" s="52" t="s">
        <v>289</v>
      </c>
      <c r="D10" s="52" t="s">
        <v>336</v>
      </c>
      <c r="E10" s="15">
        <v>500.0</v>
      </c>
      <c r="F10" s="38">
        <v>34.0</v>
      </c>
      <c r="G10" s="39">
        <v>4591.25</v>
      </c>
      <c r="H10" s="39">
        <v>0.0</v>
      </c>
      <c r="I10" s="39">
        <v>2146.655</v>
      </c>
      <c r="J10" s="39">
        <v>37.709</v>
      </c>
      <c r="K10" s="39">
        <v>25.718</v>
      </c>
      <c r="L10" s="39">
        <v>0.0</v>
      </c>
      <c r="M10" s="39">
        <v>6801.332</v>
      </c>
      <c r="N10" s="39">
        <v>6888.8019</v>
      </c>
      <c r="O10" s="39">
        <v>147.72</v>
      </c>
      <c r="P10" s="54">
        <v>26.6090909090909</v>
      </c>
      <c r="Q10" s="41">
        <v>0.6751</v>
      </c>
      <c r="R10" s="41">
        <v>0.0055</v>
      </c>
      <c r="S10" s="41">
        <v>0.0093</v>
      </c>
    </row>
    <row r="11" ht="12.75" customHeight="1">
      <c r="A11" s="20" t="s">
        <v>30</v>
      </c>
      <c r="B11" s="47" t="s">
        <v>22</v>
      </c>
      <c r="C11" s="52" t="s">
        <v>291</v>
      </c>
      <c r="D11" s="52" t="s">
        <v>337</v>
      </c>
      <c r="E11" s="21">
        <v>550.0</v>
      </c>
      <c r="F11" s="42">
        <v>34.0</v>
      </c>
      <c r="G11" s="43">
        <v>4032.62818</v>
      </c>
      <c r="H11" s="43">
        <v>0.0</v>
      </c>
      <c r="I11" s="43">
        <v>1930.76335</v>
      </c>
      <c r="J11" s="43">
        <v>61.611</v>
      </c>
      <c r="K11" s="43">
        <v>0.0</v>
      </c>
      <c r="L11" s="43">
        <v>347.652</v>
      </c>
      <c r="M11" s="43">
        <v>6372.65453</v>
      </c>
      <c r="N11" s="43">
        <v>6291.7951</v>
      </c>
      <c r="O11" s="43">
        <v>52.17</v>
      </c>
      <c r="P11" s="53">
        <v>12.4454545454546</v>
      </c>
      <c r="Q11" s="44">
        <v>0.6328</v>
      </c>
      <c r="R11" s="44">
        <v>0.0097</v>
      </c>
      <c r="S11" s="44">
        <v>0.0097</v>
      </c>
    </row>
    <row r="12" ht="12.75" customHeight="1">
      <c r="A12" s="14" t="s">
        <v>31</v>
      </c>
      <c r="B12" s="47" t="s">
        <v>22</v>
      </c>
      <c r="C12" s="52" t="s">
        <v>290</v>
      </c>
      <c r="D12" s="52" t="s">
        <v>338</v>
      </c>
      <c r="E12" s="15">
        <v>1600.0</v>
      </c>
      <c r="F12" s="38">
        <v>34.0</v>
      </c>
      <c r="G12" s="39">
        <v>789.03</v>
      </c>
      <c r="H12" s="39">
        <v>0.0</v>
      </c>
      <c r="I12" s="39">
        <v>23872.62</v>
      </c>
      <c r="J12" s="39">
        <v>0.0</v>
      </c>
      <c r="K12" s="39">
        <v>0.0</v>
      </c>
      <c r="L12" s="39">
        <v>0.0</v>
      </c>
      <c r="M12" s="39">
        <v>24661.65</v>
      </c>
      <c r="N12" s="39">
        <v>24557.844</v>
      </c>
      <c r="O12" s="39">
        <v>372.43</v>
      </c>
      <c r="P12" s="54">
        <v>20.6575757575758</v>
      </c>
      <c r="Q12" s="41">
        <v>0.032</v>
      </c>
      <c r="R12" s="41">
        <v>0.0</v>
      </c>
      <c r="S12" s="41">
        <v>0.0</v>
      </c>
    </row>
    <row r="13" ht="12.75" customHeight="1">
      <c r="A13" s="20" t="s">
        <v>32</v>
      </c>
      <c r="B13" s="47" t="s">
        <v>22</v>
      </c>
      <c r="C13" s="52" t="s">
        <v>290</v>
      </c>
      <c r="D13" s="52" t="s">
        <v>339</v>
      </c>
      <c r="E13" s="21">
        <v>1200.0</v>
      </c>
      <c r="F13" s="42">
        <v>34.0</v>
      </c>
      <c r="G13" s="43">
        <v>13276.8207</v>
      </c>
      <c r="H13" s="43">
        <v>0.0</v>
      </c>
      <c r="I13" s="43">
        <v>0.0</v>
      </c>
      <c r="J13" s="43">
        <v>3702.522</v>
      </c>
      <c r="K13" s="43">
        <v>0.0</v>
      </c>
      <c r="L13" s="43">
        <v>1677.3193</v>
      </c>
      <c r="M13" s="43">
        <v>18656.662</v>
      </c>
      <c r="N13" s="43">
        <v>17800.161</v>
      </c>
      <c r="O13" s="43">
        <v>1316.05</v>
      </c>
      <c r="P13" s="54">
        <v>58.8060606060606</v>
      </c>
      <c r="Q13" s="44">
        <v>0.7116</v>
      </c>
      <c r="R13" s="44">
        <v>0.1985</v>
      </c>
      <c r="S13" s="44">
        <v>0.1985</v>
      </c>
    </row>
    <row r="14" ht="12.75" customHeight="1">
      <c r="A14" s="14" t="s">
        <v>33</v>
      </c>
      <c r="B14" s="47" t="s">
        <v>22</v>
      </c>
      <c r="C14" s="52" t="s">
        <v>291</v>
      </c>
      <c r="D14" s="52" t="s">
        <v>340</v>
      </c>
      <c r="E14" s="15">
        <v>12.0</v>
      </c>
      <c r="F14" s="38">
        <v>23.0</v>
      </c>
      <c r="G14" s="39">
        <v>98.594</v>
      </c>
      <c r="H14" s="39">
        <v>0.0</v>
      </c>
      <c r="I14" s="39">
        <v>0.0</v>
      </c>
      <c r="J14" s="39">
        <v>0.0</v>
      </c>
      <c r="K14" s="39">
        <v>0.0</v>
      </c>
      <c r="L14" s="39">
        <v>0.0</v>
      </c>
      <c r="M14" s="39">
        <v>98.594</v>
      </c>
      <c r="N14" s="39">
        <v>92.306</v>
      </c>
      <c r="O14" s="39">
        <v>8.1</v>
      </c>
      <c r="P14" s="54">
        <v>36.4555555555556</v>
      </c>
      <c r="Q14" s="41">
        <v>1.0</v>
      </c>
      <c r="R14" s="41">
        <v>0.0</v>
      </c>
      <c r="S14" s="41">
        <v>0.0</v>
      </c>
    </row>
    <row r="15" ht="12.75" customHeight="1">
      <c r="A15" s="20" t="s">
        <v>34</v>
      </c>
      <c r="B15" s="47" t="s">
        <v>22</v>
      </c>
      <c r="C15" s="52" t="s">
        <v>291</v>
      </c>
      <c r="D15" s="52" t="s">
        <v>341</v>
      </c>
      <c r="E15" s="21">
        <v>1000.0</v>
      </c>
      <c r="F15" s="42">
        <v>34.0</v>
      </c>
      <c r="G15" s="43">
        <v>11791.735</v>
      </c>
      <c r="H15" s="43">
        <v>44.834</v>
      </c>
      <c r="I15" s="43">
        <v>133.276</v>
      </c>
      <c r="J15" s="43">
        <v>133.328</v>
      </c>
      <c r="K15" s="43">
        <v>30.247</v>
      </c>
      <c r="L15" s="43">
        <v>38.604</v>
      </c>
      <c r="M15" s="43">
        <v>12172.024</v>
      </c>
      <c r="N15" s="43">
        <v>11997.777</v>
      </c>
      <c r="O15" s="43">
        <v>237.33</v>
      </c>
      <c r="P15" s="54">
        <v>21.0181818181818</v>
      </c>
      <c r="Q15" s="44">
        <v>0.9688</v>
      </c>
      <c r="R15" s="44">
        <v>0.011</v>
      </c>
      <c r="S15" s="44">
        <v>0.0135</v>
      </c>
    </row>
    <row r="16" ht="12.75" customHeight="1">
      <c r="A16" s="14" t="s">
        <v>35</v>
      </c>
      <c r="B16" s="47" t="s">
        <v>22</v>
      </c>
      <c r="C16" s="52" t="s">
        <v>291</v>
      </c>
      <c r="D16" s="52" t="s">
        <v>342</v>
      </c>
      <c r="E16" s="15">
        <v>2100.0</v>
      </c>
      <c r="F16" s="38">
        <v>34.0</v>
      </c>
      <c r="G16" s="39">
        <v>23113.64</v>
      </c>
      <c r="H16" s="39">
        <v>105.82</v>
      </c>
      <c r="I16" s="39">
        <v>1693.83</v>
      </c>
      <c r="J16" s="39">
        <v>446.11674</v>
      </c>
      <c r="K16" s="39">
        <v>150.836</v>
      </c>
      <c r="L16" s="39">
        <v>0.0</v>
      </c>
      <c r="M16" s="39">
        <v>25510.24274</v>
      </c>
      <c r="N16" s="39">
        <v>25301.773</v>
      </c>
      <c r="O16" s="39">
        <v>435.81</v>
      </c>
      <c r="P16" s="54">
        <v>18.2818181818182</v>
      </c>
      <c r="Q16" s="41">
        <v>0.9061</v>
      </c>
      <c r="R16" s="41">
        <v>0.0175</v>
      </c>
      <c r="S16" s="41">
        <v>0.0234</v>
      </c>
    </row>
    <row r="17" ht="12.75" customHeight="1">
      <c r="A17" s="20" t="s">
        <v>36</v>
      </c>
      <c r="B17" s="47" t="s">
        <v>22</v>
      </c>
      <c r="C17" s="52" t="s">
        <v>291</v>
      </c>
      <c r="D17" s="52" t="s">
        <v>343</v>
      </c>
      <c r="E17" s="21">
        <v>600.0</v>
      </c>
      <c r="F17" s="42">
        <v>34.0</v>
      </c>
      <c r="G17" s="43">
        <v>8724.12</v>
      </c>
      <c r="H17" s="43">
        <v>0.0</v>
      </c>
      <c r="I17" s="43">
        <v>0.0</v>
      </c>
      <c r="J17" s="43">
        <v>7.547</v>
      </c>
      <c r="K17" s="43">
        <v>0.0</v>
      </c>
      <c r="L17" s="43">
        <v>197.998</v>
      </c>
      <c r="M17" s="43">
        <v>8929.665</v>
      </c>
      <c r="N17" s="43">
        <v>8936.659</v>
      </c>
      <c r="O17" s="43">
        <v>132.34</v>
      </c>
      <c r="P17" s="54">
        <v>17.9545454545455</v>
      </c>
      <c r="Q17" s="44">
        <v>0.977</v>
      </c>
      <c r="R17" s="44">
        <v>8.0E-4</v>
      </c>
      <c r="S17" s="44">
        <v>8.0E-4</v>
      </c>
    </row>
    <row r="18" ht="12.75" customHeight="1">
      <c r="A18" s="14" t="s">
        <v>37</v>
      </c>
      <c r="B18" s="47" t="s">
        <v>22</v>
      </c>
      <c r="C18" s="52" t="s">
        <v>291</v>
      </c>
      <c r="D18" s="52" t="s">
        <v>344</v>
      </c>
      <c r="E18" s="15">
        <v>300.0</v>
      </c>
      <c r="F18" s="38">
        <v>34.0</v>
      </c>
      <c r="G18" s="39">
        <v>4573.875</v>
      </c>
      <c r="H18" s="39">
        <v>0.0</v>
      </c>
      <c r="I18" s="39">
        <v>0.0</v>
      </c>
      <c r="J18" s="39">
        <v>0.0</v>
      </c>
      <c r="K18" s="39">
        <v>0.0</v>
      </c>
      <c r="L18" s="39">
        <v>0.0</v>
      </c>
      <c r="M18" s="39">
        <v>4573.875</v>
      </c>
      <c r="N18" s="39">
        <v>4351.215</v>
      </c>
      <c r="O18" s="39">
        <v>214.26</v>
      </c>
      <c r="P18" s="54">
        <v>18.2181818181818</v>
      </c>
      <c r="Q18" s="41">
        <v>1.0</v>
      </c>
      <c r="R18" s="41">
        <v>0.0</v>
      </c>
      <c r="S18" s="41">
        <v>0.0</v>
      </c>
    </row>
    <row r="19" ht="12.75" customHeight="1">
      <c r="A19" s="20" t="s">
        <v>38</v>
      </c>
      <c r="B19" s="47" t="s">
        <v>22</v>
      </c>
      <c r="C19" s="52" t="s">
        <v>345</v>
      </c>
      <c r="D19" s="52" t="s">
        <v>346</v>
      </c>
      <c r="E19" s="21">
        <v>1740.0</v>
      </c>
      <c r="F19" s="42">
        <v>34.0</v>
      </c>
      <c r="G19" s="43">
        <v>5123.99</v>
      </c>
      <c r="H19" s="43">
        <v>0.0</v>
      </c>
      <c r="I19" s="43">
        <v>20090.0116</v>
      </c>
      <c r="J19" s="43">
        <v>0.0</v>
      </c>
      <c r="K19" s="43">
        <v>0.0</v>
      </c>
      <c r="L19" s="43">
        <v>0.0</v>
      </c>
      <c r="M19" s="43">
        <v>25214.0016</v>
      </c>
      <c r="N19" s="43">
        <v>25147.55</v>
      </c>
      <c r="O19" s="43">
        <v>372.32</v>
      </c>
      <c r="P19" s="53">
        <v>13.730303030303</v>
      </c>
      <c r="Q19" s="44">
        <v>0.2032</v>
      </c>
      <c r="R19" s="44">
        <v>0.0</v>
      </c>
      <c r="S19" s="44">
        <v>0.0</v>
      </c>
    </row>
    <row r="20" ht="12.75" customHeight="1">
      <c r="A20" s="14" t="s">
        <v>39</v>
      </c>
      <c r="B20" s="47" t="s">
        <v>22</v>
      </c>
      <c r="C20" s="52" t="s">
        <v>289</v>
      </c>
      <c r="D20" s="52" t="s">
        <v>347</v>
      </c>
      <c r="E20" s="15">
        <v>240.0</v>
      </c>
      <c r="F20" s="38">
        <v>34.0</v>
      </c>
      <c r="G20" s="39">
        <v>2560.13631</v>
      </c>
      <c r="H20" s="39">
        <v>0.0</v>
      </c>
      <c r="I20" s="39">
        <v>0.0</v>
      </c>
      <c r="J20" s="39">
        <v>31.255</v>
      </c>
      <c r="K20" s="39">
        <v>94.51146</v>
      </c>
      <c r="L20" s="39">
        <v>449.9635</v>
      </c>
      <c r="M20" s="39">
        <v>3135.86627</v>
      </c>
      <c r="N20" s="39">
        <v>3136.1946</v>
      </c>
      <c r="O20" s="39">
        <v>97.03</v>
      </c>
      <c r="P20" s="54">
        <v>39.9606060606061</v>
      </c>
      <c r="Q20" s="41">
        <v>0.8164</v>
      </c>
      <c r="R20" s="41">
        <v>0.01</v>
      </c>
      <c r="S20" s="41">
        <v>0.0401</v>
      </c>
    </row>
    <row r="21" ht="12.75" customHeight="1">
      <c r="A21" s="20" t="s">
        <v>245</v>
      </c>
      <c r="B21" s="47" t="s">
        <v>22</v>
      </c>
      <c r="C21" s="52" t="s">
        <v>290</v>
      </c>
      <c r="D21" s="52" t="s">
        <v>348</v>
      </c>
      <c r="E21" s="21">
        <v>350.0</v>
      </c>
      <c r="F21" s="42">
        <v>12.0</v>
      </c>
      <c r="G21" s="43">
        <v>319.42</v>
      </c>
      <c r="H21" s="43">
        <v>0.0</v>
      </c>
      <c r="I21" s="43">
        <v>0.0</v>
      </c>
      <c r="J21" s="43">
        <v>1817.11</v>
      </c>
      <c r="K21" s="43">
        <v>0.0</v>
      </c>
      <c r="L21" s="43">
        <v>892.987</v>
      </c>
      <c r="M21" s="43">
        <v>3029.517</v>
      </c>
      <c r="N21" s="43">
        <v>3149.384</v>
      </c>
      <c r="O21" s="43">
        <v>121.18</v>
      </c>
      <c r="P21" s="54">
        <v>19.1545454545455</v>
      </c>
      <c r="Q21" s="44">
        <v>0.1054</v>
      </c>
      <c r="R21" s="44">
        <v>0.5998</v>
      </c>
      <c r="S21" s="44">
        <v>0.5998</v>
      </c>
    </row>
    <row r="22" ht="12.75" customHeight="1">
      <c r="A22" s="14" t="s">
        <v>40</v>
      </c>
      <c r="B22" s="47" t="s">
        <v>22</v>
      </c>
      <c r="C22" s="52" t="s">
        <v>287</v>
      </c>
      <c r="D22" s="52" t="s">
        <v>349</v>
      </c>
      <c r="E22" s="15">
        <v>2340.0</v>
      </c>
      <c r="F22" s="38">
        <v>34.0</v>
      </c>
      <c r="G22" s="39">
        <v>35973.26</v>
      </c>
      <c r="H22" s="39">
        <v>0.0</v>
      </c>
      <c r="I22" s="39">
        <v>746.75</v>
      </c>
      <c r="J22" s="39">
        <v>294.381</v>
      </c>
      <c r="K22" s="39">
        <v>255.115</v>
      </c>
      <c r="L22" s="39">
        <v>0.0</v>
      </c>
      <c r="M22" s="39">
        <v>37269.506</v>
      </c>
      <c r="N22" s="39">
        <v>37239.13</v>
      </c>
      <c r="O22" s="39">
        <v>521.25</v>
      </c>
      <c r="P22" s="54">
        <v>14.4333333333333</v>
      </c>
      <c r="Q22" s="41">
        <v>0.9652</v>
      </c>
      <c r="R22" s="41">
        <v>0.0079</v>
      </c>
      <c r="S22" s="41">
        <v>0.0147</v>
      </c>
    </row>
    <row r="23" ht="12.75" customHeight="1">
      <c r="A23" s="20" t="s">
        <v>41</v>
      </c>
      <c r="B23" s="47" t="s">
        <v>22</v>
      </c>
      <c r="C23" s="52" t="s">
        <v>345</v>
      </c>
      <c r="D23" s="52" t="s">
        <v>350</v>
      </c>
      <c r="E23" s="21">
        <v>1050.0</v>
      </c>
      <c r="F23" s="42">
        <v>34.0</v>
      </c>
      <c r="G23" s="43">
        <v>12424.89036</v>
      </c>
      <c r="H23" s="43">
        <v>0.0</v>
      </c>
      <c r="I23" s="43">
        <v>0.0</v>
      </c>
      <c r="J23" s="43">
        <v>3530.46642</v>
      </c>
      <c r="K23" s="43">
        <v>24.805</v>
      </c>
      <c r="L23" s="43">
        <v>804.439</v>
      </c>
      <c r="M23" s="43">
        <v>16784.60078</v>
      </c>
      <c r="N23" s="43">
        <v>16587.135</v>
      </c>
      <c r="O23" s="43">
        <v>241.886</v>
      </c>
      <c r="P23" s="53">
        <v>12.6939393939394</v>
      </c>
      <c r="Q23" s="44">
        <v>0.7403</v>
      </c>
      <c r="R23" s="44">
        <v>0.2103</v>
      </c>
      <c r="S23" s="44">
        <v>0.2118</v>
      </c>
    </row>
    <row r="24" ht="12.75" customHeight="1">
      <c r="A24" s="14" t="s">
        <v>42</v>
      </c>
      <c r="B24" s="47" t="s">
        <v>22</v>
      </c>
      <c r="C24" s="52" t="s">
        <v>289</v>
      </c>
      <c r="D24" s="52" t="s">
        <v>351</v>
      </c>
      <c r="E24" s="15">
        <v>1000.0</v>
      </c>
      <c r="F24" s="38">
        <v>34.0</v>
      </c>
      <c r="G24" s="39">
        <v>10752.546</v>
      </c>
      <c r="H24" s="39">
        <v>16.3015</v>
      </c>
      <c r="I24" s="39">
        <v>2250.36</v>
      </c>
      <c r="J24" s="39">
        <v>145.364</v>
      </c>
      <c r="K24" s="39">
        <v>34.335</v>
      </c>
      <c r="L24" s="39">
        <v>6.376</v>
      </c>
      <c r="M24" s="39">
        <v>13205.2825</v>
      </c>
      <c r="N24" s="39">
        <v>13071.4279</v>
      </c>
      <c r="O24" s="39">
        <v>367.15</v>
      </c>
      <c r="P24" s="54">
        <v>22.1878787878788</v>
      </c>
      <c r="Q24" s="41">
        <v>0.8143</v>
      </c>
      <c r="R24" s="41">
        <v>0.011</v>
      </c>
      <c r="S24" s="41">
        <v>0.0136</v>
      </c>
    </row>
    <row r="25" ht="12.75" customHeight="1">
      <c r="A25" s="20" t="s">
        <v>43</v>
      </c>
      <c r="B25" s="47" t="s">
        <v>22</v>
      </c>
      <c r="C25" s="52" t="s">
        <v>291</v>
      </c>
      <c r="D25" s="52" t="s">
        <v>352</v>
      </c>
      <c r="E25" s="21">
        <v>840.0</v>
      </c>
      <c r="F25" s="42">
        <v>34.0</v>
      </c>
      <c r="G25" s="43">
        <v>1060.342</v>
      </c>
      <c r="H25" s="43">
        <v>0.0</v>
      </c>
      <c r="I25" s="43">
        <v>10429.417</v>
      </c>
      <c r="J25" s="43">
        <v>4.089</v>
      </c>
      <c r="K25" s="43">
        <v>0.0</v>
      </c>
      <c r="L25" s="43">
        <v>0.0</v>
      </c>
      <c r="M25" s="43">
        <v>11493.848</v>
      </c>
      <c r="N25" s="43">
        <v>11410.8838</v>
      </c>
      <c r="O25" s="43">
        <v>199.29</v>
      </c>
      <c r="P25" s="53">
        <v>7.07272727272727</v>
      </c>
      <c r="Q25" s="44">
        <v>0.0923</v>
      </c>
      <c r="R25" s="44">
        <v>4.0E-4</v>
      </c>
      <c r="S25" s="44">
        <v>4.0E-4</v>
      </c>
    </row>
    <row r="26" ht="12.75" customHeight="1">
      <c r="A26" s="14" t="s">
        <v>44</v>
      </c>
      <c r="B26" s="47" t="s">
        <v>22</v>
      </c>
      <c r="C26" s="52" t="s">
        <v>289</v>
      </c>
      <c r="D26" s="52" t="s">
        <v>353</v>
      </c>
      <c r="E26" s="15">
        <v>540.0</v>
      </c>
      <c r="F26" s="38">
        <v>34.0</v>
      </c>
      <c r="G26" s="39">
        <v>5506.862</v>
      </c>
      <c r="H26" s="39">
        <v>0.0</v>
      </c>
      <c r="I26" s="39">
        <v>0.0</v>
      </c>
      <c r="J26" s="39">
        <v>0.0</v>
      </c>
      <c r="K26" s="39">
        <v>526.086</v>
      </c>
      <c r="L26" s="39">
        <v>1627.752</v>
      </c>
      <c r="M26" s="39">
        <v>7660.7</v>
      </c>
      <c r="N26" s="39">
        <v>7647.524</v>
      </c>
      <c r="O26" s="39">
        <v>81.65</v>
      </c>
      <c r="P26" s="53">
        <v>8.34545454545454</v>
      </c>
      <c r="Q26" s="41">
        <v>0.7188</v>
      </c>
      <c r="R26" s="41">
        <v>0.0</v>
      </c>
      <c r="S26" s="41">
        <v>0.0687</v>
      </c>
    </row>
    <row r="27" ht="12.75" customHeight="1">
      <c r="A27" s="20" t="s">
        <v>45</v>
      </c>
      <c r="B27" s="47" t="s">
        <v>22</v>
      </c>
      <c r="C27" s="52" t="s">
        <v>289</v>
      </c>
      <c r="D27" s="52" t="s">
        <v>354</v>
      </c>
      <c r="E27" s="21">
        <v>1050.0</v>
      </c>
      <c r="F27" s="42">
        <v>34.0</v>
      </c>
      <c r="G27" s="43">
        <v>12354.73724</v>
      </c>
      <c r="H27" s="43">
        <v>0.0</v>
      </c>
      <c r="I27" s="43">
        <v>0.0</v>
      </c>
      <c r="J27" s="43">
        <v>48.699</v>
      </c>
      <c r="K27" s="43">
        <v>0.0</v>
      </c>
      <c r="L27" s="43">
        <v>38.916</v>
      </c>
      <c r="M27" s="43">
        <v>12442.35224</v>
      </c>
      <c r="N27" s="43">
        <v>12503.138</v>
      </c>
      <c r="O27" s="43">
        <v>275.45</v>
      </c>
      <c r="P27" s="54">
        <v>35.3818181818182</v>
      </c>
      <c r="Q27" s="44">
        <v>0.993</v>
      </c>
      <c r="R27" s="44">
        <v>0.0039</v>
      </c>
      <c r="S27" s="44">
        <v>0.0039</v>
      </c>
    </row>
    <row r="28" ht="12.75" customHeight="1">
      <c r="A28" s="14" t="s">
        <v>46</v>
      </c>
      <c r="B28" s="47" t="s">
        <v>22</v>
      </c>
      <c r="C28" s="52" t="s">
        <v>291</v>
      </c>
      <c r="D28" s="52" t="s">
        <v>355</v>
      </c>
      <c r="E28" s="15">
        <v>2340.0</v>
      </c>
      <c r="F28" s="38">
        <v>34.0</v>
      </c>
      <c r="G28" s="39">
        <v>24847.577</v>
      </c>
      <c r="H28" s="39">
        <v>0.0</v>
      </c>
      <c r="I28" s="39">
        <v>3126.425</v>
      </c>
      <c r="J28" s="39">
        <v>281.867</v>
      </c>
      <c r="K28" s="39">
        <v>238.489</v>
      </c>
      <c r="L28" s="39">
        <v>1484.624</v>
      </c>
      <c r="M28" s="39">
        <v>29978.982</v>
      </c>
      <c r="N28" s="39">
        <v>29664.0028</v>
      </c>
      <c r="O28" s="39">
        <v>526.06</v>
      </c>
      <c r="P28" s="53">
        <v>12.530303030303</v>
      </c>
      <c r="Q28" s="41">
        <v>0.8288</v>
      </c>
      <c r="R28" s="41">
        <v>0.0094</v>
      </c>
      <c r="S28" s="41">
        <v>0.0174</v>
      </c>
    </row>
    <row r="29" ht="12.75" customHeight="1">
      <c r="A29" s="20" t="s">
        <v>47</v>
      </c>
      <c r="B29" s="47" t="s">
        <v>22</v>
      </c>
      <c r="C29" s="52" t="s">
        <v>287</v>
      </c>
      <c r="D29" s="52" t="s">
        <v>356</v>
      </c>
      <c r="E29" s="21">
        <v>390.0</v>
      </c>
      <c r="F29" s="42">
        <v>34.0</v>
      </c>
      <c r="G29" s="43">
        <v>609.148</v>
      </c>
      <c r="H29" s="43">
        <v>0.0</v>
      </c>
      <c r="I29" s="43">
        <v>4453.048</v>
      </c>
      <c r="J29" s="43">
        <v>310.062</v>
      </c>
      <c r="K29" s="43">
        <v>0.0</v>
      </c>
      <c r="L29" s="43">
        <v>7.764</v>
      </c>
      <c r="M29" s="43">
        <v>5380.022</v>
      </c>
      <c r="N29" s="43">
        <v>5221.522</v>
      </c>
      <c r="O29" s="43">
        <v>134.88</v>
      </c>
      <c r="P29" s="54">
        <v>25.2090909090909</v>
      </c>
      <c r="Q29" s="44">
        <v>0.1132</v>
      </c>
      <c r="R29" s="44">
        <v>0.0576</v>
      </c>
      <c r="S29" s="44">
        <v>0.0576</v>
      </c>
    </row>
    <row r="30" ht="12.75" customHeight="1">
      <c r="A30" s="14" t="s">
        <v>241</v>
      </c>
      <c r="B30" s="47" t="s">
        <v>22</v>
      </c>
      <c r="C30" s="52" t="s">
        <v>290</v>
      </c>
      <c r="D30" s="52" t="s">
        <v>357</v>
      </c>
      <c r="E30" s="15">
        <v>60.0</v>
      </c>
      <c r="F30" s="38">
        <v>13.0</v>
      </c>
      <c r="G30" s="39">
        <v>268.816</v>
      </c>
      <c r="H30" s="39">
        <v>0.0</v>
      </c>
      <c r="I30" s="39">
        <v>0.0</v>
      </c>
      <c r="J30" s="39">
        <v>31.902</v>
      </c>
      <c r="K30" s="39">
        <v>0.0</v>
      </c>
      <c r="L30" s="39">
        <v>64.406</v>
      </c>
      <c r="M30" s="39">
        <v>365.124</v>
      </c>
      <c r="N30" s="39">
        <v>361.637</v>
      </c>
      <c r="O30" s="39">
        <v>21.67</v>
      </c>
      <c r="P30" s="53">
        <v>13.725</v>
      </c>
      <c r="Q30" s="41">
        <v>0.7362</v>
      </c>
      <c r="R30" s="41">
        <v>0.0874</v>
      </c>
      <c r="S30" s="41">
        <v>0.0874</v>
      </c>
    </row>
    <row r="31" ht="12.75" customHeight="1">
      <c r="A31" s="20" t="s">
        <v>48</v>
      </c>
      <c r="B31" s="47" t="s">
        <v>22</v>
      </c>
      <c r="C31" s="52" t="s">
        <v>287</v>
      </c>
      <c r="D31" s="52" t="s">
        <v>358</v>
      </c>
      <c r="E31" s="21">
        <v>1980.0</v>
      </c>
      <c r="F31" s="42">
        <v>34.0</v>
      </c>
      <c r="G31" s="43">
        <v>20115.76516</v>
      </c>
      <c r="H31" s="43">
        <v>0.0</v>
      </c>
      <c r="I31" s="43">
        <v>4444.27922</v>
      </c>
      <c r="J31" s="43">
        <v>889.052</v>
      </c>
      <c r="K31" s="43">
        <v>310.831</v>
      </c>
      <c r="L31" s="43">
        <v>0.0</v>
      </c>
      <c r="M31" s="43">
        <v>25759.92738</v>
      </c>
      <c r="N31" s="43">
        <v>24947.001</v>
      </c>
      <c r="O31" s="43">
        <v>707.98</v>
      </c>
      <c r="P31" s="54">
        <v>22.2545454545455</v>
      </c>
      <c r="Q31" s="44">
        <v>0.7809</v>
      </c>
      <c r="R31" s="44">
        <v>0.0345</v>
      </c>
      <c r="S31" s="44">
        <v>0.0466</v>
      </c>
    </row>
    <row r="32" ht="12.75" customHeight="1">
      <c r="A32" s="14" t="s">
        <v>49</v>
      </c>
      <c r="B32" s="47" t="s">
        <v>22</v>
      </c>
      <c r="C32" s="52" t="s">
        <v>287</v>
      </c>
      <c r="D32" s="52" t="s">
        <v>359</v>
      </c>
      <c r="E32" s="15">
        <v>1000.0</v>
      </c>
      <c r="F32" s="38">
        <v>34.0</v>
      </c>
      <c r="G32" s="39">
        <v>13552.54993</v>
      </c>
      <c r="H32" s="39">
        <v>0.0</v>
      </c>
      <c r="I32" s="39">
        <v>0.0</v>
      </c>
      <c r="J32" s="39">
        <v>104.2102</v>
      </c>
      <c r="K32" s="39">
        <v>11.5443</v>
      </c>
      <c r="L32" s="39">
        <v>228.3816</v>
      </c>
      <c r="M32" s="39">
        <v>13896.68603</v>
      </c>
      <c r="N32" s="39">
        <v>13659.9278</v>
      </c>
      <c r="O32" s="39">
        <v>298.44</v>
      </c>
      <c r="P32" s="54">
        <v>15.1030303030303</v>
      </c>
      <c r="Q32" s="41">
        <v>0.9752</v>
      </c>
      <c r="R32" s="41">
        <v>0.0075</v>
      </c>
      <c r="S32" s="41">
        <v>0.0083</v>
      </c>
    </row>
    <row r="33" ht="12.75" customHeight="1">
      <c r="A33" s="20" t="s">
        <v>50</v>
      </c>
      <c r="B33" s="47" t="s">
        <v>22</v>
      </c>
      <c r="C33" s="52" t="s">
        <v>289</v>
      </c>
      <c r="D33" s="52" t="s">
        <v>360</v>
      </c>
      <c r="E33" s="21">
        <v>660.0</v>
      </c>
      <c r="F33" s="42">
        <v>34.0</v>
      </c>
      <c r="G33" s="43">
        <v>12248.17</v>
      </c>
      <c r="H33" s="43">
        <v>0.0</v>
      </c>
      <c r="I33" s="43">
        <v>5948.25</v>
      </c>
      <c r="J33" s="43">
        <v>0.0</v>
      </c>
      <c r="K33" s="43">
        <v>0.0</v>
      </c>
      <c r="L33" s="43">
        <v>340.5</v>
      </c>
      <c r="M33" s="43">
        <v>18536.92</v>
      </c>
      <c r="N33" s="43">
        <v>18318.479</v>
      </c>
      <c r="O33" s="43">
        <v>204.21</v>
      </c>
      <c r="P33" s="54">
        <v>17.0666666666667</v>
      </c>
      <c r="Q33" s="44">
        <v>0.6607</v>
      </c>
      <c r="R33" s="44">
        <v>0.0</v>
      </c>
      <c r="S33" s="44">
        <v>0.0</v>
      </c>
    </row>
    <row r="34" ht="12.75" customHeight="1">
      <c r="A34" s="14" t="s">
        <v>260</v>
      </c>
      <c r="B34" s="47" t="s">
        <v>22</v>
      </c>
      <c r="C34" s="52" t="s">
        <v>289</v>
      </c>
      <c r="D34" s="52" t="s">
        <v>361</v>
      </c>
      <c r="E34" s="15">
        <v>800.0</v>
      </c>
      <c r="F34" s="38">
        <v>3.0</v>
      </c>
      <c r="G34" s="39">
        <v>447.853</v>
      </c>
      <c r="H34" s="39">
        <v>0.0</v>
      </c>
      <c r="I34" s="39">
        <v>126.038</v>
      </c>
      <c r="J34" s="39">
        <v>0.0</v>
      </c>
      <c r="K34" s="39">
        <v>0.0</v>
      </c>
      <c r="L34" s="39">
        <v>0.0</v>
      </c>
      <c r="M34" s="39">
        <v>573.891</v>
      </c>
      <c r="N34" s="39">
        <v>713.23</v>
      </c>
      <c r="O34" s="39">
        <v>282.85</v>
      </c>
      <c r="P34" s="54">
        <v>32.6</v>
      </c>
      <c r="Q34" s="41">
        <v>0.7804</v>
      </c>
      <c r="R34" s="41">
        <v>0.0</v>
      </c>
      <c r="S34" s="41">
        <v>0.0</v>
      </c>
    </row>
    <row r="35" ht="12.75" customHeight="1">
      <c r="A35" s="20" t="s">
        <v>51</v>
      </c>
      <c r="B35" s="47" t="s">
        <v>22</v>
      </c>
      <c r="C35" s="52" t="s">
        <v>291</v>
      </c>
      <c r="D35" s="52" t="s">
        <v>362</v>
      </c>
      <c r="E35" s="21">
        <v>1200.0</v>
      </c>
      <c r="F35" s="42">
        <v>34.0</v>
      </c>
      <c r="G35" s="43">
        <v>12021.854</v>
      </c>
      <c r="H35" s="43">
        <v>0.0</v>
      </c>
      <c r="I35" s="43">
        <v>426.553</v>
      </c>
      <c r="J35" s="43">
        <v>89.334</v>
      </c>
      <c r="K35" s="43">
        <v>43.164</v>
      </c>
      <c r="L35" s="43">
        <v>237.802</v>
      </c>
      <c r="M35" s="43">
        <v>12818.707</v>
      </c>
      <c r="N35" s="43">
        <v>12664.015</v>
      </c>
      <c r="O35" s="43">
        <v>264.28</v>
      </c>
      <c r="P35" s="54">
        <v>25.5818181818182</v>
      </c>
      <c r="Q35" s="44">
        <v>0.9378</v>
      </c>
      <c r="R35" s="44">
        <v>0.007</v>
      </c>
      <c r="S35" s="44">
        <v>0.0104</v>
      </c>
    </row>
    <row r="36" ht="12.75" customHeight="1">
      <c r="A36" s="14" t="s">
        <v>52</v>
      </c>
      <c r="B36" s="47" t="s">
        <v>22</v>
      </c>
      <c r="C36" s="52" t="s">
        <v>291</v>
      </c>
      <c r="D36" s="52" t="s">
        <v>363</v>
      </c>
      <c r="E36" s="15">
        <v>1600.0</v>
      </c>
      <c r="F36" s="38">
        <v>34.0</v>
      </c>
      <c r="G36" s="39">
        <v>942.185</v>
      </c>
      <c r="H36" s="39">
        <v>0.0</v>
      </c>
      <c r="I36" s="39">
        <v>21495.686</v>
      </c>
      <c r="J36" s="39">
        <v>295.68</v>
      </c>
      <c r="K36" s="39">
        <v>0.0</v>
      </c>
      <c r="L36" s="39">
        <v>125.735</v>
      </c>
      <c r="M36" s="39">
        <v>22859.286</v>
      </c>
      <c r="N36" s="39">
        <v>22200.3989</v>
      </c>
      <c r="O36" s="39">
        <v>745.03</v>
      </c>
      <c r="P36" s="53">
        <v>10.9818181818182</v>
      </c>
      <c r="Q36" s="41">
        <v>0.0412</v>
      </c>
      <c r="R36" s="41">
        <v>0.0129</v>
      </c>
      <c r="S36" s="41">
        <v>0.0129</v>
      </c>
    </row>
    <row r="37" ht="12.75" customHeight="1">
      <c r="A37" s="20" t="s">
        <v>53</v>
      </c>
      <c r="B37" s="47" t="s">
        <v>22</v>
      </c>
      <c r="C37" s="52" t="s">
        <v>291</v>
      </c>
      <c r="D37" s="52" t="s">
        <v>364</v>
      </c>
      <c r="E37" s="21">
        <v>500.0</v>
      </c>
      <c r="F37" s="42">
        <v>34.0</v>
      </c>
      <c r="G37" s="43">
        <v>1201.1108</v>
      </c>
      <c r="H37" s="43">
        <v>0.0</v>
      </c>
      <c r="I37" s="43">
        <v>6287.714</v>
      </c>
      <c r="J37" s="43">
        <v>0.0</v>
      </c>
      <c r="K37" s="43">
        <v>0.0</v>
      </c>
      <c r="L37" s="43">
        <v>0.0</v>
      </c>
      <c r="M37" s="43">
        <v>7488.8248</v>
      </c>
      <c r="N37" s="43">
        <v>7502.9669</v>
      </c>
      <c r="O37" s="43">
        <v>104.12</v>
      </c>
      <c r="P37" s="53">
        <v>8.53030303030303</v>
      </c>
      <c r="Q37" s="44">
        <v>0.1604</v>
      </c>
      <c r="R37" s="44">
        <v>0.0</v>
      </c>
      <c r="S37" s="44">
        <v>0.0</v>
      </c>
    </row>
    <row r="38" ht="12.75" customHeight="1">
      <c r="A38" s="14" t="s">
        <v>54</v>
      </c>
      <c r="B38" s="47" t="s">
        <v>22</v>
      </c>
      <c r="C38" s="52" t="s">
        <v>291</v>
      </c>
      <c r="D38" s="52" t="s">
        <v>365</v>
      </c>
      <c r="E38" s="15">
        <v>135.0</v>
      </c>
      <c r="F38" s="38">
        <v>34.0</v>
      </c>
      <c r="G38" s="39">
        <v>626.28545</v>
      </c>
      <c r="H38" s="39">
        <v>0.0</v>
      </c>
      <c r="I38" s="39">
        <v>0.0</v>
      </c>
      <c r="J38" s="39">
        <v>146.426</v>
      </c>
      <c r="K38" s="39">
        <v>0.0</v>
      </c>
      <c r="L38" s="39">
        <v>117.775</v>
      </c>
      <c r="M38" s="39">
        <v>890.48645</v>
      </c>
      <c r="N38" s="39">
        <v>941.33</v>
      </c>
      <c r="O38" s="39">
        <v>26.11</v>
      </c>
      <c r="P38" s="54">
        <v>170.941935483871</v>
      </c>
      <c r="Q38" s="41">
        <v>0.7033</v>
      </c>
      <c r="R38" s="41">
        <v>0.1644</v>
      </c>
      <c r="S38" s="41">
        <v>0.1644</v>
      </c>
    </row>
    <row r="39" ht="12.75" customHeight="1">
      <c r="A39" s="20" t="s">
        <v>55</v>
      </c>
      <c r="B39" s="47" t="s">
        <v>22</v>
      </c>
      <c r="C39" s="52" t="s">
        <v>345</v>
      </c>
      <c r="D39" s="52" t="s">
        <v>366</v>
      </c>
      <c r="E39" s="21">
        <v>3000.0</v>
      </c>
      <c r="F39" s="42">
        <v>34.0</v>
      </c>
      <c r="G39" s="43">
        <v>44373.31</v>
      </c>
      <c r="H39" s="43">
        <v>0.0</v>
      </c>
      <c r="I39" s="43">
        <v>1454.2</v>
      </c>
      <c r="J39" s="43">
        <v>242.42</v>
      </c>
      <c r="K39" s="43">
        <v>0.33</v>
      </c>
      <c r="L39" s="43">
        <v>0.98</v>
      </c>
      <c r="M39" s="43">
        <v>46071.24</v>
      </c>
      <c r="N39" s="43">
        <v>45748.849</v>
      </c>
      <c r="O39" s="43">
        <v>696.04</v>
      </c>
      <c r="P39" s="53">
        <v>10.9787878787879</v>
      </c>
      <c r="Q39" s="44">
        <v>0.9631</v>
      </c>
      <c r="R39" s="44">
        <v>0.0053</v>
      </c>
      <c r="S39" s="44">
        <v>0.0053</v>
      </c>
    </row>
    <row r="40" ht="12.75" customHeight="1">
      <c r="A40" s="14" t="s">
        <v>56</v>
      </c>
      <c r="B40" s="47" t="s">
        <v>22</v>
      </c>
      <c r="C40" s="52" t="s">
        <v>289</v>
      </c>
      <c r="D40" s="52" t="s">
        <v>367</v>
      </c>
      <c r="E40" s="15">
        <v>420.0</v>
      </c>
      <c r="F40" s="38">
        <v>34.0</v>
      </c>
      <c r="G40" s="39">
        <v>5019.546</v>
      </c>
      <c r="H40" s="39">
        <v>0.0</v>
      </c>
      <c r="I40" s="39">
        <v>0.0</v>
      </c>
      <c r="J40" s="39">
        <v>0.0</v>
      </c>
      <c r="K40" s="39">
        <v>0.0</v>
      </c>
      <c r="L40" s="39">
        <v>0.0</v>
      </c>
      <c r="M40" s="39">
        <v>5019.546</v>
      </c>
      <c r="N40" s="39">
        <v>4637.255</v>
      </c>
      <c r="O40" s="39">
        <v>381.15</v>
      </c>
      <c r="P40" s="54">
        <v>33.630303030303</v>
      </c>
      <c r="Q40" s="41">
        <v>1.0</v>
      </c>
      <c r="R40" s="41">
        <v>0.0</v>
      </c>
      <c r="S40" s="41">
        <v>0.0</v>
      </c>
    </row>
    <row r="41" ht="12.75" customHeight="1">
      <c r="A41" s="20" t="s">
        <v>57</v>
      </c>
      <c r="B41" s="47" t="s">
        <v>22</v>
      </c>
      <c r="C41" s="52" t="s">
        <v>291</v>
      </c>
      <c r="D41" s="52" t="s">
        <v>368</v>
      </c>
      <c r="E41" s="21">
        <v>240.0</v>
      </c>
      <c r="F41" s="42">
        <v>25.0</v>
      </c>
      <c r="G41" s="43">
        <v>0.0</v>
      </c>
      <c r="H41" s="43">
        <v>0.0</v>
      </c>
      <c r="I41" s="43">
        <v>0.0</v>
      </c>
      <c r="J41" s="43">
        <v>0.0</v>
      </c>
      <c r="K41" s="43">
        <v>0.0</v>
      </c>
      <c r="L41" s="43">
        <v>0.0</v>
      </c>
      <c r="M41" s="43">
        <v>0.0</v>
      </c>
      <c r="N41" s="43">
        <v>0.0</v>
      </c>
      <c r="O41" s="43">
        <v>0.0</v>
      </c>
      <c r="P41" s="19" t="s">
        <v>58</v>
      </c>
      <c r="Q41" s="44">
        <v>0.0</v>
      </c>
      <c r="R41" s="44">
        <v>0.0</v>
      </c>
      <c r="S41" s="44">
        <v>0.0</v>
      </c>
    </row>
    <row r="42" ht="12.75" customHeight="1">
      <c r="A42" s="14" t="s">
        <v>59</v>
      </c>
      <c r="B42" s="47" t="s">
        <v>22</v>
      </c>
      <c r="C42" s="52" t="s">
        <v>290</v>
      </c>
      <c r="D42" s="52" t="s">
        <v>348</v>
      </c>
      <c r="E42" s="15">
        <v>350.0</v>
      </c>
      <c r="F42" s="38">
        <v>22.0</v>
      </c>
      <c r="G42" s="39">
        <v>600.2712</v>
      </c>
      <c r="H42" s="39">
        <v>0.0</v>
      </c>
      <c r="I42" s="39">
        <v>0.0</v>
      </c>
      <c r="J42" s="39">
        <v>0.0</v>
      </c>
      <c r="K42" s="39">
        <v>0.0</v>
      </c>
      <c r="L42" s="39">
        <v>0.0</v>
      </c>
      <c r="M42" s="39">
        <v>600.2712</v>
      </c>
      <c r="N42" s="39">
        <v>495.5478</v>
      </c>
      <c r="O42" s="39">
        <v>240.427</v>
      </c>
      <c r="P42" s="54">
        <v>79.5666666666667</v>
      </c>
      <c r="Q42" s="41">
        <v>1.0</v>
      </c>
      <c r="R42" s="41">
        <v>0.0</v>
      </c>
      <c r="S42" s="41">
        <v>0.0</v>
      </c>
    </row>
    <row r="43" ht="12.75" customHeight="1">
      <c r="A43" s="20" t="s">
        <v>60</v>
      </c>
      <c r="B43" s="47" t="s">
        <v>22</v>
      </c>
      <c r="C43" s="52" t="s">
        <v>290</v>
      </c>
      <c r="D43" s="52" t="s">
        <v>369</v>
      </c>
      <c r="E43" s="21">
        <v>600.0</v>
      </c>
      <c r="F43" s="42">
        <v>34.0</v>
      </c>
      <c r="G43" s="43">
        <v>6037.7633</v>
      </c>
      <c r="H43" s="43">
        <v>0.0</v>
      </c>
      <c r="I43" s="43">
        <v>0.0</v>
      </c>
      <c r="J43" s="43">
        <v>0.0</v>
      </c>
      <c r="K43" s="43">
        <v>0.0</v>
      </c>
      <c r="L43" s="43">
        <v>12.94</v>
      </c>
      <c r="M43" s="43">
        <v>6050.7033</v>
      </c>
      <c r="N43" s="43">
        <v>6082.4755</v>
      </c>
      <c r="O43" s="43">
        <v>102.96</v>
      </c>
      <c r="P43" s="54">
        <v>22.0935483870968</v>
      </c>
      <c r="Q43" s="44">
        <v>0.9979</v>
      </c>
      <c r="R43" s="44">
        <v>0.0</v>
      </c>
      <c r="S43" s="44">
        <v>0.0</v>
      </c>
    </row>
    <row r="44" ht="15.75" customHeight="1">
      <c r="A44" s="55" t="s">
        <v>370</v>
      </c>
      <c r="B44" s="55"/>
      <c r="C44" s="55"/>
      <c r="D44" s="55"/>
      <c r="E44" s="55"/>
      <c r="F44" s="55"/>
      <c r="G44" s="55"/>
      <c r="H44" s="55"/>
      <c r="I44" s="55"/>
      <c r="J44" s="55"/>
      <c r="K44" s="55"/>
      <c r="L44" s="55"/>
      <c r="M44" s="55"/>
      <c r="N44" s="55"/>
      <c r="O44" s="55"/>
      <c r="P44" s="55"/>
      <c r="Q44" s="55"/>
      <c r="R44" s="55"/>
      <c r="S44" s="55"/>
    </row>
    <row r="45" ht="12.75" customHeight="1">
      <c r="A45" s="20" t="s">
        <v>62</v>
      </c>
      <c r="B45" s="48" t="s">
        <v>61</v>
      </c>
      <c r="C45" s="52" t="s">
        <v>278</v>
      </c>
      <c r="D45" s="52" t="s">
        <v>371</v>
      </c>
      <c r="E45" s="21">
        <v>1200.0</v>
      </c>
      <c r="F45" s="42">
        <v>34.0</v>
      </c>
      <c r="G45" s="43">
        <v>14575.52839</v>
      </c>
      <c r="H45" s="43">
        <v>0.0</v>
      </c>
      <c r="I45" s="43">
        <v>0.0</v>
      </c>
      <c r="J45" s="43">
        <v>0.0</v>
      </c>
      <c r="K45" s="43">
        <v>0.0</v>
      </c>
      <c r="L45" s="43">
        <v>0.0</v>
      </c>
      <c r="M45" s="43">
        <v>14575.52839</v>
      </c>
      <c r="N45" s="43">
        <v>14787.4018</v>
      </c>
      <c r="O45" s="43">
        <v>56.53</v>
      </c>
      <c r="P45" s="53">
        <v>13.1878787878788</v>
      </c>
      <c r="Q45" s="44">
        <v>1.0</v>
      </c>
      <c r="R45" s="44">
        <v>0.0</v>
      </c>
      <c r="S45" s="44">
        <v>0.0</v>
      </c>
    </row>
    <row r="46" ht="12.75" customHeight="1">
      <c r="A46" s="14" t="s">
        <v>63</v>
      </c>
      <c r="B46" s="48" t="s">
        <v>61</v>
      </c>
      <c r="C46" s="52" t="s">
        <v>278</v>
      </c>
      <c r="D46" s="52" t="s">
        <v>372</v>
      </c>
      <c r="E46" s="15">
        <v>2630.0</v>
      </c>
      <c r="F46" s="38">
        <v>34.0</v>
      </c>
      <c r="G46" s="39">
        <v>34423.24887</v>
      </c>
      <c r="H46" s="39">
        <v>0.0</v>
      </c>
      <c r="I46" s="39">
        <v>0.0</v>
      </c>
      <c r="J46" s="39">
        <v>0.0</v>
      </c>
      <c r="K46" s="39">
        <v>0.0</v>
      </c>
      <c r="L46" s="39">
        <v>0.0</v>
      </c>
      <c r="M46" s="39">
        <v>34423.24887</v>
      </c>
      <c r="N46" s="39">
        <v>34488.04</v>
      </c>
      <c r="O46" s="39">
        <v>865.24</v>
      </c>
      <c r="P46" s="54">
        <v>19.5030303030303</v>
      </c>
      <c r="Q46" s="41">
        <v>1.0</v>
      </c>
      <c r="R46" s="41">
        <v>0.0</v>
      </c>
      <c r="S46" s="41">
        <v>0.0</v>
      </c>
    </row>
    <row r="47" ht="12.75" customHeight="1">
      <c r="A47" s="20" t="s">
        <v>64</v>
      </c>
      <c r="B47" s="48" t="s">
        <v>61</v>
      </c>
      <c r="C47" s="52" t="s">
        <v>278</v>
      </c>
      <c r="D47" s="52" t="s">
        <v>373</v>
      </c>
      <c r="E47" s="21">
        <v>90.0</v>
      </c>
      <c r="F47" s="42">
        <v>34.0</v>
      </c>
      <c r="G47" s="43">
        <v>823.642</v>
      </c>
      <c r="H47" s="43">
        <v>0.0</v>
      </c>
      <c r="I47" s="43">
        <v>0.0</v>
      </c>
      <c r="J47" s="43">
        <v>0.0</v>
      </c>
      <c r="K47" s="43">
        <v>0.0</v>
      </c>
      <c r="L47" s="43">
        <v>0.0</v>
      </c>
      <c r="M47" s="43">
        <v>823.642</v>
      </c>
      <c r="N47" s="43">
        <v>813.454</v>
      </c>
      <c r="O47" s="43">
        <v>46.27</v>
      </c>
      <c r="P47" s="54">
        <v>114.763636363636</v>
      </c>
      <c r="Q47" s="44">
        <v>1.0</v>
      </c>
      <c r="R47" s="44">
        <v>0.0</v>
      </c>
      <c r="S47" s="44">
        <v>0.0</v>
      </c>
    </row>
    <row r="48" ht="12.75" customHeight="1">
      <c r="A48" s="14" t="s">
        <v>65</v>
      </c>
      <c r="B48" s="48" t="s">
        <v>61</v>
      </c>
      <c r="C48" s="52" t="s">
        <v>277</v>
      </c>
      <c r="D48" s="52" t="s">
        <v>374</v>
      </c>
      <c r="E48" s="15">
        <v>500.0</v>
      </c>
      <c r="F48" s="38">
        <v>34.0</v>
      </c>
      <c r="G48" s="39">
        <v>5019.4302</v>
      </c>
      <c r="H48" s="39">
        <v>0.0</v>
      </c>
      <c r="I48" s="39">
        <v>0.0</v>
      </c>
      <c r="J48" s="39">
        <v>1.94</v>
      </c>
      <c r="K48" s="39">
        <v>0.0</v>
      </c>
      <c r="L48" s="39">
        <v>0.0</v>
      </c>
      <c r="M48" s="39">
        <v>5021.3702</v>
      </c>
      <c r="N48" s="39">
        <v>6600.1669</v>
      </c>
      <c r="O48" s="39">
        <v>135.0604</v>
      </c>
      <c r="P48" s="54">
        <v>24.0</v>
      </c>
      <c r="Q48" s="41">
        <v>0.9996</v>
      </c>
      <c r="R48" s="41">
        <v>4.0E-4</v>
      </c>
      <c r="S48" s="41">
        <v>4.0E-4</v>
      </c>
    </row>
    <row r="49" ht="12.75" customHeight="1">
      <c r="A49" s="20" t="s">
        <v>66</v>
      </c>
      <c r="B49" s="48" t="s">
        <v>61</v>
      </c>
      <c r="C49" s="52" t="s">
        <v>277</v>
      </c>
      <c r="D49" s="52" t="s">
        <v>374</v>
      </c>
      <c r="E49" s="21">
        <v>500.0</v>
      </c>
      <c r="F49" s="42">
        <v>34.0</v>
      </c>
      <c r="G49" s="43">
        <v>3492.8194</v>
      </c>
      <c r="H49" s="43">
        <v>0.0</v>
      </c>
      <c r="I49" s="43">
        <v>4203.2948</v>
      </c>
      <c r="J49" s="43">
        <v>1.94</v>
      </c>
      <c r="K49" s="43">
        <v>0.0</v>
      </c>
      <c r="L49" s="43">
        <v>0.0</v>
      </c>
      <c r="M49" s="43">
        <v>7698.0542</v>
      </c>
      <c r="N49" s="43">
        <v>6019.8669</v>
      </c>
      <c r="O49" s="43">
        <v>123.8386</v>
      </c>
      <c r="P49" s="54">
        <v>19.7757575757576</v>
      </c>
      <c r="Q49" s="44">
        <v>0.4537</v>
      </c>
      <c r="R49" s="44">
        <v>3.0E-4</v>
      </c>
      <c r="S49" s="44">
        <v>3.0E-4</v>
      </c>
    </row>
    <row r="50" ht="12.75" customHeight="1">
      <c r="A50" s="14" t="s">
        <v>67</v>
      </c>
      <c r="B50" s="48" t="s">
        <v>61</v>
      </c>
      <c r="C50" s="52" t="s">
        <v>278</v>
      </c>
      <c r="D50" s="52" t="s">
        <v>375</v>
      </c>
      <c r="E50" s="15">
        <v>1320.0</v>
      </c>
      <c r="F50" s="38">
        <v>34.0</v>
      </c>
      <c r="G50" s="39">
        <v>2813.7418</v>
      </c>
      <c r="H50" s="39">
        <v>363.65167</v>
      </c>
      <c r="I50" s="39">
        <v>9405.73624</v>
      </c>
      <c r="J50" s="39">
        <v>248.53419</v>
      </c>
      <c r="K50" s="39">
        <v>0.0</v>
      </c>
      <c r="L50" s="39">
        <v>0.0</v>
      </c>
      <c r="M50" s="39">
        <v>12831.6639</v>
      </c>
      <c r="N50" s="39">
        <v>12506.6221</v>
      </c>
      <c r="O50" s="39">
        <v>431.09</v>
      </c>
      <c r="P50" s="54">
        <v>24.0151515151515</v>
      </c>
      <c r="Q50" s="41">
        <v>0.2193</v>
      </c>
      <c r="R50" s="41">
        <v>0.0194</v>
      </c>
      <c r="S50" s="41">
        <v>0.0194</v>
      </c>
    </row>
    <row r="51" ht="12.75" customHeight="1">
      <c r="A51" s="20" t="s">
        <v>68</v>
      </c>
      <c r="B51" s="48" t="s">
        <v>61</v>
      </c>
      <c r="C51" s="52" t="s">
        <v>278</v>
      </c>
      <c r="D51" s="52" t="s">
        <v>376</v>
      </c>
      <c r="E51" s="21">
        <v>1820.0</v>
      </c>
      <c r="F51" s="42">
        <v>34.0</v>
      </c>
      <c r="G51" s="43">
        <v>14983.04</v>
      </c>
      <c r="H51" s="43">
        <v>12.24</v>
      </c>
      <c r="I51" s="43">
        <v>2756.03</v>
      </c>
      <c r="J51" s="43">
        <v>439.607</v>
      </c>
      <c r="K51" s="43">
        <v>625.75</v>
      </c>
      <c r="L51" s="43">
        <v>507.25</v>
      </c>
      <c r="M51" s="43">
        <v>19323.917</v>
      </c>
      <c r="N51" s="43">
        <v>19036.4114</v>
      </c>
      <c r="O51" s="43">
        <v>296.05</v>
      </c>
      <c r="P51" s="54">
        <v>23.5454545454546</v>
      </c>
      <c r="Q51" s="44">
        <v>0.7754</v>
      </c>
      <c r="R51" s="44">
        <v>0.0227</v>
      </c>
      <c r="S51" s="44">
        <v>0.0551</v>
      </c>
    </row>
    <row r="52" ht="12.75" customHeight="1">
      <c r="A52" s="14" t="s">
        <v>69</v>
      </c>
      <c r="B52" s="48" t="s">
        <v>61</v>
      </c>
      <c r="C52" s="52" t="s">
        <v>276</v>
      </c>
      <c r="D52" s="52" t="s">
        <v>377</v>
      </c>
      <c r="E52" s="15">
        <v>920.0</v>
      </c>
      <c r="F52" s="38">
        <v>34.0</v>
      </c>
      <c r="G52" s="39">
        <v>2172.49775</v>
      </c>
      <c r="H52" s="39">
        <v>0.0</v>
      </c>
      <c r="I52" s="39">
        <v>6836.71575</v>
      </c>
      <c r="J52" s="39">
        <v>0.0</v>
      </c>
      <c r="K52" s="39">
        <v>0.0</v>
      </c>
      <c r="L52" s="39">
        <v>6.35138</v>
      </c>
      <c r="M52" s="39">
        <v>9015.56488</v>
      </c>
      <c r="N52" s="39">
        <v>8889.733</v>
      </c>
      <c r="O52" s="39">
        <v>361.67</v>
      </c>
      <c r="P52" s="54">
        <v>36.6666666666667</v>
      </c>
      <c r="Q52" s="41">
        <v>0.241</v>
      </c>
      <c r="R52" s="41">
        <v>0.0</v>
      </c>
      <c r="S52" s="41">
        <v>0.0</v>
      </c>
    </row>
    <row r="53" ht="12.75" customHeight="1">
      <c r="A53" s="20" t="s">
        <v>242</v>
      </c>
      <c r="B53" s="48" t="s">
        <v>61</v>
      </c>
      <c r="C53" s="52" t="s">
        <v>278</v>
      </c>
      <c r="D53" s="52" t="s">
        <v>378</v>
      </c>
      <c r="E53" s="21">
        <v>660.0</v>
      </c>
      <c r="F53" s="42">
        <v>13.0</v>
      </c>
      <c r="G53" s="43">
        <v>2765.761</v>
      </c>
      <c r="H53" s="43">
        <v>0.0</v>
      </c>
      <c r="I53" s="43">
        <v>0.0</v>
      </c>
      <c r="J53" s="43">
        <v>4.001</v>
      </c>
      <c r="K53" s="43">
        <v>0.0</v>
      </c>
      <c r="L53" s="43">
        <v>0.0</v>
      </c>
      <c r="M53" s="43">
        <v>2769.762</v>
      </c>
      <c r="N53" s="43">
        <v>2558.234</v>
      </c>
      <c r="O53" s="43">
        <v>181.08</v>
      </c>
      <c r="P53" s="54">
        <v>14.1454545454545</v>
      </c>
      <c r="Q53" s="44">
        <v>0.9986</v>
      </c>
      <c r="R53" s="44">
        <v>0.0014</v>
      </c>
      <c r="S53" s="44">
        <v>0.0014</v>
      </c>
    </row>
    <row r="54" ht="12.75" customHeight="1">
      <c r="A54" s="14" t="s">
        <v>70</v>
      </c>
      <c r="B54" s="48" t="s">
        <v>61</v>
      </c>
      <c r="C54" s="52" t="s">
        <v>276</v>
      </c>
      <c r="D54" s="52" t="s">
        <v>379</v>
      </c>
      <c r="E54" s="15">
        <v>540.0</v>
      </c>
      <c r="F54" s="38">
        <v>34.0</v>
      </c>
      <c r="G54" s="39">
        <v>1866.98847</v>
      </c>
      <c r="H54" s="39">
        <v>0.0</v>
      </c>
      <c r="I54" s="39">
        <v>3134.95081</v>
      </c>
      <c r="J54" s="39">
        <v>0.0</v>
      </c>
      <c r="K54" s="39">
        <v>0.0</v>
      </c>
      <c r="L54" s="39">
        <v>0.0</v>
      </c>
      <c r="M54" s="39">
        <v>5001.93928</v>
      </c>
      <c r="N54" s="39">
        <v>4869.4105</v>
      </c>
      <c r="O54" s="39">
        <v>157.41</v>
      </c>
      <c r="P54" s="54">
        <v>28.9969696969697</v>
      </c>
      <c r="Q54" s="41">
        <v>0.3733</v>
      </c>
      <c r="R54" s="41">
        <v>0.0</v>
      </c>
      <c r="S54" s="41">
        <v>0.0</v>
      </c>
    </row>
    <row r="55" ht="12.75" customHeight="1">
      <c r="A55" s="20" t="s">
        <v>71</v>
      </c>
      <c r="B55" s="48" t="s">
        <v>61</v>
      </c>
      <c r="C55" s="52" t="s">
        <v>278</v>
      </c>
      <c r="D55" s="52" t="s">
        <v>380</v>
      </c>
      <c r="E55" s="21">
        <v>1265.0</v>
      </c>
      <c r="F55" s="42">
        <v>34.0</v>
      </c>
      <c r="G55" s="43">
        <v>11495.694</v>
      </c>
      <c r="H55" s="43">
        <v>0.0</v>
      </c>
      <c r="I55" s="43">
        <v>0.0</v>
      </c>
      <c r="J55" s="43">
        <v>0.0</v>
      </c>
      <c r="K55" s="43">
        <v>0.0</v>
      </c>
      <c r="L55" s="43">
        <v>0.0</v>
      </c>
      <c r="M55" s="43">
        <v>11495.694</v>
      </c>
      <c r="N55" s="43">
        <v>11336.5404</v>
      </c>
      <c r="O55" s="43">
        <v>483.95</v>
      </c>
      <c r="P55" s="54">
        <v>46.2848484848485</v>
      </c>
      <c r="Q55" s="44">
        <v>1.0</v>
      </c>
      <c r="R55" s="44">
        <v>0.0</v>
      </c>
      <c r="S55" s="44">
        <v>0.0</v>
      </c>
    </row>
    <row r="56" ht="12.75" customHeight="1">
      <c r="A56" s="14" t="s">
        <v>72</v>
      </c>
      <c r="B56" s="48" t="s">
        <v>61</v>
      </c>
      <c r="C56" s="52" t="s">
        <v>275</v>
      </c>
      <c r="D56" s="52" t="s">
        <v>381</v>
      </c>
      <c r="E56" s="15">
        <v>1500.0</v>
      </c>
      <c r="F56" s="38">
        <v>34.0</v>
      </c>
      <c r="G56" s="39">
        <v>15641.1704</v>
      </c>
      <c r="H56" s="39">
        <v>104.31868</v>
      </c>
      <c r="I56" s="39">
        <v>0.0</v>
      </c>
      <c r="J56" s="39">
        <v>352.0228</v>
      </c>
      <c r="K56" s="39">
        <v>83.842</v>
      </c>
      <c r="L56" s="39">
        <v>4.98059</v>
      </c>
      <c r="M56" s="39">
        <v>16186.33447</v>
      </c>
      <c r="N56" s="39">
        <v>15938.3524</v>
      </c>
      <c r="O56" s="39">
        <v>367.3</v>
      </c>
      <c r="P56" s="54">
        <v>39.0393939393939</v>
      </c>
      <c r="Q56" s="41">
        <v>0.9663</v>
      </c>
      <c r="R56" s="41">
        <v>0.0217</v>
      </c>
      <c r="S56" s="41">
        <v>0.0269</v>
      </c>
    </row>
    <row r="57" ht="12.75" customHeight="1">
      <c r="A57" s="20" t="s">
        <v>226</v>
      </c>
      <c r="B57" s="48" t="s">
        <v>61</v>
      </c>
      <c r="C57" s="52" t="s">
        <v>278</v>
      </c>
      <c r="D57" s="52" t="s">
        <v>382</v>
      </c>
      <c r="E57" s="21">
        <v>660.0</v>
      </c>
      <c r="F57" s="42">
        <v>23.0</v>
      </c>
      <c r="G57" s="43">
        <v>3402.9765</v>
      </c>
      <c r="H57" s="43">
        <v>0.0</v>
      </c>
      <c r="I57" s="43">
        <v>0.0</v>
      </c>
      <c r="J57" s="43">
        <v>0.0</v>
      </c>
      <c r="K57" s="43">
        <v>0.0</v>
      </c>
      <c r="L57" s="43">
        <v>0.0</v>
      </c>
      <c r="M57" s="43">
        <v>3402.9765</v>
      </c>
      <c r="N57" s="43">
        <v>2932.4877</v>
      </c>
      <c r="O57" s="43">
        <v>462.98</v>
      </c>
      <c r="P57" s="54">
        <v>99.3473684210526</v>
      </c>
      <c r="Q57" s="44">
        <v>1.0</v>
      </c>
      <c r="R57" s="44">
        <v>0.0</v>
      </c>
      <c r="S57" s="44">
        <v>0.0</v>
      </c>
    </row>
    <row r="58" ht="12.75" customHeight="1">
      <c r="A58" s="14" t="s">
        <v>73</v>
      </c>
      <c r="B58" s="48" t="s">
        <v>61</v>
      </c>
      <c r="C58" s="52" t="s">
        <v>277</v>
      </c>
      <c r="D58" s="52" t="s">
        <v>383</v>
      </c>
      <c r="E58" s="15">
        <v>1200.0</v>
      </c>
      <c r="F58" s="38">
        <v>34.0</v>
      </c>
      <c r="G58" s="39">
        <v>2085.14353</v>
      </c>
      <c r="H58" s="39">
        <v>0.0</v>
      </c>
      <c r="I58" s="39">
        <v>10644.12616</v>
      </c>
      <c r="J58" s="39">
        <v>0.0</v>
      </c>
      <c r="K58" s="39">
        <v>0.0</v>
      </c>
      <c r="L58" s="39">
        <v>0.0</v>
      </c>
      <c r="M58" s="39">
        <v>12729.26969</v>
      </c>
      <c r="N58" s="39">
        <v>12674.578</v>
      </c>
      <c r="O58" s="39">
        <v>267.79</v>
      </c>
      <c r="P58" s="54">
        <v>18.1606060606061</v>
      </c>
      <c r="Q58" s="41">
        <v>0.1638</v>
      </c>
      <c r="R58" s="41">
        <v>0.0</v>
      </c>
      <c r="S58" s="41">
        <v>0.0</v>
      </c>
    </row>
    <row r="59" ht="12.75" customHeight="1">
      <c r="A59" s="20" t="s">
        <v>74</v>
      </c>
      <c r="B59" s="48" t="s">
        <v>61</v>
      </c>
      <c r="C59" s="52" t="s">
        <v>277</v>
      </c>
      <c r="D59" s="52" t="s">
        <v>384</v>
      </c>
      <c r="E59" s="21">
        <v>1320.0</v>
      </c>
      <c r="F59" s="42">
        <v>3.0</v>
      </c>
      <c r="G59" s="43">
        <v>865.91</v>
      </c>
      <c r="H59" s="43">
        <v>0.0</v>
      </c>
      <c r="I59" s="43">
        <v>0.0</v>
      </c>
      <c r="J59" s="43">
        <v>0.0</v>
      </c>
      <c r="K59" s="43">
        <v>0.0</v>
      </c>
      <c r="L59" s="43">
        <v>0.067</v>
      </c>
      <c r="M59" s="43">
        <v>865.977</v>
      </c>
      <c r="N59" s="43">
        <v>1139.908</v>
      </c>
      <c r="O59" s="43">
        <v>167.8</v>
      </c>
      <c r="P59" s="54">
        <v>25.4333333333333</v>
      </c>
      <c r="Q59" s="44">
        <v>0.9999</v>
      </c>
      <c r="R59" s="44">
        <v>0.0</v>
      </c>
      <c r="S59" s="44">
        <v>0.0</v>
      </c>
    </row>
    <row r="60" ht="12.75" customHeight="1">
      <c r="A60" s="14" t="s">
        <v>75</v>
      </c>
      <c r="B60" s="48" t="s">
        <v>61</v>
      </c>
      <c r="C60" s="52" t="s">
        <v>278</v>
      </c>
      <c r="D60" s="52" t="s">
        <v>385</v>
      </c>
      <c r="E60" s="15">
        <v>90.0</v>
      </c>
      <c r="F60" s="38">
        <v>34.0</v>
      </c>
      <c r="G60" s="39">
        <v>806.427</v>
      </c>
      <c r="H60" s="39">
        <v>0.0</v>
      </c>
      <c r="I60" s="39">
        <v>0.0</v>
      </c>
      <c r="J60" s="39">
        <v>0.0</v>
      </c>
      <c r="K60" s="39">
        <v>0.0</v>
      </c>
      <c r="L60" s="39">
        <v>0.0</v>
      </c>
      <c r="M60" s="39">
        <v>806.427</v>
      </c>
      <c r="N60" s="39">
        <v>808.3834</v>
      </c>
      <c r="O60" s="39">
        <v>59.03</v>
      </c>
      <c r="P60" s="54">
        <v>95.3393939393939</v>
      </c>
      <c r="Q60" s="41">
        <v>1.0</v>
      </c>
      <c r="R60" s="41">
        <v>0.0</v>
      </c>
      <c r="S60" s="41">
        <v>0.0</v>
      </c>
    </row>
    <row r="61" ht="12.75" customHeight="1">
      <c r="A61" s="20" t="s">
        <v>246</v>
      </c>
      <c r="B61" s="48" t="s">
        <v>61</v>
      </c>
      <c r="C61" s="52" t="s">
        <v>278</v>
      </c>
      <c r="D61" s="52" t="s">
        <v>386</v>
      </c>
      <c r="E61" s="21">
        <v>660.0</v>
      </c>
      <c r="F61" s="42">
        <v>12.0</v>
      </c>
      <c r="G61" s="43">
        <v>0.0</v>
      </c>
      <c r="H61" s="43">
        <v>0.0</v>
      </c>
      <c r="I61" s="43">
        <v>3269.176</v>
      </c>
      <c r="J61" s="43">
        <v>0.0</v>
      </c>
      <c r="K61" s="43">
        <v>0.0</v>
      </c>
      <c r="L61" s="43">
        <v>0.0</v>
      </c>
      <c r="M61" s="43">
        <v>3269.176</v>
      </c>
      <c r="N61" s="43">
        <v>2971.539</v>
      </c>
      <c r="O61" s="43">
        <v>301.51</v>
      </c>
      <c r="P61" s="54">
        <v>25.6545454545455</v>
      </c>
      <c r="Q61" s="44">
        <v>0.0</v>
      </c>
      <c r="R61" s="44">
        <v>0.0</v>
      </c>
      <c r="S61" s="44">
        <v>0.0</v>
      </c>
    </row>
    <row r="62" ht="12.75" customHeight="1">
      <c r="A62" s="14" t="s">
        <v>76</v>
      </c>
      <c r="B62" s="48" t="s">
        <v>61</v>
      </c>
      <c r="C62" s="52" t="s">
        <v>277</v>
      </c>
      <c r="D62" s="52" t="s">
        <v>387</v>
      </c>
      <c r="E62" s="15">
        <v>1240.0</v>
      </c>
      <c r="F62" s="38">
        <v>34.0</v>
      </c>
      <c r="G62" s="39">
        <v>16790.29981</v>
      </c>
      <c r="H62" s="39">
        <v>0.0</v>
      </c>
      <c r="I62" s="39">
        <v>16.1477</v>
      </c>
      <c r="J62" s="39">
        <v>0.0</v>
      </c>
      <c r="K62" s="39">
        <v>0.0</v>
      </c>
      <c r="L62" s="39">
        <v>579.02212</v>
      </c>
      <c r="M62" s="39">
        <v>17385.46963</v>
      </c>
      <c r="N62" s="39">
        <v>17151.9489</v>
      </c>
      <c r="O62" s="39">
        <v>296.89</v>
      </c>
      <c r="P62" s="54">
        <v>14.2212121212121</v>
      </c>
      <c r="Q62" s="41">
        <v>0.9658</v>
      </c>
      <c r="R62" s="41">
        <v>0.0</v>
      </c>
      <c r="S62" s="41">
        <v>0.0</v>
      </c>
    </row>
    <row r="63" ht="12.75" customHeight="1">
      <c r="A63" s="20" t="s">
        <v>77</v>
      </c>
      <c r="B63" s="48" t="s">
        <v>61</v>
      </c>
      <c r="C63" s="52" t="s">
        <v>278</v>
      </c>
      <c r="D63" s="52" t="s">
        <v>388</v>
      </c>
      <c r="E63" s="21">
        <v>90.0</v>
      </c>
      <c r="F63" s="42">
        <v>34.0</v>
      </c>
      <c r="G63" s="43">
        <v>790.816</v>
      </c>
      <c r="H63" s="43">
        <v>0.0</v>
      </c>
      <c r="I63" s="43">
        <v>0.0</v>
      </c>
      <c r="J63" s="43">
        <v>0.0</v>
      </c>
      <c r="K63" s="43">
        <v>0.0</v>
      </c>
      <c r="L63" s="43">
        <v>0.0</v>
      </c>
      <c r="M63" s="43">
        <v>790.816</v>
      </c>
      <c r="N63" s="43">
        <v>784.502</v>
      </c>
      <c r="O63" s="43">
        <v>53.85</v>
      </c>
      <c r="P63" s="54">
        <v>90.469696969697</v>
      </c>
      <c r="Q63" s="44">
        <v>1.0</v>
      </c>
      <c r="R63" s="44">
        <v>0.0</v>
      </c>
      <c r="S63" s="44">
        <v>0.0</v>
      </c>
    </row>
    <row r="64" ht="12.75" customHeight="1">
      <c r="A64" s="14" t="s">
        <v>78</v>
      </c>
      <c r="B64" s="48" t="s">
        <v>61</v>
      </c>
      <c r="C64" s="52" t="s">
        <v>278</v>
      </c>
      <c r="D64" s="52" t="s">
        <v>389</v>
      </c>
      <c r="E64" s="15">
        <v>1980.0</v>
      </c>
      <c r="F64" s="38">
        <v>34.0</v>
      </c>
      <c r="G64" s="39">
        <v>21915.876</v>
      </c>
      <c r="H64" s="39">
        <v>0.0</v>
      </c>
      <c r="I64" s="39">
        <v>0.0</v>
      </c>
      <c r="J64" s="39">
        <v>0.0</v>
      </c>
      <c r="K64" s="39">
        <v>0.0</v>
      </c>
      <c r="L64" s="39">
        <v>0.0</v>
      </c>
      <c r="M64" s="39">
        <v>21915.876</v>
      </c>
      <c r="N64" s="39">
        <v>21797.475</v>
      </c>
      <c r="O64" s="39">
        <v>566.77</v>
      </c>
      <c r="P64" s="54">
        <v>21.9484848484849</v>
      </c>
      <c r="Q64" s="41">
        <v>1.0</v>
      </c>
      <c r="R64" s="41">
        <v>0.0</v>
      </c>
      <c r="S64" s="41">
        <v>0.0</v>
      </c>
    </row>
    <row r="65" ht="12.75" customHeight="1">
      <c r="A65" s="20" t="s">
        <v>79</v>
      </c>
      <c r="B65" s="48" t="s">
        <v>61</v>
      </c>
      <c r="C65" s="52" t="s">
        <v>275</v>
      </c>
      <c r="D65" s="52" t="s">
        <v>390</v>
      </c>
      <c r="E65" s="21">
        <v>1320.0</v>
      </c>
      <c r="F65" s="42">
        <v>34.0</v>
      </c>
      <c r="G65" s="43">
        <v>13760.5106</v>
      </c>
      <c r="H65" s="43">
        <v>0.0</v>
      </c>
      <c r="I65" s="43">
        <v>0.0</v>
      </c>
      <c r="J65" s="43">
        <v>0.0</v>
      </c>
      <c r="K65" s="43">
        <v>119.728</v>
      </c>
      <c r="L65" s="43">
        <v>0.0</v>
      </c>
      <c r="M65" s="43">
        <v>13880.2386</v>
      </c>
      <c r="N65" s="43">
        <v>14039.3104</v>
      </c>
      <c r="O65" s="43">
        <v>352.79</v>
      </c>
      <c r="P65" s="54">
        <v>31.1</v>
      </c>
      <c r="Q65" s="44">
        <v>0.9914</v>
      </c>
      <c r="R65" s="44">
        <v>0.0</v>
      </c>
      <c r="S65" s="44">
        <v>0.0086</v>
      </c>
    </row>
    <row r="66" ht="12.75" customHeight="1">
      <c r="A66" s="14" t="s">
        <v>80</v>
      </c>
      <c r="B66" s="48" t="s">
        <v>61</v>
      </c>
      <c r="C66" s="52" t="s">
        <v>278</v>
      </c>
      <c r="D66" s="52" t="s">
        <v>391</v>
      </c>
      <c r="E66" s="15">
        <v>90.0</v>
      </c>
      <c r="F66" s="38">
        <v>34.0</v>
      </c>
      <c r="G66" s="39">
        <v>820.894</v>
      </c>
      <c r="H66" s="39">
        <v>0.0</v>
      </c>
      <c r="I66" s="39">
        <v>0.0</v>
      </c>
      <c r="J66" s="39">
        <v>0.0</v>
      </c>
      <c r="K66" s="39">
        <v>0.0</v>
      </c>
      <c r="L66" s="39">
        <v>0.0</v>
      </c>
      <c r="M66" s="39">
        <v>820.894</v>
      </c>
      <c r="N66" s="39">
        <v>822.338</v>
      </c>
      <c r="O66" s="39">
        <v>44.41</v>
      </c>
      <c r="P66" s="54">
        <v>75.4121212121212</v>
      </c>
      <c r="Q66" s="41">
        <v>1.0</v>
      </c>
      <c r="R66" s="41">
        <v>0.0</v>
      </c>
      <c r="S66" s="41">
        <v>0.0</v>
      </c>
    </row>
    <row r="67" ht="12.75" customHeight="1">
      <c r="A67" s="20" t="s">
        <v>81</v>
      </c>
      <c r="B67" s="48" t="s">
        <v>61</v>
      </c>
      <c r="C67" s="52" t="s">
        <v>278</v>
      </c>
      <c r="D67" s="52" t="s">
        <v>392</v>
      </c>
      <c r="E67" s="21">
        <v>1320.0</v>
      </c>
      <c r="F67" s="42">
        <v>34.0</v>
      </c>
      <c r="G67" s="43">
        <v>14598.77064</v>
      </c>
      <c r="H67" s="43">
        <v>0.0</v>
      </c>
      <c r="I67" s="43">
        <v>178.3985</v>
      </c>
      <c r="J67" s="43">
        <v>95.9966</v>
      </c>
      <c r="K67" s="43">
        <v>117.8087</v>
      </c>
      <c r="L67" s="43">
        <v>0.0</v>
      </c>
      <c r="M67" s="43">
        <v>14990.97444</v>
      </c>
      <c r="N67" s="43">
        <v>14848.657</v>
      </c>
      <c r="O67" s="43">
        <v>266.0</v>
      </c>
      <c r="P67" s="54">
        <v>21.8515151515152</v>
      </c>
      <c r="Q67" s="44">
        <v>0.9738</v>
      </c>
      <c r="R67" s="44">
        <v>0.0064</v>
      </c>
      <c r="S67" s="44">
        <v>0.0143</v>
      </c>
    </row>
    <row r="68" ht="12.75" customHeight="1">
      <c r="A68" s="14" t="s">
        <v>82</v>
      </c>
      <c r="B68" s="48" t="s">
        <v>61</v>
      </c>
      <c r="C68" s="52" t="s">
        <v>278</v>
      </c>
      <c r="D68" s="52" t="s">
        <v>393</v>
      </c>
      <c r="E68" s="15">
        <v>1000.0</v>
      </c>
      <c r="F68" s="38">
        <v>34.0</v>
      </c>
      <c r="G68" s="39">
        <v>16873.304</v>
      </c>
      <c r="H68" s="39">
        <v>0.0</v>
      </c>
      <c r="I68" s="39">
        <v>0.0</v>
      </c>
      <c r="J68" s="39">
        <v>0.0</v>
      </c>
      <c r="K68" s="39">
        <v>0.0</v>
      </c>
      <c r="L68" s="39">
        <v>0.0</v>
      </c>
      <c r="M68" s="39">
        <v>16873.304</v>
      </c>
      <c r="N68" s="39">
        <v>16159.1603</v>
      </c>
      <c r="O68" s="39">
        <v>674.05</v>
      </c>
      <c r="P68" s="54">
        <v>16.1424242424242</v>
      </c>
      <c r="Q68" s="41">
        <v>1.0</v>
      </c>
      <c r="R68" s="41">
        <v>0.0</v>
      </c>
      <c r="S68" s="41">
        <v>0.0</v>
      </c>
    </row>
    <row r="69" ht="12.75" customHeight="1">
      <c r="A69" s="20" t="s">
        <v>227</v>
      </c>
      <c r="B69" s="48" t="s">
        <v>61</v>
      </c>
      <c r="C69" s="52" t="s">
        <v>278</v>
      </c>
      <c r="D69" s="52" t="s">
        <v>393</v>
      </c>
      <c r="E69" s="21">
        <v>660.0</v>
      </c>
      <c r="F69" s="42">
        <v>1.0</v>
      </c>
      <c r="G69" s="43">
        <v>0.0</v>
      </c>
      <c r="H69" s="43">
        <v>0.0</v>
      </c>
      <c r="I69" s="43">
        <v>0.0</v>
      </c>
      <c r="J69" s="43">
        <v>0.0</v>
      </c>
      <c r="K69" s="43">
        <v>0.0</v>
      </c>
      <c r="L69" s="43">
        <v>0.0</v>
      </c>
      <c r="M69" s="43">
        <v>0.0</v>
      </c>
      <c r="N69" s="43">
        <v>0.0</v>
      </c>
      <c r="O69" s="43">
        <v>0.0</v>
      </c>
      <c r="P69" s="19" t="s">
        <v>58</v>
      </c>
      <c r="Q69" s="44">
        <v>0.0</v>
      </c>
      <c r="R69" s="44">
        <v>0.0</v>
      </c>
      <c r="S69" s="44">
        <v>0.0</v>
      </c>
    </row>
    <row r="70" ht="12.75" customHeight="1">
      <c r="A70" s="14" t="s">
        <v>83</v>
      </c>
      <c r="B70" s="48" t="s">
        <v>61</v>
      </c>
      <c r="C70" s="52" t="s">
        <v>275</v>
      </c>
      <c r="D70" s="52" t="s">
        <v>394</v>
      </c>
      <c r="E70" s="15">
        <v>710.0</v>
      </c>
      <c r="F70" s="38">
        <v>34.0</v>
      </c>
      <c r="G70" s="39">
        <v>8000.81799</v>
      </c>
      <c r="H70" s="39">
        <v>0.0</v>
      </c>
      <c r="I70" s="39">
        <v>0.0</v>
      </c>
      <c r="J70" s="39">
        <v>7.898</v>
      </c>
      <c r="K70" s="39">
        <v>0.0</v>
      </c>
      <c r="L70" s="39">
        <v>20.064</v>
      </c>
      <c r="M70" s="39">
        <v>8028.77999</v>
      </c>
      <c r="N70" s="39">
        <v>7976.47</v>
      </c>
      <c r="O70" s="39">
        <v>440.401</v>
      </c>
      <c r="P70" s="54">
        <v>50.7939393939394</v>
      </c>
      <c r="Q70" s="41">
        <v>0.9965</v>
      </c>
      <c r="R70" s="41">
        <v>0.001</v>
      </c>
      <c r="S70" s="41">
        <v>0.001</v>
      </c>
    </row>
    <row r="71" ht="12.75" customHeight="1">
      <c r="A71" s="20" t="s">
        <v>248</v>
      </c>
      <c r="B71" s="48" t="s">
        <v>61</v>
      </c>
      <c r="C71" s="52" t="s">
        <v>278</v>
      </c>
      <c r="D71" s="52" t="s">
        <v>395</v>
      </c>
      <c r="E71" s="21">
        <v>660.0</v>
      </c>
      <c r="F71" s="42">
        <v>11.0</v>
      </c>
      <c r="G71" s="43">
        <v>1296.18475</v>
      </c>
      <c r="H71" s="43">
        <v>0.0</v>
      </c>
      <c r="I71" s="43">
        <v>0.0</v>
      </c>
      <c r="J71" s="43">
        <v>0.0</v>
      </c>
      <c r="K71" s="43">
        <v>0.0</v>
      </c>
      <c r="L71" s="43">
        <v>0.0</v>
      </c>
      <c r="M71" s="43">
        <v>1296.18475</v>
      </c>
      <c r="N71" s="43">
        <v>1174.7611</v>
      </c>
      <c r="O71" s="43">
        <v>101.0</v>
      </c>
      <c r="P71" s="54">
        <v>59.4</v>
      </c>
      <c r="Q71" s="44">
        <v>1.0</v>
      </c>
      <c r="R71" s="44">
        <v>0.0</v>
      </c>
      <c r="S71" s="44">
        <v>0.0</v>
      </c>
    </row>
    <row r="72" ht="12.75" customHeight="1">
      <c r="A72" s="14" t="s">
        <v>84</v>
      </c>
      <c r="B72" s="48" t="s">
        <v>61</v>
      </c>
      <c r="C72" s="52" t="s">
        <v>278</v>
      </c>
      <c r="D72" s="52" t="s">
        <v>396</v>
      </c>
      <c r="E72" s="15">
        <v>1140.0</v>
      </c>
      <c r="F72" s="38">
        <v>34.0</v>
      </c>
      <c r="G72" s="39">
        <v>11126.191</v>
      </c>
      <c r="H72" s="39">
        <v>0.0</v>
      </c>
      <c r="I72" s="39">
        <v>0.0</v>
      </c>
      <c r="J72" s="39">
        <v>0.0</v>
      </c>
      <c r="K72" s="39">
        <v>4.145</v>
      </c>
      <c r="L72" s="39">
        <v>0.0</v>
      </c>
      <c r="M72" s="39">
        <v>11130.336</v>
      </c>
      <c r="N72" s="39">
        <v>11084.152</v>
      </c>
      <c r="O72" s="39">
        <v>161.257</v>
      </c>
      <c r="P72" s="54">
        <v>21.6393939393939</v>
      </c>
      <c r="Q72" s="41">
        <v>0.9996</v>
      </c>
      <c r="R72" s="41">
        <v>0.0</v>
      </c>
      <c r="S72" s="41">
        <v>4.0E-4</v>
      </c>
    </row>
    <row r="73" ht="12.75" customHeight="1">
      <c r="A73" s="20" t="s">
        <v>85</v>
      </c>
      <c r="B73" s="48" t="s">
        <v>61</v>
      </c>
      <c r="C73" s="52" t="s">
        <v>278</v>
      </c>
      <c r="D73" s="52" t="s">
        <v>397</v>
      </c>
      <c r="E73" s="21">
        <v>1980.0</v>
      </c>
      <c r="F73" s="42">
        <v>34.0</v>
      </c>
      <c r="G73" s="43">
        <v>21787.91168</v>
      </c>
      <c r="H73" s="43">
        <v>0.0</v>
      </c>
      <c r="I73" s="43">
        <v>0.0</v>
      </c>
      <c r="J73" s="43">
        <v>0.0</v>
      </c>
      <c r="K73" s="43">
        <v>0.0</v>
      </c>
      <c r="L73" s="43">
        <v>0.0</v>
      </c>
      <c r="M73" s="43">
        <v>21787.91168</v>
      </c>
      <c r="N73" s="43">
        <v>21690.7696</v>
      </c>
      <c r="O73" s="43">
        <v>607.11</v>
      </c>
      <c r="P73" s="54">
        <v>24.930303030303</v>
      </c>
      <c r="Q73" s="44">
        <v>1.0</v>
      </c>
      <c r="R73" s="44">
        <v>0.0</v>
      </c>
      <c r="S73" s="44">
        <v>0.0</v>
      </c>
    </row>
    <row r="74" ht="12.75" customHeight="1">
      <c r="A74" s="14" t="s">
        <v>86</v>
      </c>
      <c r="B74" s="48" t="s">
        <v>61</v>
      </c>
      <c r="C74" s="52" t="s">
        <v>275</v>
      </c>
      <c r="D74" s="52" t="s">
        <v>398</v>
      </c>
      <c r="E74" s="15">
        <v>1200.0</v>
      </c>
      <c r="F74" s="38">
        <v>34.0</v>
      </c>
      <c r="G74" s="39">
        <v>10071.999</v>
      </c>
      <c r="H74" s="39">
        <v>0.0</v>
      </c>
      <c r="I74" s="39">
        <v>0.0</v>
      </c>
      <c r="J74" s="39">
        <v>0.0</v>
      </c>
      <c r="K74" s="39">
        <v>0.0</v>
      </c>
      <c r="L74" s="39">
        <v>0.0</v>
      </c>
      <c r="M74" s="39">
        <v>10071.999</v>
      </c>
      <c r="N74" s="39">
        <v>9894.167</v>
      </c>
      <c r="O74" s="39">
        <v>645.859</v>
      </c>
      <c r="P74" s="54">
        <v>53.409375</v>
      </c>
      <c r="Q74" s="41">
        <v>1.0</v>
      </c>
      <c r="R74" s="41">
        <v>0.0</v>
      </c>
      <c r="S74" s="41">
        <v>0.0</v>
      </c>
    </row>
    <row r="75" ht="12.75" customHeight="1">
      <c r="A75" s="20" t="s">
        <v>87</v>
      </c>
      <c r="B75" s="48" t="s">
        <v>61</v>
      </c>
      <c r="C75" s="52" t="s">
        <v>276</v>
      </c>
      <c r="D75" s="52" t="s">
        <v>399</v>
      </c>
      <c r="E75" s="21">
        <v>1400.0</v>
      </c>
      <c r="F75" s="42">
        <v>34.0</v>
      </c>
      <c r="G75" s="43">
        <v>15957.38513</v>
      </c>
      <c r="H75" s="43">
        <v>0.0</v>
      </c>
      <c r="I75" s="43">
        <v>0.0</v>
      </c>
      <c r="J75" s="43">
        <v>38.63383</v>
      </c>
      <c r="K75" s="43">
        <v>0.0</v>
      </c>
      <c r="L75" s="43">
        <v>0.0</v>
      </c>
      <c r="M75" s="43">
        <v>15996.01896</v>
      </c>
      <c r="N75" s="43">
        <v>16036.1279</v>
      </c>
      <c r="O75" s="43">
        <v>392.78</v>
      </c>
      <c r="P75" s="54">
        <v>22.8272727272727</v>
      </c>
      <c r="Q75" s="44">
        <v>0.9976</v>
      </c>
      <c r="R75" s="44">
        <v>0.0024</v>
      </c>
      <c r="S75" s="44">
        <v>0.0024</v>
      </c>
    </row>
    <row r="76" ht="12.75" customHeight="1">
      <c r="A76" s="14" t="s">
        <v>88</v>
      </c>
      <c r="B76" s="48" t="s">
        <v>61</v>
      </c>
      <c r="C76" s="52" t="s">
        <v>278</v>
      </c>
      <c r="D76" s="52" t="s">
        <v>400</v>
      </c>
      <c r="E76" s="15">
        <v>3000.0</v>
      </c>
      <c r="F76" s="38">
        <v>34.0</v>
      </c>
      <c r="G76" s="39">
        <v>40233.94</v>
      </c>
      <c r="H76" s="39">
        <v>0.0</v>
      </c>
      <c r="I76" s="39">
        <v>0.0</v>
      </c>
      <c r="J76" s="39">
        <v>0.0</v>
      </c>
      <c r="K76" s="39">
        <v>0.0</v>
      </c>
      <c r="L76" s="39">
        <v>0.0</v>
      </c>
      <c r="M76" s="39">
        <v>40233.94</v>
      </c>
      <c r="N76" s="39">
        <v>40424.716</v>
      </c>
      <c r="O76" s="39">
        <v>864.23</v>
      </c>
      <c r="P76" s="54">
        <v>22.130303030303</v>
      </c>
      <c r="Q76" s="41">
        <v>1.0</v>
      </c>
      <c r="R76" s="41">
        <v>0.0</v>
      </c>
      <c r="S76" s="41">
        <v>0.0</v>
      </c>
    </row>
    <row r="77" ht="12.75" customHeight="1">
      <c r="A77" s="20" t="s">
        <v>89</v>
      </c>
      <c r="B77" s="48" t="s">
        <v>61</v>
      </c>
      <c r="C77" s="52" t="s">
        <v>276</v>
      </c>
      <c r="D77" s="52" t="s">
        <v>401</v>
      </c>
      <c r="E77" s="21">
        <v>840.0</v>
      </c>
      <c r="F77" s="42">
        <v>34.0</v>
      </c>
      <c r="G77" s="43">
        <v>2405.92581</v>
      </c>
      <c r="H77" s="43">
        <v>0.0</v>
      </c>
      <c r="I77" s="43">
        <v>5765.16499</v>
      </c>
      <c r="J77" s="43">
        <v>0.0</v>
      </c>
      <c r="K77" s="43">
        <v>0.0</v>
      </c>
      <c r="L77" s="43">
        <v>0.131</v>
      </c>
      <c r="M77" s="43">
        <v>8171.2218</v>
      </c>
      <c r="N77" s="43">
        <v>8116.9057</v>
      </c>
      <c r="O77" s="43">
        <v>413.15</v>
      </c>
      <c r="P77" s="54">
        <v>52.9242424242424</v>
      </c>
      <c r="Q77" s="44">
        <v>0.2944</v>
      </c>
      <c r="R77" s="44">
        <v>0.0</v>
      </c>
      <c r="S77" s="44">
        <v>0.0</v>
      </c>
    </row>
    <row r="78" ht="12.75" customHeight="1">
      <c r="A78" s="14" t="s">
        <v>90</v>
      </c>
      <c r="B78" s="48" t="s">
        <v>61</v>
      </c>
      <c r="C78" s="52" t="s">
        <v>278</v>
      </c>
      <c r="D78" s="52" t="s">
        <v>402</v>
      </c>
      <c r="E78" s="15">
        <v>1200.0</v>
      </c>
      <c r="F78" s="38">
        <v>34.0</v>
      </c>
      <c r="G78" s="39">
        <v>13489.15421</v>
      </c>
      <c r="H78" s="39">
        <v>0.0</v>
      </c>
      <c r="I78" s="39">
        <v>0.0</v>
      </c>
      <c r="J78" s="39">
        <v>0.0</v>
      </c>
      <c r="K78" s="39">
        <v>0.0</v>
      </c>
      <c r="L78" s="39">
        <v>0.0</v>
      </c>
      <c r="M78" s="39">
        <v>13489.15421</v>
      </c>
      <c r="N78" s="39">
        <v>13129.82</v>
      </c>
      <c r="O78" s="39">
        <v>553.01</v>
      </c>
      <c r="P78" s="54">
        <v>23.2575757575758</v>
      </c>
      <c r="Q78" s="41">
        <v>1.0</v>
      </c>
      <c r="R78" s="41">
        <v>0.0</v>
      </c>
      <c r="S78" s="41">
        <v>0.0</v>
      </c>
    </row>
    <row r="79" ht="12.75" customHeight="1">
      <c r="A79" s="20" t="s">
        <v>219</v>
      </c>
      <c r="B79" s="48" t="s">
        <v>61</v>
      </c>
      <c r="C79" s="52" t="s">
        <v>277</v>
      </c>
      <c r="D79" s="52" t="s">
        <v>403</v>
      </c>
      <c r="E79" s="21">
        <v>300.0</v>
      </c>
      <c r="F79" s="42">
        <v>28.0</v>
      </c>
      <c r="G79" s="43">
        <v>2.286</v>
      </c>
      <c r="H79" s="43">
        <v>0.0</v>
      </c>
      <c r="I79" s="43">
        <v>0.0</v>
      </c>
      <c r="J79" s="43">
        <v>26.0</v>
      </c>
      <c r="K79" s="43">
        <v>1096.861</v>
      </c>
      <c r="L79" s="43">
        <v>11.277</v>
      </c>
      <c r="M79" s="43">
        <v>1136.424</v>
      </c>
      <c r="N79" s="43">
        <v>1173.224</v>
      </c>
      <c r="O79" s="43">
        <v>0.0</v>
      </c>
      <c r="P79" s="17">
        <v>2.04782608695652</v>
      </c>
      <c r="Q79" s="44">
        <v>0.002</v>
      </c>
      <c r="R79" s="44">
        <v>0.0229</v>
      </c>
      <c r="S79" s="44">
        <v>0.9881</v>
      </c>
    </row>
    <row r="80" ht="12.75" customHeight="1">
      <c r="A80" s="14" t="s">
        <v>91</v>
      </c>
      <c r="B80" s="48" t="s">
        <v>61</v>
      </c>
      <c r="C80" s="52" t="s">
        <v>278</v>
      </c>
      <c r="D80" s="52" t="s">
        <v>404</v>
      </c>
      <c r="E80" s="15">
        <v>2000.0</v>
      </c>
      <c r="F80" s="38">
        <v>34.0</v>
      </c>
      <c r="G80" s="39">
        <v>28371.507</v>
      </c>
      <c r="H80" s="39">
        <v>0.0</v>
      </c>
      <c r="I80" s="39">
        <v>3.39</v>
      </c>
      <c r="J80" s="39">
        <v>0.0</v>
      </c>
      <c r="K80" s="39">
        <v>0.0</v>
      </c>
      <c r="L80" s="39">
        <v>0.0</v>
      </c>
      <c r="M80" s="39">
        <v>28374.897</v>
      </c>
      <c r="N80" s="39">
        <v>28357.826</v>
      </c>
      <c r="O80" s="39">
        <v>299.53</v>
      </c>
      <c r="P80" s="54">
        <v>14.4030303030303</v>
      </c>
      <c r="Q80" s="41">
        <v>0.9999</v>
      </c>
      <c r="R80" s="41">
        <v>0.0</v>
      </c>
      <c r="S80" s="41">
        <v>0.0</v>
      </c>
    </row>
    <row r="81" ht="12.75" customHeight="1">
      <c r="A81" s="20" t="s">
        <v>92</v>
      </c>
      <c r="B81" s="48" t="s">
        <v>61</v>
      </c>
      <c r="C81" s="52" t="s">
        <v>277</v>
      </c>
      <c r="D81" s="52" t="s">
        <v>405</v>
      </c>
      <c r="E81" s="21">
        <v>1320.0</v>
      </c>
      <c r="F81" s="42">
        <v>34.0</v>
      </c>
      <c r="G81" s="43">
        <v>5778.15723</v>
      </c>
      <c r="H81" s="43">
        <v>0.0</v>
      </c>
      <c r="I81" s="43">
        <v>6436.83193</v>
      </c>
      <c r="J81" s="43">
        <v>229.08151</v>
      </c>
      <c r="K81" s="43">
        <v>0.0</v>
      </c>
      <c r="L81" s="43">
        <v>0.0</v>
      </c>
      <c r="M81" s="43">
        <v>12444.07067</v>
      </c>
      <c r="N81" s="43">
        <v>12192.6955</v>
      </c>
      <c r="O81" s="43">
        <v>396.28</v>
      </c>
      <c r="P81" s="54">
        <v>20.7666666666667</v>
      </c>
      <c r="Q81" s="44">
        <v>0.4643</v>
      </c>
      <c r="R81" s="44">
        <v>0.0184</v>
      </c>
      <c r="S81" s="44">
        <v>0.0184</v>
      </c>
    </row>
    <row r="82" ht="12.75" customHeight="1">
      <c r="A82" s="14" t="s">
        <v>93</v>
      </c>
      <c r="B82" s="48" t="s">
        <v>61</v>
      </c>
      <c r="C82" s="52" t="s">
        <v>277</v>
      </c>
      <c r="D82" s="52" t="s">
        <v>406</v>
      </c>
      <c r="E82" s="15">
        <v>1500.0</v>
      </c>
      <c r="F82" s="38">
        <v>34.0</v>
      </c>
      <c r="G82" s="39">
        <v>13825.621</v>
      </c>
      <c r="H82" s="39">
        <v>0.0</v>
      </c>
      <c r="I82" s="39">
        <v>377.751</v>
      </c>
      <c r="J82" s="39">
        <v>19.878</v>
      </c>
      <c r="K82" s="39">
        <v>0.0</v>
      </c>
      <c r="L82" s="39">
        <v>11.84</v>
      </c>
      <c r="M82" s="39">
        <v>14235.09</v>
      </c>
      <c r="N82" s="39">
        <v>13944.8</v>
      </c>
      <c r="O82" s="39">
        <v>356.38</v>
      </c>
      <c r="P82" s="54">
        <v>26.5272727272727</v>
      </c>
      <c r="Q82" s="41">
        <v>0.9712</v>
      </c>
      <c r="R82" s="41">
        <v>0.0014</v>
      </c>
      <c r="S82" s="41">
        <v>0.0014</v>
      </c>
    </row>
    <row r="83" ht="12.75" customHeight="1">
      <c r="A83" s="20" t="s">
        <v>94</v>
      </c>
      <c r="B83" s="48" t="s">
        <v>61</v>
      </c>
      <c r="C83" s="52" t="s">
        <v>276</v>
      </c>
      <c r="D83" s="52" t="s">
        <v>407</v>
      </c>
      <c r="E83" s="21">
        <v>1980.0</v>
      </c>
      <c r="F83" s="42">
        <v>34.0</v>
      </c>
      <c r="G83" s="43">
        <v>20679.63695</v>
      </c>
      <c r="H83" s="43">
        <v>0.0</v>
      </c>
      <c r="I83" s="43">
        <v>0.0</v>
      </c>
      <c r="J83" s="43">
        <v>7.917</v>
      </c>
      <c r="K83" s="43">
        <v>0.0</v>
      </c>
      <c r="L83" s="43">
        <v>0.0</v>
      </c>
      <c r="M83" s="43">
        <v>20687.55395</v>
      </c>
      <c r="N83" s="43">
        <v>20520.55</v>
      </c>
      <c r="O83" s="43">
        <v>369.14</v>
      </c>
      <c r="P83" s="53">
        <v>12.8121212121212</v>
      </c>
      <c r="Q83" s="44">
        <v>0.9996</v>
      </c>
      <c r="R83" s="44">
        <v>4.0E-4</v>
      </c>
      <c r="S83" s="44">
        <v>4.0E-4</v>
      </c>
    </row>
    <row r="84" ht="12.75" customHeight="1">
      <c r="A84" s="14" t="s">
        <v>95</v>
      </c>
      <c r="B84" s="48" t="s">
        <v>61</v>
      </c>
      <c r="C84" s="52" t="s">
        <v>278</v>
      </c>
      <c r="D84" s="52" t="s">
        <v>408</v>
      </c>
      <c r="E84" s="15">
        <v>1760.0</v>
      </c>
      <c r="F84" s="38">
        <v>34.0</v>
      </c>
      <c r="G84" s="39">
        <v>11076.78129</v>
      </c>
      <c r="H84" s="39">
        <v>4.13</v>
      </c>
      <c r="I84" s="39">
        <v>6680.36441</v>
      </c>
      <c r="J84" s="39">
        <v>687.621</v>
      </c>
      <c r="K84" s="39">
        <v>318.69</v>
      </c>
      <c r="L84" s="39">
        <v>413.12</v>
      </c>
      <c r="M84" s="39">
        <v>19180.7067</v>
      </c>
      <c r="N84" s="39">
        <v>18874.1331</v>
      </c>
      <c r="O84" s="39">
        <v>477.1</v>
      </c>
      <c r="P84" s="54">
        <v>29.0545454545455</v>
      </c>
      <c r="Q84" s="41">
        <v>0.5775</v>
      </c>
      <c r="R84" s="41">
        <v>0.0358</v>
      </c>
      <c r="S84" s="41">
        <v>0.0524</v>
      </c>
    </row>
    <row r="85" ht="12.75" customHeight="1">
      <c r="A85" s="20" t="s">
        <v>96</v>
      </c>
      <c r="B85" s="48" t="s">
        <v>61</v>
      </c>
      <c r="C85" s="52" t="s">
        <v>278</v>
      </c>
      <c r="D85" s="52" t="s">
        <v>409</v>
      </c>
      <c r="E85" s="21">
        <v>1550.0</v>
      </c>
      <c r="F85" s="42">
        <v>34.0</v>
      </c>
      <c r="G85" s="43">
        <v>13427.33</v>
      </c>
      <c r="H85" s="43">
        <v>16.4</v>
      </c>
      <c r="I85" s="43">
        <v>3633.62</v>
      </c>
      <c r="J85" s="43">
        <v>343.172</v>
      </c>
      <c r="K85" s="43">
        <v>306.095</v>
      </c>
      <c r="L85" s="43">
        <v>526.63</v>
      </c>
      <c r="M85" s="43">
        <v>18253.247</v>
      </c>
      <c r="N85" s="43">
        <v>17842.698</v>
      </c>
      <c r="O85" s="43">
        <v>396.53</v>
      </c>
      <c r="P85" s="54">
        <v>20.8787878787879</v>
      </c>
      <c r="Q85" s="44">
        <v>0.7356</v>
      </c>
      <c r="R85" s="44">
        <v>0.0188</v>
      </c>
      <c r="S85" s="44">
        <v>0.0356</v>
      </c>
    </row>
    <row r="86" ht="12.75" customHeight="1">
      <c r="A86" s="14" t="s">
        <v>97</v>
      </c>
      <c r="B86" s="48" t="s">
        <v>61</v>
      </c>
      <c r="C86" s="52" t="s">
        <v>278</v>
      </c>
      <c r="D86" s="52" t="s">
        <v>410</v>
      </c>
      <c r="E86" s="15">
        <v>90.0</v>
      </c>
      <c r="F86" s="38">
        <v>34.0</v>
      </c>
      <c r="G86" s="39">
        <v>791.501</v>
      </c>
      <c r="H86" s="39">
        <v>0.0</v>
      </c>
      <c r="I86" s="39">
        <v>0.0</v>
      </c>
      <c r="J86" s="39">
        <v>0.0</v>
      </c>
      <c r="K86" s="39">
        <v>0.0</v>
      </c>
      <c r="L86" s="39">
        <v>0.0</v>
      </c>
      <c r="M86" s="39">
        <v>791.501</v>
      </c>
      <c r="N86" s="39">
        <v>804.487</v>
      </c>
      <c r="O86" s="39">
        <v>54.27</v>
      </c>
      <c r="P86" s="54">
        <v>125.806060606061</v>
      </c>
      <c r="Q86" s="41">
        <v>1.0</v>
      </c>
      <c r="R86" s="41">
        <v>0.0</v>
      </c>
      <c r="S86" s="41">
        <v>0.0</v>
      </c>
    </row>
    <row r="87" ht="12.75" customHeight="1">
      <c r="A87" s="20" t="s">
        <v>98</v>
      </c>
      <c r="B87" s="48" t="s">
        <v>61</v>
      </c>
      <c r="C87" s="52" t="s">
        <v>275</v>
      </c>
      <c r="D87" s="52" t="s">
        <v>411</v>
      </c>
      <c r="E87" s="21">
        <v>600.0</v>
      </c>
      <c r="F87" s="42">
        <v>34.0</v>
      </c>
      <c r="G87" s="43">
        <v>7472.561</v>
      </c>
      <c r="H87" s="43">
        <v>0.0</v>
      </c>
      <c r="I87" s="43">
        <v>0.0</v>
      </c>
      <c r="J87" s="43">
        <v>0.0</v>
      </c>
      <c r="K87" s="43">
        <v>0.0</v>
      </c>
      <c r="L87" s="43">
        <v>0.0</v>
      </c>
      <c r="M87" s="43">
        <v>7472.561</v>
      </c>
      <c r="N87" s="43">
        <v>7309.371</v>
      </c>
      <c r="O87" s="43">
        <v>410.08</v>
      </c>
      <c r="P87" s="54">
        <v>76.7181818181818</v>
      </c>
      <c r="Q87" s="44">
        <v>1.0</v>
      </c>
      <c r="R87" s="44">
        <v>0.0</v>
      </c>
      <c r="S87" s="44">
        <v>0.0</v>
      </c>
    </row>
    <row r="88" ht="15.75" customHeight="1">
      <c r="A88" s="56" t="s">
        <v>412</v>
      </c>
      <c r="B88" s="56"/>
      <c r="C88" s="56"/>
      <c r="D88" s="56"/>
      <c r="E88" s="56"/>
      <c r="F88" s="56"/>
      <c r="G88" s="56"/>
      <c r="H88" s="56"/>
      <c r="I88" s="56"/>
      <c r="J88" s="56"/>
      <c r="K88" s="56"/>
      <c r="L88" s="56"/>
      <c r="M88" s="56"/>
      <c r="N88" s="56"/>
      <c r="O88" s="56"/>
      <c r="P88" s="56"/>
      <c r="Q88" s="56"/>
      <c r="R88" s="56"/>
      <c r="S88" s="56"/>
    </row>
    <row r="89" ht="12.75" customHeight="1">
      <c r="A89" s="20" t="s">
        <v>210</v>
      </c>
      <c r="B89" s="49" t="s">
        <v>99</v>
      </c>
      <c r="C89" s="52" t="s">
        <v>284</v>
      </c>
      <c r="D89" s="52" t="s">
        <v>413</v>
      </c>
      <c r="E89" s="21">
        <v>1200.0</v>
      </c>
      <c r="F89" s="42">
        <v>22.0</v>
      </c>
      <c r="G89" s="43">
        <v>0.0</v>
      </c>
      <c r="H89" s="43">
        <v>0.0</v>
      </c>
      <c r="I89" s="43">
        <v>0.0</v>
      </c>
      <c r="J89" s="43">
        <v>1403.463</v>
      </c>
      <c r="K89" s="43">
        <v>3622.008</v>
      </c>
      <c r="L89" s="43">
        <v>0.0</v>
      </c>
      <c r="M89" s="43">
        <v>5025.471</v>
      </c>
      <c r="N89" s="43">
        <v>4680.985</v>
      </c>
      <c r="O89" s="43">
        <v>151.11</v>
      </c>
      <c r="P89" s="54">
        <v>24.1476190476191</v>
      </c>
      <c r="Q89" s="44">
        <v>0.0</v>
      </c>
      <c r="R89" s="44">
        <v>0.2793</v>
      </c>
      <c r="S89" s="44">
        <v>1.0</v>
      </c>
    </row>
    <row r="90" ht="12.75" customHeight="1">
      <c r="A90" s="14" t="s">
        <v>100</v>
      </c>
      <c r="B90" s="49" t="s">
        <v>99</v>
      </c>
      <c r="C90" s="52" t="s">
        <v>284</v>
      </c>
      <c r="D90" s="52" t="s">
        <v>414</v>
      </c>
      <c r="E90" s="15">
        <v>1700.0</v>
      </c>
      <c r="F90" s="38">
        <v>34.0</v>
      </c>
      <c r="G90" s="39">
        <v>4166.39062</v>
      </c>
      <c r="H90" s="39">
        <v>4994.57812</v>
      </c>
      <c r="I90" s="39">
        <v>9008.63485</v>
      </c>
      <c r="J90" s="39">
        <v>0.0</v>
      </c>
      <c r="K90" s="39">
        <v>237.49708</v>
      </c>
      <c r="L90" s="39">
        <v>0.0</v>
      </c>
      <c r="M90" s="39">
        <v>18407.10067</v>
      </c>
      <c r="N90" s="39">
        <v>18183.6899</v>
      </c>
      <c r="O90" s="39">
        <v>206.0725</v>
      </c>
      <c r="P90" s="54">
        <v>15.3606060606061</v>
      </c>
      <c r="Q90" s="41">
        <v>0.2263</v>
      </c>
      <c r="R90" s="41">
        <v>0.0</v>
      </c>
      <c r="S90" s="41">
        <v>0.0129</v>
      </c>
    </row>
    <row r="91" ht="12.75" customHeight="1">
      <c r="A91" s="20" t="s">
        <v>101</v>
      </c>
      <c r="B91" s="49" t="s">
        <v>99</v>
      </c>
      <c r="C91" s="52" t="s">
        <v>286</v>
      </c>
      <c r="D91" s="52" t="s">
        <v>415</v>
      </c>
      <c r="E91" s="21">
        <v>1080.0</v>
      </c>
      <c r="F91" s="42">
        <v>34.0</v>
      </c>
      <c r="G91" s="43">
        <v>0.0</v>
      </c>
      <c r="H91" s="43">
        <v>12453.407</v>
      </c>
      <c r="I91" s="43">
        <v>0.0</v>
      </c>
      <c r="J91" s="43">
        <v>0.0</v>
      </c>
      <c r="K91" s="43">
        <v>0.0</v>
      </c>
      <c r="L91" s="43">
        <v>0.0</v>
      </c>
      <c r="M91" s="43">
        <v>12453.407</v>
      </c>
      <c r="N91" s="43">
        <v>12403.823</v>
      </c>
      <c r="O91" s="43">
        <v>107.56</v>
      </c>
      <c r="P91" s="54">
        <v>18.4757575757576</v>
      </c>
      <c r="Q91" s="44">
        <v>0.0</v>
      </c>
      <c r="R91" s="44">
        <v>0.0</v>
      </c>
      <c r="S91" s="44">
        <v>0.0</v>
      </c>
    </row>
    <row r="92" ht="12.75" customHeight="1">
      <c r="A92" s="14" t="s">
        <v>102</v>
      </c>
      <c r="B92" s="49" t="s">
        <v>99</v>
      </c>
      <c r="C92" s="52" t="s">
        <v>283</v>
      </c>
      <c r="D92" s="52" t="s">
        <v>416</v>
      </c>
      <c r="E92" s="15">
        <v>2400.0</v>
      </c>
      <c r="F92" s="38">
        <v>34.0</v>
      </c>
      <c r="G92" s="39">
        <v>19399.59316</v>
      </c>
      <c r="H92" s="39">
        <v>0.0</v>
      </c>
      <c r="I92" s="39">
        <v>0.0</v>
      </c>
      <c r="J92" s="39">
        <v>542.28283</v>
      </c>
      <c r="K92" s="39">
        <v>308.14005</v>
      </c>
      <c r="L92" s="39">
        <v>0.0</v>
      </c>
      <c r="M92" s="39">
        <v>20250.01604</v>
      </c>
      <c r="N92" s="39">
        <v>20095.1034</v>
      </c>
      <c r="O92" s="39">
        <v>199.71</v>
      </c>
      <c r="P92" s="17">
        <v>4.57575757575758</v>
      </c>
      <c r="Q92" s="41">
        <v>0.958</v>
      </c>
      <c r="R92" s="41">
        <v>0.0268</v>
      </c>
      <c r="S92" s="41">
        <v>0.042</v>
      </c>
    </row>
    <row r="93" ht="12.75" customHeight="1">
      <c r="A93" s="20" t="s">
        <v>103</v>
      </c>
      <c r="B93" s="49" t="s">
        <v>99</v>
      </c>
      <c r="C93" s="52" t="s">
        <v>283</v>
      </c>
      <c r="D93" s="52" t="s">
        <v>417</v>
      </c>
      <c r="E93" s="21">
        <v>1760.0</v>
      </c>
      <c r="F93" s="42">
        <v>34.0</v>
      </c>
      <c r="G93" s="43">
        <v>23904.57771</v>
      </c>
      <c r="H93" s="43">
        <v>7806.29914</v>
      </c>
      <c r="I93" s="43">
        <v>0.0</v>
      </c>
      <c r="J93" s="43">
        <v>0.0</v>
      </c>
      <c r="K93" s="43">
        <v>0.0</v>
      </c>
      <c r="L93" s="43">
        <v>0.0</v>
      </c>
      <c r="M93" s="43">
        <v>31710.87685</v>
      </c>
      <c r="N93" s="43">
        <v>31066.808</v>
      </c>
      <c r="O93" s="43">
        <v>570.6</v>
      </c>
      <c r="P93" s="53">
        <v>7.51212121212121</v>
      </c>
      <c r="Q93" s="44">
        <v>0.7538</v>
      </c>
      <c r="R93" s="44">
        <v>0.0</v>
      </c>
      <c r="S93" s="44">
        <v>0.0</v>
      </c>
    </row>
    <row r="94" ht="12.75" customHeight="1">
      <c r="A94" s="14" t="s">
        <v>104</v>
      </c>
      <c r="B94" s="49" t="s">
        <v>99</v>
      </c>
      <c r="C94" s="52" t="s">
        <v>285</v>
      </c>
      <c r="D94" s="52" t="s">
        <v>418</v>
      </c>
      <c r="E94" s="15">
        <v>1200.0</v>
      </c>
      <c r="F94" s="38">
        <v>34.0</v>
      </c>
      <c r="G94" s="39">
        <v>0.0</v>
      </c>
      <c r="H94" s="39">
        <v>0.0</v>
      </c>
      <c r="I94" s="39">
        <v>0.0</v>
      </c>
      <c r="J94" s="39">
        <v>2685.4009</v>
      </c>
      <c r="K94" s="39">
        <v>8528.5553</v>
      </c>
      <c r="L94" s="39">
        <v>0.0</v>
      </c>
      <c r="M94" s="39">
        <v>11213.9562</v>
      </c>
      <c r="N94" s="39">
        <v>10997.8925</v>
      </c>
      <c r="O94" s="39">
        <v>501.2959</v>
      </c>
      <c r="P94" s="54">
        <v>31.6272727272727</v>
      </c>
      <c r="Q94" s="41">
        <v>0.0</v>
      </c>
      <c r="R94" s="41">
        <v>0.2395</v>
      </c>
      <c r="S94" s="41">
        <v>1.0</v>
      </c>
    </row>
    <row r="95" ht="12.75" customHeight="1">
      <c r="A95" s="20" t="s">
        <v>105</v>
      </c>
      <c r="B95" s="49" t="s">
        <v>99</v>
      </c>
      <c r="C95" s="52" t="s">
        <v>286</v>
      </c>
      <c r="D95" s="52" t="s">
        <v>419</v>
      </c>
      <c r="E95" s="21">
        <v>1100.0</v>
      </c>
      <c r="F95" s="42">
        <v>34.0</v>
      </c>
      <c r="G95" s="43">
        <v>0.0</v>
      </c>
      <c r="H95" s="43">
        <v>8001.37</v>
      </c>
      <c r="I95" s="43">
        <v>4109.55</v>
      </c>
      <c r="J95" s="43">
        <v>0.0</v>
      </c>
      <c r="K95" s="43">
        <v>0.0</v>
      </c>
      <c r="L95" s="43">
        <v>0.0</v>
      </c>
      <c r="M95" s="43">
        <v>12110.92</v>
      </c>
      <c r="N95" s="43">
        <v>12190.211</v>
      </c>
      <c r="O95" s="43">
        <v>254.506</v>
      </c>
      <c r="P95" s="54">
        <v>26.3242424242424</v>
      </c>
      <c r="Q95" s="44">
        <v>0.0</v>
      </c>
      <c r="R95" s="44">
        <v>0.0</v>
      </c>
      <c r="S95" s="44">
        <v>0.0</v>
      </c>
    </row>
    <row r="96" ht="12.75" customHeight="1">
      <c r="A96" s="14" t="s">
        <v>106</v>
      </c>
      <c r="B96" s="49" t="s">
        <v>99</v>
      </c>
      <c r="C96" s="52" t="s">
        <v>286</v>
      </c>
      <c r="D96" s="52" t="s">
        <v>420</v>
      </c>
      <c r="E96" s="15">
        <v>1000.0</v>
      </c>
      <c r="F96" s="38">
        <v>34.0</v>
      </c>
      <c r="G96" s="39">
        <v>0.0</v>
      </c>
      <c r="H96" s="39">
        <v>11939.318</v>
      </c>
      <c r="I96" s="39">
        <v>0.0</v>
      </c>
      <c r="J96" s="39">
        <v>0.0</v>
      </c>
      <c r="K96" s="39">
        <v>0.0</v>
      </c>
      <c r="L96" s="39">
        <v>0.0</v>
      </c>
      <c r="M96" s="39">
        <v>11939.318</v>
      </c>
      <c r="N96" s="39">
        <v>11940.698</v>
      </c>
      <c r="O96" s="39">
        <v>193.051</v>
      </c>
      <c r="P96" s="54">
        <v>25.2545454545455</v>
      </c>
      <c r="Q96" s="41">
        <v>0.0</v>
      </c>
      <c r="R96" s="41">
        <v>0.0</v>
      </c>
      <c r="S96" s="41">
        <v>0.0</v>
      </c>
    </row>
    <row r="97" ht="12.75" customHeight="1">
      <c r="A97" s="20" t="s">
        <v>107</v>
      </c>
      <c r="B97" s="49" t="s">
        <v>99</v>
      </c>
      <c r="C97" s="52" t="s">
        <v>286</v>
      </c>
      <c r="D97" s="52" t="s">
        <v>420</v>
      </c>
      <c r="E97" s="21">
        <v>800.0</v>
      </c>
      <c r="F97" s="42">
        <v>34.0</v>
      </c>
      <c r="G97" s="43">
        <v>0.0</v>
      </c>
      <c r="H97" s="43">
        <v>8254.225</v>
      </c>
      <c r="I97" s="43">
        <v>0.0</v>
      </c>
      <c r="J97" s="43">
        <v>0.0</v>
      </c>
      <c r="K97" s="43">
        <v>0.0</v>
      </c>
      <c r="L97" s="43">
        <v>0.0</v>
      </c>
      <c r="M97" s="43">
        <v>8254.225</v>
      </c>
      <c r="N97" s="43">
        <v>8137.3041</v>
      </c>
      <c r="O97" s="43">
        <v>157.679</v>
      </c>
      <c r="P97" s="54">
        <v>17.269696969697</v>
      </c>
      <c r="Q97" s="44">
        <v>0.0</v>
      </c>
      <c r="R97" s="44">
        <v>0.0</v>
      </c>
      <c r="S97" s="44">
        <v>0.0</v>
      </c>
    </row>
    <row r="98" ht="12.75" customHeight="1">
      <c r="A98" s="14" t="s">
        <v>108</v>
      </c>
      <c r="B98" s="49" t="s">
        <v>99</v>
      </c>
      <c r="C98" s="52" t="s">
        <v>284</v>
      </c>
      <c r="D98" s="52" t="s">
        <v>421</v>
      </c>
      <c r="E98" s="15">
        <v>2400.0</v>
      </c>
      <c r="F98" s="38">
        <v>34.0</v>
      </c>
      <c r="G98" s="39">
        <v>10264.03438</v>
      </c>
      <c r="H98" s="39">
        <v>6340.68306</v>
      </c>
      <c r="I98" s="39">
        <v>3976.85588</v>
      </c>
      <c r="J98" s="39">
        <v>723.0758</v>
      </c>
      <c r="K98" s="39">
        <v>948.215</v>
      </c>
      <c r="L98" s="39">
        <v>443.28</v>
      </c>
      <c r="M98" s="39">
        <v>22696.14412</v>
      </c>
      <c r="N98" s="39">
        <v>22267.7349</v>
      </c>
      <c r="O98" s="39">
        <v>508.35</v>
      </c>
      <c r="P98" s="54">
        <v>21.6424242424242</v>
      </c>
      <c r="Q98" s="41">
        <v>0.4522</v>
      </c>
      <c r="R98" s="41">
        <v>0.0319</v>
      </c>
      <c r="S98" s="41">
        <v>0.0737</v>
      </c>
    </row>
    <row r="99" ht="12.75" customHeight="1">
      <c r="A99" s="20" t="s">
        <v>231</v>
      </c>
      <c r="B99" s="49" t="s">
        <v>99</v>
      </c>
      <c r="C99" s="52" t="s">
        <v>284</v>
      </c>
      <c r="D99" s="52" t="s">
        <v>413</v>
      </c>
      <c r="E99" s="21">
        <v>1200.0</v>
      </c>
      <c r="F99" s="42">
        <v>9.0</v>
      </c>
      <c r="G99" s="43">
        <v>0.0</v>
      </c>
      <c r="H99" s="43">
        <v>0.0</v>
      </c>
      <c r="I99" s="43">
        <v>0.0</v>
      </c>
      <c r="J99" s="43">
        <v>0.0</v>
      </c>
      <c r="K99" s="43">
        <v>1342.497</v>
      </c>
      <c r="L99" s="43">
        <v>0.0</v>
      </c>
      <c r="M99" s="43">
        <v>1342.497</v>
      </c>
      <c r="N99" s="43">
        <v>1581.541</v>
      </c>
      <c r="O99" s="43">
        <v>51.72</v>
      </c>
      <c r="P99" s="54">
        <v>100.5</v>
      </c>
      <c r="Q99" s="44">
        <v>0.0</v>
      </c>
      <c r="R99" s="44">
        <v>0.0</v>
      </c>
      <c r="S99" s="44">
        <v>1.0</v>
      </c>
    </row>
    <row r="100" ht="12.75" customHeight="1">
      <c r="A100" s="14" t="s">
        <v>266</v>
      </c>
      <c r="B100" s="49" t="s">
        <v>99</v>
      </c>
      <c r="C100" s="52" t="s">
        <v>283</v>
      </c>
      <c r="D100" s="52" t="s">
        <v>422</v>
      </c>
      <c r="E100" s="15">
        <v>1000.0</v>
      </c>
      <c r="F100" s="38">
        <v>1.0</v>
      </c>
      <c r="G100" s="39">
        <v>14.766</v>
      </c>
      <c r="H100" s="39">
        <v>0.0</v>
      </c>
      <c r="I100" s="39">
        <v>0.0</v>
      </c>
      <c r="J100" s="39">
        <v>26.5048</v>
      </c>
      <c r="K100" s="39">
        <v>50.05614</v>
      </c>
      <c r="L100" s="39">
        <v>0.0</v>
      </c>
      <c r="M100" s="39">
        <v>91.32694</v>
      </c>
      <c r="N100" s="39">
        <v>104.983</v>
      </c>
      <c r="O100" s="39">
        <v>28.533</v>
      </c>
      <c r="P100" s="53">
        <v>8.2</v>
      </c>
      <c r="Q100" s="41">
        <v>0.1617</v>
      </c>
      <c r="R100" s="41">
        <v>0.2902</v>
      </c>
      <c r="S100" s="41">
        <v>0.8383</v>
      </c>
    </row>
    <row r="101" ht="12.75" customHeight="1">
      <c r="A101" s="20" t="s">
        <v>109</v>
      </c>
      <c r="B101" s="49" t="s">
        <v>99</v>
      </c>
      <c r="C101" s="52" t="s">
        <v>285</v>
      </c>
      <c r="D101" s="52" t="s">
        <v>423</v>
      </c>
      <c r="E101" s="21">
        <v>840.0</v>
      </c>
      <c r="F101" s="42">
        <v>34.0</v>
      </c>
      <c r="G101" s="43">
        <v>9281.84713</v>
      </c>
      <c r="H101" s="43">
        <v>2442.8427</v>
      </c>
      <c r="I101" s="43">
        <v>0.0</v>
      </c>
      <c r="J101" s="43">
        <v>83.2287</v>
      </c>
      <c r="K101" s="43">
        <v>226.6579</v>
      </c>
      <c r="L101" s="43">
        <v>0.0</v>
      </c>
      <c r="M101" s="43">
        <v>12034.57643</v>
      </c>
      <c r="N101" s="43">
        <v>12094.556</v>
      </c>
      <c r="O101" s="43">
        <v>187.0</v>
      </c>
      <c r="P101" s="53">
        <v>13.9727272727273</v>
      </c>
      <c r="Q101" s="44">
        <v>0.7713</v>
      </c>
      <c r="R101" s="44">
        <v>0.0069</v>
      </c>
      <c r="S101" s="44">
        <v>0.0257</v>
      </c>
    </row>
    <row r="102" ht="12.75" customHeight="1">
      <c r="A102" s="14" t="s">
        <v>110</v>
      </c>
      <c r="B102" s="49" t="s">
        <v>99</v>
      </c>
      <c r="C102" s="52" t="s">
        <v>285</v>
      </c>
      <c r="D102" s="52" t="s">
        <v>423</v>
      </c>
      <c r="E102" s="15">
        <v>600.0</v>
      </c>
      <c r="F102" s="38">
        <v>31.0</v>
      </c>
      <c r="G102" s="39">
        <v>4545.861</v>
      </c>
      <c r="H102" s="39">
        <v>1182.082</v>
      </c>
      <c r="I102" s="39">
        <v>0.0</v>
      </c>
      <c r="J102" s="39">
        <v>432.944</v>
      </c>
      <c r="K102" s="39">
        <v>133.242</v>
      </c>
      <c r="L102" s="39">
        <v>0.0</v>
      </c>
      <c r="M102" s="39">
        <v>6294.129</v>
      </c>
      <c r="N102" s="39">
        <v>6123.2701</v>
      </c>
      <c r="O102" s="39">
        <v>189.85</v>
      </c>
      <c r="P102" s="54">
        <v>223.756666666667</v>
      </c>
      <c r="Q102" s="41">
        <v>0.7222</v>
      </c>
      <c r="R102" s="41">
        <v>0.0688</v>
      </c>
      <c r="S102" s="41">
        <v>0.09</v>
      </c>
    </row>
    <row r="103" ht="12.75" customHeight="1">
      <c r="A103" s="20" t="s">
        <v>261</v>
      </c>
      <c r="B103" s="49" t="s">
        <v>99</v>
      </c>
      <c r="C103" s="52" t="s">
        <v>285</v>
      </c>
      <c r="D103" s="52" t="s">
        <v>423</v>
      </c>
      <c r="E103" s="21">
        <v>600.0</v>
      </c>
      <c r="F103" s="42">
        <v>3.0</v>
      </c>
      <c r="G103" s="43">
        <v>346.17</v>
      </c>
      <c r="H103" s="43">
        <v>0.0</v>
      </c>
      <c r="I103" s="43">
        <v>0.0</v>
      </c>
      <c r="J103" s="43">
        <v>0.0</v>
      </c>
      <c r="K103" s="43">
        <v>0.0</v>
      </c>
      <c r="L103" s="43">
        <v>0.0</v>
      </c>
      <c r="M103" s="43">
        <v>346.17</v>
      </c>
      <c r="N103" s="43">
        <v>347.919</v>
      </c>
      <c r="O103" s="43">
        <v>188.21</v>
      </c>
      <c r="P103" s="54">
        <v>2386.9</v>
      </c>
      <c r="Q103" s="44">
        <v>1.0</v>
      </c>
      <c r="R103" s="44">
        <v>0.0</v>
      </c>
      <c r="S103" s="44">
        <v>0.0</v>
      </c>
    </row>
    <row r="104" ht="12.75" customHeight="1">
      <c r="A104" s="14" t="s">
        <v>111</v>
      </c>
      <c r="B104" s="49" t="s">
        <v>99</v>
      </c>
      <c r="C104" s="52" t="s">
        <v>285</v>
      </c>
      <c r="D104" s="52" t="s">
        <v>424</v>
      </c>
      <c r="E104" s="15">
        <v>1200.0</v>
      </c>
      <c r="F104" s="38">
        <v>34.0</v>
      </c>
      <c r="G104" s="39">
        <v>704.787</v>
      </c>
      <c r="H104" s="39">
        <v>0.0</v>
      </c>
      <c r="I104" s="39">
        <v>0.0</v>
      </c>
      <c r="J104" s="39">
        <v>2435.57148</v>
      </c>
      <c r="K104" s="39">
        <v>6606.727</v>
      </c>
      <c r="L104" s="39">
        <v>0.0</v>
      </c>
      <c r="M104" s="39">
        <v>9747.08548</v>
      </c>
      <c r="N104" s="39">
        <v>9657.973</v>
      </c>
      <c r="O104" s="39">
        <v>197.4</v>
      </c>
      <c r="P104" s="54">
        <v>19.1454545454545</v>
      </c>
      <c r="Q104" s="41">
        <v>0.0723</v>
      </c>
      <c r="R104" s="41">
        <v>0.2499</v>
      </c>
      <c r="S104" s="41">
        <v>0.9277</v>
      </c>
    </row>
    <row r="105" ht="12.75" customHeight="1">
      <c r="A105" s="20" t="s">
        <v>112</v>
      </c>
      <c r="B105" s="49" t="s">
        <v>99</v>
      </c>
      <c r="C105" s="52" t="s">
        <v>285</v>
      </c>
      <c r="D105" s="52" t="s">
        <v>425</v>
      </c>
      <c r="E105" s="21">
        <v>1830.0</v>
      </c>
      <c r="F105" s="42">
        <v>31.0</v>
      </c>
      <c r="G105" s="43">
        <v>21213.043</v>
      </c>
      <c r="H105" s="43">
        <v>0.0</v>
      </c>
      <c r="I105" s="43">
        <v>0.0</v>
      </c>
      <c r="J105" s="43">
        <v>693.425</v>
      </c>
      <c r="K105" s="43">
        <v>674.532</v>
      </c>
      <c r="L105" s="43">
        <v>0.0</v>
      </c>
      <c r="M105" s="43">
        <v>22581.0</v>
      </c>
      <c r="N105" s="43">
        <v>22344.9504</v>
      </c>
      <c r="O105" s="43">
        <v>267.959</v>
      </c>
      <c r="P105" s="54">
        <v>16.57</v>
      </c>
      <c r="Q105" s="44">
        <v>0.9394</v>
      </c>
      <c r="R105" s="44">
        <v>0.0307</v>
      </c>
      <c r="S105" s="44">
        <v>0.0606</v>
      </c>
    </row>
    <row r="106" ht="12.75" customHeight="1">
      <c r="A106" s="14" t="s">
        <v>262</v>
      </c>
      <c r="B106" s="49" t="s">
        <v>99</v>
      </c>
      <c r="C106" s="52" t="s">
        <v>285</v>
      </c>
      <c r="D106" s="52" t="s">
        <v>425</v>
      </c>
      <c r="E106" s="15">
        <v>630.0</v>
      </c>
      <c r="F106" s="38">
        <v>3.0</v>
      </c>
      <c r="G106" s="39">
        <v>953.945</v>
      </c>
      <c r="H106" s="39">
        <v>0.0</v>
      </c>
      <c r="I106" s="39">
        <v>0.0</v>
      </c>
      <c r="J106" s="39">
        <v>0.0</v>
      </c>
      <c r="K106" s="39">
        <v>0.0</v>
      </c>
      <c r="L106" s="39">
        <v>0.0</v>
      </c>
      <c r="M106" s="39">
        <v>953.945</v>
      </c>
      <c r="N106" s="39">
        <v>685.142</v>
      </c>
      <c r="O106" s="39">
        <v>138.932</v>
      </c>
      <c r="P106" s="54">
        <v>22.9666666666667</v>
      </c>
      <c r="Q106" s="41">
        <v>1.0</v>
      </c>
      <c r="R106" s="41">
        <v>0.0</v>
      </c>
      <c r="S106" s="41">
        <v>0.0</v>
      </c>
    </row>
    <row r="107" ht="12.75" customHeight="1">
      <c r="A107" s="20" t="s">
        <v>263</v>
      </c>
      <c r="B107" s="49" t="s">
        <v>99</v>
      </c>
      <c r="C107" s="52" t="s">
        <v>285</v>
      </c>
      <c r="D107" s="52" t="s">
        <v>425</v>
      </c>
      <c r="E107" s="21">
        <v>1200.0</v>
      </c>
      <c r="F107" s="42">
        <v>3.0</v>
      </c>
      <c r="G107" s="43">
        <v>1184.513</v>
      </c>
      <c r="H107" s="43">
        <v>0.0</v>
      </c>
      <c r="I107" s="43">
        <v>0.0</v>
      </c>
      <c r="J107" s="43">
        <v>0.0</v>
      </c>
      <c r="K107" s="43">
        <v>0.0</v>
      </c>
      <c r="L107" s="43">
        <v>0.0</v>
      </c>
      <c r="M107" s="43">
        <v>1184.513</v>
      </c>
      <c r="N107" s="43">
        <v>1176.29</v>
      </c>
      <c r="O107" s="43">
        <v>119.14</v>
      </c>
      <c r="P107" s="53">
        <v>9.93333333333333</v>
      </c>
      <c r="Q107" s="44">
        <v>1.0</v>
      </c>
      <c r="R107" s="44">
        <v>0.0</v>
      </c>
      <c r="S107" s="44">
        <v>0.0</v>
      </c>
    </row>
    <row r="108" ht="12.75" customHeight="1">
      <c r="A108" s="14" t="s">
        <v>267</v>
      </c>
      <c r="B108" s="49" t="s">
        <v>99</v>
      </c>
      <c r="C108" s="52" t="s">
        <v>285</v>
      </c>
      <c r="D108" s="52" t="s">
        <v>425</v>
      </c>
      <c r="E108" s="15">
        <v>800.0</v>
      </c>
      <c r="F108" s="38">
        <v>1.0</v>
      </c>
      <c r="G108" s="39">
        <v>0.0</v>
      </c>
      <c r="H108" s="39">
        <v>56.753</v>
      </c>
      <c r="I108" s="39">
        <v>0.0</v>
      </c>
      <c r="J108" s="39">
        <v>0.0</v>
      </c>
      <c r="K108" s="39">
        <v>38.783</v>
      </c>
      <c r="L108" s="39">
        <v>0.0</v>
      </c>
      <c r="M108" s="39">
        <v>95.536</v>
      </c>
      <c r="N108" s="39">
        <v>60.169</v>
      </c>
      <c r="O108" s="39">
        <v>469.49</v>
      </c>
      <c r="P108" s="54">
        <v>234.1</v>
      </c>
      <c r="Q108" s="41">
        <v>0.0</v>
      </c>
      <c r="R108" s="41">
        <v>0.0</v>
      </c>
      <c r="S108" s="41">
        <v>0.406</v>
      </c>
    </row>
    <row r="109" ht="12.75" customHeight="1">
      <c r="A109" s="20" t="s">
        <v>113</v>
      </c>
      <c r="B109" s="49" t="s">
        <v>99</v>
      </c>
      <c r="C109" s="52" t="s">
        <v>285</v>
      </c>
      <c r="D109" s="52" t="s">
        <v>426</v>
      </c>
      <c r="E109" s="21">
        <v>1000.0</v>
      </c>
      <c r="F109" s="42">
        <v>34.0</v>
      </c>
      <c r="G109" s="43">
        <v>2044.448</v>
      </c>
      <c r="H109" s="43">
        <v>0.0</v>
      </c>
      <c r="I109" s="43">
        <v>7454.352</v>
      </c>
      <c r="J109" s="43">
        <v>296.396</v>
      </c>
      <c r="K109" s="43">
        <v>1571.823</v>
      </c>
      <c r="L109" s="43">
        <v>0.0</v>
      </c>
      <c r="M109" s="43">
        <v>11367.019</v>
      </c>
      <c r="N109" s="43">
        <v>11586.4814</v>
      </c>
      <c r="O109" s="43">
        <v>251.892</v>
      </c>
      <c r="P109" s="54">
        <v>25.4121212121212</v>
      </c>
      <c r="Q109" s="44">
        <v>0.1799</v>
      </c>
      <c r="R109" s="44">
        <v>0.0261</v>
      </c>
      <c r="S109" s="44">
        <v>0.1644</v>
      </c>
    </row>
    <row r="110" ht="12.75" customHeight="1">
      <c r="A110" s="14" t="s">
        <v>228</v>
      </c>
      <c r="B110" s="49" t="s">
        <v>99</v>
      </c>
      <c r="C110" s="52" t="s">
        <v>285</v>
      </c>
      <c r="D110" s="52" t="s">
        <v>427</v>
      </c>
      <c r="E110" s="15">
        <v>414.0</v>
      </c>
      <c r="F110" s="38">
        <v>23.0</v>
      </c>
      <c r="G110" s="39">
        <v>362.0788</v>
      </c>
      <c r="H110" s="39">
        <v>0.0</v>
      </c>
      <c r="I110" s="39">
        <v>0.0</v>
      </c>
      <c r="J110" s="39">
        <v>0.0</v>
      </c>
      <c r="K110" s="39">
        <v>2242.84931</v>
      </c>
      <c r="L110" s="39">
        <v>264.42297</v>
      </c>
      <c r="M110" s="39">
        <v>2869.35108</v>
      </c>
      <c r="N110" s="39">
        <v>2876.3287</v>
      </c>
      <c r="O110" s="39">
        <v>102.93</v>
      </c>
      <c r="P110" s="54">
        <v>32.4227272727273</v>
      </c>
      <c r="Q110" s="41">
        <v>0.1262</v>
      </c>
      <c r="R110" s="41">
        <v>0.0</v>
      </c>
      <c r="S110" s="41">
        <v>0.7817</v>
      </c>
    </row>
    <row r="111" ht="12.75" customHeight="1">
      <c r="A111" s="20" t="s">
        <v>114</v>
      </c>
      <c r="B111" s="49" t="s">
        <v>99</v>
      </c>
      <c r="C111" s="52" t="s">
        <v>283</v>
      </c>
      <c r="D111" s="52" t="s">
        <v>428</v>
      </c>
      <c r="E111" s="21">
        <v>1320.0</v>
      </c>
      <c r="F111" s="42">
        <v>34.0</v>
      </c>
      <c r="G111" s="43">
        <v>11580.74</v>
      </c>
      <c r="H111" s="43">
        <v>0.0</v>
      </c>
      <c r="I111" s="43">
        <v>0.0</v>
      </c>
      <c r="J111" s="43">
        <v>1331.855</v>
      </c>
      <c r="K111" s="43">
        <v>3437.477</v>
      </c>
      <c r="L111" s="43">
        <v>0.0</v>
      </c>
      <c r="M111" s="43">
        <v>16350.072</v>
      </c>
      <c r="N111" s="43">
        <v>15889.8888</v>
      </c>
      <c r="O111" s="43">
        <v>577.43</v>
      </c>
      <c r="P111" s="54">
        <v>18.9878787878788</v>
      </c>
      <c r="Q111" s="44">
        <v>0.7083</v>
      </c>
      <c r="R111" s="44">
        <v>0.0815</v>
      </c>
      <c r="S111" s="44">
        <v>0.2917</v>
      </c>
    </row>
    <row r="112" ht="12.75" customHeight="1">
      <c r="A112" s="14" t="s">
        <v>115</v>
      </c>
      <c r="B112" s="49" t="s">
        <v>99</v>
      </c>
      <c r="C112" s="52" t="s">
        <v>284</v>
      </c>
      <c r="D112" s="52" t="s">
        <v>429</v>
      </c>
      <c r="E112" s="15">
        <v>1720.0</v>
      </c>
      <c r="F112" s="38">
        <v>34.0</v>
      </c>
      <c r="G112" s="39">
        <v>11015.34917</v>
      </c>
      <c r="H112" s="39">
        <v>7174.54</v>
      </c>
      <c r="I112" s="39">
        <v>49.125</v>
      </c>
      <c r="J112" s="39">
        <v>0.0</v>
      </c>
      <c r="K112" s="39">
        <v>113.317</v>
      </c>
      <c r="L112" s="39">
        <v>0.0</v>
      </c>
      <c r="M112" s="39">
        <v>18352.33117</v>
      </c>
      <c r="N112" s="39">
        <v>18140.6141</v>
      </c>
      <c r="O112" s="39">
        <v>232.0</v>
      </c>
      <c r="P112" s="54">
        <v>24.4424242424242</v>
      </c>
      <c r="Q112" s="41">
        <v>0.6002</v>
      </c>
      <c r="R112" s="41">
        <v>0.0</v>
      </c>
      <c r="S112" s="41">
        <v>0.0062</v>
      </c>
    </row>
    <row r="113" ht="12.75" customHeight="1">
      <c r="A113" s="20" t="s">
        <v>116</v>
      </c>
      <c r="B113" s="49" t="s">
        <v>99</v>
      </c>
      <c r="C113" s="52" t="s">
        <v>286</v>
      </c>
      <c r="D113" s="52" t="s">
        <v>430</v>
      </c>
      <c r="E113" s="21">
        <v>2600.0</v>
      </c>
      <c r="F113" s="42">
        <v>34.0</v>
      </c>
      <c r="G113" s="43">
        <v>1005.03</v>
      </c>
      <c r="H113" s="43">
        <v>28455.76</v>
      </c>
      <c r="I113" s="43">
        <v>181.21</v>
      </c>
      <c r="J113" s="43">
        <v>0.0</v>
      </c>
      <c r="K113" s="43">
        <v>0.0</v>
      </c>
      <c r="L113" s="43">
        <v>8.12</v>
      </c>
      <c r="M113" s="43">
        <v>29650.12</v>
      </c>
      <c r="N113" s="43">
        <v>29616.637</v>
      </c>
      <c r="O113" s="43">
        <v>562.48</v>
      </c>
      <c r="P113" s="54">
        <v>19.6272727272727</v>
      </c>
      <c r="Q113" s="44">
        <v>0.0339</v>
      </c>
      <c r="R113" s="44">
        <v>0.0</v>
      </c>
      <c r="S113" s="44">
        <v>0.0</v>
      </c>
    </row>
    <row r="114" ht="12.75" customHeight="1">
      <c r="A114" s="14" t="s">
        <v>117</v>
      </c>
      <c r="B114" s="49" t="s">
        <v>99</v>
      </c>
      <c r="C114" s="52" t="s">
        <v>286</v>
      </c>
      <c r="D114" s="52" t="s">
        <v>431</v>
      </c>
      <c r="E114" s="15">
        <v>62.5</v>
      </c>
      <c r="F114" s="38">
        <v>34.0</v>
      </c>
      <c r="G114" s="39">
        <v>0.0</v>
      </c>
      <c r="H114" s="39">
        <v>240.956</v>
      </c>
      <c r="I114" s="39">
        <v>0.0</v>
      </c>
      <c r="J114" s="39">
        <v>0.0</v>
      </c>
      <c r="K114" s="39">
        <v>0.0</v>
      </c>
      <c r="L114" s="39">
        <v>0.0</v>
      </c>
      <c r="M114" s="39">
        <v>240.956</v>
      </c>
      <c r="N114" s="39">
        <v>250.178</v>
      </c>
      <c r="O114" s="39">
        <v>0.0</v>
      </c>
      <c r="P114" s="54">
        <v>26.0933333333333</v>
      </c>
      <c r="Q114" s="41">
        <v>0.0</v>
      </c>
      <c r="R114" s="41">
        <v>0.0</v>
      </c>
      <c r="S114" s="41">
        <v>0.0</v>
      </c>
    </row>
    <row r="115" ht="12.75" customHeight="1">
      <c r="A115" s="20" t="s">
        <v>118</v>
      </c>
      <c r="B115" s="49" t="s">
        <v>99</v>
      </c>
      <c r="C115" s="52" t="s">
        <v>283</v>
      </c>
      <c r="D115" s="52" t="s">
        <v>432</v>
      </c>
      <c r="E115" s="21">
        <v>1650.0</v>
      </c>
      <c r="F115" s="42">
        <v>34.0</v>
      </c>
      <c r="G115" s="43">
        <v>17107.99816</v>
      </c>
      <c r="H115" s="43">
        <v>5247.35609</v>
      </c>
      <c r="I115" s="43">
        <v>0.0</v>
      </c>
      <c r="J115" s="43">
        <v>0.0</v>
      </c>
      <c r="K115" s="43">
        <v>0.0</v>
      </c>
      <c r="L115" s="43">
        <v>0.0</v>
      </c>
      <c r="M115" s="43">
        <v>22355.35425</v>
      </c>
      <c r="N115" s="43">
        <v>21962.839</v>
      </c>
      <c r="O115" s="43">
        <v>348.997</v>
      </c>
      <c r="P115" s="17">
        <v>5.23333333333333</v>
      </c>
      <c r="Q115" s="44">
        <v>0.7653</v>
      </c>
      <c r="R115" s="44">
        <v>0.0</v>
      </c>
      <c r="S115" s="44">
        <v>0.0</v>
      </c>
    </row>
    <row r="116" ht="12.75" customHeight="1">
      <c r="A116" s="14" t="s">
        <v>119</v>
      </c>
      <c r="B116" s="49" t="s">
        <v>99</v>
      </c>
      <c r="C116" s="52" t="s">
        <v>283</v>
      </c>
      <c r="D116" s="52" t="s">
        <v>433</v>
      </c>
      <c r="E116" s="15">
        <v>1320.0</v>
      </c>
      <c r="F116" s="38">
        <v>34.0</v>
      </c>
      <c r="G116" s="39">
        <v>8826.164</v>
      </c>
      <c r="H116" s="39">
        <v>0.0</v>
      </c>
      <c r="I116" s="39">
        <v>0.0</v>
      </c>
      <c r="J116" s="39">
        <v>2720.087</v>
      </c>
      <c r="K116" s="39">
        <v>5674.704</v>
      </c>
      <c r="L116" s="39">
        <v>0.0</v>
      </c>
      <c r="M116" s="39">
        <v>17220.955</v>
      </c>
      <c r="N116" s="39">
        <v>16858.639</v>
      </c>
      <c r="O116" s="39">
        <v>603.55</v>
      </c>
      <c r="P116" s="54">
        <v>23.2848484848485</v>
      </c>
      <c r="Q116" s="41">
        <v>0.5125</v>
      </c>
      <c r="R116" s="41">
        <v>0.158</v>
      </c>
      <c r="S116" s="41">
        <v>0.4875</v>
      </c>
    </row>
    <row r="117" ht="12.75" customHeight="1">
      <c r="A117" s="20" t="s">
        <v>120</v>
      </c>
      <c r="B117" s="49" t="s">
        <v>99</v>
      </c>
      <c r="C117" s="52" t="s">
        <v>283</v>
      </c>
      <c r="D117" s="52" t="s">
        <v>434</v>
      </c>
      <c r="E117" s="21">
        <v>2000.0</v>
      </c>
      <c r="F117" s="42">
        <v>34.0</v>
      </c>
      <c r="G117" s="43">
        <v>19713.21</v>
      </c>
      <c r="H117" s="43">
        <v>1566.39</v>
      </c>
      <c r="I117" s="43">
        <v>2377.63</v>
      </c>
      <c r="J117" s="43">
        <v>512.521</v>
      </c>
      <c r="K117" s="43">
        <v>709.5</v>
      </c>
      <c r="L117" s="43">
        <v>516.31</v>
      </c>
      <c r="M117" s="43">
        <v>25395.561</v>
      </c>
      <c r="N117" s="43">
        <v>25246.553</v>
      </c>
      <c r="O117" s="43">
        <v>391.99</v>
      </c>
      <c r="P117" s="54">
        <v>17.0484848484849</v>
      </c>
      <c r="Q117" s="44">
        <v>0.7762</v>
      </c>
      <c r="R117" s="44">
        <v>0.0202</v>
      </c>
      <c r="S117" s="44">
        <v>0.0481</v>
      </c>
    </row>
    <row r="118" ht="12.75" customHeight="1">
      <c r="A118" s="14" t="s">
        <v>121</v>
      </c>
      <c r="B118" s="49" t="s">
        <v>99</v>
      </c>
      <c r="C118" s="52" t="s">
        <v>283</v>
      </c>
      <c r="D118" s="52" t="s">
        <v>435</v>
      </c>
      <c r="E118" s="15">
        <v>600.0</v>
      </c>
      <c r="F118" s="38">
        <v>34.0</v>
      </c>
      <c r="G118" s="39">
        <v>76.584</v>
      </c>
      <c r="H118" s="39">
        <v>0.0</v>
      </c>
      <c r="I118" s="39">
        <v>0.0</v>
      </c>
      <c r="J118" s="39">
        <v>1057.09388</v>
      </c>
      <c r="K118" s="39">
        <v>3481.831492</v>
      </c>
      <c r="L118" s="39">
        <v>0.0</v>
      </c>
      <c r="M118" s="39">
        <v>4615.509372</v>
      </c>
      <c r="N118" s="39">
        <v>4534.5588</v>
      </c>
      <c r="O118" s="39">
        <v>209.852</v>
      </c>
      <c r="P118" s="54">
        <v>47.825</v>
      </c>
      <c r="Q118" s="41">
        <v>0.0166</v>
      </c>
      <c r="R118" s="41">
        <v>0.229</v>
      </c>
      <c r="S118" s="41">
        <v>0.9834</v>
      </c>
    </row>
    <row r="119" ht="12.75" customHeight="1">
      <c r="A119" s="20" t="s">
        <v>122</v>
      </c>
      <c r="B119" s="49" t="s">
        <v>99</v>
      </c>
      <c r="C119" s="52" t="s">
        <v>286</v>
      </c>
      <c r="D119" s="52" t="s">
        <v>436</v>
      </c>
      <c r="E119" s="21">
        <v>1200.0</v>
      </c>
      <c r="F119" s="42">
        <v>34.0</v>
      </c>
      <c r="G119" s="43">
        <v>0.0</v>
      </c>
      <c r="H119" s="43">
        <v>14401.094</v>
      </c>
      <c r="I119" s="43">
        <v>0.0</v>
      </c>
      <c r="J119" s="43">
        <v>0.0</v>
      </c>
      <c r="K119" s="43">
        <v>0.0</v>
      </c>
      <c r="L119" s="43">
        <v>0.0</v>
      </c>
      <c r="M119" s="43">
        <v>14401.094</v>
      </c>
      <c r="N119" s="43">
        <v>14362.9066</v>
      </c>
      <c r="O119" s="43">
        <v>164.91</v>
      </c>
      <c r="P119" s="53">
        <v>11.9060606060606</v>
      </c>
      <c r="Q119" s="44">
        <v>0.0</v>
      </c>
      <c r="R119" s="44">
        <v>0.0</v>
      </c>
      <c r="S119" s="44">
        <v>0.0</v>
      </c>
    </row>
    <row r="120" ht="12.75" customHeight="1">
      <c r="A120" s="14" t="s">
        <v>243</v>
      </c>
      <c r="B120" s="49" t="s">
        <v>99</v>
      </c>
      <c r="C120" s="52" t="s">
        <v>285</v>
      </c>
      <c r="D120" s="52" t="s">
        <v>437</v>
      </c>
      <c r="E120" s="15">
        <v>63.5</v>
      </c>
      <c r="F120" s="38">
        <v>13.0</v>
      </c>
      <c r="G120" s="39">
        <v>0.0</v>
      </c>
      <c r="H120" s="39">
        <v>0.0</v>
      </c>
      <c r="I120" s="39">
        <v>0.0</v>
      </c>
      <c r="J120" s="39">
        <v>0.0</v>
      </c>
      <c r="K120" s="39">
        <v>0.0</v>
      </c>
      <c r="L120" s="39">
        <v>0.0</v>
      </c>
      <c r="M120" s="39">
        <v>0.0</v>
      </c>
      <c r="N120" s="39">
        <v>0.0</v>
      </c>
      <c r="O120" s="39">
        <v>0.0</v>
      </c>
      <c r="P120" s="13" t="s">
        <v>58</v>
      </c>
      <c r="Q120" s="41">
        <v>0.0</v>
      </c>
      <c r="R120" s="41">
        <v>0.0</v>
      </c>
      <c r="S120" s="41">
        <v>0.0</v>
      </c>
    </row>
    <row r="121" ht="12.75" customHeight="1">
      <c r="A121" s="20" t="s">
        <v>220</v>
      </c>
      <c r="B121" s="49" t="s">
        <v>99</v>
      </c>
      <c r="C121" s="52" t="s">
        <v>286</v>
      </c>
      <c r="D121" s="52" t="s">
        <v>438</v>
      </c>
      <c r="E121" s="21">
        <v>800.0</v>
      </c>
      <c r="F121" s="42">
        <v>28.0</v>
      </c>
      <c r="G121" s="43">
        <v>1044.79</v>
      </c>
      <c r="H121" s="43">
        <v>10615.61</v>
      </c>
      <c r="I121" s="43">
        <v>1132.58</v>
      </c>
      <c r="J121" s="43">
        <v>0.0</v>
      </c>
      <c r="K121" s="43">
        <v>0.0</v>
      </c>
      <c r="L121" s="43">
        <v>520.81</v>
      </c>
      <c r="M121" s="43">
        <v>13313.79</v>
      </c>
      <c r="N121" s="43">
        <v>13059.801</v>
      </c>
      <c r="O121" s="43">
        <v>379.97</v>
      </c>
      <c r="P121" s="54">
        <v>22.6851851851852</v>
      </c>
      <c r="Q121" s="44">
        <v>0.0785</v>
      </c>
      <c r="R121" s="44">
        <v>0.0</v>
      </c>
      <c r="S121" s="44">
        <v>0.0</v>
      </c>
    </row>
    <row r="122" ht="12.75" customHeight="1">
      <c r="A122" s="14" t="s">
        <v>123</v>
      </c>
      <c r="B122" s="49" t="s">
        <v>99</v>
      </c>
      <c r="C122" s="52" t="s">
        <v>283</v>
      </c>
      <c r="D122" s="52" t="s">
        <v>435</v>
      </c>
      <c r="E122" s="15">
        <v>300.0</v>
      </c>
      <c r="F122" s="38">
        <v>33.0</v>
      </c>
      <c r="G122" s="39">
        <v>28.7851</v>
      </c>
      <c r="H122" s="39">
        <v>0.0</v>
      </c>
      <c r="I122" s="39">
        <v>0.0</v>
      </c>
      <c r="J122" s="39">
        <v>0.0</v>
      </c>
      <c r="K122" s="39">
        <v>479.5981</v>
      </c>
      <c r="L122" s="39">
        <v>0.0</v>
      </c>
      <c r="M122" s="39">
        <v>508.3832</v>
      </c>
      <c r="N122" s="39">
        <v>554.9722</v>
      </c>
      <c r="O122" s="39">
        <v>42.19</v>
      </c>
      <c r="P122" s="54">
        <v>21.2</v>
      </c>
      <c r="Q122" s="41">
        <v>0.0566</v>
      </c>
      <c r="R122" s="41">
        <v>0.0</v>
      </c>
      <c r="S122" s="41">
        <v>0.9434</v>
      </c>
    </row>
    <row r="123" ht="12.75" customHeight="1">
      <c r="A123" s="20" t="s">
        <v>124</v>
      </c>
      <c r="B123" s="49" t="s">
        <v>99</v>
      </c>
      <c r="C123" s="52" t="s">
        <v>284</v>
      </c>
      <c r="D123" s="52" t="s">
        <v>439</v>
      </c>
      <c r="E123" s="21">
        <v>260.0</v>
      </c>
      <c r="F123" s="42">
        <v>34.0</v>
      </c>
      <c r="G123" s="43">
        <v>0.0</v>
      </c>
      <c r="H123" s="43">
        <v>0.0</v>
      </c>
      <c r="I123" s="43">
        <v>0.0</v>
      </c>
      <c r="J123" s="43">
        <v>448.93</v>
      </c>
      <c r="K123" s="43">
        <v>962.97</v>
      </c>
      <c r="L123" s="43">
        <v>0.0</v>
      </c>
      <c r="M123" s="43">
        <v>1411.9</v>
      </c>
      <c r="N123" s="43">
        <v>1411.8994</v>
      </c>
      <c r="O123" s="43">
        <v>0.0</v>
      </c>
      <c r="P123" s="17">
        <v>0.0</v>
      </c>
      <c r="Q123" s="44">
        <v>0.0</v>
      </c>
      <c r="R123" s="44">
        <v>0.318</v>
      </c>
      <c r="S123" s="44">
        <v>1.0</v>
      </c>
    </row>
    <row r="124" ht="12.75" customHeight="1">
      <c r="A124" s="14" t="s">
        <v>125</v>
      </c>
      <c r="B124" s="49" t="s">
        <v>99</v>
      </c>
      <c r="C124" s="52" t="s">
        <v>284</v>
      </c>
      <c r="D124" s="52" t="s">
        <v>439</v>
      </c>
      <c r="E124" s="15">
        <v>600.0</v>
      </c>
      <c r="F124" s="38">
        <v>34.0</v>
      </c>
      <c r="G124" s="39">
        <v>0.0</v>
      </c>
      <c r="H124" s="39">
        <v>0.0</v>
      </c>
      <c r="I124" s="39">
        <v>0.0</v>
      </c>
      <c r="J124" s="39">
        <v>808.74</v>
      </c>
      <c r="K124" s="39">
        <v>2435.53</v>
      </c>
      <c r="L124" s="39">
        <v>0.0</v>
      </c>
      <c r="M124" s="39">
        <v>3244.27</v>
      </c>
      <c r="N124" s="39">
        <v>3209.6797</v>
      </c>
      <c r="O124" s="39">
        <v>5.7</v>
      </c>
      <c r="P124" s="53">
        <v>7.14848484848485</v>
      </c>
      <c r="Q124" s="41">
        <v>0.0</v>
      </c>
      <c r="R124" s="41">
        <v>0.2493</v>
      </c>
      <c r="S124" s="41">
        <v>1.0</v>
      </c>
    </row>
    <row r="125" ht="12.75" customHeight="1">
      <c r="A125" s="20" t="s">
        <v>126</v>
      </c>
      <c r="B125" s="49" t="s">
        <v>99</v>
      </c>
      <c r="C125" s="52" t="s">
        <v>285</v>
      </c>
      <c r="D125" s="52" t="s">
        <v>426</v>
      </c>
      <c r="E125" s="21">
        <v>300.0</v>
      </c>
      <c r="F125" s="42">
        <v>34.0</v>
      </c>
      <c r="G125" s="43">
        <v>0.0</v>
      </c>
      <c r="H125" s="43">
        <v>0.0</v>
      </c>
      <c r="I125" s="43">
        <v>0.0</v>
      </c>
      <c r="J125" s="43">
        <v>0.0</v>
      </c>
      <c r="K125" s="43">
        <v>0.0</v>
      </c>
      <c r="L125" s="43">
        <v>0.0</v>
      </c>
      <c r="M125" s="43">
        <v>0.0</v>
      </c>
      <c r="N125" s="43">
        <v>0.0</v>
      </c>
      <c r="O125" s="43">
        <v>0.0</v>
      </c>
      <c r="P125" s="19" t="s">
        <v>58</v>
      </c>
      <c r="Q125" s="44">
        <v>0.0</v>
      </c>
      <c r="R125" s="44">
        <v>0.0</v>
      </c>
      <c r="S125" s="44">
        <v>0.0</v>
      </c>
    </row>
    <row r="126" ht="12.75" customHeight="1">
      <c r="A126" s="14" t="s">
        <v>127</v>
      </c>
      <c r="B126" s="49" t="s">
        <v>99</v>
      </c>
      <c r="C126" s="52" t="s">
        <v>285</v>
      </c>
      <c r="D126" s="52" t="s">
        <v>426</v>
      </c>
      <c r="E126" s="15">
        <v>525.0</v>
      </c>
      <c r="F126" s="38">
        <v>34.0</v>
      </c>
      <c r="G126" s="39">
        <v>0.0</v>
      </c>
      <c r="H126" s="39">
        <v>0.0</v>
      </c>
      <c r="I126" s="39">
        <v>0.0</v>
      </c>
      <c r="J126" s="39">
        <v>1119.122</v>
      </c>
      <c r="K126" s="39">
        <v>3108.431</v>
      </c>
      <c r="L126" s="39">
        <v>0.0</v>
      </c>
      <c r="M126" s="39">
        <v>4227.553</v>
      </c>
      <c r="N126" s="39">
        <v>4239.686</v>
      </c>
      <c r="O126" s="39">
        <v>8.57</v>
      </c>
      <c r="P126" s="17">
        <v>4.68125</v>
      </c>
      <c r="Q126" s="41">
        <v>0.0</v>
      </c>
      <c r="R126" s="41">
        <v>0.2647</v>
      </c>
      <c r="S126" s="41">
        <v>1.0</v>
      </c>
    </row>
    <row r="127" ht="12.75" customHeight="1">
      <c r="A127" s="20" t="s">
        <v>128</v>
      </c>
      <c r="B127" s="49" t="s">
        <v>99</v>
      </c>
      <c r="C127" s="52" t="s">
        <v>285</v>
      </c>
      <c r="D127" s="52" t="s">
        <v>426</v>
      </c>
      <c r="E127" s="21">
        <v>1050.0</v>
      </c>
      <c r="F127" s="42">
        <v>34.0</v>
      </c>
      <c r="G127" s="43">
        <v>14088.914</v>
      </c>
      <c r="H127" s="43">
        <v>0.0</v>
      </c>
      <c r="I127" s="43">
        <v>0.0</v>
      </c>
      <c r="J127" s="43">
        <v>0.0</v>
      </c>
      <c r="K127" s="43">
        <v>0.0</v>
      </c>
      <c r="L127" s="43">
        <v>84.443</v>
      </c>
      <c r="M127" s="43">
        <v>14173.357</v>
      </c>
      <c r="N127" s="43">
        <v>14125.177</v>
      </c>
      <c r="O127" s="43">
        <v>208.95</v>
      </c>
      <c r="P127" s="54">
        <v>20.8</v>
      </c>
      <c r="Q127" s="44">
        <v>0.994</v>
      </c>
      <c r="R127" s="44">
        <v>0.0</v>
      </c>
      <c r="S127" s="44">
        <v>0.0</v>
      </c>
    </row>
    <row r="128" ht="12.75" customHeight="1">
      <c r="A128" s="14" t="s">
        <v>129</v>
      </c>
      <c r="B128" s="49" t="s">
        <v>99</v>
      </c>
      <c r="C128" s="52" t="s">
        <v>284</v>
      </c>
      <c r="D128" s="52" t="s">
        <v>413</v>
      </c>
      <c r="E128" s="15">
        <v>1200.0</v>
      </c>
      <c r="F128" s="38">
        <v>3.0</v>
      </c>
      <c r="G128" s="39">
        <v>27.043</v>
      </c>
      <c r="H128" s="39">
        <v>0.0</v>
      </c>
      <c r="I128" s="39">
        <v>0.0</v>
      </c>
      <c r="J128" s="39">
        <v>376.5829</v>
      </c>
      <c r="K128" s="39">
        <v>0.0</v>
      </c>
      <c r="L128" s="39">
        <v>11.72957</v>
      </c>
      <c r="M128" s="39">
        <v>415.35547</v>
      </c>
      <c r="N128" s="39">
        <v>431.976</v>
      </c>
      <c r="O128" s="39">
        <v>31.53</v>
      </c>
      <c r="P128" s="54">
        <v>23.3666666666667</v>
      </c>
      <c r="Q128" s="41">
        <v>0.0651</v>
      </c>
      <c r="R128" s="41">
        <v>0.9067</v>
      </c>
      <c r="S128" s="41">
        <v>0.9067</v>
      </c>
    </row>
    <row r="129" ht="12.75" customHeight="1">
      <c r="A129" s="20" t="s">
        <v>130</v>
      </c>
      <c r="B129" s="49" t="s">
        <v>99</v>
      </c>
      <c r="C129" s="52" t="s">
        <v>285</v>
      </c>
      <c r="D129" s="52" t="s">
        <v>440</v>
      </c>
      <c r="E129" s="21">
        <v>1500.0</v>
      </c>
      <c r="F129" s="42">
        <v>34.0</v>
      </c>
      <c r="G129" s="43">
        <v>15916.95116</v>
      </c>
      <c r="H129" s="43">
        <v>1094.292</v>
      </c>
      <c r="I129" s="43">
        <v>0.0</v>
      </c>
      <c r="J129" s="43">
        <v>227.561</v>
      </c>
      <c r="K129" s="43">
        <v>0.0</v>
      </c>
      <c r="L129" s="43">
        <v>0.0</v>
      </c>
      <c r="M129" s="43">
        <v>17238.80416</v>
      </c>
      <c r="N129" s="43">
        <v>16845.832</v>
      </c>
      <c r="O129" s="43">
        <v>631.64</v>
      </c>
      <c r="P129" s="54">
        <v>28.2121212121212</v>
      </c>
      <c r="Q129" s="44">
        <v>0.9233</v>
      </c>
      <c r="R129" s="44">
        <v>0.0132</v>
      </c>
      <c r="S129" s="44">
        <v>0.0132</v>
      </c>
    </row>
    <row r="130" ht="12.75" customHeight="1">
      <c r="A130" s="14" t="s">
        <v>131</v>
      </c>
      <c r="B130" s="49" t="s">
        <v>99</v>
      </c>
      <c r="C130" s="52" t="s">
        <v>283</v>
      </c>
      <c r="D130" s="52" t="s">
        <v>441</v>
      </c>
      <c r="E130" s="15">
        <v>1040.0</v>
      </c>
      <c r="F130" s="38">
        <v>34.0</v>
      </c>
      <c r="G130" s="39">
        <v>10333.04514</v>
      </c>
      <c r="H130" s="39">
        <v>0.0</v>
      </c>
      <c r="I130" s="39">
        <v>0.0</v>
      </c>
      <c r="J130" s="39">
        <v>375.06188</v>
      </c>
      <c r="K130" s="39">
        <v>270.18997</v>
      </c>
      <c r="L130" s="39">
        <v>0.0</v>
      </c>
      <c r="M130" s="39">
        <v>10978.29699</v>
      </c>
      <c r="N130" s="39">
        <v>10910.331</v>
      </c>
      <c r="O130" s="39">
        <v>86.911</v>
      </c>
      <c r="P130" s="53">
        <v>9.80909090909091</v>
      </c>
      <c r="Q130" s="41">
        <v>0.9412</v>
      </c>
      <c r="R130" s="41">
        <v>0.0342</v>
      </c>
      <c r="S130" s="41">
        <v>0.0588</v>
      </c>
    </row>
    <row r="131" ht="12.75" customHeight="1">
      <c r="A131" s="20" t="s">
        <v>249</v>
      </c>
      <c r="B131" s="49" t="s">
        <v>99</v>
      </c>
      <c r="C131" s="52" t="s">
        <v>286</v>
      </c>
      <c r="D131" s="52" t="s">
        <v>442</v>
      </c>
      <c r="E131" s="21">
        <v>800.0</v>
      </c>
      <c r="F131" s="42">
        <v>11.0</v>
      </c>
      <c r="G131" s="43">
        <v>0.0</v>
      </c>
      <c r="H131" s="43">
        <v>3789.215</v>
      </c>
      <c r="I131" s="43">
        <v>0.0</v>
      </c>
      <c r="J131" s="43">
        <v>0.0</v>
      </c>
      <c r="K131" s="43">
        <v>0.0</v>
      </c>
      <c r="L131" s="43">
        <v>0.0</v>
      </c>
      <c r="M131" s="43">
        <v>3789.215</v>
      </c>
      <c r="N131" s="43">
        <v>3552.211</v>
      </c>
      <c r="O131" s="43">
        <v>245.199</v>
      </c>
      <c r="P131" s="54">
        <v>59.42</v>
      </c>
      <c r="Q131" s="44">
        <v>0.0</v>
      </c>
      <c r="R131" s="44">
        <v>0.0</v>
      </c>
      <c r="S131" s="44">
        <v>0.0</v>
      </c>
    </row>
    <row r="132" ht="12.75" customHeight="1">
      <c r="A132" s="14" t="s">
        <v>132</v>
      </c>
      <c r="B132" s="49" t="s">
        <v>99</v>
      </c>
      <c r="C132" s="52" t="s">
        <v>284</v>
      </c>
      <c r="D132" s="52" t="s">
        <v>443</v>
      </c>
      <c r="E132" s="15">
        <v>1600.0</v>
      </c>
      <c r="F132" s="38">
        <v>34.0</v>
      </c>
      <c r="G132" s="39">
        <v>0.0</v>
      </c>
      <c r="H132" s="39">
        <v>10624.01896</v>
      </c>
      <c r="I132" s="39">
        <v>0.0</v>
      </c>
      <c r="J132" s="39">
        <v>0.0</v>
      </c>
      <c r="K132" s="39">
        <v>401.94414</v>
      </c>
      <c r="L132" s="39">
        <v>0.0</v>
      </c>
      <c r="M132" s="39">
        <v>11025.9631</v>
      </c>
      <c r="N132" s="39">
        <v>10965.1859</v>
      </c>
      <c r="O132" s="39">
        <v>260.42</v>
      </c>
      <c r="P132" s="54">
        <v>27.3030303030303</v>
      </c>
      <c r="Q132" s="41">
        <v>0.0</v>
      </c>
      <c r="R132" s="41">
        <v>0.0</v>
      </c>
      <c r="S132" s="41">
        <v>0.0365</v>
      </c>
    </row>
    <row r="133" ht="15.75" customHeight="1">
      <c r="A133" s="57" t="s">
        <v>444</v>
      </c>
      <c r="B133" s="57"/>
      <c r="C133" s="57"/>
      <c r="D133" s="57"/>
      <c r="E133" s="57"/>
      <c r="F133" s="57"/>
      <c r="G133" s="57"/>
      <c r="H133" s="57"/>
      <c r="I133" s="57"/>
      <c r="J133" s="57"/>
      <c r="K133" s="57"/>
      <c r="L133" s="57"/>
      <c r="M133" s="57"/>
      <c r="N133" s="57"/>
      <c r="O133" s="57"/>
      <c r="P133" s="57"/>
      <c r="Q133" s="57"/>
      <c r="R133" s="57"/>
      <c r="S133" s="57"/>
    </row>
    <row r="134" ht="12.75" customHeight="1">
      <c r="A134" s="14" t="s">
        <v>212</v>
      </c>
      <c r="B134" s="50" t="s">
        <v>133</v>
      </c>
      <c r="C134" s="52" t="s">
        <v>280</v>
      </c>
      <c r="D134" s="52" t="s">
        <v>445</v>
      </c>
      <c r="E134" s="15">
        <v>1980.0</v>
      </c>
      <c r="F134" s="38">
        <v>31.0</v>
      </c>
      <c r="G134" s="39">
        <v>0.0</v>
      </c>
      <c r="H134" s="39">
        <v>0.0</v>
      </c>
      <c r="I134" s="39">
        <v>0.0</v>
      </c>
      <c r="J134" s="39">
        <v>3266.259</v>
      </c>
      <c r="K134" s="39">
        <v>14071.741</v>
      </c>
      <c r="L134" s="39">
        <v>0.0</v>
      </c>
      <c r="M134" s="39">
        <v>17338.0</v>
      </c>
      <c r="N134" s="39">
        <v>17300.378</v>
      </c>
      <c r="O134" s="39">
        <v>78.144</v>
      </c>
      <c r="P134" s="17">
        <v>4.43666666666667</v>
      </c>
      <c r="Q134" s="41">
        <v>0.0</v>
      </c>
      <c r="R134" s="41">
        <v>0.1884</v>
      </c>
      <c r="S134" s="41">
        <v>1.0</v>
      </c>
    </row>
    <row r="135" ht="12.75" customHeight="1">
      <c r="A135" s="20" t="s">
        <v>213</v>
      </c>
      <c r="B135" s="50" t="s">
        <v>133</v>
      </c>
      <c r="C135" s="52" t="s">
        <v>279</v>
      </c>
      <c r="D135" s="52" t="s">
        <v>446</v>
      </c>
      <c r="E135" s="21">
        <v>600.0</v>
      </c>
      <c r="F135" s="42">
        <v>31.0</v>
      </c>
      <c r="G135" s="43">
        <v>6012.181</v>
      </c>
      <c r="H135" s="43">
        <v>0.0</v>
      </c>
      <c r="I135" s="43">
        <v>0.0</v>
      </c>
      <c r="J135" s="43">
        <v>600.181</v>
      </c>
      <c r="K135" s="43">
        <v>42.885</v>
      </c>
      <c r="L135" s="43">
        <v>946.494</v>
      </c>
      <c r="M135" s="43">
        <v>7601.741</v>
      </c>
      <c r="N135" s="43">
        <v>7471.712</v>
      </c>
      <c r="O135" s="43">
        <v>287.254</v>
      </c>
      <c r="P135" s="54">
        <v>268.503333333333</v>
      </c>
      <c r="Q135" s="44">
        <v>0.7909</v>
      </c>
      <c r="R135" s="44">
        <v>0.079</v>
      </c>
      <c r="S135" s="44">
        <v>0.0846</v>
      </c>
    </row>
    <row r="136" ht="12.75" customHeight="1">
      <c r="A136" s="14" t="s">
        <v>214</v>
      </c>
      <c r="B136" s="50" t="s">
        <v>133</v>
      </c>
      <c r="C136" s="52" t="s">
        <v>279</v>
      </c>
      <c r="D136" s="52" t="s">
        <v>447</v>
      </c>
      <c r="E136" s="15">
        <v>1370.0</v>
      </c>
      <c r="F136" s="38">
        <v>31.0</v>
      </c>
      <c r="G136" s="39">
        <v>12392.94</v>
      </c>
      <c r="H136" s="39">
        <v>66.97</v>
      </c>
      <c r="I136" s="39">
        <v>0.0</v>
      </c>
      <c r="J136" s="39">
        <v>750.577</v>
      </c>
      <c r="K136" s="39">
        <v>469.043</v>
      </c>
      <c r="L136" s="39">
        <v>1751.183</v>
      </c>
      <c r="M136" s="39">
        <v>15430.713</v>
      </c>
      <c r="N136" s="39">
        <v>15316.2049</v>
      </c>
      <c r="O136" s="39">
        <v>261.55</v>
      </c>
      <c r="P136" s="53">
        <v>11.7</v>
      </c>
      <c r="Q136" s="41">
        <v>0.8031</v>
      </c>
      <c r="R136" s="41">
        <v>0.0486</v>
      </c>
      <c r="S136" s="41">
        <v>0.079</v>
      </c>
    </row>
    <row r="137" ht="12.75" customHeight="1">
      <c r="A137" s="20" t="s">
        <v>215</v>
      </c>
      <c r="B137" s="50" t="s">
        <v>133</v>
      </c>
      <c r="C137" s="52" t="s">
        <v>282</v>
      </c>
      <c r="D137" s="52" t="s">
        <v>448</v>
      </c>
      <c r="E137" s="21">
        <v>3300.0</v>
      </c>
      <c r="F137" s="42">
        <v>31.0</v>
      </c>
      <c r="G137" s="43">
        <v>34333.244</v>
      </c>
      <c r="H137" s="43">
        <v>0.0</v>
      </c>
      <c r="I137" s="43">
        <v>0.0</v>
      </c>
      <c r="J137" s="43">
        <v>0.0</v>
      </c>
      <c r="K137" s="43">
        <v>230.422</v>
      </c>
      <c r="L137" s="43">
        <v>0.0</v>
      </c>
      <c r="M137" s="43">
        <v>34563.666</v>
      </c>
      <c r="N137" s="43">
        <v>34687.679</v>
      </c>
      <c r="O137" s="43">
        <v>598.95</v>
      </c>
      <c r="P137" s="53">
        <v>10.0533333333333</v>
      </c>
      <c r="Q137" s="44">
        <v>0.9933</v>
      </c>
      <c r="R137" s="44">
        <v>0.0</v>
      </c>
      <c r="S137" s="44">
        <v>0.0067</v>
      </c>
    </row>
    <row r="138" ht="12.75" customHeight="1">
      <c r="A138" s="14" t="s">
        <v>134</v>
      </c>
      <c r="B138" s="50" t="s">
        <v>133</v>
      </c>
      <c r="C138" s="52" t="s">
        <v>279</v>
      </c>
      <c r="D138" s="52" t="s">
        <v>449</v>
      </c>
      <c r="E138" s="15">
        <v>1800.0</v>
      </c>
      <c r="F138" s="38">
        <v>33.0</v>
      </c>
      <c r="G138" s="39">
        <v>18437.2725</v>
      </c>
      <c r="H138" s="39">
        <v>0.0</v>
      </c>
      <c r="I138" s="39">
        <v>0.0</v>
      </c>
      <c r="J138" s="39">
        <v>335.873</v>
      </c>
      <c r="K138" s="39">
        <v>110.7457</v>
      </c>
      <c r="L138" s="39">
        <v>660.0246</v>
      </c>
      <c r="M138" s="39">
        <v>19543.9158</v>
      </c>
      <c r="N138" s="39">
        <v>19434.5216</v>
      </c>
      <c r="O138" s="39">
        <v>562.43</v>
      </c>
      <c r="P138" s="54">
        <v>22.921875</v>
      </c>
      <c r="Q138" s="41">
        <v>0.9434</v>
      </c>
      <c r="R138" s="41">
        <v>0.0172</v>
      </c>
      <c r="S138" s="41">
        <v>0.0229</v>
      </c>
    </row>
    <row r="139" ht="12.75" customHeight="1">
      <c r="A139" s="20" t="s">
        <v>135</v>
      </c>
      <c r="B139" s="50" t="s">
        <v>133</v>
      </c>
      <c r="C139" s="52" t="s">
        <v>281</v>
      </c>
      <c r="D139" s="52" t="s">
        <v>450</v>
      </c>
      <c r="E139" s="21">
        <v>210.0</v>
      </c>
      <c r="F139" s="42">
        <v>34.0</v>
      </c>
      <c r="G139" s="43">
        <v>3021.178</v>
      </c>
      <c r="H139" s="43">
        <v>0.0</v>
      </c>
      <c r="I139" s="43">
        <v>0.0</v>
      </c>
      <c r="J139" s="43">
        <v>0.0</v>
      </c>
      <c r="K139" s="43">
        <v>0.0</v>
      </c>
      <c r="L139" s="43">
        <v>0.0</v>
      </c>
      <c r="M139" s="43">
        <v>3021.178</v>
      </c>
      <c r="N139" s="43">
        <v>2999.753</v>
      </c>
      <c r="O139" s="43">
        <v>61.81</v>
      </c>
      <c r="P139" s="54">
        <v>19.590625</v>
      </c>
      <c r="Q139" s="44">
        <v>1.0</v>
      </c>
      <c r="R139" s="44">
        <v>0.0</v>
      </c>
      <c r="S139" s="44">
        <v>0.0</v>
      </c>
    </row>
    <row r="140" ht="12.75" customHeight="1">
      <c r="A140" s="14" t="s">
        <v>136</v>
      </c>
      <c r="B140" s="50" t="s">
        <v>133</v>
      </c>
      <c r="C140" s="52" t="s">
        <v>282</v>
      </c>
      <c r="D140" s="52" t="s">
        <v>451</v>
      </c>
      <c r="E140" s="15">
        <v>1350.0</v>
      </c>
      <c r="F140" s="38">
        <v>34.0</v>
      </c>
      <c r="G140" s="39">
        <v>17605.605</v>
      </c>
      <c r="H140" s="39">
        <v>0.0</v>
      </c>
      <c r="I140" s="39">
        <v>0.0</v>
      </c>
      <c r="J140" s="39">
        <v>12.951</v>
      </c>
      <c r="K140" s="39">
        <v>0.0</v>
      </c>
      <c r="L140" s="39">
        <v>0.0</v>
      </c>
      <c r="M140" s="39">
        <v>17618.556</v>
      </c>
      <c r="N140" s="39">
        <v>17723.54</v>
      </c>
      <c r="O140" s="39">
        <v>100.82</v>
      </c>
      <c r="P140" s="53">
        <v>11.4090909090909</v>
      </c>
      <c r="Q140" s="41">
        <v>0.9993</v>
      </c>
      <c r="R140" s="41">
        <v>7.0E-4</v>
      </c>
      <c r="S140" s="41">
        <v>7.0E-4</v>
      </c>
    </row>
    <row r="141" ht="12.75" customHeight="1">
      <c r="A141" s="20" t="s">
        <v>137</v>
      </c>
      <c r="B141" s="50" t="s">
        <v>133</v>
      </c>
      <c r="C141" s="52" t="s">
        <v>281</v>
      </c>
      <c r="D141" s="52" t="s">
        <v>452</v>
      </c>
      <c r="E141" s="21">
        <v>1250.0</v>
      </c>
      <c r="F141" s="42">
        <v>34.0</v>
      </c>
      <c r="G141" s="43">
        <v>11834.59</v>
      </c>
      <c r="H141" s="43">
        <v>0.0</v>
      </c>
      <c r="I141" s="43">
        <v>0.0</v>
      </c>
      <c r="J141" s="43">
        <v>3117.96</v>
      </c>
      <c r="K141" s="43">
        <v>0.0</v>
      </c>
      <c r="L141" s="43">
        <v>1701.12</v>
      </c>
      <c r="M141" s="43">
        <v>16653.67</v>
      </c>
      <c r="N141" s="43">
        <v>16373.19</v>
      </c>
      <c r="O141" s="43">
        <v>663.64</v>
      </c>
      <c r="P141" s="54">
        <v>20.2454545454546</v>
      </c>
      <c r="Q141" s="44">
        <v>0.7106</v>
      </c>
      <c r="R141" s="44">
        <v>0.1872</v>
      </c>
      <c r="S141" s="44">
        <v>0.1872</v>
      </c>
    </row>
    <row r="142" ht="12.75" customHeight="1">
      <c r="A142" s="14" t="s">
        <v>138</v>
      </c>
      <c r="B142" s="50" t="s">
        <v>133</v>
      </c>
      <c r="C142" s="52" t="s">
        <v>279</v>
      </c>
      <c r="D142" s="52" t="s">
        <v>453</v>
      </c>
      <c r="E142" s="15">
        <v>600.0</v>
      </c>
      <c r="F142" s="38">
        <v>3.0</v>
      </c>
      <c r="G142" s="39">
        <v>844.613</v>
      </c>
      <c r="H142" s="39">
        <v>0.0</v>
      </c>
      <c r="I142" s="39">
        <v>0.0</v>
      </c>
      <c r="J142" s="39">
        <v>0.0</v>
      </c>
      <c r="K142" s="39">
        <v>19.489</v>
      </c>
      <c r="L142" s="39">
        <v>0.0</v>
      </c>
      <c r="M142" s="39">
        <v>864.102</v>
      </c>
      <c r="N142" s="39">
        <v>918.714</v>
      </c>
      <c r="O142" s="39">
        <v>106.49</v>
      </c>
      <c r="P142" s="54">
        <v>14.6</v>
      </c>
      <c r="Q142" s="41">
        <v>0.9774</v>
      </c>
      <c r="R142" s="41">
        <v>0.0</v>
      </c>
      <c r="S142" s="41">
        <v>0.0226</v>
      </c>
    </row>
    <row r="143" ht="12.75" customHeight="1">
      <c r="A143" s="20" t="s">
        <v>139</v>
      </c>
      <c r="B143" s="50" t="s">
        <v>133</v>
      </c>
      <c r="C143" s="52" t="s">
        <v>279</v>
      </c>
      <c r="D143" s="52" t="s">
        <v>454</v>
      </c>
      <c r="E143" s="21">
        <v>600.0</v>
      </c>
      <c r="F143" s="42">
        <v>34.0</v>
      </c>
      <c r="G143" s="43">
        <v>4270.554</v>
      </c>
      <c r="H143" s="43">
        <v>151.8</v>
      </c>
      <c r="I143" s="43">
        <v>0.0</v>
      </c>
      <c r="J143" s="43">
        <v>1184.332</v>
      </c>
      <c r="K143" s="43">
        <v>0.0</v>
      </c>
      <c r="L143" s="43">
        <v>733.569</v>
      </c>
      <c r="M143" s="43">
        <v>6340.255</v>
      </c>
      <c r="N143" s="43">
        <v>6428.1771</v>
      </c>
      <c r="O143" s="43">
        <v>53.61</v>
      </c>
      <c r="P143" s="53">
        <v>8.36969696969697</v>
      </c>
      <c r="Q143" s="44">
        <v>0.6736</v>
      </c>
      <c r="R143" s="44">
        <v>0.1868</v>
      </c>
      <c r="S143" s="44">
        <v>0.1868</v>
      </c>
    </row>
    <row r="144" ht="12.75" customHeight="1">
      <c r="A144" s="14" t="s">
        <v>140</v>
      </c>
      <c r="B144" s="50" t="s">
        <v>133</v>
      </c>
      <c r="C144" s="52" t="s">
        <v>279</v>
      </c>
      <c r="D144" s="52" t="s">
        <v>455</v>
      </c>
      <c r="E144" s="15">
        <v>300.0</v>
      </c>
      <c r="F144" s="38">
        <v>34.0</v>
      </c>
      <c r="G144" s="39">
        <v>3420.189</v>
      </c>
      <c r="H144" s="39">
        <v>0.0</v>
      </c>
      <c r="I144" s="39">
        <v>0.0</v>
      </c>
      <c r="J144" s="39">
        <v>569.785</v>
      </c>
      <c r="K144" s="39">
        <v>29.825</v>
      </c>
      <c r="L144" s="39">
        <v>225.005</v>
      </c>
      <c r="M144" s="39">
        <v>4244.804</v>
      </c>
      <c r="N144" s="39">
        <v>4299.1902</v>
      </c>
      <c r="O144" s="39">
        <v>157.6</v>
      </c>
      <c r="P144" s="54">
        <v>29.9454545454546</v>
      </c>
      <c r="Q144" s="41">
        <v>0.8057</v>
      </c>
      <c r="R144" s="41">
        <v>0.1342</v>
      </c>
      <c r="S144" s="41">
        <v>0.1412</v>
      </c>
    </row>
    <row r="145" ht="12.75" customHeight="1">
      <c r="A145" s="20" t="s">
        <v>141</v>
      </c>
      <c r="B145" s="50" t="s">
        <v>133</v>
      </c>
      <c r="C145" s="52" t="s">
        <v>279</v>
      </c>
      <c r="D145" s="52" t="s">
        <v>456</v>
      </c>
      <c r="E145" s="21">
        <v>1200.0</v>
      </c>
      <c r="F145" s="42">
        <v>34.0</v>
      </c>
      <c r="G145" s="43">
        <v>13451.33021</v>
      </c>
      <c r="H145" s="43">
        <v>0.0</v>
      </c>
      <c r="I145" s="43">
        <v>0.0</v>
      </c>
      <c r="J145" s="43">
        <v>1341.293</v>
      </c>
      <c r="K145" s="43">
        <v>0.0</v>
      </c>
      <c r="L145" s="43">
        <v>2453.139</v>
      </c>
      <c r="M145" s="43">
        <v>17245.76221</v>
      </c>
      <c r="N145" s="43">
        <v>17083.5957</v>
      </c>
      <c r="O145" s="43">
        <v>458.23</v>
      </c>
      <c r="P145" s="54">
        <v>18.7212121212121</v>
      </c>
      <c r="Q145" s="44">
        <v>0.78</v>
      </c>
      <c r="R145" s="44">
        <v>0.0778</v>
      </c>
      <c r="S145" s="44">
        <v>0.0778</v>
      </c>
    </row>
    <row r="146" ht="12.75" customHeight="1">
      <c r="A146" s="14" t="s">
        <v>142</v>
      </c>
      <c r="B146" s="50" t="s">
        <v>133</v>
      </c>
      <c r="C146" s="52" t="s">
        <v>282</v>
      </c>
      <c r="D146" s="52" t="s">
        <v>457</v>
      </c>
      <c r="E146" s="15">
        <v>270.0</v>
      </c>
      <c r="F146" s="38">
        <v>34.0</v>
      </c>
      <c r="G146" s="39">
        <v>2774.867</v>
      </c>
      <c r="H146" s="39">
        <v>0.0</v>
      </c>
      <c r="I146" s="39">
        <v>0.0</v>
      </c>
      <c r="J146" s="39">
        <v>700.127</v>
      </c>
      <c r="K146" s="39">
        <v>81.299</v>
      </c>
      <c r="L146" s="39">
        <v>112.336</v>
      </c>
      <c r="M146" s="39">
        <v>3668.629</v>
      </c>
      <c r="N146" s="39">
        <v>3598.653</v>
      </c>
      <c r="O146" s="39">
        <v>110.53</v>
      </c>
      <c r="P146" s="54">
        <v>21.0575757575758</v>
      </c>
      <c r="Q146" s="41">
        <v>0.7564</v>
      </c>
      <c r="R146" s="41">
        <v>0.1908</v>
      </c>
      <c r="S146" s="41">
        <v>0.213</v>
      </c>
    </row>
    <row r="147" ht="12.75" customHeight="1">
      <c r="A147" s="20" t="s">
        <v>143</v>
      </c>
      <c r="B147" s="50" t="s">
        <v>133</v>
      </c>
      <c r="C147" s="52" t="s">
        <v>279</v>
      </c>
      <c r="D147" s="52" t="s">
        <v>458</v>
      </c>
      <c r="E147" s="21">
        <v>500.0</v>
      </c>
      <c r="F147" s="42">
        <v>34.0</v>
      </c>
      <c r="G147" s="43">
        <v>7255.958</v>
      </c>
      <c r="H147" s="43">
        <v>369.456</v>
      </c>
      <c r="I147" s="43">
        <v>0.0</v>
      </c>
      <c r="J147" s="43">
        <v>26.863</v>
      </c>
      <c r="K147" s="43">
        <v>150.608</v>
      </c>
      <c r="L147" s="43">
        <v>0.0</v>
      </c>
      <c r="M147" s="43">
        <v>7802.885</v>
      </c>
      <c r="N147" s="43">
        <v>7817.852</v>
      </c>
      <c r="O147" s="43">
        <v>256.8</v>
      </c>
      <c r="P147" s="54">
        <v>29.430303030303</v>
      </c>
      <c r="Q147" s="44">
        <v>0.9299</v>
      </c>
      <c r="R147" s="44">
        <v>0.0034</v>
      </c>
      <c r="S147" s="44">
        <v>0.0227</v>
      </c>
    </row>
    <row r="148" ht="12.75" customHeight="1">
      <c r="A148" s="14" t="s">
        <v>144</v>
      </c>
      <c r="B148" s="50" t="s">
        <v>133</v>
      </c>
      <c r="C148" s="52" t="s">
        <v>282</v>
      </c>
      <c r="D148" s="52" t="s">
        <v>459</v>
      </c>
      <c r="E148" s="15">
        <v>1210.0</v>
      </c>
      <c r="F148" s="38">
        <v>34.0</v>
      </c>
      <c r="G148" s="39">
        <v>17083.744</v>
      </c>
      <c r="H148" s="39">
        <v>984.782</v>
      </c>
      <c r="I148" s="39">
        <v>0.0</v>
      </c>
      <c r="J148" s="39">
        <v>226.649</v>
      </c>
      <c r="K148" s="39">
        <v>567.14</v>
      </c>
      <c r="L148" s="39">
        <v>0.0</v>
      </c>
      <c r="M148" s="39">
        <v>18862.315</v>
      </c>
      <c r="N148" s="39">
        <v>18436.815</v>
      </c>
      <c r="O148" s="39">
        <v>365.805</v>
      </c>
      <c r="P148" s="54">
        <v>26.6333333333333</v>
      </c>
      <c r="Q148" s="41">
        <v>0.9057</v>
      </c>
      <c r="R148" s="41">
        <v>0.012</v>
      </c>
      <c r="S148" s="41">
        <v>0.0421</v>
      </c>
    </row>
    <row r="149" ht="12.75" customHeight="1">
      <c r="A149" s="20" t="s">
        <v>145</v>
      </c>
      <c r="B149" s="50" t="s">
        <v>133</v>
      </c>
      <c r="C149" s="52" t="s">
        <v>281</v>
      </c>
      <c r="D149" s="52" t="s">
        <v>460</v>
      </c>
      <c r="E149" s="21">
        <v>500.0</v>
      </c>
      <c r="F149" s="42">
        <v>34.0</v>
      </c>
      <c r="G149" s="43">
        <v>4403.2098068276</v>
      </c>
      <c r="H149" s="43">
        <v>0.0</v>
      </c>
      <c r="I149" s="43">
        <v>0.0</v>
      </c>
      <c r="J149" s="43">
        <v>1432.1437588442</v>
      </c>
      <c r="K149" s="43">
        <v>0.0</v>
      </c>
      <c r="L149" s="43">
        <v>524.89465392</v>
      </c>
      <c r="M149" s="43">
        <v>6360.2482195918</v>
      </c>
      <c r="N149" s="43">
        <v>6460.2839</v>
      </c>
      <c r="O149" s="43">
        <v>66.97</v>
      </c>
      <c r="P149" s="54">
        <v>25.1515151515152</v>
      </c>
      <c r="Q149" s="44">
        <v>0.6923</v>
      </c>
      <c r="R149" s="44">
        <v>0.2252</v>
      </c>
      <c r="S149" s="44">
        <v>0.2252</v>
      </c>
    </row>
    <row r="150" ht="12.75" customHeight="1">
      <c r="A150" s="14" t="s">
        <v>146</v>
      </c>
      <c r="B150" s="50" t="s">
        <v>133</v>
      </c>
      <c r="C150" s="52" t="s">
        <v>281</v>
      </c>
      <c r="D150" s="52" t="s">
        <v>461</v>
      </c>
      <c r="E150" s="15">
        <v>600.0</v>
      </c>
      <c r="F150" s="38">
        <v>34.0</v>
      </c>
      <c r="G150" s="39">
        <v>1071.826</v>
      </c>
      <c r="H150" s="39">
        <v>0.0</v>
      </c>
      <c r="I150" s="39">
        <v>549.378</v>
      </c>
      <c r="J150" s="39">
        <v>4133.727</v>
      </c>
      <c r="K150" s="39">
        <v>0.0</v>
      </c>
      <c r="L150" s="39">
        <v>1969.524</v>
      </c>
      <c r="M150" s="39">
        <v>7724.455</v>
      </c>
      <c r="N150" s="39">
        <v>7612.721</v>
      </c>
      <c r="O150" s="39">
        <v>237.38</v>
      </c>
      <c r="P150" s="54">
        <v>23.7</v>
      </c>
      <c r="Q150" s="41">
        <v>0.1388</v>
      </c>
      <c r="R150" s="41">
        <v>0.5351</v>
      </c>
      <c r="S150" s="41">
        <v>0.5351</v>
      </c>
    </row>
    <row r="151" ht="12.75" customHeight="1">
      <c r="A151" s="20" t="s">
        <v>147</v>
      </c>
      <c r="B151" s="50" t="s">
        <v>133</v>
      </c>
      <c r="C151" s="52" t="s">
        <v>282</v>
      </c>
      <c r="D151" s="52" t="s">
        <v>462</v>
      </c>
      <c r="E151" s="21">
        <v>600.0</v>
      </c>
      <c r="F151" s="42">
        <v>34.0</v>
      </c>
      <c r="G151" s="43">
        <v>1090.471</v>
      </c>
      <c r="H151" s="43">
        <v>0.0</v>
      </c>
      <c r="I151" s="43">
        <v>0.0</v>
      </c>
      <c r="J151" s="43">
        <v>0.0</v>
      </c>
      <c r="K151" s="43">
        <v>0.0</v>
      </c>
      <c r="L151" s="43">
        <v>185.861</v>
      </c>
      <c r="M151" s="43">
        <v>1276.332</v>
      </c>
      <c r="N151" s="43">
        <v>1274.486</v>
      </c>
      <c r="O151" s="43">
        <v>137.84</v>
      </c>
      <c r="P151" s="54">
        <v>14.5142857142857</v>
      </c>
      <c r="Q151" s="44">
        <v>0.8544</v>
      </c>
      <c r="R151" s="44">
        <v>0.0</v>
      </c>
      <c r="S151" s="44">
        <v>0.0</v>
      </c>
    </row>
    <row r="152" ht="12.75" customHeight="1">
      <c r="A152" s="14" t="s">
        <v>148</v>
      </c>
      <c r="B152" s="50" t="s">
        <v>133</v>
      </c>
      <c r="C152" s="52" t="s">
        <v>279</v>
      </c>
      <c r="D152" s="52" t="s">
        <v>463</v>
      </c>
      <c r="E152" s="15">
        <v>30.0</v>
      </c>
      <c r="F152" s="38">
        <v>34.0</v>
      </c>
      <c r="G152" s="39">
        <v>228.20493</v>
      </c>
      <c r="H152" s="39">
        <v>0.0</v>
      </c>
      <c r="I152" s="39">
        <v>0.0</v>
      </c>
      <c r="J152" s="39">
        <v>0.0</v>
      </c>
      <c r="K152" s="39">
        <v>465.60844</v>
      </c>
      <c r="L152" s="39">
        <v>1073.2723</v>
      </c>
      <c r="M152" s="39">
        <v>1767.08567</v>
      </c>
      <c r="N152" s="39">
        <v>1796.083</v>
      </c>
      <c r="O152" s="39">
        <v>2.79</v>
      </c>
      <c r="P152" s="54">
        <v>20.0363636363636</v>
      </c>
      <c r="Q152" s="41">
        <v>0.1291</v>
      </c>
      <c r="R152" s="41">
        <v>0.0</v>
      </c>
      <c r="S152" s="41">
        <v>0.2635</v>
      </c>
    </row>
    <row r="153" ht="12.75" customHeight="1">
      <c r="A153" s="20" t="s">
        <v>149</v>
      </c>
      <c r="B153" s="50" t="s">
        <v>133</v>
      </c>
      <c r="C153" s="52" t="s">
        <v>282</v>
      </c>
      <c r="D153" s="52" t="s">
        <v>464</v>
      </c>
      <c r="E153" s="21">
        <v>2920.0</v>
      </c>
      <c r="F153" s="42">
        <v>34.0</v>
      </c>
      <c r="G153" s="43">
        <v>28228.123</v>
      </c>
      <c r="H153" s="43">
        <v>3754.293</v>
      </c>
      <c r="I153" s="43">
        <v>0.0</v>
      </c>
      <c r="J153" s="43">
        <v>536.986</v>
      </c>
      <c r="K153" s="43">
        <v>1768.169</v>
      </c>
      <c r="L153" s="43">
        <v>0.0</v>
      </c>
      <c r="M153" s="43">
        <v>34287.571</v>
      </c>
      <c r="N153" s="43">
        <v>34580.1297</v>
      </c>
      <c r="O153" s="43">
        <v>640.85</v>
      </c>
      <c r="P153" s="54">
        <v>16.8727272727273</v>
      </c>
      <c r="Q153" s="44">
        <v>0.8233</v>
      </c>
      <c r="R153" s="44">
        <v>0.0157</v>
      </c>
      <c r="S153" s="44">
        <v>0.0673</v>
      </c>
    </row>
    <row r="154" ht="12.75" customHeight="1">
      <c r="A154" s="14" t="s">
        <v>150</v>
      </c>
      <c r="B154" s="50" t="s">
        <v>133</v>
      </c>
      <c r="C154" s="52" t="s">
        <v>282</v>
      </c>
      <c r="D154" s="52" t="s">
        <v>465</v>
      </c>
      <c r="E154" s="15">
        <v>500.0</v>
      </c>
      <c r="F154" s="38">
        <v>34.0</v>
      </c>
      <c r="G154" s="39">
        <v>6008.26599</v>
      </c>
      <c r="H154" s="39">
        <v>0.0</v>
      </c>
      <c r="I154" s="39">
        <v>0.0</v>
      </c>
      <c r="J154" s="39">
        <v>71.524</v>
      </c>
      <c r="K154" s="39">
        <v>46.532</v>
      </c>
      <c r="L154" s="39">
        <v>0.0</v>
      </c>
      <c r="M154" s="39">
        <v>6126.32199</v>
      </c>
      <c r="N154" s="39">
        <v>6068.3329</v>
      </c>
      <c r="O154" s="39">
        <v>105.37</v>
      </c>
      <c r="P154" s="53">
        <v>11.0666666666667</v>
      </c>
      <c r="Q154" s="41">
        <v>0.9807</v>
      </c>
      <c r="R154" s="41">
        <v>0.0117</v>
      </c>
      <c r="S154" s="41">
        <v>0.0193</v>
      </c>
    </row>
    <row r="155" ht="12.75" customHeight="1">
      <c r="A155" s="20" t="s">
        <v>151</v>
      </c>
      <c r="B155" s="50" t="s">
        <v>133</v>
      </c>
      <c r="C155" s="52" t="s">
        <v>282</v>
      </c>
      <c r="D155" s="52" t="s">
        <v>466</v>
      </c>
      <c r="E155" s="21">
        <v>600.0</v>
      </c>
      <c r="F155" s="42">
        <v>34.0</v>
      </c>
      <c r="G155" s="43">
        <v>6895.066</v>
      </c>
      <c r="H155" s="43">
        <v>0.0</v>
      </c>
      <c r="I155" s="43">
        <v>0.0</v>
      </c>
      <c r="J155" s="43">
        <v>1390.3645</v>
      </c>
      <c r="K155" s="43">
        <v>0.0</v>
      </c>
      <c r="L155" s="43">
        <v>167.851</v>
      </c>
      <c r="M155" s="43">
        <v>8453.2815</v>
      </c>
      <c r="N155" s="43">
        <v>8431.195</v>
      </c>
      <c r="O155" s="43">
        <v>177.08</v>
      </c>
      <c r="P155" s="54">
        <v>19.1060606060606</v>
      </c>
      <c r="Q155" s="44">
        <v>0.8157</v>
      </c>
      <c r="R155" s="44">
        <v>0.1645</v>
      </c>
      <c r="S155" s="44">
        <v>0.1645</v>
      </c>
    </row>
    <row r="156" ht="12.75" customHeight="1">
      <c r="A156" s="14" t="s">
        <v>152</v>
      </c>
      <c r="B156" s="50" t="s">
        <v>133</v>
      </c>
      <c r="C156" s="52" t="s">
        <v>279</v>
      </c>
      <c r="D156" s="52" t="s">
        <v>467</v>
      </c>
      <c r="E156" s="15">
        <v>500.0</v>
      </c>
      <c r="F156" s="38">
        <v>34.0</v>
      </c>
      <c r="G156" s="39">
        <v>7894.15415</v>
      </c>
      <c r="H156" s="39">
        <v>339.17</v>
      </c>
      <c r="I156" s="39">
        <v>0.0</v>
      </c>
      <c r="J156" s="39">
        <v>0.0</v>
      </c>
      <c r="K156" s="39">
        <v>0.0</v>
      </c>
      <c r="L156" s="39">
        <v>0.0</v>
      </c>
      <c r="M156" s="39">
        <v>8233.32415</v>
      </c>
      <c r="N156" s="39">
        <v>8117.2</v>
      </c>
      <c r="O156" s="39">
        <v>386.902</v>
      </c>
      <c r="P156" s="54">
        <v>30.3272727272727</v>
      </c>
      <c r="Q156" s="41">
        <v>0.9588</v>
      </c>
      <c r="R156" s="41">
        <v>0.0</v>
      </c>
      <c r="S156" s="41">
        <v>0.0</v>
      </c>
    </row>
    <row r="157" ht="12.75" customHeight="1">
      <c r="A157" s="20" t="s">
        <v>153</v>
      </c>
      <c r="B157" s="50" t="s">
        <v>133</v>
      </c>
      <c r="C157" s="52" t="s">
        <v>281</v>
      </c>
      <c r="D157" s="52" t="s">
        <v>468</v>
      </c>
      <c r="E157" s="21">
        <v>1600.0</v>
      </c>
      <c r="F157" s="42">
        <v>34.0</v>
      </c>
      <c r="G157" s="43">
        <v>10291.25</v>
      </c>
      <c r="H157" s="43">
        <v>460.08</v>
      </c>
      <c r="I157" s="43">
        <v>4949.554</v>
      </c>
      <c r="J157" s="43">
        <v>372.83</v>
      </c>
      <c r="K157" s="43">
        <v>352.38</v>
      </c>
      <c r="L157" s="43">
        <v>709.09</v>
      </c>
      <c r="M157" s="43">
        <v>17135.184</v>
      </c>
      <c r="N157" s="43">
        <v>17377.955</v>
      </c>
      <c r="O157" s="43">
        <v>305.206</v>
      </c>
      <c r="P157" s="54">
        <v>18.0575757575758</v>
      </c>
      <c r="Q157" s="44">
        <v>0.6006</v>
      </c>
      <c r="R157" s="44">
        <v>0.0218</v>
      </c>
      <c r="S157" s="44">
        <v>0.0424</v>
      </c>
    </row>
    <row r="158" ht="12.75" customHeight="1">
      <c r="A158" s="14" t="s">
        <v>154</v>
      </c>
      <c r="B158" s="50" t="s">
        <v>133</v>
      </c>
      <c r="C158" s="52" t="s">
        <v>280</v>
      </c>
      <c r="D158" s="52" t="s">
        <v>469</v>
      </c>
      <c r="E158" s="15">
        <v>630.0</v>
      </c>
      <c r="F158" s="38">
        <v>34.0</v>
      </c>
      <c r="G158" s="39">
        <v>4661.91264</v>
      </c>
      <c r="H158" s="39">
        <v>0.0</v>
      </c>
      <c r="I158" s="39">
        <v>0.0</v>
      </c>
      <c r="J158" s="39">
        <v>0.0</v>
      </c>
      <c r="K158" s="39">
        <v>103.72823</v>
      </c>
      <c r="L158" s="39">
        <v>0.0</v>
      </c>
      <c r="M158" s="39">
        <v>4765.64087</v>
      </c>
      <c r="N158" s="39">
        <v>4610.7035</v>
      </c>
      <c r="O158" s="39">
        <v>260.45</v>
      </c>
      <c r="P158" s="54">
        <v>133.6375</v>
      </c>
      <c r="Q158" s="41">
        <v>0.9782</v>
      </c>
      <c r="R158" s="41">
        <v>0.0</v>
      </c>
      <c r="S158" s="41">
        <v>0.0218</v>
      </c>
    </row>
    <row r="159" ht="12.75" customHeight="1">
      <c r="A159" s="20" t="s">
        <v>155</v>
      </c>
      <c r="B159" s="50" t="s">
        <v>133</v>
      </c>
      <c r="C159" s="52" t="s">
        <v>282</v>
      </c>
      <c r="D159" s="52" t="s">
        <v>470</v>
      </c>
      <c r="E159" s="21">
        <v>120.0</v>
      </c>
      <c r="F159" s="42">
        <v>34.0</v>
      </c>
      <c r="G159" s="43">
        <v>0.0</v>
      </c>
      <c r="H159" s="43">
        <v>0.0</v>
      </c>
      <c r="I159" s="43">
        <v>0.0</v>
      </c>
      <c r="J159" s="43">
        <v>0.0</v>
      </c>
      <c r="K159" s="43">
        <v>0.0</v>
      </c>
      <c r="L159" s="43">
        <v>0.0</v>
      </c>
      <c r="M159" s="43">
        <v>0.0</v>
      </c>
      <c r="N159" s="43">
        <v>0.0</v>
      </c>
      <c r="O159" s="43">
        <v>0.0</v>
      </c>
      <c r="P159" s="19" t="s">
        <v>58</v>
      </c>
      <c r="Q159" s="44">
        <v>0.0</v>
      </c>
      <c r="R159" s="44">
        <v>0.0</v>
      </c>
      <c r="S159" s="44">
        <v>0.0</v>
      </c>
    </row>
    <row r="160" ht="12.75" customHeight="1">
      <c r="A160" s="14" t="s">
        <v>156</v>
      </c>
      <c r="B160" s="50" t="s">
        <v>133</v>
      </c>
      <c r="C160" s="52" t="s">
        <v>282</v>
      </c>
      <c r="D160" s="52" t="s">
        <v>471</v>
      </c>
      <c r="E160" s="15">
        <v>600.0</v>
      </c>
      <c r="F160" s="38">
        <v>34.0</v>
      </c>
      <c r="G160" s="39">
        <v>6160.019</v>
      </c>
      <c r="H160" s="39">
        <v>0.0</v>
      </c>
      <c r="I160" s="39">
        <v>0.0</v>
      </c>
      <c r="J160" s="39">
        <v>1680.477</v>
      </c>
      <c r="K160" s="39">
        <v>0.0</v>
      </c>
      <c r="L160" s="39">
        <v>418.933</v>
      </c>
      <c r="M160" s="39">
        <v>8259.429</v>
      </c>
      <c r="N160" s="39">
        <v>8106.0022</v>
      </c>
      <c r="O160" s="39">
        <v>158.95</v>
      </c>
      <c r="P160" s="53">
        <v>11.7909090909091</v>
      </c>
      <c r="Q160" s="41">
        <v>0.7458</v>
      </c>
      <c r="R160" s="41">
        <v>0.2035</v>
      </c>
      <c r="S160" s="41">
        <v>0.2035</v>
      </c>
    </row>
    <row r="161" ht="12.75" customHeight="1">
      <c r="A161" s="20" t="s">
        <v>268</v>
      </c>
      <c r="B161" s="50" t="s">
        <v>133</v>
      </c>
      <c r="C161" s="52" t="s">
        <v>279</v>
      </c>
      <c r="D161" s="52" t="s">
        <v>449</v>
      </c>
      <c r="E161" s="21">
        <v>1800.0</v>
      </c>
      <c r="F161" s="42">
        <v>1.0</v>
      </c>
      <c r="G161" s="43">
        <v>687.9735</v>
      </c>
      <c r="H161" s="43">
        <v>0.0</v>
      </c>
      <c r="I161" s="43">
        <v>0.0</v>
      </c>
      <c r="J161" s="43">
        <v>31.1046</v>
      </c>
      <c r="K161" s="43">
        <v>0.0</v>
      </c>
      <c r="L161" s="43">
        <v>0.0</v>
      </c>
      <c r="M161" s="43">
        <v>719.0781</v>
      </c>
      <c r="N161" s="43">
        <v>701.789</v>
      </c>
      <c r="O161" s="43">
        <v>579.81</v>
      </c>
      <c r="P161" s="54">
        <v>24.8</v>
      </c>
      <c r="Q161" s="44">
        <v>0.9567</v>
      </c>
      <c r="R161" s="44">
        <v>0.0433</v>
      </c>
      <c r="S161" s="44">
        <v>0.0433</v>
      </c>
    </row>
    <row r="162" ht="12.75" customHeight="1">
      <c r="A162" s="14" t="s">
        <v>157</v>
      </c>
      <c r="B162" s="50" t="s">
        <v>133</v>
      </c>
      <c r="C162" s="52" t="s">
        <v>282</v>
      </c>
      <c r="D162" s="52" t="s">
        <v>472</v>
      </c>
      <c r="E162" s="15">
        <v>300.0</v>
      </c>
      <c r="F162" s="38">
        <v>34.0</v>
      </c>
      <c r="G162" s="39">
        <v>0.0</v>
      </c>
      <c r="H162" s="39">
        <v>0.0</v>
      </c>
      <c r="I162" s="39">
        <v>0.0</v>
      </c>
      <c r="J162" s="39">
        <v>525.0</v>
      </c>
      <c r="K162" s="39">
        <v>1572.0</v>
      </c>
      <c r="L162" s="39">
        <v>0.0</v>
      </c>
      <c r="M162" s="39">
        <v>2097.0</v>
      </c>
      <c r="N162" s="39">
        <v>2180.763</v>
      </c>
      <c r="O162" s="39">
        <v>6.72</v>
      </c>
      <c r="P162" s="54">
        <v>36.4818181818182</v>
      </c>
      <c r="Q162" s="41">
        <v>0.0</v>
      </c>
      <c r="R162" s="41">
        <v>0.2504</v>
      </c>
      <c r="S162" s="41">
        <v>1.0</v>
      </c>
    </row>
    <row r="163" ht="12.75" customHeight="1">
      <c r="A163" s="20" t="s">
        <v>158</v>
      </c>
      <c r="B163" s="50" t="s">
        <v>133</v>
      </c>
      <c r="C163" s="52" t="s">
        <v>279</v>
      </c>
      <c r="D163" s="52" t="s">
        <v>473</v>
      </c>
      <c r="E163" s="21">
        <v>270.0</v>
      </c>
      <c r="F163" s="42">
        <v>34.0</v>
      </c>
      <c r="G163" s="43">
        <v>1704.66478</v>
      </c>
      <c r="H163" s="43">
        <v>0.0</v>
      </c>
      <c r="I163" s="43">
        <v>0.0</v>
      </c>
      <c r="J163" s="43">
        <v>0.0</v>
      </c>
      <c r="K163" s="43">
        <v>1322.3193</v>
      </c>
      <c r="L163" s="43">
        <v>1873.29612</v>
      </c>
      <c r="M163" s="43">
        <v>4900.2802</v>
      </c>
      <c r="N163" s="43">
        <v>4409.081</v>
      </c>
      <c r="O163" s="43">
        <v>6.4634</v>
      </c>
      <c r="P163" s="54">
        <v>25.5363636363636</v>
      </c>
      <c r="Q163" s="44">
        <v>0.3479</v>
      </c>
      <c r="R163" s="44">
        <v>0.0</v>
      </c>
      <c r="S163" s="44">
        <v>0.2698</v>
      </c>
    </row>
    <row r="164" ht="12.75" customHeight="1">
      <c r="A164" s="14" t="s">
        <v>159</v>
      </c>
      <c r="B164" s="50" t="s">
        <v>133</v>
      </c>
      <c r="C164" s="52" t="s">
        <v>279</v>
      </c>
      <c r="D164" s="52" t="s">
        <v>474</v>
      </c>
      <c r="E164" s="15">
        <v>35.0</v>
      </c>
      <c r="F164" s="38">
        <v>25.0</v>
      </c>
      <c r="G164" s="39">
        <v>0.0</v>
      </c>
      <c r="H164" s="39">
        <v>0.0</v>
      </c>
      <c r="I164" s="39">
        <v>0.0</v>
      </c>
      <c r="J164" s="39">
        <v>0.0</v>
      </c>
      <c r="K164" s="39">
        <v>0.0</v>
      </c>
      <c r="L164" s="39">
        <v>0.0</v>
      </c>
      <c r="M164" s="39">
        <v>0.0</v>
      </c>
      <c r="N164" s="39">
        <v>0.0</v>
      </c>
      <c r="O164" s="39">
        <v>0.0</v>
      </c>
      <c r="P164" s="13" t="s">
        <v>58</v>
      </c>
      <c r="Q164" s="41">
        <v>0.0</v>
      </c>
      <c r="R164" s="41">
        <v>0.0</v>
      </c>
      <c r="S164" s="41">
        <v>0.0</v>
      </c>
    </row>
    <row r="165" ht="12.75" customHeight="1">
      <c r="A165" s="20" t="s">
        <v>160</v>
      </c>
      <c r="B165" s="50" t="s">
        <v>133</v>
      </c>
      <c r="C165" s="52" t="s">
        <v>282</v>
      </c>
      <c r="D165" s="52" t="s">
        <v>475</v>
      </c>
      <c r="E165" s="21">
        <v>1340.0</v>
      </c>
      <c r="F165" s="42">
        <v>34.0</v>
      </c>
      <c r="G165" s="43">
        <v>18300.218</v>
      </c>
      <c r="H165" s="43">
        <v>16.244</v>
      </c>
      <c r="I165" s="43">
        <v>0.0</v>
      </c>
      <c r="J165" s="43">
        <v>235.779</v>
      </c>
      <c r="K165" s="43">
        <v>1142.438</v>
      </c>
      <c r="L165" s="43">
        <v>7.06</v>
      </c>
      <c r="M165" s="43">
        <v>19701.739</v>
      </c>
      <c r="N165" s="43">
        <v>19795.8139</v>
      </c>
      <c r="O165" s="43">
        <v>286.6</v>
      </c>
      <c r="P165" s="53">
        <v>13.8939393939394</v>
      </c>
      <c r="Q165" s="44">
        <v>0.9289</v>
      </c>
      <c r="R165" s="44">
        <v>0.012</v>
      </c>
      <c r="S165" s="44">
        <v>0.07</v>
      </c>
    </row>
    <row r="166" ht="12.75" customHeight="1">
      <c r="A166" s="14" t="s">
        <v>161</v>
      </c>
      <c r="B166" s="50" t="s">
        <v>133</v>
      </c>
      <c r="C166" s="52" t="s">
        <v>281</v>
      </c>
      <c r="D166" s="52" t="s">
        <v>476</v>
      </c>
      <c r="E166" s="15">
        <v>1320.0</v>
      </c>
      <c r="F166" s="38">
        <v>34.0</v>
      </c>
      <c r="G166" s="39">
        <v>7987.2236</v>
      </c>
      <c r="H166" s="39">
        <v>548.49</v>
      </c>
      <c r="I166" s="39">
        <v>3604.83</v>
      </c>
      <c r="J166" s="39">
        <v>307.24</v>
      </c>
      <c r="K166" s="39">
        <v>368.13</v>
      </c>
      <c r="L166" s="39">
        <v>1049.95</v>
      </c>
      <c r="M166" s="39">
        <v>13865.8636</v>
      </c>
      <c r="N166" s="39">
        <v>13939.195</v>
      </c>
      <c r="O166" s="39">
        <v>247.63</v>
      </c>
      <c r="P166" s="54">
        <v>27.9848484848485</v>
      </c>
      <c r="Q166" s="41">
        <v>0.576</v>
      </c>
      <c r="R166" s="41">
        <v>0.0222</v>
      </c>
      <c r="S166" s="41">
        <v>0.0487</v>
      </c>
    </row>
    <row r="167" ht="12.75" customHeight="1">
      <c r="A167" s="20" t="s">
        <v>162</v>
      </c>
      <c r="B167" s="50" t="s">
        <v>133</v>
      </c>
      <c r="C167" s="52" t="s">
        <v>282</v>
      </c>
      <c r="D167" s="52" t="s">
        <v>477</v>
      </c>
      <c r="E167" s="21">
        <v>2190.0</v>
      </c>
      <c r="F167" s="42">
        <v>34.0</v>
      </c>
      <c r="G167" s="43">
        <v>25904.877</v>
      </c>
      <c r="H167" s="43">
        <v>1897.364</v>
      </c>
      <c r="I167" s="43">
        <v>0.0</v>
      </c>
      <c r="J167" s="43">
        <v>0.0</v>
      </c>
      <c r="K167" s="43">
        <v>158.134</v>
      </c>
      <c r="L167" s="43">
        <v>0.0</v>
      </c>
      <c r="M167" s="43">
        <v>27960.375</v>
      </c>
      <c r="N167" s="43">
        <v>28060.396</v>
      </c>
      <c r="O167" s="43">
        <v>318.023</v>
      </c>
      <c r="P167" s="53">
        <v>12.8606060606061</v>
      </c>
      <c r="Q167" s="44">
        <v>0.9265</v>
      </c>
      <c r="R167" s="44">
        <v>0.0</v>
      </c>
      <c r="S167" s="44">
        <v>0.0057</v>
      </c>
    </row>
    <row r="168" ht="12.75" customHeight="1">
      <c r="A168" s="14" t="s">
        <v>163</v>
      </c>
      <c r="B168" s="50" t="s">
        <v>133</v>
      </c>
      <c r="C168" s="52" t="s">
        <v>279</v>
      </c>
      <c r="D168" s="52" t="s">
        <v>478</v>
      </c>
      <c r="E168" s="15">
        <v>2600.0</v>
      </c>
      <c r="F168" s="38">
        <v>34.0</v>
      </c>
      <c r="G168" s="39">
        <v>39581.87</v>
      </c>
      <c r="H168" s="39">
        <v>0.0</v>
      </c>
      <c r="I168" s="39">
        <v>0.0</v>
      </c>
      <c r="J168" s="39">
        <v>0.0</v>
      </c>
      <c r="K168" s="39">
        <v>0.0</v>
      </c>
      <c r="L168" s="39">
        <v>0.0</v>
      </c>
      <c r="M168" s="39">
        <v>39581.87</v>
      </c>
      <c r="N168" s="39">
        <v>39742.76</v>
      </c>
      <c r="O168" s="39">
        <v>448.69</v>
      </c>
      <c r="P168" s="53">
        <v>9.66969696969697</v>
      </c>
      <c r="Q168" s="41">
        <v>1.0</v>
      </c>
      <c r="R168" s="41">
        <v>0.0</v>
      </c>
      <c r="S168" s="41">
        <v>0.0</v>
      </c>
    </row>
    <row r="169" ht="12.75" customHeight="1">
      <c r="A169" s="20" t="s">
        <v>164</v>
      </c>
      <c r="B169" s="50" t="s">
        <v>133</v>
      </c>
      <c r="C169" s="52" t="s">
        <v>279</v>
      </c>
      <c r="D169" s="52" t="s">
        <v>479</v>
      </c>
      <c r="E169" s="21">
        <v>1340.0</v>
      </c>
      <c r="F169" s="42">
        <v>34.0</v>
      </c>
      <c r="G169" s="43">
        <v>19330.919</v>
      </c>
      <c r="H169" s="43">
        <v>0.0</v>
      </c>
      <c r="I169" s="43">
        <v>0.0</v>
      </c>
      <c r="J169" s="43">
        <v>0.0</v>
      </c>
      <c r="K169" s="43">
        <v>0.0</v>
      </c>
      <c r="L169" s="43">
        <v>0.0</v>
      </c>
      <c r="M169" s="43">
        <v>19330.919</v>
      </c>
      <c r="N169" s="43">
        <v>19251.05</v>
      </c>
      <c r="O169" s="43">
        <v>470.52</v>
      </c>
      <c r="P169" s="53">
        <v>11.1515151515152</v>
      </c>
      <c r="Q169" s="44">
        <v>1.0</v>
      </c>
      <c r="R169" s="44">
        <v>0.0</v>
      </c>
      <c r="S169" s="44">
        <v>0.0</v>
      </c>
    </row>
    <row r="170" ht="12.75" customHeight="1">
      <c r="A170" s="14" t="s">
        <v>165</v>
      </c>
      <c r="B170" s="50" t="s">
        <v>133</v>
      </c>
      <c r="C170" s="52" t="s">
        <v>279</v>
      </c>
      <c r="D170" s="52" t="s">
        <v>480</v>
      </c>
      <c r="E170" s="15">
        <v>1600.0</v>
      </c>
      <c r="F170" s="38">
        <v>34.0</v>
      </c>
      <c r="G170" s="39">
        <v>1393.69</v>
      </c>
      <c r="H170" s="39">
        <v>0.0</v>
      </c>
      <c r="I170" s="39">
        <v>21936.91</v>
      </c>
      <c r="J170" s="39">
        <v>0.067</v>
      </c>
      <c r="K170" s="39">
        <v>0.0</v>
      </c>
      <c r="L170" s="39">
        <v>0.0</v>
      </c>
      <c r="M170" s="39">
        <v>23330.667</v>
      </c>
      <c r="N170" s="39">
        <v>23320.917</v>
      </c>
      <c r="O170" s="39">
        <v>499.47</v>
      </c>
      <c r="P170" s="54">
        <v>20.0363636363636</v>
      </c>
      <c r="Q170" s="41">
        <v>0.0597</v>
      </c>
      <c r="R170" s="41">
        <v>0.0</v>
      </c>
      <c r="S170" s="41">
        <v>0.0</v>
      </c>
    </row>
    <row r="171" ht="12.75" customHeight="1">
      <c r="A171" s="20" t="s">
        <v>166</v>
      </c>
      <c r="B171" s="50" t="s">
        <v>133</v>
      </c>
      <c r="C171" s="52" t="s">
        <v>281</v>
      </c>
      <c r="D171" s="52" t="s">
        <v>481</v>
      </c>
      <c r="E171" s="21">
        <v>1200.0</v>
      </c>
      <c r="F171" s="42">
        <v>34.0</v>
      </c>
      <c r="G171" s="43">
        <v>6762.969</v>
      </c>
      <c r="H171" s="43">
        <v>0.0</v>
      </c>
      <c r="I171" s="43">
        <v>0.0</v>
      </c>
      <c r="J171" s="43">
        <v>41.916</v>
      </c>
      <c r="K171" s="43">
        <v>684.867</v>
      </c>
      <c r="L171" s="43">
        <v>5444.564</v>
      </c>
      <c r="M171" s="43">
        <v>12934.316</v>
      </c>
      <c r="N171" s="43">
        <v>13354.598</v>
      </c>
      <c r="O171" s="43">
        <v>58.21</v>
      </c>
      <c r="P171" s="54">
        <v>18.4333333333333</v>
      </c>
      <c r="Q171" s="44">
        <v>0.5229</v>
      </c>
      <c r="R171" s="44">
        <v>0.0032</v>
      </c>
      <c r="S171" s="44">
        <v>0.0561</v>
      </c>
    </row>
    <row r="172" ht="12.75" customHeight="1">
      <c r="A172" s="14" t="s">
        <v>167</v>
      </c>
      <c r="B172" s="50" t="s">
        <v>133</v>
      </c>
      <c r="C172" s="52" t="s">
        <v>279</v>
      </c>
      <c r="D172" s="52" t="s">
        <v>482</v>
      </c>
      <c r="E172" s="15">
        <v>1000.0</v>
      </c>
      <c r="F172" s="38">
        <v>34.0</v>
      </c>
      <c r="G172" s="39">
        <v>4366.67978</v>
      </c>
      <c r="H172" s="39">
        <v>0.0</v>
      </c>
      <c r="I172" s="39">
        <v>10836.47023</v>
      </c>
      <c r="J172" s="39">
        <v>0.0</v>
      </c>
      <c r="K172" s="39">
        <v>0.0</v>
      </c>
      <c r="L172" s="39">
        <v>0.0</v>
      </c>
      <c r="M172" s="39">
        <v>15203.15001</v>
      </c>
      <c r="N172" s="39">
        <v>14807.6711</v>
      </c>
      <c r="O172" s="39">
        <v>593.2</v>
      </c>
      <c r="P172" s="54">
        <v>25.069696969697</v>
      </c>
      <c r="Q172" s="41">
        <v>0.2872</v>
      </c>
      <c r="R172" s="41">
        <v>0.0</v>
      </c>
      <c r="S172" s="41">
        <v>0.0</v>
      </c>
    </row>
    <row r="173" ht="12.75" customHeight="1">
      <c r="A173" s="20" t="s">
        <v>168</v>
      </c>
      <c r="B173" s="50" t="s">
        <v>133</v>
      </c>
      <c r="C173" s="52" t="s">
        <v>282</v>
      </c>
      <c r="D173" s="52" t="s">
        <v>483</v>
      </c>
      <c r="E173" s="21">
        <v>2320.0</v>
      </c>
      <c r="F173" s="42">
        <v>34.0</v>
      </c>
      <c r="G173" s="43">
        <v>24155.58</v>
      </c>
      <c r="H173" s="43">
        <v>1358.826</v>
      </c>
      <c r="I173" s="43">
        <v>2487.57</v>
      </c>
      <c r="J173" s="43">
        <v>551.339</v>
      </c>
      <c r="K173" s="43">
        <v>823.43</v>
      </c>
      <c r="L173" s="43">
        <v>568.04</v>
      </c>
      <c r="M173" s="43">
        <v>29944.785</v>
      </c>
      <c r="N173" s="43">
        <v>29316.601</v>
      </c>
      <c r="O173" s="43">
        <v>729.75</v>
      </c>
      <c r="P173" s="54">
        <v>17.6909090909091</v>
      </c>
      <c r="Q173" s="44">
        <v>0.8067</v>
      </c>
      <c r="R173" s="44">
        <v>0.0184</v>
      </c>
      <c r="S173" s="44">
        <v>0.0459</v>
      </c>
    </row>
    <row r="174" ht="12.75" customHeight="1">
      <c r="A174" s="14" t="s">
        <v>169</v>
      </c>
      <c r="B174" s="50" t="s">
        <v>133</v>
      </c>
      <c r="C174" s="52" t="s">
        <v>282</v>
      </c>
      <c r="D174" s="52" t="s">
        <v>484</v>
      </c>
      <c r="E174" s="15">
        <v>246.0</v>
      </c>
      <c r="F174" s="38">
        <v>34.0</v>
      </c>
      <c r="G174" s="39">
        <v>0.0</v>
      </c>
      <c r="H174" s="39">
        <v>0.0</v>
      </c>
      <c r="I174" s="39">
        <v>0.0</v>
      </c>
      <c r="J174" s="39">
        <v>0.0</v>
      </c>
      <c r="K174" s="39">
        <v>0.0</v>
      </c>
      <c r="L174" s="39">
        <v>0.0</v>
      </c>
      <c r="M174" s="39">
        <v>0.0</v>
      </c>
      <c r="N174" s="39">
        <v>0.0</v>
      </c>
      <c r="O174" s="39">
        <v>0.0</v>
      </c>
      <c r="P174" s="13" t="s">
        <v>58</v>
      </c>
      <c r="Q174" s="41">
        <v>0.0</v>
      </c>
      <c r="R174" s="41">
        <v>0.0</v>
      </c>
      <c r="S174" s="41">
        <v>0.0</v>
      </c>
    </row>
    <row r="175" ht="12.75" customHeight="1">
      <c r="A175" s="20" t="s">
        <v>170</v>
      </c>
      <c r="B175" s="50" t="s">
        <v>133</v>
      </c>
      <c r="C175" s="52" t="s">
        <v>280</v>
      </c>
      <c r="D175" s="52" t="s">
        <v>445</v>
      </c>
      <c r="E175" s="21">
        <v>2640.0</v>
      </c>
      <c r="F175" s="42">
        <v>3.0</v>
      </c>
      <c r="G175" s="43">
        <v>0.0</v>
      </c>
      <c r="H175" s="43">
        <v>0.0</v>
      </c>
      <c r="I175" s="43">
        <v>0.0</v>
      </c>
      <c r="J175" s="43">
        <v>281.563</v>
      </c>
      <c r="K175" s="43">
        <v>0.0</v>
      </c>
      <c r="L175" s="43">
        <v>0.0</v>
      </c>
      <c r="M175" s="43">
        <v>281.563</v>
      </c>
      <c r="N175" s="43">
        <v>280.264</v>
      </c>
      <c r="O175" s="43">
        <v>19.769</v>
      </c>
      <c r="P175" s="53">
        <v>9.95</v>
      </c>
      <c r="Q175" s="44">
        <v>0.0</v>
      </c>
      <c r="R175" s="44">
        <v>1.0</v>
      </c>
      <c r="S175" s="44">
        <v>1.0</v>
      </c>
    </row>
    <row r="176" ht="12.75" customHeight="1">
      <c r="A176" s="14" t="s">
        <v>171</v>
      </c>
      <c r="B176" s="50" t="s">
        <v>133</v>
      </c>
      <c r="C176" s="52" t="s">
        <v>282</v>
      </c>
      <c r="D176" s="52" t="s">
        <v>483</v>
      </c>
      <c r="E176" s="15">
        <v>1980.0</v>
      </c>
      <c r="F176" s="38">
        <v>3.0</v>
      </c>
      <c r="G176" s="39">
        <v>0.0</v>
      </c>
      <c r="H176" s="39">
        <v>0.0</v>
      </c>
      <c r="I176" s="39">
        <v>0.0</v>
      </c>
      <c r="J176" s="39">
        <v>1859.949</v>
      </c>
      <c r="K176" s="39">
        <v>0.0</v>
      </c>
      <c r="L176" s="39">
        <v>0.0</v>
      </c>
      <c r="M176" s="39">
        <v>1859.949</v>
      </c>
      <c r="N176" s="39">
        <v>1808.166</v>
      </c>
      <c r="O176" s="39">
        <v>105.75</v>
      </c>
      <c r="P176" s="17">
        <v>3.66666666666667</v>
      </c>
      <c r="Q176" s="41">
        <v>0.0</v>
      </c>
      <c r="R176" s="41">
        <v>1.0</v>
      </c>
      <c r="S176" s="41">
        <v>1.0</v>
      </c>
    </row>
    <row r="177" ht="12.75" customHeight="1">
      <c r="A177" s="20" t="s">
        <v>172</v>
      </c>
      <c r="B177" s="50" t="s">
        <v>133</v>
      </c>
      <c r="C177" s="52" t="s">
        <v>280</v>
      </c>
      <c r="D177" s="52" t="s">
        <v>485</v>
      </c>
      <c r="E177" s="21">
        <v>4000.0</v>
      </c>
      <c r="F177" s="42">
        <v>34.0</v>
      </c>
      <c r="G177" s="43">
        <v>0.0</v>
      </c>
      <c r="H177" s="43">
        <v>0.0</v>
      </c>
      <c r="I177" s="43">
        <v>0.0</v>
      </c>
      <c r="J177" s="43">
        <v>6087.894</v>
      </c>
      <c r="K177" s="43">
        <v>15916.679</v>
      </c>
      <c r="L177" s="43">
        <v>0.0</v>
      </c>
      <c r="M177" s="43">
        <v>22004.573</v>
      </c>
      <c r="N177" s="43">
        <v>20779.4444</v>
      </c>
      <c r="O177" s="43">
        <v>2065.29</v>
      </c>
      <c r="P177" s="54">
        <v>120.055555555556</v>
      </c>
      <c r="Q177" s="44">
        <v>0.0</v>
      </c>
      <c r="R177" s="44">
        <v>0.2767</v>
      </c>
      <c r="S177" s="44">
        <v>1.0</v>
      </c>
    </row>
    <row r="178" ht="12.75" customHeight="1">
      <c r="A178" s="14" t="s">
        <v>173</v>
      </c>
      <c r="B178" s="50" t="s">
        <v>133</v>
      </c>
      <c r="C178" s="52" t="s">
        <v>282</v>
      </c>
      <c r="D178" s="52" t="s">
        <v>486</v>
      </c>
      <c r="E178" s="15">
        <v>1350.0</v>
      </c>
      <c r="F178" s="38">
        <v>25.0</v>
      </c>
      <c r="G178" s="39">
        <v>0.0</v>
      </c>
      <c r="H178" s="39">
        <v>0.0</v>
      </c>
      <c r="I178" s="39">
        <v>0.0</v>
      </c>
      <c r="J178" s="39">
        <v>0.0</v>
      </c>
      <c r="K178" s="39">
        <v>0.0</v>
      </c>
      <c r="L178" s="39">
        <v>0.0</v>
      </c>
      <c r="M178" s="39">
        <v>0.0</v>
      </c>
      <c r="N178" s="39">
        <v>0.0</v>
      </c>
      <c r="O178" s="39">
        <v>0.0</v>
      </c>
      <c r="P178" s="13" t="s">
        <v>58</v>
      </c>
      <c r="Q178" s="41">
        <v>0.0</v>
      </c>
      <c r="R178" s="41">
        <v>0.0</v>
      </c>
      <c r="S178" s="41">
        <v>0.0</v>
      </c>
    </row>
    <row r="179" ht="12.75" customHeight="1">
      <c r="A179" s="20" t="s">
        <v>174</v>
      </c>
      <c r="B179" s="50" t="s">
        <v>133</v>
      </c>
      <c r="C179" s="52" t="s">
        <v>280</v>
      </c>
      <c r="D179" s="52" t="s">
        <v>487</v>
      </c>
      <c r="E179" s="21">
        <v>630.0</v>
      </c>
      <c r="F179" s="42">
        <v>34.0</v>
      </c>
      <c r="G179" s="43">
        <v>6815.3572</v>
      </c>
      <c r="H179" s="43">
        <v>332.87</v>
      </c>
      <c r="I179" s="43">
        <v>0.0</v>
      </c>
      <c r="J179" s="43">
        <v>73.5588</v>
      </c>
      <c r="K179" s="43">
        <v>400.478</v>
      </c>
      <c r="L179" s="43">
        <v>0.0</v>
      </c>
      <c r="M179" s="43">
        <v>7622.264</v>
      </c>
      <c r="N179" s="43">
        <v>7380.721</v>
      </c>
      <c r="O179" s="43">
        <v>220.83</v>
      </c>
      <c r="P179" s="54">
        <v>26.1515151515152</v>
      </c>
      <c r="Q179" s="44">
        <v>0.8941</v>
      </c>
      <c r="R179" s="44">
        <v>0.0097</v>
      </c>
      <c r="S179" s="44">
        <v>0.0622</v>
      </c>
    </row>
    <row r="180" ht="12.75" customHeight="1">
      <c r="A180" s="14" t="s">
        <v>175</v>
      </c>
      <c r="B180" s="50" t="s">
        <v>133</v>
      </c>
      <c r="C180" s="52" t="s">
        <v>279</v>
      </c>
      <c r="D180" s="52" t="s">
        <v>488</v>
      </c>
      <c r="E180" s="15">
        <v>600.0</v>
      </c>
      <c r="F180" s="38">
        <v>34.0</v>
      </c>
      <c r="G180" s="39">
        <v>7226.191</v>
      </c>
      <c r="H180" s="39">
        <v>203.908</v>
      </c>
      <c r="I180" s="39">
        <v>0.0</v>
      </c>
      <c r="J180" s="39">
        <v>212.692</v>
      </c>
      <c r="K180" s="39">
        <v>0.0</v>
      </c>
      <c r="L180" s="39">
        <v>133.443</v>
      </c>
      <c r="M180" s="39">
        <v>7776.234</v>
      </c>
      <c r="N180" s="39">
        <v>7579.1519</v>
      </c>
      <c r="O180" s="39">
        <v>279.33</v>
      </c>
      <c r="P180" s="54">
        <v>27.2575757575758</v>
      </c>
      <c r="Q180" s="41">
        <v>0.9293</v>
      </c>
      <c r="R180" s="41">
        <v>0.0274</v>
      </c>
      <c r="S180" s="41">
        <v>0.0274</v>
      </c>
    </row>
    <row r="181" ht="12.75" customHeight="1">
      <c r="A181" s="20" t="s">
        <v>176</v>
      </c>
      <c r="B181" s="50" t="s">
        <v>133</v>
      </c>
      <c r="C181" s="52" t="s">
        <v>281</v>
      </c>
      <c r="D181" s="52" t="s">
        <v>489</v>
      </c>
      <c r="E181" s="21">
        <v>1320.0</v>
      </c>
      <c r="F181" s="42">
        <v>34.0</v>
      </c>
      <c r="G181" s="43">
        <v>0.0</v>
      </c>
      <c r="H181" s="43">
        <v>0.0</v>
      </c>
      <c r="I181" s="43">
        <v>11464.87686</v>
      </c>
      <c r="J181" s="43">
        <v>3081.5628</v>
      </c>
      <c r="K181" s="43">
        <v>0.0</v>
      </c>
      <c r="L181" s="43">
        <v>1269.01049</v>
      </c>
      <c r="M181" s="43">
        <v>15815.45015</v>
      </c>
      <c r="N181" s="43">
        <v>15907.7928</v>
      </c>
      <c r="O181" s="43">
        <v>225.7701</v>
      </c>
      <c r="P181" s="54">
        <v>19.3939393939394</v>
      </c>
      <c r="Q181" s="44">
        <v>0.0</v>
      </c>
      <c r="R181" s="44">
        <v>0.1948</v>
      </c>
      <c r="S181" s="44">
        <v>0.1948</v>
      </c>
    </row>
    <row r="182" ht="12.75" customHeight="1">
      <c r="A182" s="14" t="s">
        <v>177</v>
      </c>
      <c r="B182" s="50" t="s">
        <v>133</v>
      </c>
      <c r="C182" s="52" t="s">
        <v>281</v>
      </c>
      <c r="D182" s="52" t="s">
        <v>490</v>
      </c>
      <c r="E182" s="15">
        <v>90.0</v>
      </c>
      <c r="F182" s="38">
        <v>34.0</v>
      </c>
      <c r="G182" s="39">
        <v>862.378</v>
      </c>
      <c r="H182" s="39">
        <v>0.0</v>
      </c>
      <c r="I182" s="39">
        <v>0.0</v>
      </c>
      <c r="J182" s="39">
        <v>0.0</v>
      </c>
      <c r="K182" s="39">
        <v>219.7</v>
      </c>
      <c r="L182" s="39">
        <v>223.594</v>
      </c>
      <c r="M182" s="39">
        <v>1305.672</v>
      </c>
      <c r="N182" s="39">
        <v>1310.99</v>
      </c>
      <c r="O182" s="39">
        <v>42.17</v>
      </c>
      <c r="P182" s="54">
        <v>55.7787878787879</v>
      </c>
      <c r="Q182" s="41">
        <v>0.6605</v>
      </c>
      <c r="R182" s="41">
        <v>0.0</v>
      </c>
      <c r="S182" s="41">
        <v>0.1683</v>
      </c>
    </row>
    <row r="183" ht="12.75" customHeight="1">
      <c r="A183" s="20" t="s">
        <v>178</v>
      </c>
      <c r="B183" s="50" t="s">
        <v>133</v>
      </c>
      <c r="C183" s="52" t="s">
        <v>279</v>
      </c>
      <c r="D183" s="52" t="s">
        <v>491</v>
      </c>
      <c r="E183" s="21">
        <v>1000.0</v>
      </c>
      <c r="F183" s="42">
        <v>34.0</v>
      </c>
      <c r="G183" s="43">
        <v>1278.779</v>
      </c>
      <c r="H183" s="43">
        <v>18.201</v>
      </c>
      <c r="I183" s="43">
        <v>6719.77703</v>
      </c>
      <c r="J183" s="43">
        <v>2919.27433</v>
      </c>
      <c r="K183" s="43">
        <v>214.641</v>
      </c>
      <c r="L183" s="43">
        <v>5970.40777</v>
      </c>
      <c r="M183" s="43">
        <v>17121.08013</v>
      </c>
      <c r="N183" s="43">
        <v>16189.142</v>
      </c>
      <c r="O183" s="43">
        <v>801.131</v>
      </c>
      <c r="P183" s="54">
        <v>24.769696969697</v>
      </c>
      <c r="Q183" s="44">
        <v>0.0747</v>
      </c>
      <c r="R183" s="44">
        <v>0.1705</v>
      </c>
      <c r="S183" s="44">
        <v>0.183</v>
      </c>
    </row>
    <row r="184" ht="12.75" customHeight="1">
      <c r="A184" s="14" t="s">
        <v>179</v>
      </c>
      <c r="B184" s="50" t="s">
        <v>133</v>
      </c>
      <c r="C184" s="52" t="s">
        <v>282</v>
      </c>
      <c r="D184" s="52" t="s">
        <v>492</v>
      </c>
      <c r="E184" s="15">
        <v>500.0</v>
      </c>
      <c r="F184" s="38">
        <v>34.0</v>
      </c>
      <c r="G184" s="39">
        <v>6469.127</v>
      </c>
      <c r="H184" s="39">
        <v>403.237</v>
      </c>
      <c r="I184" s="39">
        <v>0.0</v>
      </c>
      <c r="J184" s="39">
        <v>0.0</v>
      </c>
      <c r="K184" s="39">
        <v>0.0</v>
      </c>
      <c r="L184" s="39">
        <v>0.0</v>
      </c>
      <c r="M184" s="39">
        <v>6872.364</v>
      </c>
      <c r="N184" s="39">
        <v>6820.264</v>
      </c>
      <c r="O184" s="39">
        <v>79.29</v>
      </c>
      <c r="P184" s="54">
        <v>17.5757575757576</v>
      </c>
      <c r="Q184" s="41">
        <v>0.9413</v>
      </c>
      <c r="R184" s="41">
        <v>0.0</v>
      </c>
      <c r="S184" s="41">
        <v>0.0</v>
      </c>
    </row>
    <row r="185" ht="12.75" customHeight="1">
      <c r="A185" s="20" t="s">
        <v>180</v>
      </c>
      <c r="B185" s="50" t="s">
        <v>133</v>
      </c>
      <c r="C185" s="52" t="s">
        <v>282</v>
      </c>
      <c r="D185" s="52" t="s">
        <v>493</v>
      </c>
      <c r="E185" s="21">
        <v>750.0</v>
      </c>
      <c r="F185" s="42">
        <v>34.0</v>
      </c>
      <c r="G185" s="43">
        <v>2232.8613</v>
      </c>
      <c r="H185" s="43">
        <v>5553.258</v>
      </c>
      <c r="I185" s="43">
        <v>0.0</v>
      </c>
      <c r="J185" s="43">
        <v>0.0</v>
      </c>
      <c r="K185" s="43">
        <v>0.0</v>
      </c>
      <c r="L185" s="43">
        <v>0.0</v>
      </c>
      <c r="M185" s="43">
        <v>7786.1193</v>
      </c>
      <c r="N185" s="43">
        <v>7847.251</v>
      </c>
      <c r="O185" s="43">
        <v>132.013</v>
      </c>
      <c r="P185" s="54">
        <v>21.503125</v>
      </c>
      <c r="Q185" s="44">
        <v>0.2868</v>
      </c>
      <c r="R185" s="44">
        <v>0.0</v>
      </c>
      <c r="S185" s="44">
        <v>0.0</v>
      </c>
    </row>
    <row r="186" ht="12.75" customHeight="1">
      <c r="A186" s="14" t="s">
        <v>181</v>
      </c>
      <c r="B186" s="50" t="s">
        <v>133</v>
      </c>
      <c r="C186" s="52" t="s">
        <v>279</v>
      </c>
      <c r="D186" s="52" t="s">
        <v>494</v>
      </c>
      <c r="E186" s="15">
        <v>600.0</v>
      </c>
      <c r="F186" s="38">
        <v>34.0</v>
      </c>
      <c r="G186" s="39">
        <v>7966.475</v>
      </c>
      <c r="H186" s="39">
        <v>0.0</v>
      </c>
      <c r="I186" s="39">
        <v>0.0</v>
      </c>
      <c r="J186" s="39">
        <v>47.793</v>
      </c>
      <c r="K186" s="39">
        <v>0.0</v>
      </c>
      <c r="L186" s="39">
        <v>113.684</v>
      </c>
      <c r="M186" s="39">
        <v>8127.952</v>
      </c>
      <c r="N186" s="39">
        <v>8249.0229</v>
      </c>
      <c r="O186" s="39">
        <v>136.81</v>
      </c>
      <c r="P186" s="54">
        <v>24.6060606060606</v>
      </c>
      <c r="Q186" s="41">
        <v>0.9801</v>
      </c>
      <c r="R186" s="41">
        <v>0.0059</v>
      </c>
      <c r="S186" s="41">
        <v>0.0059</v>
      </c>
    </row>
    <row r="187" ht="12.75" customHeight="1">
      <c r="A187" s="20" t="s">
        <v>182</v>
      </c>
      <c r="B187" s="50" t="s">
        <v>133</v>
      </c>
      <c r="C187" s="52" t="s">
        <v>279</v>
      </c>
      <c r="D187" s="52" t="s">
        <v>495</v>
      </c>
      <c r="E187" s="21">
        <v>1370.0</v>
      </c>
      <c r="F187" s="42">
        <v>3.0</v>
      </c>
      <c r="G187" s="43">
        <v>1354.193</v>
      </c>
      <c r="H187" s="43">
        <v>0.0</v>
      </c>
      <c r="I187" s="43">
        <v>0.0</v>
      </c>
      <c r="J187" s="43">
        <v>0.272</v>
      </c>
      <c r="K187" s="43">
        <v>163.004</v>
      </c>
      <c r="L187" s="43">
        <v>0.069</v>
      </c>
      <c r="M187" s="43">
        <v>1517.538</v>
      </c>
      <c r="N187" s="43">
        <v>1561.825</v>
      </c>
      <c r="O187" s="43">
        <v>142.37</v>
      </c>
      <c r="P187" s="53">
        <v>10.5666666666667</v>
      </c>
      <c r="Q187" s="44">
        <v>0.8924</v>
      </c>
      <c r="R187" s="44">
        <v>2.0E-4</v>
      </c>
      <c r="S187" s="44">
        <v>0.1076</v>
      </c>
    </row>
    <row r="188" ht="12.75" customHeight="1">
      <c r="A188" s="14" t="s">
        <v>183</v>
      </c>
      <c r="B188" s="50" t="s">
        <v>133</v>
      </c>
      <c r="C188" s="52" t="s">
        <v>279</v>
      </c>
      <c r="D188" s="52" t="s">
        <v>496</v>
      </c>
      <c r="E188" s="15">
        <v>100.0</v>
      </c>
      <c r="F188" s="38">
        <v>34.0</v>
      </c>
      <c r="G188" s="39">
        <v>106.92438</v>
      </c>
      <c r="H188" s="39">
        <v>0.0</v>
      </c>
      <c r="I188" s="39">
        <v>0.0</v>
      </c>
      <c r="J188" s="39">
        <v>0.0</v>
      </c>
      <c r="K188" s="39">
        <v>672.69154</v>
      </c>
      <c r="L188" s="39">
        <v>1457.582</v>
      </c>
      <c r="M188" s="39">
        <v>2237.19792</v>
      </c>
      <c r="N188" s="39">
        <v>2319.119</v>
      </c>
      <c r="O188" s="39">
        <v>1.74</v>
      </c>
      <c r="P188" s="53">
        <v>9.83636363636364</v>
      </c>
      <c r="Q188" s="41">
        <v>0.0478</v>
      </c>
      <c r="R188" s="41">
        <v>0.0</v>
      </c>
      <c r="S188" s="41">
        <v>0.3007</v>
      </c>
    </row>
    <row r="189" ht="12.75" customHeight="1">
      <c r="A189" s="20" t="s">
        <v>184</v>
      </c>
      <c r="B189" s="50" t="s">
        <v>133</v>
      </c>
      <c r="C189" s="52" t="s">
        <v>280</v>
      </c>
      <c r="D189" s="52" t="s">
        <v>497</v>
      </c>
      <c r="E189" s="21">
        <v>362.0</v>
      </c>
      <c r="F189" s="42">
        <v>34.0</v>
      </c>
      <c r="G189" s="43">
        <v>3563.72254</v>
      </c>
      <c r="H189" s="43">
        <v>0.0</v>
      </c>
      <c r="I189" s="43">
        <v>0.0</v>
      </c>
      <c r="J189" s="43">
        <v>295.917</v>
      </c>
      <c r="K189" s="43">
        <v>468.688</v>
      </c>
      <c r="L189" s="43">
        <v>0.0</v>
      </c>
      <c r="M189" s="43">
        <v>4328.32754</v>
      </c>
      <c r="N189" s="43">
        <v>4379.6039</v>
      </c>
      <c r="O189" s="43">
        <v>110.45</v>
      </c>
      <c r="P189" s="54">
        <v>23.8212121212121</v>
      </c>
      <c r="Q189" s="44">
        <v>0.8233</v>
      </c>
      <c r="R189" s="44">
        <v>0.0684</v>
      </c>
      <c r="S189" s="44">
        <v>0.1767</v>
      </c>
    </row>
    <row r="190" ht="12.75" customHeight="1">
      <c r="A190" s="14" t="s">
        <v>185</v>
      </c>
      <c r="B190" s="50" t="s">
        <v>133</v>
      </c>
      <c r="C190" s="52" t="s">
        <v>280</v>
      </c>
      <c r="D190" s="52" t="s">
        <v>498</v>
      </c>
      <c r="E190" s="15">
        <v>1200.0</v>
      </c>
      <c r="F190" s="38">
        <v>34.0</v>
      </c>
      <c r="G190" s="39">
        <v>0.0</v>
      </c>
      <c r="H190" s="39">
        <v>0.0</v>
      </c>
      <c r="I190" s="39">
        <v>0.0</v>
      </c>
      <c r="J190" s="39">
        <v>1359.687</v>
      </c>
      <c r="K190" s="39">
        <v>5389.26876</v>
      </c>
      <c r="L190" s="39">
        <v>0.0</v>
      </c>
      <c r="M190" s="39">
        <v>6748.95576</v>
      </c>
      <c r="N190" s="39">
        <v>6582.9595</v>
      </c>
      <c r="O190" s="39">
        <v>251.19</v>
      </c>
      <c r="P190" s="54">
        <v>26.7878787878788</v>
      </c>
      <c r="Q190" s="41">
        <v>0.0</v>
      </c>
      <c r="R190" s="41">
        <v>0.2015</v>
      </c>
      <c r="S190" s="41">
        <v>1.0</v>
      </c>
    </row>
    <row r="191" ht="12.75" customHeight="1">
      <c r="A191" s="20" t="s">
        <v>186</v>
      </c>
      <c r="B191" s="50" t="s">
        <v>133</v>
      </c>
      <c r="C191" s="52" t="s">
        <v>279</v>
      </c>
      <c r="D191" s="52" t="s">
        <v>499</v>
      </c>
      <c r="E191" s="21">
        <v>135.0</v>
      </c>
      <c r="F191" s="42">
        <v>25.0</v>
      </c>
      <c r="G191" s="43">
        <v>0.0</v>
      </c>
      <c r="H191" s="43">
        <v>0.0</v>
      </c>
      <c r="I191" s="43">
        <v>0.0</v>
      </c>
      <c r="J191" s="43">
        <v>0.0</v>
      </c>
      <c r="K191" s="43">
        <v>0.0</v>
      </c>
      <c r="L191" s="43">
        <v>0.0</v>
      </c>
      <c r="M191" s="43">
        <v>0.0</v>
      </c>
      <c r="N191" s="43">
        <v>0.0</v>
      </c>
      <c r="O191" s="43">
        <v>0.0</v>
      </c>
      <c r="P191" s="19" t="s">
        <v>58</v>
      </c>
      <c r="Q191" s="44">
        <v>0.0</v>
      </c>
      <c r="R191" s="44">
        <v>0.0</v>
      </c>
      <c r="S191" s="44">
        <v>0.0</v>
      </c>
    </row>
    <row r="192" ht="12.75" customHeight="1">
      <c r="A192" s="14" t="s">
        <v>187</v>
      </c>
      <c r="B192" s="50" t="s">
        <v>133</v>
      </c>
      <c r="C192" s="52" t="s">
        <v>281</v>
      </c>
      <c r="D192" s="52" t="s">
        <v>500</v>
      </c>
      <c r="E192" s="15">
        <v>1340.0</v>
      </c>
      <c r="F192" s="38">
        <v>34.0</v>
      </c>
      <c r="G192" s="39">
        <v>15029.001</v>
      </c>
      <c r="H192" s="39">
        <v>448.528</v>
      </c>
      <c r="I192" s="39">
        <v>0.0</v>
      </c>
      <c r="J192" s="39">
        <v>0.0</v>
      </c>
      <c r="K192" s="39">
        <v>0.0</v>
      </c>
      <c r="L192" s="39">
        <v>0.0</v>
      </c>
      <c r="M192" s="39">
        <v>15477.529</v>
      </c>
      <c r="N192" s="39">
        <v>15225.589</v>
      </c>
      <c r="O192" s="39">
        <v>347.7</v>
      </c>
      <c r="P192" s="54">
        <v>16.6515151515152</v>
      </c>
      <c r="Q192" s="41">
        <v>0.971</v>
      </c>
      <c r="R192" s="41">
        <v>0.0</v>
      </c>
      <c r="S192" s="41">
        <v>0.0</v>
      </c>
    </row>
    <row r="193" ht="12.75" customHeight="1">
      <c r="A193" s="20" t="s">
        <v>188</v>
      </c>
      <c r="B193" s="50" t="s">
        <v>133</v>
      </c>
      <c r="C193" s="52" t="s">
        <v>281</v>
      </c>
      <c r="D193" s="52" t="s">
        <v>501</v>
      </c>
      <c r="E193" s="21">
        <v>3960.0</v>
      </c>
      <c r="F193" s="42">
        <v>34.0</v>
      </c>
      <c r="G193" s="43">
        <v>0.0</v>
      </c>
      <c r="H193" s="43">
        <v>0.0</v>
      </c>
      <c r="I193" s="43">
        <v>50691.90137</v>
      </c>
      <c r="J193" s="43">
        <v>0.0</v>
      </c>
      <c r="K193" s="43">
        <v>0.0</v>
      </c>
      <c r="L193" s="43">
        <v>0.0</v>
      </c>
      <c r="M193" s="43">
        <v>50691.90137</v>
      </c>
      <c r="N193" s="43">
        <v>50876.284</v>
      </c>
      <c r="O193" s="43">
        <v>135.14</v>
      </c>
      <c r="P193" s="17">
        <v>4.00909090909091</v>
      </c>
      <c r="Q193" s="44">
        <v>0.0</v>
      </c>
      <c r="R193" s="44">
        <v>0.0</v>
      </c>
      <c r="S193" s="44">
        <v>0.0</v>
      </c>
    </row>
    <row r="194" ht="12.75" customHeight="1">
      <c r="A194" s="14" t="s">
        <v>189</v>
      </c>
      <c r="B194" s="50" t="s">
        <v>133</v>
      </c>
      <c r="C194" s="52" t="s">
        <v>281</v>
      </c>
      <c r="D194" s="52" t="s">
        <v>502</v>
      </c>
      <c r="E194" s="15">
        <v>1330.0</v>
      </c>
      <c r="F194" s="38">
        <v>34.0</v>
      </c>
      <c r="G194" s="39">
        <v>6909.79504</v>
      </c>
      <c r="H194" s="39">
        <v>0.0</v>
      </c>
      <c r="I194" s="39">
        <v>0.0</v>
      </c>
      <c r="J194" s="39">
        <v>0.0</v>
      </c>
      <c r="K194" s="39">
        <v>0.0</v>
      </c>
      <c r="L194" s="39">
        <v>0.0</v>
      </c>
      <c r="M194" s="39">
        <v>6909.79504</v>
      </c>
      <c r="N194" s="39">
        <v>6794.1699</v>
      </c>
      <c r="O194" s="39">
        <v>210.14</v>
      </c>
      <c r="P194" s="54">
        <v>24.0818181818182</v>
      </c>
      <c r="Q194" s="41">
        <v>1.0</v>
      </c>
      <c r="R194" s="41">
        <v>0.0</v>
      </c>
      <c r="S194" s="41">
        <v>0.0</v>
      </c>
    </row>
    <row r="195" ht="12.75" customHeight="1">
      <c r="A195" s="20" t="s">
        <v>190</v>
      </c>
      <c r="B195" s="50" t="s">
        <v>133</v>
      </c>
      <c r="C195" s="52" t="s">
        <v>281</v>
      </c>
      <c r="D195" s="52" t="s">
        <v>503</v>
      </c>
      <c r="E195" s="21">
        <v>600.0</v>
      </c>
      <c r="F195" s="42">
        <v>34.0</v>
      </c>
      <c r="G195" s="43">
        <v>4508.719</v>
      </c>
      <c r="H195" s="43">
        <v>0.0</v>
      </c>
      <c r="I195" s="43">
        <v>0.0</v>
      </c>
      <c r="J195" s="43">
        <v>3331.362</v>
      </c>
      <c r="K195" s="43">
        <v>0.0</v>
      </c>
      <c r="L195" s="43">
        <v>474.169</v>
      </c>
      <c r="M195" s="43">
        <v>8314.25</v>
      </c>
      <c r="N195" s="43">
        <v>8288.588</v>
      </c>
      <c r="O195" s="43">
        <v>202.91</v>
      </c>
      <c r="P195" s="54">
        <v>100.975757575758</v>
      </c>
      <c r="Q195" s="44">
        <v>0.5423</v>
      </c>
      <c r="R195" s="44">
        <v>0.4007</v>
      </c>
      <c r="S195" s="44">
        <v>0.4007</v>
      </c>
    </row>
    <row r="196" ht="12.75" customHeight="1">
      <c r="A196" s="14" t="s">
        <v>191</v>
      </c>
      <c r="B196" s="50" t="s">
        <v>133</v>
      </c>
      <c r="C196" s="52" t="s">
        <v>282</v>
      </c>
      <c r="D196" s="52" t="s">
        <v>504</v>
      </c>
      <c r="E196" s="15">
        <v>150.0</v>
      </c>
      <c r="F196" s="38">
        <v>34.0</v>
      </c>
      <c r="G196" s="39">
        <v>125.512</v>
      </c>
      <c r="H196" s="39">
        <v>0.0</v>
      </c>
      <c r="I196" s="39">
        <v>0.0</v>
      </c>
      <c r="J196" s="39">
        <v>0.0</v>
      </c>
      <c r="K196" s="39">
        <v>58.752</v>
      </c>
      <c r="L196" s="39">
        <v>2083.677</v>
      </c>
      <c r="M196" s="39">
        <v>2267.941</v>
      </c>
      <c r="N196" s="39">
        <v>2215.507</v>
      </c>
      <c r="O196" s="39">
        <v>89.17</v>
      </c>
      <c r="P196" s="54">
        <v>31.2416666666667</v>
      </c>
      <c r="Q196" s="41">
        <v>0.0553</v>
      </c>
      <c r="R196" s="41">
        <v>0.0</v>
      </c>
      <c r="S196" s="41">
        <v>0.0259</v>
      </c>
    </row>
    <row r="197" ht="12.75" customHeight="1">
      <c r="A197" s="20" t="s">
        <v>192</v>
      </c>
      <c r="B197" s="50" t="s">
        <v>133</v>
      </c>
      <c r="C197" s="52" t="s">
        <v>281</v>
      </c>
      <c r="D197" s="52" t="s">
        <v>505</v>
      </c>
      <c r="E197" s="21">
        <v>2520.0</v>
      </c>
      <c r="F197" s="42">
        <v>34.0</v>
      </c>
      <c r="G197" s="43">
        <v>28650.8215</v>
      </c>
      <c r="H197" s="43">
        <v>0.0</v>
      </c>
      <c r="I197" s="43">
        <v>0.0</v>
      </c>
      <c r="J197" s="43">
        <v>0.0</v>
      </c>
      <c r="K197" s="43">
        <v>0.0</v>
      </c>
      <c r="L197" s="43">
        <v>0.0</v>
      </c>
      <c r="M197" s="43">
        <v>28650.8215</v>
      </c>
      <c r="N197" s="43">
        <v>28350.735</v>
      </c>
      <c r="O197" s="43">
        <v>442.485</v>
      </c>
      <c r="P197" s="54">
        <v>15.1666666666667</v>
      </c>
      <c r="Q197" s="44">
        <v>1.0</v>
      </c>
      <c r="R197" s="44">
        <v>0.0</v>
      </c>
      <c r="S197" s="44">
        <v>0.0</v>
      </c>
    </row>
    <row r="198" ht="12.75" customHeight="1">
      <c r="A198" s="14" t="s">
        <v>193</v>
      </c>
      <c r="B198" s="50" t="s">
        <v>133</v>
      </c>
      <c r="C198" s="52" t="s">
        <v>280</v>
      </c>
      <c r="D198" s="52" t="s">
        <v>487</v>
      </c>
      <c r="E198" s="15">
        <v>500.0</v>
      </c>
      <c r="F198" s="38">
        <v>34.0</v>
      </c>
      <c r="G198" s="39">
        <v>7.713</v>
      </c>
      <c r="H198" s="39">
        <v>0.0</v>
      </c>
      <c r="I198" s="39">
        <v>0.0</v>
      </c>
      <c r="J198" s="39">
        <v>277.341</v>
      </c>
      <c r="K198" s="39">
        <v>796.2525</v>
      </c>
      <c r="L198" s="39">
        <v>0.0</v>
      </c>
      <c r="M198" s="39">
        <v>1081.3065</v>
      </c>
      <c r="N198" s="39">
        <v>1071.0309</v>
      </c>
      <c r="O198" s="39">
        <v>83.54</v>
      </c>
      <c r="P198" s="54">
        <v>353.288461538462</v>
      </c>
      <c r="Q198" s="41">
        <v>0.0071</v>
      </c>
      <c r="R198" s="41">
        <v>0.2565</v>
      </c>
      <c r="S198" s="41">
        <v>0.9929</v>
      </c>
    </row>
    <row r="199" ht="12.75" customHeight="1">
      <c r="A199" s="20" t="s">
        <v>194</v>
      </c>
      <c r="B199" s="50" t="s">
        <v>133</v>
      </c>
      <c r="C199" s="52" t="s">
        <v>279</v>
      </c>
      <c r="D199" s="52" t="s">
        <v>506</v>
      </c>
      <c r="E199" s="21">
        <v>2980.0</v>
      </c>
      <c r="F199" s="42">
        <v>34.0</v>
      </c>
      <c r="G199" s="43">
        <v>41567.061</v>
      </c>
      <c r="H199" s="43">
        <v>3.67</v>
      </c>
      <c r="I199" s="43">
        <v>381.5</v>
      </c>
      <c r="J199" s="43">
        <v>0.0</v>
      </c>
      <c r="K199" s="43">
        <v>0.0</v>
      </c>
      <c r="L199" s="43">
        <v>35.26</v>
      </c>
      <c r="M199" s="43">
        <v>41987.491</v>
      </c>
      <c r="N199" s="43">
        <v>42093.786</v>
      </c>
      <c r="O199" s="43">
        <v>449.82</v>
      </c>
      <c r="P199" s="53">
        <v>12.9454545454546</v>
      </c>
      <c r="Q199" s="44">
        <v>0.99</v>
      </c>
      <c r="R199" s="44">
        <v>0.0</v>
      </c>
      <c r="S199" s="44">
        <v>0.0</v>
      </c>
    </row>
    <row r="200" ht="12.75" customHeight="1">
      <c r="A200" s="14" t="s">
        <v>195</v>
      </c>
      <c r="B200" s="50" t="s">
        <v>133</v>
      </c>
      <c r="C200" s="52" t="s">
        <v>282</v>
      </c>
      <c r="D200" s="52" t="s">
        <v>507</v>
      </c>
      <c r="E200" s="15">
        <v>1320.0</v>
      </c>
      <c r="F200" s="38">
        <v>34.0</v>
      </c>
      <c r="G200" s="39">
        <v>6649.54</v>
      </c>
      <c r="H200" s="39">
        <v>4177.35</v>
      </c>
      <c r="I200" s="39">
        <v>1979.78</v>
      </c>
      <c r="J200" s="39">
        <v>202.79</v>
      </c>
      <c r="K200" s="39">
        <v>259.83</v>
      </c>
      <c r="L200" s="39">
        <v>441.9</v>
      </c>
      <c r="M200" s="39">
        <v>13711.19</v>
      </c>
      <c r="N200" s="39">
        <v>13919.493</v>
      </c>
      <c r="O200" s="39">
        <v>231.09</v>
      </c>
      <c r="P200" s="54">
        <v>23.1969696969697</v>
      </c>
      <c r="Q200" s="41">
        <v>0.485</v>
      </c>
      <c r="R200" s="41">
        <v>0.0148</v>
      </c>
      <c r="S200" s="41">
        <v>0.0338</v>
      </c>
    </row>
    <row r="201" ht="12.75" customHeight="1">
      <c r="A201" s="20" t="s">
        <v>196</v>
      </c>
      <c r="B201" s="50" t="s">
        <v>133</v>
      </c>
      <c r="C201" s="52" t="s">
        <v>279</v>
      </c>
      <c r="D201" s="52" t="s">
        <v>508</v>
      </c>
      <c r="E201" s="21">
        <v>63.0</v>
      </c>
      <c r="F201" s="42">
        <v>34.0</v>
      </c>
      <c r="G201" s="43">
        <v>292.11933</v>
      </c>
      <c r="H201" s="43">
        <v>0.0</v>
      </c>
      <c r="I201" s="43">
        <v>0.0</v>
      </c>
      <c r="J201" s="43">
        <v>0.0</v>
      </c>
      <c r="K201" s="43">
        <v>90.173</v>
      </c>
      <c r="L201" s="43">
        <v>931.92899</v>
      </c>
      <c r="M201" s="43">
        <v>1314.22132</v>
      </c>
      <c r="N201" s="43">
        <v>1332.9451</v>
      </c>
      <c r="O201" s="43">
        <v>3.04</v>
      </c>
      <c r="P201" s="54">
        <v>41.5785714285714</v>
      </c>
      <c r="Q201" s="44">
        <v>0.2223</v>
      </c>
      <c r="R201" s="44">
        <v>0.0</v>
      </c>
      <c r="S201" s="44">
        <v>0.0686</v>
      </c>
    </row>
    <row r="202" ht="12.75" customHeight="1">
      <c r="A202" s="14" t="s">
        <v>197</v>
      </c>
      <c r="B202" s="50" t="s">
        <v>133</v>
      </c>
      <c r="C202" s="52" t="s">
        <v>279</v>
      </c>
      <c r="D202" s="52" t="s">
        <v>509</v>
      </c>
      <c r="E202" s="15">
        <v>25.0</v>
      </c>
      <c r="F202" s="38">
        <v>25.0</v>
      </c>
      <c r="G202" s="39">
        <v>0.0</v>
      </c>
      <c r="H202" s="39">
        <v>0.0</v>
      </c>
      <c r="I202" s="39">
        <v>0.0</v>
      </c>
      <c r="J202" s="39">
        <v>0.0</v>
      </c>
      <c r="K202" s="39">
        <v>0.0</v>
      </c>
      <c r="L202" s="39">
        <v>0.0</v>
      </c>
      <c r="M202" s="39">
        <v>0.0</v>
      </c>
      <c r="N202" s="39">
        <v>0.0</v>
      </c>
      <c r="O202" s="39">
        <v>0.0</v>
      </c>
      <c r="P202" s="13" t="s">
        <v>58</v>
      </c>
      <c r="Q202" s="41">
        <v>0.0</v>
      </c>
      <c r="R202" s="41">
        <v>0.0</v>
      </c>
      <c r="S202" s="41">
        <v>0.0</v>
      </c>
    </row>
    <row r="203" ht="12.75" customHeight="1">
      <c r="A203" s="20" t="s">
        <v>198</v>
      </c>
      <c r="B203" s="50" t="s">
        <v>133</v>
      </c>
      <c r="C203" s="52" t="s">
        <v>279</v>
      </c>
      <c r="D203" s="52" t="s">
        <v>510</v>
      </c>
      <c r="E203" s="21">
        <v>2400.0</v>
      </c>
      <c r="F203" s="42">
        <v>34.0</v>
      </c>
      <c r="G203" s="43">
        <v>13607.645</v>
      </c>
      <c r="H203" s="43">
        <v>0.0</v>
      </c>
      <c r="I203" s="43">
        <v>12336.997</v>
      </c>
      <c r="J203" s="43">
        <v>6603.645</v>
      </c>
      <c r="K203" s="43">
        <v>214.466</v>
      </c>
      <c r="L203" s="43">
        <v>6414.024</v>
      </c>
      <c r="M203" s="43">
        <v>39176.777</v>
      </c>
      <c r="N203" s="43">
        <v>39193.174</v>
      </c>
      <c r="O203" s="43">
        <v>275.763</v>
      </c>
      <c r="P203" s="53">
        <v>8.65151515151515</v>
      </c>
      <c r="Q203" s="44">
        <v>0.3473</v>
      </c>
      <c r="R203" s="44">
        <v>0.1686</v>
      </c>
      <c r="S203" s="44">
        <v>0.1741</v>
      </c>
    </row>
    <row r="204" ht="12.75" customHeight="1">
      <c r="A204" s="14" t="s">
        <v>199</v>
      </c>
      <c r="B204" s="50" t="s">
        <v>133</v>
      </c>
      <c r="C204" s="52" t="s">
        <v>282</v>
      </c>
      <c r="D204" s="52" t="s">
        <v>448</v>
      </c>
      <c r="E204" s="15">
        <v>3300.0</v>
      </c>
      <c r="F204" s="38">
        <v>3.0</v>
      </c>
      <c r="G204" s="39">
        <v>3648.764</v>
      </c>
      <c r="H204" s="39">
        <v>0.0</v>
      </c>
      <c r="I204" s="39">
        <v>0.0</v>
      </c>
      <c r="J204" s="39">
        <v>0.0</v>
      </c>
      <c r="K204" s="39">
        <v>0.0</v>
      </c>
      <c r="L204" s="39">
        <v>0.0</v>
      </c>
      <c r="M204" s="39">
        <v>3648.764</v>
      </c>
      <c r="N204" s="39">
        <v>3777.909</v>
      </c>
      <c r="O204" s="39">
        <v>722.96</v>
      </c>
      <c r="P204" s="54">
        <v>17.8</v>
      </c>
      <c r="Q204" s="41">
        <v>1.0</v>
      </c>
      <c r="R204" s="41">
        <v>0.0</v>
      </c>
      <c r="S204" s="41">
        <v>0.0</v>
      </c>
    </row>
    <row r="205" ht="12.75" customHeight="1">
      <c r="A205" s="20" t="s">
        <v>200</v>
      </c>
      <c r="B205" s="50" t="s">
        <v>133</v>
      </c>
      <c r="C205" s="52" t="s">
        <v>282</v>
      </c>
      <c r="D205" s="52" t="s">
        <v>511</v>
      </c>
      <c r="E205" s="21">
        <v>750.0</v>
      </c>
      <c r="F205" s="42">
        <v>34.0</v>
      </c>
      <c r="G205" s="43">
        <v>0.0</v>
      </c>
      <c r="H205" s="43">
        <v>0.0</v>
      </c>
      <c r="I205" s="43">
        <v>0.0</v>
      </c>
      <c r="J205" s="43">
        <v>1995.233089</v>
      </c>
      <c r="K205" s="43">
        <v>4620.735332</v>
      </c>
      <c r="L205" s="43">
        <v>0.0</v>
      </c>
      <c r="M205" s="43">
        <v>6615.968421</v>
      </c>
      <c r="N205" s="43">
        <v>6479.5408</v>
      </c>
      <c r="O205" s="43">
        <v>251.69</v>
      </c>
      <c r="P205" s="54">
        <v>36.1636363636364</v>
      </c>
      <c r="Q205" s="44">
        <v>0.0</v>
      </c>
      <c r="R205" s="44">
        <v>0.3016</v>
      </c>
      <c r="S205" s="44">
        <v>1.0</v>
      </c>
    </row>
    <row r="206" ht="12.75" customHeight="1">
      <c r="A206" s="14" t="s">
        <v>201</v>
      </c>
      <c r="B206" s="50" t="s">
        <v>133</v>
      </c>
      <c r="C206" s="52" t="s">
        <v>279</v>
      </c>
      <c r="D206" s="52" t="s">
        <v>512</v>
      </c>
      <c r="E206" s="15">
        <v>1440.0</v>
      </c>
      <c r="F206" s="38">
        <v>34.0</v>
      </c>
      <c r="G206" s="39">
        <v>10491.028</v>
      </c>
      <c r="H206" s="39">
        <v>0.0</v>
      </c>
      <c r="I206" s="39">
        <v>0.0</v>
      </c>
      <c r="J206" s="39">
        <v>2071.24629</v>
      </c>
      <c r="K206" s="39">
        <v>0.0</v>
      </c>
      <c r="L206" s="39">
        <v>4072.349</v>
      </c>
      <c r="M206" s="39">
        <v>16634.62329</v>
      </c>
      <c r="N206" s="39">
        <v>16015.146</v>
      </c>
      <c r="O206" s="39">
        <v>1141.64</v>
      </c>
      <c r="P206" s="54">
        <v>42.1939393939394</v>
      </c>
      <c r="Q206" s="41">
        <v>0.6307</v>
      </c>
      <c r="R206" s="41">
        <v>0.1245</v>
      </c>
      <c r="S206" s="41">
        <v>0.1245</v>
      </c>
    </row>
    <row r="207" ht="12.75" customHeight="1">
      <c r="A207" s="20" t="s">
        <v>202</v>
      </c>
      <c r="B207" s="50" t="s">
        <v>133</v>
      </c>
      <c r="C207" s="52" t="s">
        <v>280</v>
      </c>
      <c r="D207" s="52" t="s">
        <v>513</v>
      </c>
      <c r="E207" s="21">
        <v>1110.0</v>
      </c>
      <c r="F207" s="42">
        <v>34.0</v>
      </c>
      <c r="G207" s="43">
        <v>11309.20558</v>
      </c>
      <c r="H207" s="43">
        <v>0.0</v>
      </c>
      <c r="I207" s="43">
        <v>0.0</v>
      </c>
      <c r="J207" s="43">
        <v>0.0</v>
      </c>
      <c r="K207" s="43">
        <v>108.77896</v>
      </c>
      <c r="L207" s="43">
        <v>0.0</v>
      </c>
      <c r="M207" s="43">
        <v>11417.98454</v>
      </c>
      <c r="N207" s="43">
        <v>11127.868</v>
      </c>
      <c r="O207" s="43">
        <v>470.41</v>
      </c>
      <c r="P207" s="54">
        <v>29.6787878787879</v>
      </c>
      <c r="Q207" s="44">
        <v>0.9905</v>
      </c>
      <c r="R207" s="44">
        <v>0.0</v>
      </c>
      <c r="S207" s="44">
        <v>0.0095</v>
      </c>
    </row>
    <row r="208" ht="12.75" customHeight="1">
      <c r="A208" s="14" t="s">
        <v>203</v>
      </c>
      <c r="B208" s="50" t="s">
        <v>133</v>
      </c>
      <c r="C208" s="52" t="s">
        <v>281</v>
      </c>
      <c r="D208" s="52" t="s">
        <v>514</v>
      </c>
      <c r="E208" s="15">
        <v>4760.0</v>
      </c>
      <c r="F208" s="38">
        <v>34.0</v>
      </c>
      <c r="G208" s="39">
        <v>64118.57</v>
      </c>
      <c r="H208" s="39">
        <v>0.0</v>
      </c>
      <c r="I208" s="39">
        <v>586.4004</v>
      </c>
      <c r="J208" s="39">
        <v>0.0</v>
      </c>
      <c r="K208" s="39">
        <v>0.0</v>
      </c>
      <c r="L208" s="39">
        <v>0.0</v>
      </c>
      <c r="M208" s="39">
        <v>64704.9704</v>
      </c>
      <c r="N208" s="39">
        <v>65658.195</v>
      </c>
      <c r="O208" s="39">
        <v>1035.14</v>
      </c>
      <c r="P208" s="54">
        <v>16.3030303030303</v>
      </c>
      <c r="Q208" s="41">
        <v>0.9909</v>
      </c>
      <c r="R208" s="41">
        <v>0.0</v>
      </c>
      <c r="S208" s="41">
        <v>0.0</v>
      </c>
    </row>
    <row r="209" ht="12.75" customHeight="1">
      <c r="A209" s="20" t="s">
        <v>255</v>
      </c>
      <c r="B209" s="50" t="s">
        <v>133</v>
      </c>
      <c r="C209" s="52" t="s">
        <v>279</v>
      </c>
      <c r="D209" s="52" t="s">
        <v>515</v>
      </c>
      <c r="E209" s="21">
        <v>600.0</v>
      </c>
      <c r="F209" s="42">
        <v>6.0</v>
      </c>
      <c r="G209" s="43">
        <v>311.025</v>
      </c>
      <c r="H209" s="43">
        <v>0.0</v>
      </c>
      <c r="I209" s="43">
        <v>0.0</v>
      </c>
      <c r="J209" s="43">
        <v>769.84392</v>
      </c>
      <c r="K209" s="43">
        <v>0.0</v>
      </c>
      <c r="L209" s="43">
        <v>71.18694</v>
      </c>
      <c r="M209" s="43">
        <v>1152.05586</v>
      </c>
      <c r="N209" s="43">
        <v>1194.677</v>
      </c>
      <c r="O209" s="43">
        <v>188.06</v>
      </c>
      <c r="P209" s="54">
        <v>26.1666666666667</v>
      </c>
      <c r="Q209" s="44">
        <v>0.27</v>
      </c>
      <c r="R209" s="44">
        <v>0.6682</v>
      </c>
      <c r="S209" s="44">
        <v>0.6682</v>
      </c>
    </row>
    <row r="210" ht="12.75" customHeight="1">
      <c r="A210" s="14" t="s">
        <v>204</v>
      </c>
      <c r="B210" s="50" t="s">
        <v>133</v>
      </c>
      <c r="C210" s="52" t="s">
        <v>280</v>
      </c>
      <c r="D210" s="52" t="s">
        <v>516</v>
      </c>
      <c r="E210" s="15">
        <v>2270.0</v>
      </c>
      <c r="F210" s="38">
        <v>34.0</v>
      </c>
      <c r="G210" s="39">
        <v>20180.16502</v>
      </c>
      <c r="H210" s="39">
        <v>0.0</v>
      </c>
      <c r="I210" s="39">
        <v>0.0</v>
      </c>
      <c r="J210" s="39">
        <v>0.0</v>
      </c>
      <c r="K210" s="39">
        <v>141.04589</v>
      </c>
      <c r="L210" s="39">
        <v>0.0</v>
      </c>
      <c r="M210" s="39">
        <v>20321.21091</v>
      </c>
      <c r="N210" s="39">
        <v>19776.9864</v>
      </c>
      <c r="O210" s="39">
        <v>710.73</v>
      </c>
      <c r="P210" s="54">
        <v>35.730303030303</v>
      </c>
      <c r="Q210" s="41">
        <v>0.9931</v>
      </c>
      <c r="R210" s="41">
        <v>0.0</v>
      </c>
      <c r="S210" s="41">
        <v>0.0069</v>
      </c>
    </row>
    <row r="211" ht="12.75" customHeight="1">
      <c r="A211" s="20" t="s">
        <v>205</v>
      </c>
      <c r="B211" s="50" t="s">
        <v>133</v>
      </c>
      <c r="C211" s="58" t="s">
        <v>282</v>
      </c>
      <c r="D211" s="58" t="s">
        <v>517</v>
      </c>
      <c r="E211" s="21">
        <v>540.0</v>
      </c>
      <c r="F211" s="42">
        <v>34.0</v>
      </c>
      <c r="G211" s="43">
        <v>6659.14321</v>
      </c>
      <c r="H211" s="43">
        <v>0.0</v>
      </c>
      <c r="I211" s="43">
        <v>0.0</v>
      </c>
      <c r="J211" s="43">
        <v>51.825</v>
      </c>
      <c r="K211" s="43">
        <v>14.71</v>
      </c>
      <c r="L211" s="43">
        <v>561.2143</v>
      </c>
      <c r="M211" s="43">
        <v>7286.89251</v>
      </c>
      <c r="N211" s="43">
        <v>7068.0488</v>
      </c>
      <c r="O211" s="43">
        <v>197.13</v>
      </c>
      <c r="P211" s="54">
        <v>26.0363636363636</v>
      </c>
      <c r="Q211" s="44">
        <v>0.9139</v>
      </c>
      <c r="R211" s="44">
        <v>0.0071</v>
      </c>
      <c r="S211" s="44">
        <v>0.0091</v>
      </c>
    </row>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S1"/>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8.43"/>
    <col customWidth="1" min="3" max="3" width="58.57"/>
  </cols>
  <sheetData>
    <row r="1">
      <c r="A1" s="59" t="s">
        <v>518</v>
      </c>
      <c r="B1" s="60" t="s">
        <v>519</v>
      </c>
      <c r="C1" s="61"/>
      <c r="D1" s="62"/>
      <c r="E1" s="62"/>
      <c r="F1" s="62"/>
      <c r="G1" s="62"/>
      <c r="H1" s="62"/>
      <c r="I1" s="62"/>
      <c r="J1" s="62"/>
      <c r="K1" s="62"/>
      <c r="L1" s="62"/>
      <c r="M1" s="62"/>
      <c r="N1" s="62"/>
      <c r="O1" s="62"/>
      <c r="P1" s="62"/>
      <c r="Q1" s="62"/>
      <c r="R1" s="62"/>
      <c r="S1" s="62"/>
      <c r="T1" s="62"/>
      <c r="U1" s="62"/>
      <c r="V1" s="62"/>
      <c r="W1" s="62"/>
      <c r="X1" s="62"/>
      <c r="Y1" s="62"/>
      <c r="Z1" s="62"/>
    </row>
    <row r="2">
      <c r="A2" s="63"/>
      <c r="B2" s="64"/>
      <c r="C2" s="64"/>
      <c r="D2" s="63"/>
      <c r="E2" s="63"/>
      <c r="F2" s="63"/>
      <c r="G2" s="63"/>
      <c r="H2" s="63"/>
      <c r="I2" s="63"/>
      <c r="J2" s="63"/>
      <c r="K2" s="63"/>
      <c r="L2" s="63"/>
      <c r="M2" s="63"/>
      <c r="N2" s="63"/>
      <c r="O2" s="63"/>
      <c r="P2" s="63"/>
      <c r="Q2" s="63"/>
      <c r="R2" s="63"/>
      <c r="S2" s="63"/>
      <c r="T2" s="63"/>
      <c r="U2" s="63"/>
      <c r="V2" s="63"/>
      <c r="W2" s="63"/>
      <c r="X2" s="63"/>
      <c r="Y2" s="63"/>
      <c r="Z2" s="63"/>
    </row>
    <row r="3">
      <c r="A3" s="65" t="s">
        <v>520</v>
      </c>
      <c r="B3" s="64"/>
      <c r="C3" s="64"/>
      <c r="D3" s="63"/>
      <c r="E3" s="63"/>
      <c r="F3" s="63"/>
      <c r="G3" s="63"/>
      <c r="H3" s="63"/>
      <c r="I3" s="63"/>
      <c r="J3" s="63"/>
      <c r="K3" s="63"/>
      <c r="L3" s="63"/>
      <c r="M3" s="63"/>
      <c r="N3" s="63"/>
      <c r="O3" s="63"/>
      <c r="P3" s="63"/>
      <c r="Q3" s="63"/>
      <c r="R3" s="63"/>
      <c r="S3" s="63"/>
      <c r="T3" s="63"/>
      <c r="U3" s="63"/>
      <c r="V3" s="63"/>
      <c r="W3" s="63"/>
      <c r="X3" s="63"/>
      <c r="Y3" s="63"/>
      <c r="Z3" s="63"/>
    </row>
    <row r="4">
      <c r="A4" s="65" t="s">
        <v>11</v>
      </c>
      <c r="B4" s="66" t="s">
        <v>521</v>
      </c>
      <c r="C4" s="64"/>
      <c r="D4" s="63"/>
      <c r="E4" s="63"/>
      <c r="F4" s="63"/>
      <c r="G4" s="63"/>
      <c r="H4" s="63"/>
      <c r="I4" s="63"/>
      <c r="J4" s="63"/>
      <c r="K4" s="63"/>
      <c r="L4" s="63"/>
      <c r="M4" s="63"/>
      <c r="N4" s="63"/>
      <c r="O4" s="63"/>
      <c r="P4" s="63"/>
      <c r="Q4" s="63"/>
      <c r="R4" s="63"/>
      <c r="S4" s="63"/>
      <c r="T4" s="63"/>
      <c r="U4" s="63"/>
      <c r="V4" s="63"/>
      <c r="W4" s="63"/>
      <c r="X4" s="63"/>
      <c r="Y4" s="63"/>
      <c r="Z4" s="63"/>
    </row>
    <row r="5">
      <c r="A5" s="65" t="s">
        <v>14</v>
      </c>
      <c r="B5" s="66" t="s">
        <v>522</v>
      </c>
      <c r="C5" s="66" t="s">
        <v>523</v>
      </c>
      <c r="D5" s="63"/>
      <c r="E5" s="63"/>
      <c r="F5" s="63"/>
      <c r="G5" s="63"/>
      <c r="H5" s="63"/>
      <c r="I5" s="63"/>
      <c r="J5" s="63"/>
      <c r="K5" s="63"/>
      <c r="L5" s="63"/>
      <c r="M5" s="63"/>
      <c r="N5" s="63"/>
      <c r="O5" s="63"/>
      <c r="P5" s="63"/>
      <c r="Q5" s="63"/>
      <c r="R5" s="63"/>
      <c r="S5" s="63"/>
      <c r="T5" s="63"/>
      <c r="U5" s="63"/>
      <c r="V5" s="63"/>
      <c r="W5" s="63"/>
      <c r="X5" s="63"/>
      <c r="Y5" s="63"/>
      <c r="Z5" s="63"/>
    </row>
    <row r="6">
      <c r="A6" s="65" t="s">
        <v>12</v>
      </c>
      <c r="B6" s="67" t="s">
        <v>524</v>
      </c>
      <c r="C6" s="68" t="s">
        <v>525</v>
      </c>
      <c r="D6" s="63"/>
      <c r="E6" s="63"/>
      <c r="F6" s="63"/>
      <c r="G6" s="63"/>
      <c r="H6" s="63"/>
      <c r="I6" s="63"/>
      <c r="J6" s="63"/>
      <c r="K6" s="63"/>
      <c r="L6" s="63"/>
      <c r="M6" s="63"/>
      <c r="N6" s="63"/>
      <c r="O6" s="63"/>
      <c r="P6" s="63"/>
      <c r="Q6" s="63"/>
      <c r="R6" s="63"/>
      <c r="S6" s="63"/>
      <c r="T6" s="63"/>
      <c r="U6" s="63"/>
      <c r="V6" s="63"/>
      <c r="W6" s="63"/>
      <c r="X6" s="63"/>
      <c r="Y6" s="63"/>
      <c r="Z6" s="63"/>
    </row>
    <row r="7">
      <c r="A7" s="65" t="s">
        <v>526</v>
      </c>
      <c r="B7" s="64"/>
      <c r="C7" s="66" t="s">
        <v>527</v>
      </c>
      <c r="D7" s="63"/>
      <c r="E7" s="63"/>
      <c r="F7" s="63"/>
      <c r="G7" s="63"/>
      <c r="H7" s="63"/>
      <c r="I7" s="63"/>
      <c r="J7" s="63"/>
      <c r="K7" s="63"/>
      <c r="L7" s="63"/>
      <c r="M7" s="63"/>
      <c r="N7" s="63"/>
      <c r="O7" s="63"/>
      <c r="P7" s="63"/>
      <c r="Q7" s="63"/>
      <c r="R7" s="63"/>
      <c r="S7" s="63"/>
      <c r="T7" s="63"/>
      <c r="U7" s="63"/>
      <c r="V7" s="63"/>
      <c r="W7" s="63"/>
      <c r="X7" s="63"/>
      <c r="Y7" s="63"/>
      <c r="Z7" s="63"/>
    </row>
    <row r="8">
      <c r="A8" s="65" t="s">
        <v>15</v>
      </c>
      <c r="B8" s="64"/>
      <c r="C8" s="66" t="s">
        <v>528</v>
      </c>
      <c r="D8" s="63"/>
      <c r="E8" s="63"/>
      <c r="F8" s="63"/>
      <c r="G8" s="63"/>
      <c r="H8" s="63"/>
      <c r="I8" s="63"/>
      <c r="J8" s="63"/>
      <c r="K8" s="63"/>
      <c r="L8" s="63"/>
      <c r="M8" s="63"/>
      <c r="N8" s="63"/>
      <c r="O8" s="63"/>
      <c r="P8" s="63"/>
      <c r="Q8" s="63"/>
      <c r="R8" s="63"/>
      <c r="S8" s="63"/>
      <c r="T8" s="63"/>
      <c r="U8" s="63"/>
      <c r="V8" s="63"/>
      <c r="W8" s="63"/>
      <c r="X8" s="63"/>
      <c r="Y8" s="63"/>
      <c r="Z8" s="63"/>
    </row>
    <row r="9">
      <c r="A9" s="63"/>
      <c r="B9" s="64"/>
      <c r="C9" s="64"/>
      <c r="D9" s="63"/>
      <c r="E9" s="63"/>
      <c r="F9" s="63"/>
      <c r="G9" s="63"/>
      <c r="H9" s="63"/>
      <c r="I9" s="63"/>
      <c r="J9" s="63"/>
      <c r="K9" s="63"/>
      <c r="L9" s="63"/>
      <c r="M9" s="63"/>
      <c r="N9" s="63"/>
      <c r="O9" s="63"/>
      <c r="P9" s="63"/>
      <c r="Q9" s="63"/>
      <c r="R9" s="63"/>
      <c r="S9" s="63"/>
      <c r="T9" s="63"/>
      <c r="U9" s="63"/>
      <c r="V9" s="63"/>
      <c r="W9" s="63"/>
      <c r="X9" s="63"/>
      <c r="Y9" s="63"/>
      <c r="Z9" s="63"/>
    </row>
    <row r="10">
      <c r="A10" s="63"/>
      <c r="B10" s="64"/>
      <c r="C10" s="64"/>
      <c r="D10" s="63"/>
      <c r="E10" s="63"/>
      <c r="F10" s="63"/>
      <c r="G10" s="63"/>
      <c r="H10" s="63"/>
      <c r="I10" s="63"/>
      <c r="J10" s="63"/>
      <c r="K10" s="63"/>
      <c r="L10" s="63"/>
      <c r="M10" s="63"/>
      <c r="N10" s="63"/>
      <c r="O10" s="63"/>
      <c r="P10" s="63"/>
      <c r="Q10" s="63"/>
      <c r="R10" s="63"/>
      <c r="S10" s="63"/>
      <c r="T10" s="63"/>
      <c r="U10" s="63"/>
      <c r="V10" s="63"/>
      <c r="W10" s="63"/>
      <c r="X10" s="63"/>
      <c r="Y10" s="63"/>
      <c r="Z10" s="63"/>
    </row>
    <row r="11">
      <c r="A11" s="63"/>
      <c r="B11" s="64"/>
      <c r="C11" s="64"/>
      <c r="D11" s="63"/>
      <c r="E11" s="63"/>
      <c r="F11" s="63"/>
      <c r="G11" s="63"/>
      <c r="H11" s="63"/>
      <c r="I11" s="63"/>
      <c r="J11" s="63"/>
      <c r="K11" s="63"/>
      <c r="L11" s="63"/>
      <c r="M11" s="63"/>
      <c r="N11" s="63"/>
      <c r="O11" s="63"/>
      <c r="P11" s="63"/>
      <c r="Q11" s="63"/>
      <c r="R11" s="63"/>
      <c r="S11" s="63"/>
      <c r="T11" s="63"/>
      <c r="U11" s="63"/>
      <c r="V11" s="63"/>
      <c r="W11" s="63"/>
      <c r="X11" s="63"/>
      <c r="Y11" s="63"/>
      <c r="Z11" s="63"/>
    </row>
    <row r="12">
      <c r="A12" s="63"/>
      <c r="B12" s="64"/>
      <c r="C12" s="64"/>
      <c r="D12" s="63"/>
      <c r="E12" s="63"/>
      <c r="F12" s="63"/>
      <c r="G12" s="63"/>
      <c r="H12" s="63"/>
      <c r="I12" s="63"/>
      <c r="J12" s="63"/>
      <c r="K12" s="63"/>
      <c r="L12" s="63"/>
      <c r="M12" s="63"/>
      <c r="N12" s="63"/>
      <c r="O12" s="63"/>
      <c r="P12" s="63"/>
      <c r="Q12" s="63"/>
      <c r="R12" s="63"/>
      <c r="S12" s="63"/>
      <c r="T12" s="63"/>
      <c r="U12" s="63"/>
      <c r="V12" s="63"/>
      <c r="W12" s="63"/>
      <c r="X12" s="63"/>
      <c r="Y12" s="63"/>
      <c r="Z12" s="63"/>
    </row>
    <row r="13">
      <c r="A13" s="63"/>
      <c r="B13" s="64"/>
      <c r="C13" s="64"/>
      <c r="D13" s="63"/>
      <c r="E13" s="63"/>
      <c r="F13" s="63"/>
      <c r="G13" s="63"/>
      <c r="H13" s="63"/>
      <c r="I13" s="63"/>
      <c r="J13" s="63"/>
      <c r="K13" s="63"/>
      <c r="L13" s="63"/>
      <c r="M13" s="63"/>
      <c r="N13" s="63"/>
      <c r="O13" s="63"/>
      <c r="P13" s="63"/>
      <c r="Q13" s="63"/>
      <c r="R13" s="63"/>
      <c r="S13" s="63"/>
      <c r="T13" s="63"/>
      <c r="U13" s="63"/>
      <c r="V13" s="63"/>
      <c r="W13" s="63"/>
      <c r="X13" s="63"/>
      <c r="Y13" s="63"/>
      <c r="Z13" s="63"/>
    </row>
    <row r="14">
      <c r="A14" s="63"/>
      <c r="B14" s="64"/>
      <c r="C14" s="64"/>
      <c r="D14" s="63"/>
      <c r="E14" s="63"/>
      <c r="F14" s="63"/>
      <c r="G14" s="63"/>
      <c r="H14" s="63"/>
      <c r="I14" s="63"/>
      <c r="J14" s="63"/>
      <c r="K14" s="63"/>
      <c r="L14" s="63"/>
      <c r="M14" s="63"/>
      <c r="N14" s="63"/>
      <c r="O14" s="63"/>
      <c r="P14" s="63"/>
      <c r="Q14" s="63"/>
      <c r="R14" s="63"/>
      <c r="S14" s="63"/>
      <c r="T14" s="63"/>
      <c r="U14" s="63"/>
      <c r="V14" s="63"/>
      <c r="W14" s="63"/>
      <c r="X14" s="63"/>
      <c r="Y14" s="63"/>
      <c r="Z14" s="63"/>
    </row>
    <row r="15">
      <c r="A15" s="63"/>
      <c r="B15" s="64"/>
      <c r="C15" s="64"/>
      <c r="D15" s="63"/>
      <c r="E15" s="63"/>
      <c r="F15" s="63"/>
      <c r="G15" s="63"/>
      <c r="H15" s="63"/>
      <c r="I15" s="63"/>
      <c r="J15" s="63"/>
      <c r="K15" s="63"/>
      <c r="L15" s="63"/>
      <c r="M15" s="63"/>
      <c r="N15" s="63"/>
      <c r="O15" s="63"/>
      <c r="P15" s="63"/>
      <c r="Q15" s="63"/>
      <c r="R15" s="63"/>
      <c r="S15" s="63"/>
      <c r="T15" s="63"/>
      <c r="U15" s="63"/>
      <c r="V15" s="63"/>
      <c r="W15" s="63"/>
      <c r="X15" s="63"/>
      <c r="Y15" s="63"/>
      <c r="Z15" s="63"/>
    </row>
    <row r="16">
      <c r="A16" s="63"/>
      <c r="B16" s="64"/>
      <c r="C16" s="64"/>
      <c r="D16" s="63"/>
      <c r="E16" s="63"/>
      <c r="F16" s="63"/>
      <c r="G16" s="63"/>
      <c r="H16" s="63"/>
      <c r="I16" s="63"/>
      <c r="J16" s="63"/>
      <c r="K16" s="63"/>
      <c r="L16" s="63"/>
      <c r="M16" s="63"/>
      <c r="N16" s="63"/>
      <c r="O16" s="63"/>
      <c r="P16" s="63"/>
      <c r="Q16" s="63"/>
      <c r="R16" s="63"/>
      <c r="S16" s="63"/>
      <c r="T16" s="63"/>
      <c r="U16" s="63"/>
      <c r="V16" s="63"/>
      <c r="W16" s="63"/>
      <c r="X16" s="63"/>
      <c r="Y16" s="63"/>
      <c r="Z16" s="63"/>
    </row>
    <row r="17">
      <c r="A17" s="63"/>
      <c r="B17" s="64"/>
      <c r="C17" s="64"/>
      <c r="D17" s="63"/>
      <c r="E17" s="63"/>
      <c r="F17" s="63"/>
      <c r="G17" s="63"/>
      <c r="H17" s="63"/>
      <c r="I17" s="63"/>
      <c r="J17" s="63"/>
      <c r="K17" s="63"/>
      <c r="L17" s="63"/>
      <c r="M17" s="63"/>
      <c r="N17" s="63"/>
      <c r="O17" s="63"/>
      <c r="P17" s="63"/>
      <c r="Q17" s="63"/>
      <c r="R17" s="63"/>
      <c r="S17" s="63"/>
      <c r="T17" s="63"/>
      <c r="U17" s="63"/>
      <c r="V17" s="63"/>
      <c r="W17" s="63"/>
      <c r="X17" s="63"/>
      <c r="Y17" s="63"/>
      <c r="Z17" s="63"/>
    </row>
    <row r="18">
      <c r="A18" s="63"/>
      <c r="B18" s="64"/>
      <c r="C18" s="64"/>
      <c r="D18" s="63"/>
      <c r="E18" s="63"/>
      <c r="F18" s="63"/>
      <c r="G18" s="63"/>
      <c r="H18" s="63"/>
      <c r="I18" s="63"/>
      <c r="J18" s="63"/>
      <c r="K18" s="63"/>
      <c r="L18" s="63"/>
      <c r="M18" s="63"/>
      <c r="N18" s="63"/>
      <c r="O18" s="63"/>
      <c r="P18" s="63"/>
      <c r="Q18" s="63"/>
      <c r="R18" s="63"/>
      <c r="S18" s="63"/>
      <c r="T18" s="63"/>
      <c r="U18" s="63"/>
      <c r="V18" s="63"/>
      <c r="W18" s="63"/>
      <c r="X18" s="63"/>
      <c r="Y18" s="63"/>
      <c r="Z18" s="63"/>
    </row>
    <row r="19">
      <c r="A19" s="63"/>
      <c r="B19" s="64"/>
      <c r="C19" s="64"/>
      <c r="D19" s="63"/>
      <c r="E19" s="63"/>
      <c r="F19" s="63"/>
      <c r="G19" s="63"/>
      <c r="H19" s="63"/>
      <c r="I19" s="63"/>
      <c r="J19" s="63"/>
      <c r="K19" s="63"/>
      <c r="L19" s="63"/>
      <c r="M19" s="63"/>
      <c r="N19" s="63"/>
      <c r="O19" s="63"/>
      <c r="P19" s="63"/>
      <c r="Q19" s="63"/>
      <c r="R19" s="63"/>
      <c r="S19" s="63"/>
      <c r="T19" s="63"/>
      <c r="U19" s="63"/>
      <c r="V19" s="63"/>
      <c r="W19" s="63"/>
      <c r="X19" s="63"/>
      <c r="Y19" s="63"/>
      <c r="Z19" s="63"/>
    </row>
    <row r="20">
      <c r="A20" s="63"/>
      <c r="B20" s="64"/>
      <c r="C20" s="64"/>
      <c r="D20" s="63"/>
      <c r="E20" s="63"/>
      <c r="F20" s="63"/>
      <c r="G20" s="63"/>
      <c r="H20" s="63"/>
      <c r="I20" s="63"/>
      <c r="J20" s="63"/>
      <c r="K20" s="63"/>
      <c r="L20" s="63"/>
      <c r="M20" s="63"/>
      <c r="N20" s="63"/>
      <c r="O20" s="63"/>
      <c r="P20" s="63"/>
      <c r="Q20" s="63"/>
      <c r="R20" s="63"/>
      <c r="S20" s="63"/>
      <c r="T20" s="63"/>
      <c r="U20" s="63"/>
      <c r="V20" s="63"/>
      <c r="W20" s="63"/>
      <c r="X20" s="63"/>
      <c r="Y20" s="63"/>
      <c r="Z20" s="63"/>
    </row>
    <row r="21">
      <c r="A21" s="63"/>
      <c r="B21" s="64"/>
      <c r="C21" s="64"/>
      <c r="D21" s="63"/>
      <c r="E21" s="63"/>
      <c r="F21" s="63"/>
      <c r="G21" s="63"/>
      <c r="H21" s="63"/>
      <c r="I21" s="63"/>
      <c r="J21" s="63"/>
      <c r="K21" s="63"/>
      <c r="L21" s="63"/>
      <c r="M21" s="63"/>
      <c r="N21" s="63"/>
      <c r="O21" s="63"/>
      <c r="P21" s="63"/>
      <c r="Q21" s="63"/>
      <c r="R21" s="63"/>
      <c r="S21" s="63"/>
      <c r="T21" s="63"/>
      <c r="U21" s="63"/>
      <c r="V21" s="63"/>
      <c r="W21" s="63"/>
      <c r="X21" s="63"/>
      <c r="Y21" s="63"/>
      <c r="Z21" s="63"/>
    </row>
    <row r="22">
      <c r="A22" s="63"/>
      <c r="B22" s="64"/>
      <c r="C22" s="64"/>
      <c r="D22" s="63"/>
      <c r="E22" s="63"/>
      <c r="F22" s="63"/>
      <c r="G22" s="63"/>
      <c r="H22" s="63"/>
      <c r="I22" s="63"/>
      <c r="J22" s="63"/>
      <c r="K22" s="63"/>
      <c r="L22" s="63"/>
      <c r="M22" s="63"/>
      <c r="N22" s="63"/>
      <c r="O22" s="63"/>
      <c r="P22" s="63"/>
      <c r="Q22" s="63"/>
      <c r="R22" s="63"/>
      <c r="S22" s="63"/>
      <c r="T22" s="63"/>
      <c r="U22" s="63"/>
      <c r="V22" s="63"/>
      <c r="W22" s="63"/>
      <c r="X22" s="63"/>
      <c r="Y22" s="63"/>
      <c r="Z22" s="63"/>
    </row>
    <row r="23">
      <c r="A23" s="63"/>
      <c r="B23" s="64"/>
      <c r="C23" s="64"/>
      <c r="D23" s="63"/>
      <c r="E23" s="63"/>
      <c r="F23" s="63"/>
      <c r="G23" s="63"/>
      <c r="H23" s="63"/>
      <c r="I23" s="63"/>
      <c r="J23" s="63"/>
      <c r="K23" s="63"/>
      <c r="L23" s="63"/>
      <c r="M23" s="63"/>
      <c r="N23" s="63"/>
      <c r="O23" s="63"/>
      <c r="P23" s="63"/>
      <c r="Q23" s="63"/>
      <c r="R23" s="63"/>
      <c r="S23" s="63"/>
      <c r="T23" s="63"/>
      <c r="U23" s="63"/>
      <c r="V23" s="63"/>
      <c r="W23" s="63"/>
      <c r="X23" s="63"/>
      <c r="Y23" s="63"/>
      <c r="Z23" s="63"/>
    </row>
    <row r="24">
      <c r="A24" s="63"/>
      <c r="B24" s="64"/>
      <c r="C24" s="64"/>
      <c r="D24" s="63"/>
      <c r="E24" s="63"/>
      <c r="F24" s="63"/>
      <c r="G24" s="63"/>
      <c r="H24" s="63"/>
      <c r="I24" s="63"/>
      <c r="J24" s="63"/>
      <c r="K24" s="63"/>
      <c r="L24" s="63"/>
      <c r="M24" s="63"/>
      <c r="N24" s="63"/>
      <c r="O24" s="63"/>
      <c r="P24" s="63"/>
      <c r="Q24" s="63"/>
      <c r="R24" s="63"/>
      <c r="S24" s="63"/>
      <c r="T24" s="63"/>
      <c r="U24" s="63"/>
      <c r="V24" s="63"/>
      <c r="W24" s="63"/>
      <c r="X24" s="63"/>
      <c r="Y24" s="63"/>
      <c r="Z24" s="63"/>
    </row>
    <row r="25">
      <c r="A25" s="63"/>
      <c r="B25" s="64"/>
      <c r="C25" s="64"/>
      <c r="D25" s="63"/>
      <c r="E25" s="63"/>
      <c r="F25" s="63"/>
      <c r="G25" s="63"/>
      <c r="H25" s="63"/>
      <c r="I25" s="63"/>
      <c r="J25" s="63"/>
      <c r="K25" s="63"/>
      <c r="L25" s="63"/>
      <c r="M25" s="63"/>
      <c r="N25" s="63"/>
      <c r="O25" s="63"/>
      <c r="P25" s="63"/>
      <c r="Q25" s="63"/>
      <c r="R25" s="63"/>
      <c r="S25" s="63"/>
      <c r="T25" s="63"/>
      <c r="U25" s="63"/>
      <c r="V25" s="63"/>
      <c r="W25" s="63"/>
      <c r="X25" s="63"/>
      <c r="Y25" s="63"/>
      <c r="Z25" s="63"/>
    </row>
    <row r="26">
      <c r="A26" s="63"/>
      <c r="B26" s="64"/>
      <c r="C26" s="64"/>
      <c r="D26" s="63"/>
      <c r="E26" s="63"/>
      <c r="F26" s="63"/>
      <c r="G26" s="63"/>
      <c r="H26" s="63"/>
      <c r="I26" s="63"/>
      <c r="J26" s="63"/>
      <c r="K26" s="63"/>
      <c r="L26" s="63"/>
      <c r="M26" s="63"/>
      <c r="N26" s="63"/>
      <c r="O26" s="63"/>
      <c r="P26" s="63"/>
      <c r="Q26" s="63"/>
      <c r="R26" s="63"/>
      <c r="S26" s="63"/>
      <c r="T26" s="63"/>
      <c r="U26" s="63"/>
      <c r="V26" s="63"/>
      <c r="W26" s="63"/>
      <c r="X26" s="63"/>
      <c r="Y26" s="63"/>
      <c r="Z26" s="63"/>
    </row>
    <row r="27">
      <c r="A27" s="63"/>
      <c r="B27" s="64"/>
      <c r="C27" s="64"/>
      <c r="D27" s="63"/>
      <c r="E27" s="63"/>
      <c r="F27" s="63"/>
      <c r="G27" s="63"/>
      <c r="H27" s="63"/>
      <c r="I27" s="63"/>
      <c r="J27" s="63"/>
      <c r="K27" s="63"/>
      <c r="L27" s="63"/>
      <c r="M27" s="63"/>
      <c r="N27" s="63"/>
      <c r="O27" s="63"/>
      <c r="P27" s="63"/>
      <c r="Q27" s="63"/>
      <c r="R27" s="63"/>
      <c r="S27" s="63"/>
      <c r="T27" s="63"/>
      <c r="U27" s="63"/>
      <c r="V27" s="63"/>
      <c r="W27" s="63"/>
      <c r="X27" s="63"/>
      <c r="Y27" s="63"/>
      <c r="Z27" s="63"/>
    </row>
    <row r="28">
      <c r="A28" s="63"/>
      <c r="B28" s="64"/>
      <c r="C28" s="64"/>
      <c r="D28" s="63"/>
      <c r="E28" s="63"/>
      <c r="F28" s="63"/>
      <c r="G28" s="63"/>
      <c r="H28" s="63"/>
      <c r="I28" s="63"/>
      <c r="J28" s="63"/>
      <c r="K28" s="63"/>
      <c r="L28" s="63"/>
      <c r="M28" s="63"/>
      <c r="N28" s="63"/>
      <c r="O28" s="63"/>
      <c r="P28" s="63"/>
      <c r="Q28" s="63"/>
      <c r="R28" s="63"/>
      <c r="S28" s="63"/>
      <c r="T28" s="63"/>
      <c r="U28" s="63"/>
      <c r="V28" s="63"/>
      <c r="W28" s="63"/>
      <c r="X28" s="63"/>
      <c r="Y28" s="63"/>
      <c r="Z28" s="63"/>
    </row>
    <row r="29">
      <c r="A29" s="63"/>
      <c r="B29" s="64"/>
      <c r="C29" s="64"/>
      <c r="D29" s="63"/>
      <c r="E29" s="63"/>
      <c r="F29" s="63"/>
      <c r="G29" s="63"/>
      <c r="H29" s="63"/>
      <c r="I29" s="63"/>
      <c r="J29" s="63"/>
      <c r="K29" s="63"/>
      <c r="L29" s="63"/>
      <c r="M29" s="63"/>
      <c r="N29" s="63"/>
      <c r="O29" s="63"/>
      <c r="P29" s="63"/>
      <c r="Q29" s="63"/>
      <c r="R29" s="63"/>
      <c r="S29" s="63"/>
      <c r="T29" s="63"/>
      <c r="U29" s="63"/>
      <c r="V29" s="63"/>
      <c r="W29" s="63"/>
      <c r="X29" s="63"/>
      <c r="Y29" s="63"/>
      <c r="Z29" s="63"/>
    </row>
    <row r="30">
      <c r="A30" s="63"/>
      <c r="B30" s="64"/>
      <c r="C30" s="64"/>
      <c r="D30" s="63"/>
      <c r="E30" s="63"/>
      <c r="F30" s="63"/>
      <c r="G30" s="63"/>
      <c r="H30" s="63"/>
      <c r="I30" s="63"/>
      <c r="J30" s="63"/>
      <c r="K30" s="63"/>
      <c r="L30" s="63"/>
      <c r="M30" s="63"/>
      <c r="N30" s="63"/>
      <c r="O30" s="63"/>
      <c r="P30" s="63"/>
      <c r="Q30" s="63"/>
      <c r="R30" s="63"/>
      <c r="S30" s="63"/>
      <c r="T30" s="63"/>
      <c r="U30" s="63"/>
      <c r="V30" s="63"/>
      <c r="W30" s="63"/>
      <c r="X30" s="63"/>
      <c r="Y30" s="63"/>
      <c r="Z30" s="63"/>
    </row>
    <row r="31">
      <c r="A31" s="63"/>
      <c r="B31" s="64"/>
      <c r="C31" s="64"/>
      <c r="D31" s="63"/>
      <c r="E31" s="63"/>
      <c r="F31" s="63"/>
      <c r="G31" s="63"/>
      <c r="H31" s="63"/>
      <c r="I31" s="63"/>
      <c r="J31" s="63"/>
      <c r="K31" s="63"/>
      <c r="L31" s="63"/>
      <c r="M31" s="63"/>
      <c r="N31" s="63"/>
      <c r="O31" s="63"/>
      <c r="P31" s="63"/>
      <c r="Q31" s="63"/>
      <c r="R31" s="63"/>
      <c r="S31" s="63"/>
      <c r="T31" s="63"/>
      <c r="U31" s="63"/>
      <c r="V31" s="63"/>
      <c r="W31" s="63"/>
      <c r="X31" s="63"/>
      <c r="Y31" s="63"/>
      <c r="Z31" s="63"/>
    </row>
    <row r="32">
      <c r="A32" s="63"/>
      <c r="B32" s="64"/>
      <c r="C32" s="64"/>
      <c r="D32" s="63"/>
      <c r="E32" s="63"/>
      <c r="F32" s="63"/>
      <c r="G32" s="63"/>
      <c r="H32" s="63"/>
      <c r="I32" s="63"/>
      <c r="J32" s="63"/>
      <c r="K32" s="63"/>
      <c r="L32" s="63"/>
      <c r="M32" s="63"/>
      <c r="N32" s="63"/>
      <c r="O32" s="63"/>
      <c r="P32" s="63"/>
      <c r="Q32" s="63"/>
      <c r="R32" s="63"/>
      <c r="S32" s="63"/>
      <c r="T32" s="63"/>
      <c r="U32" s="63"/>
      <c r="V32" s="63"/>
      <c r="W32" s="63"/>
      <c r="X32" s="63"/>
      <c r="Y32" s="63"/>
      <c r="Z32" s="63"/>
    </row>
    <row r="33">
      <c r="A33" s="63"/>
      <c r="B33" s="64"/>
      <c r="C33" s="64"/>
      <c r="D33" s="63"/>
      <c r="E33" s="63"/>
      <c r="F33" s="63"/>
      <c r="G33" s="63"/>
      <c r="H33" s="63"/>
      <c r="I33" s="63"/>
      <c r="J33" s="63"/>
      <c r="K33" s="63"/>
      <c r="L33" s="63"/>
      <c r="M33" s="63"/>
      <c r="N33" s="63"/>
      <c r="O33" s="63"/>
      <c r="P33" s="63"/>
      <c r="Q33" s="63"/>
      <c r="R33" s="63"/>
      <c r="S33" s="63"/>
      <c r="T33" s="63"/>
      <c r="U33" s="63"/>
      <c r="V33" s="63"/>
      <c r="W33" s="63"/>
      <c r="X33" s="63"/>
      <c r="Y33" s="63"/>
      <c r="Z33" s="63"/>
    </row>
    <row r="34">
      <c r="A34" s="63"/>
      <c r="B34" s="64"/>
      <c r="C34" s="64"/>
      <c r="D34" s="63"/>
      <c r="E34" s="63"/>
      <c r="F34" s="63"/>
      <c r="G34" s="63"/>
      <c r="H34" s="63"/>
      <c r="I34" s="63"/>
      <c r="J34" s="63"/>
      <c r="K34" s="63"/>
      <c r="L34" s="63"/>
      <c r="M34" s="63"/>
      <c r="N34" s="63"/>
      <c r="O34" s="63"/>
      <c r="P34" s="63"/>
      <c r="Q34" s="63"/>
      <c r="R34" s="63"/>
      <c r="S34" s="63"/>
      <c r="T34" s="63"/>
      <c r="U34" s="63"/>
      <c r="V34" s="63"/>
      <c r="W34" s="63"/>
      <c r="X34" s="63"/>
      <c r="Y34" s="63"/>
      <c r="Z34" s="63"/>
    </row>
    <row r="35">
      <c r="A35" s="63"/>
      <c r="B35" s="64"/>
      <c r="C35" s="64"/>
      <c r="D35" s="63"/>
      <c r="E35" s="63"/>
      <c r="F35" s="63"/>
      <c r="G35" s="63"/>
      <c r="H35" s="63"/>
      <c r="I35" s="63"/>
      <c r="J35" s="63"/>
      <c r="K35" s="63"/>
      <c r="L35" s="63"/>
      <c r="M35" s="63"/>
      <c r="N35" s="63"/>
      <c r="O35" s="63"/>
      <c r="P35" s="63"/>
      <c r="Q35" s="63"/>
      <c r="R35" s="63"/>
      <c r="S35" s="63"/>
      <c r="T35" s="63"/>
      <c r="U35" s="63"/>
      <c r="V35" s="63"/>
      <c r="W35" s="63"/>
      <c r="X35" s="63"/>
      <c r="Y35" s="63"/>
      <c r="Z35" s="63"/>
    </row>
    <row r="36">
      <c r="A36" s="63"/>
      <c r="B36" s="64"/>
      <c r="C36" s="64"/>
      <c r="D36" s="63"/>
      <c r="E36" s="63"/>
      <c r="F36" s="63"/>
      <c r="G36" s="63"/>
      <c r="H36" s="63"/>
      <c r="I36" s="63"/>
      <c r="J36" s="63"/>
      <c r="K36" s="63"/>
      <c r="L36" s="63"/>
      <c r="M36" s="63"/>
      <c r="N36" s="63"/>
      <c r="O36" s="63"/>
      <c r="P36" s="63"/>
      <c r="Q36" s="63"/>
      <c r="R36" s="63"/>
      <c r="S36" s="63"/>
      <c r="T36" s="63"/>
      <c r="U36" s="63"/>
      <c r="V36" s="63"/>
      <c r="W36" s="63"/>
      <c r="X36" s="63"/>
      <c r="Y36" s="63"/>
      <c r="Z36" s="63"/>
    </row>
    <row r="37">
      <c r="A37" s="63"/>
      <c r="B37" s="64"/>
      <c r="C37" s="64"/>
      <c r="D37" s="63"/>
      <c r="E37" s="63"/>
      <c r="F37" s="63"/>
      <c r="G37" s="63"/>
      <c r="H37" s="63"/>
      <c r="I37" s="63"/>
      <c r="J37" s="63"/>
      <c r="K37" s="63"/>
      <c r="L37" s="63"/>
      <c r="M37" s="63"/>
      <c r="N37" s="63"/>
      <c r="O37" s="63"/>
      <c r="P37" s="63"/>
      <c r="Q37" s="63"/>
      <c r="R37" s="63"/>
      <c r="S37" s="63"/>
      <c r="T37" s="63"/>
      <c r="U37" s="63"/>
      <c r="V37" s="63"/>
      <c r="W37" s="63"/>
      <c r="X37" s="63"/>
      <c r="Y37" s="63"/>
      <c r="Z37" s="63"/>
    </row>
    <row r="38">
      <c r="A38" s="63"/>
      <c r="B38" s="64"/>
      <c r="C38" s="64"/>
      <c r="D38" s="63"/>
      <c r="E38" s="63"/>
      <c r="F38" s="63"/>
      <c r="G38" s="63"/>
      <c r="H38" s="63"/>
      <c r="I38" s="63"/>
      <c r="J38" s="63"/>
      <c r="K38" s="63"/>
      <c r="L38" s="63"/>
      <c r="M38" s="63"/>
      <c r="N38" s="63"/>
      <c r="O38" s="63"/>
      <c r="P38" s="63"/>
      <c r="Q38" s="63"/>
      <c r="R38" s="63"/>
      <c r="S38" s="63"/>
      <c r="T38" s="63"/>
      <c r="U38" s="63"/>
      <c r="V38" s="63"/>
      <c r="W38" s="63"/>
      <c r="X38" s="63"/>
      <c r="Y38" s="63"/>
      <c r="Z38" s="63"/>
    </row>
    <row r="39">
      <c r="A39" s="63"/>
      <c r="B39" s="64"/>
      <c r="C39" s="64"/>
      <c r="D39" s="63"/>
      <c r="E39" s="63"/>
      <c r="F39" s="63"/>
      <c r="G39" s="63"/>
      <c r="H39" s="63"/>
      <c r="I39" s="63"/>
      <c r="J39" s="63"/>
      <c r="K39" s="63"/>
      <c r="L39" s="63"/>
      <c r="M39" s="63"/>
      <c r="N39" s="63"/>
      <c r="O39" s="63"/>
      <c r="P39" s="63"/>
      <c r="Q39" s="63"/>
      <c r="R39" s="63"/>
      <c r="S39" s="63"/>
      <c r="T39" s="63"/>
      <c r="U39" s="63"/>
      <c r="V39" s="63"/>
      <c r="W39" s="63"/>
      <c r="X39" s="63"/>
      <c r="Y39" s="63"/>
      <c r="Z39" s="63"/>
    </row>
    <row r="40">
      <c r="A40" s="63"/>
      <c r="B40" s="64"/>
      <c r="C40" s="64"/>
      <c r="D40" s="63"/>
      <c r="E40" s="63"/>
      <c r="F40" s="63"/>
      <c r="G40" s="63"/>
      <c r="H40" s="63"/>
      <c r="I40" s="63"/>
      <c r="J40" s="63"/>
      <c r="K40" s="63"/>
      <c r="L40" s="63"/>
      <c r="M40" s="63"/>
      <c r="N40" s="63"/>
      <c r="O40" s="63"/>
      <c r="P40" s="63"/>
      <c r="Q40" s="63"/>
      <c r="R40" s="63"/>
      <c r="S40" s="63"/>
      <c r="T40" s="63"/>
      <c r="U40" s="63"/>
      <c r="V40" s="63"/>
      <c r="W40" s="63"/>
      <c r="X40" s="63"/>
      <c r="Y40" s="63"/>
      <c r="Z40" s="63"/>
    </row>
    <row r="41">
      <c r="A41" s="63"/>
      <c r="B41" s="64"/>
      <c r="C41" s="64"/>
      <c r="D41" s="63"/>
      <c r="E41" s="63"/>
      <c r="F41" s="63"/>
      <c r="G41" s="63"/>
      <c r="H41" s="63"/>
      <c r="I41" s="63"/>
      <c r="J41" s="63"/>
      <c r="K41" s="63"/>
      <c r="L41" s="63"/>
      <c r="M41" s="63"/>
      <c r="N41" s="63"/>
      <c r="O41" s="63"/>
      <c r="P41" s="63"/>
      <c r="Q41" s="63"/>
      <c r="R41" s="63"/>
      <c r="S41" s="63"/>
      <c r="T41" s="63"/>
      <c r="U41" s="63"/>
      <c r="V41" s="63"/>
      <c r="W41" s="63"/>
      <c r="X41" s="63"/>
      <c r="Y41" s="63"/>
      <c r="Z41" s="63"/>
    </row>
    <row r="42">
      <c r="A42" s="63"/>
      <c r="B42" s="64"/>
      <c r="C42" s="64"/>
      <c r="D42" s="63"/>
      <c r="E42" s="63"/>
      <c r="F42" s="63"/>
      <c r="G42" s="63"/>
      <c r="H42" s="63"/>
      <c r="I42" s="63"/>
      <c r="J42" s="63"/>
      <c r="K42" s="63"/>
      <c r="L42" s="63"/>
      <c r="M42" s="63"/>
      <c r="N42" s="63"/>
      <c r="O42" s="63"/>
      <c r="P42" s="63"/>
      <c r="Q42" s="63"/>
      <c r="R42" s="63"/>
      <c r="S42" s="63"/>
      <c r="T42" s="63"/>
      <c r="U42" s="63"/>
      <c r="V42" s="63"/>
      <c r="W42" s="63"/>
      <c r="X42" s="63"/>
      <c r="Y42" s="63"/>
      <c r="Z42" s="63"/>
    </row>
    <row r="43">
      <c r="A43" s="63"/>
      <c r="B43" s="64"/>
      <c r="C43" s="64"/>
      <c r="D43" s="63"/>
      <c r="E43" s="63"/>
      <c r="F43" s="63"/>
      <c r="G43" s="63"/>
      <c r="H43" s="63"/>
      <c r="I43" s="63"/>
      <c r="J43" s="63"/>
      <c r="K43" s="63"/>
      <c r="L43" s="63"/>
      <c r="M43" s="63"/>
      <c r="N43" s="63"/>
      <c r="O43" s="63"/>
      <c r="P43" s="63"/>
      <c r="Q43" s="63"/>
      <c r="R43" s="63"/>
      <c r="S43" s="63"/>
      <c r="T43" s="63"/>
      <c r="U43" s="63"/>
      <c r="V43" s="63"/>
      <c r="W43" s="63"/>
      <c r="X43" s="63"/>
      <c r="Y43" s="63"/>
      <c r="Z43" s="63"/>
    </row>
    <row r="44">
      <c r="A44" s="63"/>
      <c r="B44" s="64"/>
      <c r="C44" s="64"/>
      <c r="D44" s="63"/>
      <c r="E44" s="63"/>
      <c r="F44" s="63"/>
      <c r="G44" s="63"/>
      <c r="H44" s="63"/>
      <c r="I44" s="63"/>
      <c r="J44" s="63"/>
      <c r="K44" s="63"/>
      <c r="L44" s="63"/>
      <c r="M44" s="63"/>
      <c r="N44" s="63"/>
      <c r="O44" s="63"/>
      <c r="P44" s="63"/>
      <c r="Q44" s="63"/>
      <c r="R44" s="63"/>
      <c r="S44" s="63"/>
      <c r="T44" s="63"/>
      <c r="U44" s="63"/>
      <c r="V44" s="63"/>
      <c r="W44" s="63"/>
      <c r="X44" s="63"/>
      <c r="Y44" s="63"/>
      <c r="Z44" s="63"/>
    </row>
    <row r="45">
      <c r="A45" s="63"/>
      <c r="B45" s="64"/>
      <c r="C45" s="64"/>
      <c r="D45" s="63"/>
      <c r="E45" s="63"/>
      <c r="F45" s="63"/>
      <c r="G45" s="63"/>
      <c r="H45" s="63"/>
      <c r="I45" s="63"/>
      <c r="J45" s="63"/>
      <c r="K45" s="63"/>
      <c r="L45" s="63"/>
      <c r="M45" s="63"/>
      <c r="N45" s="63"/>
      <c r="O45" s="63"/>
      <c r="P45" s="63"/>
      <c r="Q45" s="63"/>
      <c r="R45" s="63"/>
      <c r="S45" s="63"/>
      <c r="T45" s="63"/>
      <c r="U45" s="63"/>
      <c r="V45" s="63"/>
      <c r="W45" s="63"/>
      <c r="X45" s="63"/>
      <c r="Y45" s="63"/>
      <c r="Z45" s="63"/>
    </row>
    <row r="46">
      <c r="A46" s="63"/>
      <c r="B46" s="64"/>
      <c r="C46" s="64"/>
      <c r="D46" s="63"/>
      <c r="E46" s="63"/>
      <c r="F46" s="63"/>
      <c r="G46" s="63"/>
      <c r="H46" s="63"/>
      <c r="I46" s="63"/>
      <c r="J46" s="63"/>
      <c r="K46" s="63"/>
      <c r="L46" s="63"/>
      <c r="M46" s="63"/>
      <c r="N46" s="63"/>
      <c r="O46" s="63"/>
      <c r="P46" s="63"/>
      <c r="Q46" s="63"/>
      <c r="R46" s="63"/>
      <c r="S46" s="63"/>
      <c r="T46" s="63"/>
      <c r="U46" s="63"/>
      <c r="V46" s="63"/>
      <c r="W46" s="63"/>
      <c r="X46" s="63"/>
      <c r="Y46" s="63"/>
      <c r="Z46" s="63"/>
    </row>
    <row r="47">
      <c r="A47" s="63"/>
      <c r="B47" s="64"/>
      <c r="C47" s="64"/>
      <c r="D47" s="63"/>
      <c r="E47" s="63"/>
      <c r="F47" s="63"/>
      <c r="G47" s="63"/>
      <c r="H47" s="63"/>
      <c r="I47" s="63"/>
      <c r="J47" s="63"/>
      <c r="K47" s="63"/>
      <c r="L47" s="63"/>
      <c r="M47" s="63"/>
      <c r="N47" s="63"/>
      <c r="O47" s="63"/>
      <c r="P47" s="63"/>
      <c r="Q47" s="63"/>
      <c r="R47" s="63"/>
      <c r="S47" s="63"/>
      <c r="T47" s="63"/>
      <c r="U47" s="63"/>
      <c r="V47" s="63"/>
      <c r="W47" s="63"/>
      <c r="X47" s="63"/>
      <c r="Y47" s="63"/>
      <c r="Z47" s="63"/>
    </row>
    <row r="48">
      <c r="A48" s="63"/>
      <c r="B48" s="64"/>
      <c r="C48" s="64"/>
      <c r="D48" s="63"/>
      <c r="E48" s="63"/>
      <c r="F48" s="63"/>
      <c r="G48" s="63"/>
      <c r="H48" s="63"/>
      <c r="I48" s="63"/>
      <c r="J48" s="63"/>
      <c r="K48" s="63"/>
      <c r="L48" s="63"/>
      <c r="M48" s="63"/>
      <c r="N48" s="63"/>
      <c r="O48" s="63"/>
      <c r="P48" s="63"/>
      <c r="Q48" s="63"/>
      <c r="R48" s="63"/>
      <c r="S48" s="63"/>
      <c r="T48" s="63"/>
      <c r="U48" s="63"/>
      <c r="V48" s="63"/>
      <c r="W48" s="63"/>
      <c r="X48" s="63"/>
      <c r="Y48" s="63"/>
      <c r="Z48" s="63"/>
    </row>
    <row r="49">
      <c r="A49" s="63"/>
      <c r="B49" s="64"/>
      <c r="C49" s="64"/>
      <c r="D49" s="63"/>
      <c r="E49" s="63"/>
      <c r="F49" s="63"/>
      <c r="G49" s="63"/>
      <c r="H49" s="63"/>
      <c r="I49" s="63"/>
      <c r="J49" s="63"/>
      <c r="K49" s="63"/>
      <c r="L49" s="63"/>
      <c r="M49" s="63"/>
      <c r="N49" s="63"/>
      <c r="O49" s="63"/>
      <c r="P49" s="63"/>
      <c r="Q49" s="63"/>
      <c r="R49" s="63"/>
      <c r="S49" s="63"/>
      <c r="T49" s="63"/>
      <c r="U49" s="63"/>
      <c r="V49" s="63"/>
      <c r="W49" s="63"/>
      <c r="X49" s="63"/>
      <c r="Y49" s="63"/>
      <c r="Z49" s="63"/>
    </row>
    <row r="50">
      <c r="A50" s="63"/>
      <c r="B50" s="64"/>
      <c r="C50" s="64"/>
      <c r="D50" s="63"/>
      <c r="E50" s="63"/>
      <c r="F50" s="63"/>
      <c r="G50" s="63"/>
      <c r="H50" s="63"/>
      <c r="I50" s="63"/>
      <c r="J50" s="63"/>
      <c r="K50" s="63"/>
      <c r="L50" s="63"/>
      <c r="M50" s="63"/>
      <c r="N50" s="63"/>
      <c r="O50" s="63"/>
      <c r="P50" s="63"/>
      <c r="Q50" s="63"/>
      <c r="R50" s="63"/>
      <c r="S50" s="63"/>
      <c r="T50" s="63"/>
      <c r="U50" s="63"/>
      <c r="V50" s="63"/>
      <c r="W50" s="63"/>
      <c r="X50" s="63"/>
      <c r="Y50" s="63"/>
      <c r="Z50" s="63"/>
    </row>
    <row r="51">
      <c r="A51" s="63"/>
      <c r="B51" s="64"/>
      <c r="C51" s="64"/>
      <c r="D51" s="63"/>
      <c r="E51" s="63"/>
      <c r="F51" s="63"/>
      <c r="G51" s="63"/>
      <c r="H51" s="63"/>
      <c r="I51" s="63"/>
      <c r="J51" s="63"/>
      <c r="K51" s="63"/>
      <c r="L51" s="63"/>
      <c r="M51" s="63"/>
      <c r="N51" s="63"/>
      <c r="O51" s="63"/>
      <c r="P51" s="63"/>
      <c r="Q51" s="63"/>
      <c r="R51" s="63"/>
      <c r="S51" s="63"/>
      <c r="T51" s="63"/>
      <c r="U51" s="63"/>
      <c r="V51" s="63"/>
      <c r="W51" s="63"/>
      <c r="X51" s="63"/>
      <c r="Y51" s="63"/>
      <c r="Z51" s="63"/>
    </row>
    <row r="52">
      <c r="A52" s="63"/>
      <c r="B52" s="64"/>
      <c r="C52" s="64"/>
      <c r="D52" s="63"/>
      <c r="E52" s="63"/>
      <c r="F52" s="63"/>
      <c r="G52" s="63"/>
      <c r="H52" s="63"/>
      <c r="I52" s="63"/>
      <c r="J52" s="63"/>
      <c r="K52" s="63"/>
      <c r="L52" s="63"/>
      <c r="M52" s="63"/>
      <c r="N52" s="63"/>
      <c r="O52" s="63"/>
      <c r="P52" s="63"/>
      <c r="Q52" s="63"/>
      <c r="R52" s="63"/>
      <c r="S52" s="63"/>
      <c r="T52" s="63"/>
      <c r="U52" s="63"/>
      <c r="V52" s="63"/>
      <c r="W52" s="63"/>
      <c r="X52" s="63"/>
      <c r="Y52" s="63"/>
      <c r="Z52" s="63"/>
    </row>
    <row r="53">
      <c r="A53" s="63"/>
      <c r="B53" s="64"/>
      <c r="C53" s="64"/>
      <c r="D53" s="63"/>
      <c r="E53" s="63"/>
      <c r="F53" s="63"/>
      <c r="G53" s="63"/>
      <c r="H53" s="63"/>
      <c r="I53" s="63"/>
      <c r="J53" s="63"/>
      <c r="K53" s="63"/>
      <c r="L53" s="63"/>
      <c r="M53" s="63"/>
      <c r="N53" s="63"/>
      <c r="O53" s="63"/>
      <c r="P53" s="63"/>
      <c r="Q53" s="63"/>
      <c r="R53" s="63"/>
      <c r="S53" s="63"/>
      <c r="T53" s="63"/>
      <c r="U53" s="63"/>
      <c r="V53" s="63"/>
      <c r="W53" s="63"/>
      <c r="X53" s="63"/>
      <c r="Y53" s="63"/>
      <c r="Z53" s="63"/>
    </row>
    <row r="54">
      <c r="A54" s="63"/>
      <c r="B54" s="64"/>
      <c r="C54" s="64"/>
      <c r="D54" s="63"/>
      <c r="E54" s="63"/>
      <c r="F54" s="63"/>
      <c r="G54" s="63"/>
      <c r="H54" s="63"/>
      <c r="I54" s="63"/>
      <c r="J54" s="63"/>
      <c r="K54" s="63"/>
      <c r="L54" s="63"/>
      <c r="M54" s="63"/>
      <c r="N54" s="63"/>
      <c r="O54" s="63"/>
      <c r="P54" s="63"/>
      <c r="Q54" s="63"/>
      <c r="R54" s="63"/>
      <c r="S54" s="63"/>
      <c r="T54" s="63"/>
      <c r="U54" s="63"/>
      <c r="V54" s="63"/>
      <c r="W54" s="63"/>
      <c r="X54" s="63"/>
      <c r="Y54" s="63"/>
      <c r="Z54" s="63"/>
    </row>
    <row r="55">
      <c r="A55" s="63"/>
      <c r="B55" s="64"/>
      <c r="C55" s="64"/>
      <c r="D55" s="63"/>
      <c r="E55" s="63"/>
      <c r="F55" s="63"/>
      <c r="G55" s="63"/>
      <c r="H55" s="63"/>
      <c r="I55" s="63"/>
      <c r="J55" s="63"/>
      <c r="K55" s="63"/>
      <c r="L55" s="63"/>
      <c r="M55" s="63"/>
      <c r="N55" s="63"/>
      <c r="O55" s="63"/>
      <c r="P55" s="63"/>
      <c r="Q55" s="63"/>
      <c r="R55" s="63"/>
      <c r="S55" s="63"/>
      <c r="T55" s="63"/>
      <c r="U55" s="63"/>
      <c r="V55" s="63"/>
      <c r="W55" s="63"/>
      <c r="X55" s="63"/>
      <c r="Y55" s="63"/>
      <c r="Z55" s="63"/>
    </row>
    <row r="56">
      <c r="A56" s="63"/>
      <c r="B56" s="64"/>
      <c r="C56" s="64"/>
      <c r="D56" s="63"/>
      <c r="E56" s="63"/>
      <c r="F56" s="63"/>
      <c r="G56" s="63"/>
      <c r="H56" s="63"/>
      <c r="I56" s="63"/>
      <c r="J56" s="63"/>
      <c r="K56" s="63"/>
      <c r="L56" s="63"/>
      <c r="M56" s="63"/>
      <c r="N56" s="63"/>
      <c r="O56" s="63"/>
      <c r="P56" s="63"/>
      <c r="Q56" s="63"/>
      <c r="R56" s="63"/>
      <c r="S56" s="63"/>
      <c r="T56" s="63"/>
      <c r="U56" s="63"/>
      <c r="V56" s="63"/>
      <c r="W56" s="63"/>
      <c r="X56" s="63"/>
      <c r="Y56" s="63"/>
      <c r="Z56" s="63"/>
    </row>
    <row r="57">
      <c r="A57" s="63"/>
      <c r="B57" s="64"/>
      <c r="C57" s="64"/>
      <c r="D57" s="63"/>
      <c r="E57" s="63"/>
      <c r="F57" s="63"/>
      <c r="G57" s="63"/>
      <c r="H57" s="63"/>
      <c r="I57" s="63"/>
      <c r="J57" s="63"/>
      <c r="K57" s="63"/>
      <c r="L57" s="63"/>
      <c r="M57" s="63"/>
      <c r="N57" s="63"/>
      <c r="O57" s="63"/>
      <c r="P57" s="63"/>
      <c r="Q57" s="63"/>
      <c r="R57" s="63"/>
      <c r="S57" s="63"/>
      <c r="T57" s="63"/>
      <c r="U57" s="63"/>
      <c r="V57" s="63"/>
      <c r="W57" s="63"/>
      <c r="X57" s="63"/>
      <c r="Y57" s="63"/>
      <c r="Z57" s="63"/>
    </row>
    <row r="58">
      <c r="A58" s="63"/>
      <c r="B58" s="64"/>
      <c r="C58" s="64"/>
      <c r="D58" s="63"/>
      <c r="E58" s="63"/>
      <c r="F58" s="63"/>
      <c r="G58" s="63"/>
      <c r="H58" s="63"/>
      <c r="I58" s="63"/>
      <c r="J58" s="63"/>
      <c r="K58" s="63"/>
      <c r="L58" s="63"/>
      <c r="M58" s="63"/>
      <c r="N58" s="63"/>
      <c r="O58" s="63"/>
      <c r="P58" s="63"/>
      <c r="Q58" s="63"/>
      <c r="R58" s="63"/>
      <c r="S58" s="63"/>
      <c r="T58" s="63"/>
      <c r="U58" s="63"/>
      <c r="V58" s="63"/>
      <c r="W58" s="63"/>
      <c r="X58" s="63"/>
      <c r="Y58" s="63"/>
      <c r="Z58" s="63"/>
    </row>
    <row r="59">
      <c r="A59" s="63"/>
      <c r="B59" s="64"/>
      <c r="C59" s="64"/>
      <c r="D59" s="63"/>
      <c r="E59" s="63"/>
      <c r="F59" s="63"/>
      <c r="G59" s="63"/>
      <c r="H59" s="63"/>
      <c r="I59" s="63"/>
      <c r="J59" s="63"/>
      <c r="K59" s="63"/>
      <c r="L59" s="63"/>
      <c r="M59" s="63"/>
      <c r="N59" s="63"/>
      <c r="O59" s="63"/>
      <c r="P59" s="63"/>
      <c r="Q59" s="63"/>
      <c r="R59" s="63"/>
      <c r="S59" s="63"/>
      <c r="T59" s="63"/>
      <c r="U59" s="63"/>
      <c r="V59" s="63"/>
      <c r="W59" s="63"/>
      <c r="X59" s="63"/>
      <c r="Y59" s="63"/>
      <c r="Z59" s="63"/>
    </row>
    <row r="60">
      <c r="A60" s="63"/>
      <c r="B60" s="64"/>
      <c r="C60" s="64"/>
      <c r="D60" s="63"/>
      <c r="E60" s="63"/>
      <c r="F60" s="63"/>
      <c r="G60" s="63"/>
      <c r="H60" s="63"/>
      <c r="I60" s="63"/>
      <c r="J60" s="63"/>
      <c r="K60" s="63"/>
      <c r="L60" s="63"/>
      <c r="M60" s="63"/>
      <c r="N60" s="63"/>
      <c r="O60" s="63"/>
      <c r="P60" s="63"/>
      <c r="Q60" s="63"/>
      <c r="R60" s="63"/>
      <c r="S60" s="63"/>
      <c r="T60" s="63"/>
      <c r="U60" s="63"/>
      <c r="V60" s="63"/>
      <c r="W60" s="63"/>
      <c r="X60" s="63"/>
      <c r="Y60" s="63"/>
      <c r="Z60" s="63"/>
    </row>
    <row r="61">
      <c r="A61" s="63"/>
      <c r="B61" s="64"/>
      <c r="C61" s="64"/>
      <c r="D61" s="63"/>
      <c r="E61" s="63"/>
      <c r="F61" s="63"/>
      <c r="G61" s="63"/>
      <c r="H61" s="63"/>
      <c r="I61" s="63"/>
      <c r="J61" s="63"/>
      <c r="K61" s="63"/>
      <c r="L61" s="63"/>
      <c r="M61" s="63"/>
      <c r="N61" s="63"/>
      <c r="O61" s="63"/>
      <c r="P61" s="63"/>
      <c r="Q61" s="63"/>
      <c r="R61" s="63"/>
      <c r="S61" s="63"/>
      <c r="T61" s="63"/>
      <c r="U61" s="63"/>
      <c r="V61" s="63"/>
      <c r="W61" s="63"/>
      <c r="X61" s="63"/>
      <c r="Y61" s="63"/>
      <c r="Z61" s="63"/>
    </row>
    <row r="62">
      <c r="A62" s="63"/>
      <c r="B62" s="64"/>
      <c r="C62" s="64"/>
      <c r="D62" s="63"/>
      <c r="E62" s="63"/>
      <c r="F62" s="63"/>
      <c r="G62" s="63"/>
      <c r="H62" s="63"/>
      <c r="I62" s="63"/>
      <c r="J62" s="63"/>
      <c r="K62" s="63"/>
      <c r="L62" s="63"/>
      <c r="M62" s="63"/>
      <c r="N62" s="63"/>
      <c r="O62" s="63"/>
      <c r="P62" s="63"/>
      <c r="Q62" s="63"/>
      <c r="R62" s="63"/>
      <c r="S62" s="63"/>
      <c r="T62" s="63"/>
      <c r="U62" s="63"/>
      <c r="V62" s="63"/>
      <c r="W62" s="63"/>
      <c r="X62" s="63"/>
      <c r="Y62" s="63"/>
      <c r="Z62" s="63"/>
    </row>
    <row r="63">
      <c r="A63" s="63"/>
      <c r="B63" s="64"/>
      <c r="C63" s="64"/>
      <c r="D63" s="63"/>
      <c r="E63" s="63"/>
      <c r="F63" s="63"/>
      <c r="G63" s="63"/>
      <c r="H63" s="63"/>
      <c r="I63" s="63"/>
      <c r="J63" s="63"/>
      <c r="K63" s="63"/>
      <c r="L63" s="63"/>
      <c r="M63" s="63"/>
      <c r="N63" s="63"/>
      <c r="O63" s="63"/>
      <c r="P63" s="63"/>
      <c r="Q63" s="63"/>
      <c r="R63" s="63"/>
      <c r="S63" s="63"/>
      <c r="T63" s="63"/>
      <c r="U63" s="63"/>
      <c r="V63" s="63"/>
      <c r="W63" s="63"/>
      <c r="X63" s="63"/>
      <c r="Y63" s="63"/>
      <c r="Z63" s="63"/>
    </row>
    <row r="64">
      <c r="A64" s="63"/>
      <c r="B64" s="64"/>
      <c r="C64" s="64"/>
      <c r="D64" s="63"/>
      <c r="E64" s="63"/>
      <c r="F64" s="63"/>
      <c r="G64" s="63"/>
      <c r="H64" s="63"/>
      <c r="I64" s="63"/>
      <c r="J64" s="63"/>
      <c r="K64" s="63"/>
      <c r="L64" s="63"/>
      <c r="M64" s="63"/>
      <c r="N64" s="63"/>
      <c r="O64" s="63"/>
      <c r="P64" s="63"/>
      <c r="Q64" s="63"/>
      <c r="R64" s="63"/>
      <c r="S64" s="63"/>
      <c r="T64" s="63"/>
      <c r="U64" s="63"/>
      <c r="V64" s="63"/>
      <c r="W64" s="63"/>
      <c r="X64" s="63"/>
      <c r="Y64" s="63"/>
      <c r="Z64" s="63"/>
    </row>
    <row r="65">
      <c r="A65" s="63"/>
      <c r="B65" s="64"/>
      <c r="C65" s="64"/>
      <c r="D65" s="63"/>
      <c r="E65" s="63"/>
      <c r="F65" s="63"/>
      <c r="G65" s="63"/>
      <c r="H65" s="63"/>
      <c r="I65" s="63"/>
      <c r="J65" s="63"/>
      <c r="K65" s="63"/>
      <c r="L65" s="63"/>
      <c r="M65" s="63"/>
      <c r="N65" s="63"/>
      <c r="O65" s="63"/>
      <c r="P65" s="63"/>
      <c r="Q65" s="63"/>
      <c r="R65" s="63"/>
      <c r="S65" s="63"/>
      <c r="T65" s="63"/>
      <c r="U65" s="63"/>
      <c r="V65" s="63"/>
      <c r="W65" s="63"/>
      <c r="X65" s="63"/>
      <c r="Y65" s="63"/>
      <c r="Z65" s="63"/>
    </row>
    <row r="66">
      <c r="A66" s="63"/>
      <c r="B66" s="64"/>
      <c r="C66" s="64"/>
      <c r="D66" s="63"/>
      <c r="E66" s="63"/>
      <c r="F66" s="63"/>
      <c r="G66" s="63"/>
      <c r="H66" s="63"/>
      <c r="I66" s="63"/>
      <c r="J66" s="63"/>
      <c r="K66" s="63"/>
      <c r="L66" s="63"/>
      <c r="M66" s="63"/>
      <c r="N66" s="63"/>
      <c r="O66" s="63"/>
      <c r="P66" s="63"/>
      <c r="Q66" s="63"/>
      <c r="R66" s="63"/>
      <c r="S66" s="63"/>
      <c r="T66" s="63"/>
      <c r="U66" s="63"/>
      <c r="V66" s="63"/>
      <c r="W66" s="63"/>
      <c r="X66" s="63"/>
      <c r="Y66" s="63"/>
      <c r="Z66" s="63"/>
    </row>
    <row r="67">
      <c r="A67" s="63"/>
      <c r="B67" s="64"/>
      <c r="C67" s="64"/>
      <c r="D67" s="63"/>
      <c r="E67" s="63"/>
      <c r="F67" s="63"/>
      <c r="G67" s="63"/>
      <c r="H67" s="63"/>
      <c r="I67" s="63"/>
      <c r="J67" s="63"/>
      <c r="K67" s="63"/>
      <c r="L67" s="63"/>
      <c r="M67" s="63"/>
      <c r="N67" s="63"/>
      <c r="O67" s="63"/>
      <c r="P67" s="63"/>
      <c r="Q67" s="63"/>
      <c r="R67" s="63"/>
      <c r="S67" s="63"/>
      <c r="T67" s="63"/>
      <c r="U67" s="63"/>
      <c r="V67" s="63"/>
      <c r="W67" s="63"/>
      <c r="X67" s="63"/>
      <c r="Y67" s="63"/>
      <c r="Z67" s="63"/>
    </row>
    <row r="68">
      <c r="A68" s="63"/>
      <c r="B68" s="64"/>
      <c r="C68" s="64"/>
      <c r="D68" s="63"/>
      <c r="E68" s="63"/>
      <c r="F68" s="63"/>
      <c r="G68" s="63"/>
      <c r="H68" s="63"/>
      <c r="I68" s="63"/>
      <c r="J68" s="63"/>
      <c r="K68" s="63"/>
      <c r="L68" s="63"/>
      <c r="M68" s="63"/>
      <c r="N68" s="63"/>
      <c r="O68" s="63"/>
      <c r="P68" s="63"/>
      <c r="Q68" s="63"/>
      <c r="R68" s="63"/>
      <c r="S68" s="63"/>
      <c r="T68" s="63"/>
      <c r="U68" s="63"/>
      <c r="V68" s="63"/>
      <c r="W68" s="63"/>
      <c r="X68" s="63"/>
      <c r="Y68" s="63"/>
      <c r="Z68" s="63"/>
    </row>
    <row r="69">
      <c r="A69" s="63"/>
      <c r="B69" s="64"/>
      <c r="C69" s="64"/>
      <c r="D69" s="63"/>
      <c r="E69" s="63"/>
      <c r="F69" s="63"/>
      <c r="G69" s="63"/>
      <c r="H69" s="63"/>
      <c r="I69" s="63"/>
      <c r="J69" s="63"/>
      <c r="K69" s="63"/>
      <c r="L69" s="63"/>
      <c r="M69" s="63"/>
      <c r="N69" s="63"/>
      <c r="O69" s="63"/>
      <c r="P69" s="63"/>
      <c r="Q69" s="63"/>
      <c r="R69" s="63"/>
      <c r="S69" s="63"/>
      <c r="T69" s="63"/>
      <c r="U69" s="63"/>
      <c r="V69" s="63"/>
      <c r="W69" s="63"/>
      <c r="X69" s="63"/>
      <c r="Y69" s="63"/>
      <c r="Z69" s="63"/>
    </row>
    <row r="70">
      <c r="A70" s="63"/>
      <c r="B70" s="64"/>
      <c r="C70" s="64"/>
      <c r="D70" s="63"/>
      <c r="E70" s="63"/>
      <c r="F70" s="63"/>
      <c r="G70" s="63"/>
      <c r="H70" s="63"/>
      <c r="I70" s="63"/>
      <c r="J70" s="63"/>
      <c r="K70" s="63"/>
      <c r="L70" s="63"/>
      <c r="M70" s="63"/>
      <c r="N70" s="63"/>
      <c r="O70" s="63"/>
      <c r="P70" s="63"/>
      <c r="Q70" s="63"/>
      <c r="R70" s="63"/>
      <c r="S70" s="63"/>
      <c r="T70" s="63"/>
      <c r="U70" s="63"/>
      <c r="V70" s="63"/>
      <c r="W70" s="63"/>
      <c r="X70" s="63"/>
      <c r="Y70" s="63"/>
      <c r="Z70" s="63"/>
    </row>
    <row r="71">
      <c r="A71" s="63"/>
      <c r="B71" s="64"/>
      <c r="C71" s="64"/>
      <c r="D71" s="63"/>
      <c r="E71" s="63"/>
      <c r="F71" s="63"/>
      <c r="G71" s="63"/>
      <c r="H71" s="63"/>
      <c r="I71" s="63"/>
      <c r="J71" s="63"/>
      <c r="K71" s="63"/>
      <c r="L71" s="63"/>
      <c r="M71" s="63"/>
      <c r="N71" s="63"/>
      <c r="O71" s="63"/>
      <c r="P71" s="63"/>
      <c r="Q71" s="63"/>
      <c r="R71" s="63"/>
      <c r="S71" s="63"/>
      <c r="T71" s="63"/>
      <c r="U71" s="63"/>
      <c r="V71" s="63"/>
      <c r="W71" s="63"/>
      <c r="X71" s="63"/>
      <c r="Y71" s="63"/>
      <c r="Z71" s="63"/>
    </row>
    <row r="72">
      <c r="A72" s="63"/>
      <c r="B72" s="64"/>
      <c r="C72" s="64"/>
      <c r="D72" s="63"/>
      <c r="E72" s="63"/>
      <c r="F72" s="63"/>
      <c r="G72" s="63"/>
      <c r="H72" s="63"/>
      <c r="I72" s="63"/>
      <c r="J72" s="63"/>
      <c r="K72" s="63"/>
      <c r="L72" s="63"/>
      <c r="M72" s="63"/>
      <c r="N72" s="63"/>
      <c r="O72" s="63"/>
      <c r="P72" s="63"/>
      <c r="Q72" s="63"/>
      <c r="R72" s="63"/>
      <c r="S72" s="63"/>
      <c r="T72" s="63"/>
      <c r="U72" s="63"/>
      <c r="V72" s="63"/>
      <c r="W72" s="63"/>
      <c r="X72" s="63"/>
      <c r="Y72" s="63"/>
      <c r="Z72" s="63"/>
    </row>
    <row r="73">
      <c r="A73" s="63"/>
      <c r="B73" s="64"/>
      <c r="C73" s="64"/>
      <c r="D73" s="63"/>
      <c r="E73" s="63"/>
      <c r="F73" s="63"/>
      <c r="G73" s="63"/>
      <c r="H73" s="63"/>
      <c r="I73" s="63"/>
      <c r="J73" s="63"/>
      <c r="K73" s="63"/>
      <c r="L73" s="63"/>
      <c r="M73" s="63"/>
      <c r="N73" s="63"/>
      <c r="O73" s="63"/>
      <c r="P73" s="63"/>
      <c r="Q73" s="63"/>
      <c r="R73" s="63"/>
      <c r="S73" s="63"/>
      <c r="T73" s="63"/>
      <c r="U73" s="63"/>
      <c r="V73" s="63"/>
      <c r="W73" s="63"/>
      <c r="X73" s="63"/>
      <c r="Y73" s="63"/>
      <c r="Z73" s="63"/>
    </row>
    <row r="74">
      <c r="A74" s="63"/>
      <c r="B74" s="64"/>
      <c r="C74" s="64"/>
      <c r="D74" s="63"/>
      <c r="E74" s="63"/>
      <c r="F74" s="63"/>
      <c r="G74" s="63"/>
      <c r="H74" s="63"/>
      <c r="I74" s="63"/>
      <c r="J74" s="63"/>
      <c r="K74" s="63"/>
      <c r="L74" s="63"/>
      <c r="M74" s="63"/>
      <c r="N74" s="63"/>
      <c r="O74" s="63"/>
      <c r="P74" s="63"/>
      <c r="Q74" s="63"/>
      <c r="R74" s="63"/>
      <c r="S74" s="63"/>
      <c r="T74" s="63"/>
      <c r="U74" s="63"/>
      <c r="V74" s="63"/>
      <c r="W74" s="63"/>
      <c r="X74" s="63"/>
      <c r="Y74" s="63"/>
      <c r="Z74" s="63"/>
    </row>
    <row r="75">
      <c r="A75" s="63"/>
      <c r="B75" s="64"/>
      <c r="C75" s="64"/>
      <c r="D75" s="63"/>
      <c r="E75" s="63"/>
      <c r="F75" s="63"/>
      <c r="G75" s="63"/>
      <c r="H75" s="63"/>
      <c r="I75" s="63"/>
      <c r="J75" s="63"/>
      <c r="K75" s="63"/>
      <c r="L75" s="63"/>
      <c r="M75" s="63"/>
      <c r="N75" s="63"/>
      <c r="O75" s="63"/>
      <c r="P75" s="63"/>
      <c r="Q75" s="63"/>
      <c r="R75" s="63"/>
      <c r="S75" s="63"/>
      <c r="T75" s="63"/>
      <c r="U75" s="63"/>
      <c r="V75" s="63"/>
      <c r="W75" s="63"/>
      <c r="X75" s="63"/>
      <c r="Y75" s="63"/>
      <c r="Z75" s="63"/>
    </row>
    <row r="76">
      <c r="A76" s="63"/>
      <c r="B76" s="64"/>
      <c r="C76" s="64"/>
      <c r="D76" s="63"/>
      <c r="E76" s="63"/>
      <c r="F76" s="63"/>
      <c r="G76" s="63"/>
      <c r="H76" s="63"/>
      <c r="I76" s="63"/>
      <c r="J76" s="63"/>
      <c r="K76" s="63"/>
      <c r="L76" s="63"/>
      <c r="M76" s="63"/>
      <c r="N76" s="63"/>
      <c r="O76" s="63"/>
      <c r="P76" s="63"/>
      <c r="Q76" s="63"/>
      <c r="R76" s="63"/>
      <c r="S76" s="63"/>
      <c r="T76" s="63"/>
      <c r="U76" s="63"/>
      <c r="V76" s="63"/>
      <c r="W76" s="63"/>
      <c r="X76" s="63"/>
      <c r="Y76" s="63"/>
      <c r="Z76" s="63"/>
    </row>
    <row r="77">
      <c r="A77" s="63"/>
      <c r="B77" s="64"/>
      <c r="C77" s="64"/>
      <c r="D77" s="63"/>
      <c r="E77" s="63"/>
      <c r="F77" s="63"/>
      <c r="G77" s="63"/>
      <c r="H77" s="63"/>
      <c r="I77" s="63"/>
      <c r="J77" s="63"/>
      <c r="K77" s="63"/>
      <c r="L77" s="63"/>
      <c r="M77" s="63"/>
      <c r="N77" s="63"/>
      <c r="O77" s="63"/>
      <c r="P77" s="63"/>
      <c r="Q77" s="63"/>
      <c r="R77" s="63"/>
      <c r="S77" s="63"/>
      <c r="T77" s="63"/>
      <c r="U77" s="63"/>
      <c r="V77" s="63"/>
      <c r="W77" s="63"/>
      <c r="X77" s="63"/>
      <c r="Y77" s="63"/>
      <c r="Z77" s="63"/>
    </row>
    <row r="78">
      <c r="A78" s="63"/>
      <c r="B78" s="64"/>
      <c r="C78" s="64"/>
      <c r="D78" s="63"/>
      <c r="E78" s="63"/>
      <c r="F78" s="63"/>
      <c r="G78" s="63"/>
      <c r="H78" s="63"/>
      <c r="I78" s="63"/>
      <c r="J78" s="63"/>
      <c r="K78" s="63"/>
      <c r="L78" s="63"/>
      <c r="M78" s="63"/>
      <c r="N78" s="63"/>
      <c r="O78" s="63"/>
      <c r="P78" s="63"/>
      <c r="Q78" s="63"/>
      <c r="R78" s="63"/>
      <c r="S78" s="63"/>
      <c r="T78" s="63"/>
      <c r="U78" s="63"/>
      <c r="V78" s="63"/>
      <c r="W78" s="63"/>
      <c r="X78" s="63"/>
      <c r="Y78" s="63"/>
      <c r="Z78" s="63"/>
    </row>
    <row r="79">
      <c r="A79" s="63"/>
      <c r="B79" s="64"/>
      <c r="C79" s="64"/>
      <c r="D79" s="63"/>
      <c r="E79" s="63"/>
      <c r="F79" s="63"/>
      <c r="G79" s="63"/>
      <c r="H79" s="63"/>
      <c r="I79" s="63"/>
      <c r="J79" s="63"/>
      <c r="K79" s="63"/>
      <c r="L79" s="63"/>
      <c r="M79" s="63"/>
      <c r="N79" s="63"/>
      <c r="O79" s="63"/>
      <c r="P79" s="63"/>
      <c r="Q79" s="63"/>
      <c r="R79" s="63"/>
      <c r="S79" s="63"/>
      <c r="T79" s="63"/>
      <c r="U79" s="63"/>
      <c r="V79" s="63"/>
      <c r="W79" s="63"/>
      <c r="X79" s="63"/>
      <c r="Y79" s="63"/>
      <c r="Z79" s="63"/>
    </row>
    <row r="80">
      <c r="A80" s="63"/>
      <c r="B80" s="64"/>
      <c r="C80" s="64"/>
      <c r="D80" s="63"/>
      <c r="E80" s="63"/>
      <c r="F80" s="63"/>
      <c r="G80" s="63"/>
      <c r="H80" s="63"/>
      <c r="I80" s="63"/>
      <c r="J80" s="63"/>
      <c r="K80" s="63"/>
      <c r="L80" s="63"/>
      <c r="M80" s="63"/>
      <c r="N80" s="63"/>
      <c r="O80" s="63"/>
      <c r="P80" s="63"/>
      <c r="Q80" s="63"/>
      <c r="R80" s="63"/>
      <c r="S80" s="63"/>
      <c r="T80" s="63"/>
      <c r="U80" s="63"/>
      <c r="V80" s="63"/>
      <c r="W80" s="63"/>
      <c r="X80" s="63"/>
      <c r="Y80" s="63"/>
      <c r="Z80" s="63"/>
    </row>
    <row r="81">
      <c r="A81" s="63"/>
      <c r="B81" s="64"/>
      <c r="C81" s="64"/>
      <c r="D81" s="63"/>
      <c r="E81" s="63"/>
      <c r="F81" s="63"/>
      <c r="G81" s="63"/>
      <c r="H81" s="63"/>
      <c r="I81" s="63"/>
      <c r="J81" s="63"/>
      <c r="K81" s="63"/>
      <c r="L81" s="63"/>
      <c r="M81" s="63"/>
      <c r="N81" s="63"/>
      <c r="O81" s="63"/>
      <c r="P81" s="63"/>
      <c r="Q81" s="63"/>
      <c r="R81" s="63"/>
      <c r="S81" s="63"/>
      <c r="T81" s="63"/>
      <c r="U81" s="63"/>
      <c r="V81" s="63"/>
      <c r="W81" s="63"/>
      <c r="X81" s="63"/>
      <c r="Y81" s="63"/>
      <c r="Z81" s="63"/>
    </row>
    <row r="82">
      <c r="A82" s="63"/>
      <c r="B82" s="64"/>
      <c r="C82" s="64"/>
      <c r="D82" s="63"/>
      <c r="E82" s="63"/>
      <c r="F82" s="63"/>
      <c r="G82" s="63"/>
      <c r="H82" s="63"/>
      <c r="I82" s="63"/>
      <c r="J82" s="63"/>
      <c r="K82" s="63"/>
      <c r="L82" s="63"/>
      <c r="M82" s="63"/>
      <c r="N82" s="63"/>
      <c r="O82" s="63"/>
      <c r="P82" s="63"/>
      <c r="Q82" s="63"/>
      <c r="R82" s="63"/>
      <c r="S82" s="63"/>
      <c r="T82" s="63"/>
      <c r="U82" s="63"/>
      <c r="V82" s="63"/>
      <c r="W82" s="63"/>
      <c r="X82" s="63"/>
      <c r="Y82" s="63"/>
      <c r="Z82" s="63"/>
    </row>
    <row r="83">
      <c r="A83" s="63"/>
      <c r="B83" s="64"/>
      <c r="C83" s="64"/>
      <c r="D83" s="63"/>
      <c r="E83" s="63"/>
      <c r="F83" s="63"/>
      <c r="G83" s="63"/>
      <c r="H83" s="63"/>
      <c r="I83" s="63"/>
      <c r="J83" s="63"/>
      <c r="K83" s="63"/>
      <c r="L83" s="63"/>
      <c r="M83" s="63"/>
      <c r="N83" s="63"/>
      <c r="O83" s="63"/>
      <c r="P83" s="63"/>
      <c r="Q83" s="63"/>
      <c r="R83" s="63"/>
      <c r="S83" s="63"/>
      <c r="T83" s="63"/>
      <c r="U83" s="63"/>
      <c r="V83" s="63"/>
      <c r="W83" s="63"/>
      <c r="X83" s="63"/>
      <c r="Y83" s="63"/>
      <c r="Z83" s="63"/>
    </row>
    <row r="84">
      <c r="A84" s="63"/>
      <c r="B84" s="64"/>
      <c r="C84" s="64"/>
      <c r="D84" s="63"/>
      <c r="E84" s="63"/>
      <c r="F84" s="63"/>
      <c r="G84" s="63"/>
      <c r="H84" s="63"/>
      <c r="I84" s="63"/>
      <c r="J84" s="63"/>
      <c r="K84" s="63"/>
      <c r="L84" s="63"/>
      <c r="M84" s="63"/>
      <c r="N84" s="63"/>
      <c r="O84" s="63"/>
      <c r="P84" s="63"/>
      <c r="Q84" s="63"/>
      <c r="R84" s="63"/>
      <c r="S84" s="63"/>
      <c r="T84" s="63"/>
      <c r="U84" s="63"/>
      <c r="V84" s="63"/>
      <c r="W84" s="63"/>
      <c r="X84" s="63"/>
      <c r="Y84" s="63"/>
      <c r="Z84" s="63"/>
    </row>
    <row r="85">
      <c r="A85" s="63"/>
      <c r="B85" s="64"/>
      <c r="C85" s="64"/>
      <c r="D85" s="63"/>
      <c r="E85" s="63"/>
      <c r="F85" s="63"/>
      <c r="G85" s="63"/>
      <c r="H85" s="63"/>
      <c r="I85" s="63"/>
      <c r="J85" s="63"/>
      <c r="K85" s="63"/>
      <c r="L85" s="63"/>
      <c r="M85" s="63"/>
      <c r="N85" s="63"/>
      <c r="O85" s="63"/>
      <c r="P85" s="63"/>
      <c r="Q85" s="63"/>
      <c r="R85" s="63"/>
      <c r="S85" s="63"/>
      <c r="T85" s="63"/>
      <c r="U85" s="63"/>
      <c r="V85" s="63"/>
      <c r="W85" s="63"/>
      <c r="X85" s="63"/>
      <c r="Y85" s="63"/>
      <c r="Z85" s="63"/>
    </row>
    <row r="86">
      <c r="A86" s="63"/>
      <c r="B86" s="64"/>
      <c r="C86" s="64"/>
      <c r="D86" s="63"/>
      <c r="E86" s="63"/>
      <c r="F86" s="63"/>
      <c r="G86" s="63"/>
      <c r="H86" s="63"/>
      <c r="I86" s="63"/>
      <c r="J86" s="63"/>
      <c r="K86" s="63"/>
      <c r="L86" s="63"/>
      <c r="M86" s="63"/>
      <c r="N86" s="63"/>
      <c r="O86" s="63"/>
      <c r="P86" s="63"/>
      <c r="Q86" s="63"/>
      <c r="R86" s="63"/>
      <c r="S86" s="63"/>
      <c r="T86" s="63"/>
      <c r="U86" s="63"/>
      <c r="V86" s="63"/>
      <c r="W86" s="63"/>
      <c r="X86" s="63"/>
      <c r="Y86" s="63"/>
      <c r="Z86" s="63"/>
    </row>
    <row r="87">
      <c r="A87" s="63"/>
      <c r="B87" s="64"/>
      <c r="C87" s="64"/>
      <c r="D87" s="63"/>
      <c r="E87" s="63"/>
      <c r="F87" s="63"/>
      <c r="G87" s="63"/>
      <c r="H87" s="63"/>
      <c r="I87" s="63"/>
      <c r="J87" s="63"/>
      <c r="K87" s="63"/>
      <c r="L87" s="63"/>
      <c r="M87" s="63"/>
      <c r="N87" s="63"/>
      <c r="O87" s="63"/>
      <c r="P87" s="63"/>
      <c r="Q87" s="63"/>
      <c r="R87" s="63"/>
      <c r="S87" s="63"/>
      <c r="T87" s="63"/>
      <c r="U87" s="63"/>
      <c r="V87" s="63"/>
      <c r="W87" s="63"/>
      <c r="X87" s="63"/>
      <c r="Y87" s="63"/>
      <c r="Z87" s="63"/>
    </row>
    <row r="88">
      <c r="A88" s="63"/>
      <c r="B88" s="64"/>
      <c r="C88" s="64"/>
      <c r="D88" s="63"/>
      <c r="E88" s="63"/>
      <c r="F88" s="63"/>
      <c r="G88" s="63"/>
      <c r="H88" s="63"/>
      <c r="I88" s="63"/>
      <c r="J88" s="63"/>
      <c r="K88" s="63"/>
      <c r="L88" s="63"/>
      <c r="M88" s="63"/>
      <c r="N88" s="63"/>
      <c r="O88" s="63"/>
      <c r="P88" s="63"/>
      <c r="Q88" s="63"/>
      <c r="R88" s="63"/>
      <c r="S88" s="63"/>
      <c r="T88" s="63"/>
      <c r="U88" s="63"/>
      <c r="V88" s="63"/>
      <c r="W88" s="63"/>
      <c r="X88" s="63"/>
      <c r="Y88" s="63"/>
      <c r="Z88" s="63"/>
    </row>
    <row r="89">
      <c r="A89" s="63"/>
      <c r="B89" s="64"/>
      <c r="C89" s="64"/>
      <c r="D89" s="63"/>
      <c r="E89" s="63"/>
      <c r="F89" s="63"/>
      <c r="G89" s="63"/>
      <c r="H89" s="63"/>
      <c r="I89" s="63"/>
      <c r="J89" s="63"/>
      <c r="K89" s="63"/>
      <c r="L89" s="63"/>
      <c r="M89" s="63"/>
      <c r="N89" s="63"/>
      <c r="O89" s="63"/>
      <c r="P89" s="63"/>
      <c r="Q89" s="63"/>
      <c r="R89" s="63"/>
      <c r="S89" s="63"/>
      <c r="T89" s="63"/>
      <c r="U89" s="63"/>
      <c r="V89" s="63"/>
      <c r="W89" s="63"/>
      <c r="X89" s="63"/>
      <c r="Y89" s="63"/>
      <c r="Z89" s="63"/>
    </row>
    <row r="90">
      <c r="A90" s="63"/>
      <c r="B90" s="64"/>
      <c r="C90" s="64"/>
      <c r="D90" s="63"/>
      <c r="E90" s="63"/>
      <c r="F90" s="63"/>
      <c r="G90" s="63"/>
      <c r="H90" s="63"/>
      <c r="I90" s="63"/>
      <c r="J90" s="63"/>
      <c r="K90" s="63"/>
      <c r="L90" s="63"/>
      <c r="M90" s="63"/>
      <c r="N90" s="63"/>
      <c r="O90" s="63"/>
      <c r="P90" s="63"/>
      <c r="Q90" s="63"/>
      <c r="R90" s="63"/>
      <c r="S90" s="63"/>
      <c r="T90" s="63"/>
      <c r="U90" s="63"/>
      <c r="V90" s="63"/>
      <c r="W90" s="63"/>
      <c r="X90" s="63"/>
      <c r="Y90" s="63"/>
      <c r="Z90" s="63"/>
    </row>
    <row r="91">
      <c r="A91" s="63"/>
      <c r="B91" s="64"/>
      <c r="C91" s="64"/>
      <c r="D91" s="63"/>
      <c r="E91" s="63"/>
      <c r="F91" s="63"/>
      <c r="G91" s="63"/>
      <c r="H91" s="63"/>
      <c r="I91" s="63"/>
      <c r="J91" s="63"/>
      <c r="K91" s="63"/>
      <c r="L91" s="63"/>
      <c r="M91" s="63"/>
      <c r="N91" s="63"/>
      <c r="O91" s="63"/>
      <c r="P91" s="63"/>
      <c r="Q91" s="63"/>
      <c r="R91" s="63"/>
      <c r="S91" s="63"/>
      <c r="T91" s="63"/>
      <c r="U91" s="63"/>
      <c r="V91" s="63"/>
      <c r="W91" s="63"/>
      <c r="X91" s="63"/>
      <c r="Y91" s="63"/>
      <c r="Z91" s="63"/>
    </row>
    <row r="92">
      <c r="A92" s="63"/>
      <c r="B92" s="64"/>
      <c r="C92" s="64"/>
      <c r="D92" s="63"/>
      <c r="E92" s="63"/>
      <c r="F92" s="63"/>
      <c r="G92" s="63"/>
      <c r="H92" s="63"/>
      <c r="I92" s="63"/>
      <c r="J92" s="63"/>
      <c r="K92" s="63"/>
      <c r="L92" s="63"/>
      <c r="M92" s="63"/>
      <c r="N92" s="63"/>
      <c r="O92" s="63"/>
      <c r="P92" s="63"/>
      <c r="Q92" s="63"/>
      <c r="R92" s="63"/>
      <c r="S92" s="63"/>
      <c r="T92" s="63"/>
      <c r="U92" s="63"/>
      <c r="V92" s="63"/>
      <c r="W92" s="63"/>
      <c r="X92" s="63"/>
      <c r="Y92" s="63"/>
      <c r="Z92" s="63"/>
    </row>
    <row r="93">
      <c r="A93" s="63"/>
      <c r="B93" s="64"/>
      <c r="C93" s="64"/>
      <c r="D93" s="63"/>
      <c r="E93" s="63"/>
      <c r="F93" s="63"/>
      <c r="G93" s="63"/>
      <c r="H93" s="63"/>
      <c r="I93" s="63"/>
      <c r="J93" s="63"/>
      <c r="K93" s="63"/>
      <c r="L93" s="63"/>
      <c r="M93" s="63"/>
      <c r="N93" s="63"/>
      <c r="O93" s="63"/>
      <c r="P93" s="63"/>
      <c r="Q93" s="63"/>
      <c r="R93" s="63"/>
      <c r="S93" s="63"/>
      <c r="T93" s="63"/>
      <c r="U93" s="63"/>
      <c r="V93" s="63"/>
      <c r="W93" s="63"/>
      <c r="X93" s="63"/>
      <c r="Y93" s="63"/>
      <c r="Z93" s="63"/>
    </row>
    <row r="94">
      <c r="A94" s="63"/>
      <c r="B94" s="64"/>
      <c r="C94" s="64"/>
      <c r="D94" s="63"/>
      <c r="E94" s="63"/>
      <c r="F94" s="63"/>
      <c r="G94" s="63"/>
      <c r="H94" s="63"/>
      <c r="I94" s="63"/>
      <c r="J94" s="63"/>
      <c r="K94" s="63"/>
      <c r="L94" s="63"/>
      <c r="M94" s="63"/>
      <c r="N94" s="63"/>
      <c r="O94" s="63"/>
      <c r="P94" s="63"/>
      <c r="Q94" s="63"/>
      <c r="R94" s="63"/>
      <c r="S94" s="63"/>
      <c r="T94" s="63"/>
      <c r="U94" s="63"/>
      <c r="V94" s="63"/>
      <c r="W94" s="63"/>
      <c r="X94" s="63"/>
      <c r="Y94" s="63"/>
      <c r="Z94" s="63"/>
    </row>
    <row r="95">
      <c r="A95" s="63"/>
      <c r="B95" s="64"/>
      <c r="C95" s="64"/>
      <c r="D95" s="63"/>
      <c r="E95" s="63"/>
      <c r="F95" s="63"/>
      <c r="G95" s="63"/>
      <c r="H95" s="63"/>
      <c r="I95" s="63"/>
      <c r="J95" s="63"/>
      <c r="K95" s="63"/>
      <c r="L95" s="63"/>
      <c r="M95" s="63"/>
      <c r="N95" s="63"/>
      <c r="O95" s="63"/>
      <c r="P95" s="63"/>
      <c r="Q95" s="63"/>
      <c r="R95" s="63"/>
      <c r="S95" s="63"/>
      <c r="T95" s="63"/>
      <c r="U95" s="63"/>
      <c r="V95" s="63"/>
      <c r="W95" s="63"/>
      <c r="X95" s="63"/>
      <c r="Y95" s="63"/>
      <c r="Z95" s="63"/>
    </row>
    <row r="96">
      <c r="A96" s="63"/>
      <c r="B96" s="64"/>
      <c r="C96" s="64"/>
      <c r="D96" s="63"/>
      <c r="E96" s="63"/>
      <c r="F96" s="63"/>
      <c r="G96" s="63"/>
      <c r="H96" s="63"/>
      <c r="I96" s="63"/>
      <c r="J96" s="63"/>
      <c r="K96" s="63"/>
      <c r="L96" s="63"/>
      <c r="M96" s="63"/>
      <c r="N96" s="63"/>
      <c r="O96" s="63"/>
      <c r="P96" s="63"/>
      <c r="Q96" s="63"/>
      <c r="R96" s="63"/>
      <c r="S96" s="63"/>
      <c r="T96" s="63"/>
      <c r="U96" s="63"/>
      <c r="V96" s="63"/>
      <c r="W96" s="63"/>
      <c r="X96" s="63"/>
      <c r="Y96" s="63"/>
      <c r="Z96" s="63"/>
    </row>
    <row r="97">
      <c r="A97" s="63"/>
      <c r="B97" s="64"/>
      <c r="C97" s="64"/>
      <c r="D97" s="63"/>
      <c r="E97" s="63"/>
      <c r="F97" s="63"/>
      <c r="G97" s="63"/>
      <c r="H97" s="63"/>
      <c r="I97" s="63"/>
      <c r="J97" s="63"/>
      <c r="K97" s="63"/>
      <c r="L97" s="63"/>
      <c r="M97" s="63"/>
      <c r="N97" s="63"/>
      <c r="O97" s="63"/>
      <c r="P97" s="63"/>
      <c r="Q97" s="63"/>
      <c r="R97" s="63"/>
      <c r="S97" s="63"/>
      <c r="T97" s="63"/>
      <c r="U97" s="63"/>
      <c r="V97" s="63"/>
      <c r="W97" s="63"/>
      <c r="X97" s="63"/>
      <c r="Y97" s="63"/>
      <c r="Z97" s="63"/>
    </row>
    <row r="98">
      <c r="A98" s="63"/>
      <c r="B98" s="64"/>
      <c r="C98" s="64"/>
      <c r="D98" s="63"/>
      <c r="E98" s="63"/>
      <c r="F98" s="63"/>
      <c r="G98" s="63"/>
      <c r="H98" s="63"/>
      <c r="I98" s="63"/>
      <c r="J98" s="63"/>
      <c r="K98" s="63"/>
      <c r="L98" s="63"/>
      <c r="M98" s="63"/>
      <c r="N98" s="63"/>
      <c r="O98" s="63"/>
      <c r="P98" s="63"/>
      <c r="Q98" s="63"/>
      <c r="R98" s="63"/>
      <c r="S98" s="63"/>
      <c r="T98" s="63"/>
      <c r="U98" s="63"/>
      <c r="V98" s="63"/>
      <c r="W98" s="63"/>
      <c r="X98" s="63"/>
      <c r="Y98" s="63"/>
      <c r="Z98" s="63"/>
    </row>
    <row r="99">
      <c r="A99" s="63"/>
      <c r="B99" s="64"/>
      <c r="C99" s="64"/>
      <c r="D99" s="63"/>
      <c r="E99" s="63"/>
      <c r="F99" s="63"/>
      <c r="G99" s="63"/>
      <c r="H99" s="63"/>
      <c r="I99" s="63"/>
      <c r="J99" s="63"/>
      <c r="K99" s="63"/>
      <c r="L99" s="63"/>
      <c r="M99" s="63"/>
      <c r="N99" s="63"/>
      <c r="O99" s="63"/>
      <c r="P99" s="63"/>
      <c r="Q99" s="63"/>
      <c r="R99" s="63"/>
      <c r="S99" s="63"/>
      <c r="T99" s="63"/>
      <c r="U99" s="63"/>
      <c r="V99" s="63"/>
      <c r="W99" s="63"/>
      <c r="X99" s="63"/>
      <c r="Y99" s="63"/>
      <c r="Z99" s="63"/>
    </row>
    <row r="100">
      <c r="A100" s="63"/>
      <c r="B100" s="64"/>
      <c r="C100" s="64"/>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c r="A101" s="63"/>
      <c r="B101" s="64"/>
      <c r="C101" s="64"/>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c r="A102" s="63"/>
      <c r="B102" s="64"/>
      <c r="C102" s="64"/>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c r="A103" s="63"/>
      <c r="B103" s="64"/>
      <c r="C103" s="64"/>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c r="A104" s="63"/>
      <c r="B104" s="64"/>
      <c r="C104" s="64"/>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3"/>
      <c r="B105" s="64"/>
      <c r="C105" s="64"/>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3"/>
      <c r="B106" s="64"/>
      <c r="C106" s="64"/>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63"/>
      <c r="B107" s="64"/>
      <c r="C107" s="64"/>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63"/>
      <c r="B108" s="64"/>
      <c r="C108" s="64"/>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3"/>
      <c r="B109" s="64"/>
      <c r="C109" s="64"/>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3"/>
      <c r="B110" s="64"/>
      <c r="C110" s="64"/>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63"/>
      <c r="B111" s="64"/>
      <c r="C111" s="64"/>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3"/>
      <c r="B112" s="64"/>
      <c r="C112" s="64"/>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3"/>
      <c r="B113" s="64"/>
      <c r="C113" s="64"/>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3"/>
      <c r="B114" s="64"/>
      <c r="C114" s="64"/>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3"/>
      <c r="B115" s="64"/>
      <c r="C115" s="64"/>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63"/>
      <c r="B116" s="64"/>
      <c r="C116" s="64"/>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3"/>
      <c r="B117" s="64"/>
      <c r="C117" s="64"/>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63"/>
      <c r="B118" s="64"/>
      <c r="C118" s="64"/>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63"/>
      <c r="B119" s="64"/>
      <c r="C119" s="64"/>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63"/>
      <c r="B120" s="64"/>
      <c r="C120" s="64"/>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3"/>
      <c r="B121" s="64"/>
      <c r="C121" s="64"/>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3"/>
      <c r="B122" s="64"/>
      <c r="C122" s="64"/>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3"/>
      <c r="B123" s="64"/>
      <c r="C123" s="64"/>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63"/>
      <c r="B124" s="64"/>
      <c r="C124" s="64"/>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3"/>
      <c r="B125" s="64"/>
      <c r="C125" s="64"/>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63"/>
      <c r="B126" s="64"/>
      <c r="C126" s="64"/>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63"/>
      <c r="B127" s="64"/>
      <c r="C127" s="64"/>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3"/>
      <c r="B128" s="64"/>
      <c r="C128" s="64"/>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3"/>
      <c r="B129" s="64"/>
      <c r="C129" s="64"/>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3"/>
      <c r="B130" s="64"/>
      <c r="C130" s="64"/>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63"/>
      <c r="B131" s="64"/>
      <c r="C131" s="64"/>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63"/>
      <c r="B132" s="64"/>
      <c r="C132" s="64"/>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3"/>
      <c r="B133" s="64"/>
      <c r="C133" s="64"/>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63"/>
      <c r="B134" s="64"/>
      <c r="C134" s="64"/>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63"/>
      <c r="B135" s="64"/>
      <c r="C135" s="64"/>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3"/>
      <c r="B136" s="64"/>
      <c r="C136" s="64"/>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63"/>
      <c r="B137" s="64"/>
      <c r="C137" s="64"/>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3"/>
      <c r="B138" s="64"/>
      <c r="C138" s="64"/>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3"/>
      <c r="B139" s="64"/>
      <c r="C139" s="64"/>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3"/>
      <c r="B140" s="64"/>
      <c r="C140" s="64"/>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3"/>
      <c r="B141" s="64"/>
      <c r="C141" s="64"/>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c r="A142" s="63"/>
      <c r="B142" s="64"/>
      <c r="C142" s="64"/>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63"/>
      <c r="B143" s="64"/>
      <c r="C143" s="64"/>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3"/>
      <c r="B144" s="64"/>
      <c r="C144" s="64"/>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3"/>
      <c r="B145" s="64"/>
      <c r="C145" s="64"/>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3"/>
      <c r="B146" s="64"/>
      <c r="C146" s="64"/>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63"/>
      <c r="B147" s="64"/>
      <c r="C147" s="64"/>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63"/>
      <c r="B148" s="64"/>
      <c r="C148" s="64"/>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3"/>
      <c r="B149" s="64"/>
      <c r="C149" s="64"/>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63"/>
      <c r="B150" s="64"/>
      <c r="C150" s="64"/>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3"/>
      <c r="B151" s="64"/>
      <c r="C151" s="64"/>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3"/>
      <c r="B152" s="64"/>
      <c r="C152" s="64"/>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3"/>
      <c r="B153" s="64"/>
      <c r="C153" s="64"/>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3"/>
      <c r="B154" s="64"/>
      <c r="C154" s="64"/>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3"/>
      <c r="B155" s="64"/>
      <c r="C155" s="64"/>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3"/>
      <c r="B156" s="64"/>
      <c r="C156" s="64"/>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3"/>
      <c r="B157" s="64"/>
      <c r="C157" s="64"/>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63"/>
      <c r="B158" s="64"/>
      <c r="C158" s="64"/>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3"/>
      <c r="B159" s="64"/>
      <c r="C159" s="64"/>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3"/>
      <c r="B160" s="64"/>
      <c r="C160" s="64"/>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3"/>
      <c r="B161" s="64"/>
      <c r="C161" s="64"/>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3"/>
      <c r="B162" s="64"/>
      <c r="C162" s="64"/>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63"/>
      <c r="B163" s="64"/>
      <c r="C163" s="64"/>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3"/>
      <c r="B164" s="64"/>
      <c r="C164" s="64"/>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3"/>
      <c r="B165" s="64"/>
      <c r="C165" s="64"/>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63"/>
      <c r="B166" s="64"/>
      <c r="C166" s="64"/>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3"/>
      <c r="B167" s="64"/>
      <c r="C167" s="64"/>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3"/>
      <c r="B168" s="64"/>
      <c r="C168" s="64"/>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3"/>
      <c r="B169" s="64"/>
      <c r="C169" s="64"/>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3"/>
      <c r="B170" s="64"/>
      <c r="C170" s="64"/>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63"/>
      <c r="B171" s="64"/>
      <c r="C171" s="64"/>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3"/>
      <c r="B172" s="64"/>
      <c r="C172" s="64"/>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3"/>
      <c r="B173" s="64"/>
      <c r="C173" s="64"/>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3"/>
      <c r="B174" s="64"/>
      <c r="C174" s="64"/>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3"/>
      <c r="B175" s="64"/>
      <c r="C175" s="64"/>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3"/>
      <c r="B176" s="64"/>
      <c r="C176" s="64"/>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3"/>
      <c r="B177" s="64"/>
      <c r="C177" s="64"/>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3"/>
      <c r="B178" s="64"/>
      <c r="C178" s="64"/>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3"/>
      <c r="B179" s="64"/>
      <c r="C179" s="64"/>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3"/>
      <c r="B180" s="64"/>
      <c r="C180" s="64"/>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3"/>
      <c r="B181" s="64"/>
      <c r="C181" s="64"/>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3"/>
      <c r="B182" s="64"/>
      <c r="C182" s="64"/>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3"/>
      <c r="B183" s="64"/>
      <c r="C183" s="64"/>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3"/>
      <c r="B184" s="64"/>
      <c r="C184" s="64"/>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3"/>
      <c r="B185" s="64"/>
      <c r="C185" s="64"/>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3"/>
      <c r="B186" s="64"/>
      <c r="C186" s="64"/>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3"/>
      <c r="B187" s="64"/>
      <c r="C187" s="64"/>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3"/>
      <c r="B188" s="64"/>
      <c r="C188" s="64"/>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3"/>
      <c r="B189" s="64"/>
      <c r="C189" s="64"/>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3"/>
      <c r="B190" s="64"/>
      <c r="C190" s="64"/>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3"/>
      <c r="B191" s="64"/>
      <c r="C191" s="64"/>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3"/>
      <c r="B192" s="64"/>
      <c r="C192" s="64"/>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3"/>
      <c r="B193" s="64"/>
      <c r="C193" s="64"/>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3"/>
      <c r="B194" s="64"/>
      <c r="C194" s="64"/>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3"/>
      <c r="B195" s="64"/>
      <c r="C195" s="64"/>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3"/>
      <c r="B196" s="64"/>
      <c r="C196" s="64"/>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3"/>
      <c r="B197" s="64"/>
      <c r="C197" s="64"/>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3"/>
      <c r="B198" s="64"/>
      <c r="C198" s="64"/>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3"/>
      <c r="B199" s="64"/>
      <c r="C199" s="64"/>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3"/>
      <c r="B200" s="64"/>
      <c r="C200" s="64"/>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3"/>
      <c r="B201" s="64"/>
      <c r="C201" s="64"/>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3"/>
      <c r="B202" s="64"/>
      <c r="C202" s="64"/>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3"/>
      <c r="B203" s="64"/>
      <c r="C203" s="64"/>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3"/>
      <c r="B204" s="64"/>
      <c r="C204" s="64"/>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3"/>
      <c r="B205" s="64"/>
      <c r="C205" s="64"/>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64"/>
      <c r="C206" s="64"/>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64"/>
      <c r="C207" s="64"/>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64"/>
      <c r="C208" s="64"/>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64"/>
      <c r="C209" s="64"/>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64"/>
      <c r="C210" s="64"/>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64"/>
      <c r="C211" s="64"/>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64"/>
      <c r="C212" s="64"/>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64"/>
      <c r="C213" s="64"/>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64"/>
      <c r="C214" s="64"/>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64"/>
      <c r="C215" s="64"/>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64"/>
      <c r="C216" s="64"/>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64"/>
      <c r="C217" s="64"/>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64"/>
      <c r="C218" s="64"/>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64"/>
      <c r="C219" s="64"/>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64"/>
      <c r="C220" s="64"/>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64"/>
      <c r="C221" s="64"/>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64"/>
      <c r="C222" s="64"/>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64"/>
      <c r="C223" s="64"/>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64"/>
      <c r="C224" s="64"/>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64"/>
      <c r="C225" s="64"/>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64"/>
      <c r="C226" s="64"/>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64"/>
      <c r="C227" s="64"/>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64"/>
      <c r="C228" s="64"/>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64"/>
      <c r="C229" s="64"/>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64"/>
      <c r="C230" s="64"/>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64"/>
      <c r="C231" s="64"/>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64"/>
      <c r="C232" s="64"/>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64"/>
      <c r="C233" s="64"/>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64"/>
      <c r="C234" s="64"/>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64"/>
      <c r="C235" s="64"/>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64"/>
      <c r="C236" s="64"/>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64"/>
      <c r="C237" s="64"/>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64"/>
      <c r="C238" s="64"/>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64"/>
      <c r="C239" s="64"/>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64"/>
      <c r="C240" s="64"/>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64"/>
      <c r="C241" s="64"/>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64"/>
      <c r="C242" s="64"/>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64"/>
      <c r="C243" s="64"/>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64"/>
      <c r="C244" s="64"/>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64"/>
      <c r="C245" s="64"/>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64"/>
      <c r="C246" s="64"/>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64"/>
      <c r="C247" s="64"/>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64"/>
      <c r="C248" s="64"/>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64"/>
      <c r="C249" s="64"/>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64"/>
      <c r="C250" s="64"/>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64"/>
      <c r="C251" s="64"/>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64"/>
      <c r="C252" s="64"/>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64"/>
      <c r="C253" s="64"/>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64"/>
      <c r="C254" s="64"/>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64"/>
      <c r="C255" s="64"/>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64"/>
      <c r="C256" s="64"/>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64"/>
      <c r="C257" s="64"/>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64"/>
      <c r="C258" s="64"/>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64"/>
      <c r="C259" s="64"/>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64"/>
      <c r="C260" s="64"/>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64"/>
      <c r="C261" s="64"/>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64"/>
      <c r="C262" s="64"/>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64"/>
      <c r="C263" s="64"/>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64"/>
      <c r="C264" s="64"/>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64"/>
      <c r="C265" s="64"/>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64"/>
      <c r="C266" s="64"/>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64"/>
      <c r="C267" s="64"/>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64"/>
      <c r="C268" s="64"/>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64"/>
      <c r="C269" s="64"/>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64"/>
      <c r="C270" s="64"/>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64"/>
      <c r="C271" s="64"/>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64"/>
      <c r="C272" s="64"/>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64"/>
      <c r="C273" s="64"/>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64"/>
      <c r="C274" s="64"/>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64"/>
      <c r="C275" s="64"/>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64"/>
      <c r="C276" s="64"/>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64"/>
      <c r="C277" s="64"/>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64"/>
      <c r="C278" s="64"/>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64"/>
      <c r="C279" s="64"/>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64"/>
      <c r="C280" s="64"/>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64"/>
      <c r="C281" s="64"/>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64"/>
      <c r="C282" s="64"/>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64"/>
      <c r="C283" s="64"/>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64"/>
      <c r="C284" s="64"/>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64"/>
      <c r="C285" s="64"/>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64"/>
      <c r="C286" s="64"/>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64"/>
      <c r="C287" s="64"/>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64"/>
      <c r="C288" s="64"/>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64"/>
      <c r="C289" s="64"/>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64"/>
      <c r="C290" s="64"/>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64"/>
      <c r="C291" s="64"/>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64"/>
      <c r="C292" s="64"/>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64"/>
      <c r="C293" s="64"/>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64"/>
      <c r="C294" s="64"/>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64"/>
      <c r="C295" s="64"/>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64"/>
      <c r="C296" s="64"/>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64"/>
      <c r="C297" s="64"/>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64"/>
      <c r="C298" s="64"/>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64"/>
      <c r="C299" s="64"/>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64"/>
      <c r="C300" s="64"/>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64"/>
      <c r="C301" s="64"/>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64"/>
      <c r="C302" s="64"/>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64"/>
      <c r="C303" s="64"/>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64"/>
      <c r="C304" s="64"/>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64"/>
      <c r="C305" s="64"/>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64"/>
      <c r="C306" s="64"/>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64"/>
      <c r="C307" s="64"/>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64"/>
      <c r="C308" s="64"/>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64"/>
      <c r="C309" s="64"/>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64"/>
      <c r="C310" s="64"/>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64"/>
      <c r="C311" s="64"/>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64"/>
      <c r="C312" s="64"/>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64"/>
      <c r="C313" s="64"/>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64"/>
      <c r="C314" s="64"/>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64"/>
      <c r="C315" s="64"/>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64"/>
      <c r="C316" s="64"/>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64"/>
      <c r="C317" s="64"/>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64"/>
      <c r="C318" s="64"/>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64"/>
      <c r="C319" s="64"/>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64"/>
      <c r="C320" s="64"/>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64"/>
      <c r="C321" s="64"/>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64"/>
      <c r="C322" s="64"/>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64"/>
      <c r="C323" s="64"/>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64"/>
      <c r="C324" s="64"/>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64"/>
      <c r="C325" s="64"/>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64"/>
      <c r="C326" s="64"/>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64"/>
      <c r="C327" s="64"/>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64"/>
      <c r="C328" s="64"/>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64"/>
      <c r="C329" s="64"/>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64"/>
      <c r="C330" s="64"/>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64"/>
      <c r="C331" s="64"/>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64"/>
      <c r="C332" s="64"/>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64"/>
      <c r="C333" s="64"/>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64"/>
      <c r="C334" s="64"/>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64"/>
      <c r="C335" s="64"/>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64"/>
      <c r="C336" s="64"/>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64"/>
      <c r="C337" s="64"/>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64"/>
      <c r="C338" s="64"/>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64"/>
      <c r="C339" s="64"/>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64"/>
      <c r="C340" s="64"/>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64"/>
      <c r="C341" s="64"/>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64"/>
      <c r="C342" s="64"/>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64"/>
      <c r="C343" s="64"/>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64"/>
      <c r="C344" s="64"/>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64"/>
      <c r="C345" s="64"/>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64"/>
      <c r="C346" s="64"/>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64"/>
      <c r="C347" s="64"/>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64"/>
      <c r="C348" s="64"/>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64"/>
      <c r="C349" s="64"/>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64"/>
      <c r="C350" s="64"/>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64"/>
      <c r="C351" s="64"/>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64"/>
      <c r="C352" s="64"/>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64"/>
      <c r="C353" s="64"/>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64"/>
      <c r="C354" s="64"/>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64"/>
      <c r="C355" s="64"/>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64"/>
      <c r="C356" s="64"/>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64"/>
      <c r="C357" s="64"/>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64"/>
      <c r="C358" s="64"/>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64"/>
      <c r="C359" s="64"/>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64"/>
      <c r="C360" s="64"/>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64"/>
      <c r="C361" s="64"/>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64"/>
      <c r="C362" s="64"/>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64"/>
      <c r="C363" s="64"/>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64"/>
      <c r="C364" s="64"/>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64"/>
      <c r="C365" s="64"/>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64"/>
      <c r="C366" s="64"/>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64"/>
      <c r="C367" s="64"/>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64"/>
      <c r="C368" s="64"/>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64"/>
      <c r="C369" s="64"/>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64"/>
      <c r="C370" s="64"/>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64"/>
      <c r="C371" s="64"/>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64"/>
      <c r="C372" s="64"/>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64"/>
      <c r="C373" s="64"/>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64"/>
      <c r="C374" s="64"/>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64"/>
      <c r="C375" s="64"/>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64"/>
      <c r="C376" s="64"/>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64"/>
      <c r="C377" s="64"/>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64"/>
      <c r="C378" s="64"/>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64"/>
      <c r="C379" s="64"/>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64"/>
      <c r="C380" s="64"/>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64"/>
      <c r="C381" s="64"/>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64"/>
      <c r="C382" s="64"/>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64"/>
      <c r="C383" s="64"/>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64"/>
      <c r="C384" s="64"/>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64"/>
      <c r="C385" s="64"/>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64"/>
      <c r="C386" s="64"/>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64"/>
      <c r="C387" s="64"/>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64"/>
      <c r="C388" s="64"/>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64"/>
      <c r="C389" s="64"/>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64"/>
      <c r="C390" s="64"/>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64"/>
      <c r="C391" s="64"/>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64"/>
      <c r="C392" s="64"/>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64"/>
      <c r="C393" s="64"/>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64"/>
      <c r="C394" s="64"/>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64"/>
      <c r="C395" s="64"/>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64"/>
      <c r="C396" s="64"/>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64"/>
      <c r="C397" s="64"/>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64"/>
      <c r="C398" s="64"/>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64"/>
      <c r="C399" s="64"/>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64"/>
      <c r="C400" s="64"/>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64"/>
      <c r="C401" s="64"/>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64"/>
      <c r="C402" s="64"/>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64"/>
      <c r="C403" s="64"/>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64"/>
      <c r="C404" s="64"/>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64"/>
      <c r="C405" s="64"/>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64"/>
      <c r="C406" s="64"/>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64"/>
      <c r="C407" s="64"/>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64"/>
      <c r="C408" s="64"/>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64"/>
      <c r="C409" s="64"/>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64"/>
      <c r="C410" s="64"/>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64"/>
      <c r="C411" s="64"/>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64"/>
      <c r="C412" s="64"/>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64"/>
      <c r="C413" s="64"/>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64"/>
      <c r="C414" s="64"/>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64"/>
      <c r="C415" s="64"/>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64"/>
      <c r="C416" s="64"/>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64"/>
      <c r="C417" s="64"/>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64"/>
      <c r="C418" s="64"/>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64"/>
      <c r="C419" s="64"/>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64"/>
      <c r="C420" s="64"/>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64"/>
      <c r="C421" s="64"/>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64"/>
      <c r="C422" s="64"/>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64"/>
      <c r="C423" s="64"/>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64"/>
      <c r="C424" s="64"/>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64"/>
      <c r="C425" s="64"/>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64"/>
      <c r="C426" s="64"/>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64"/>
      <c r="C427" s="64"/>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64"/>
      <c r="C428" s="64"/>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64"/>
      <c r="C429" s="64"/>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64"/>
      <c r="C430" s="64"/>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64"/>
      <c r="C431" s="64"/>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64"/>
      <c r="C432" s="64"/>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64"/>
      <c r="C433" s="64"/>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64"/>
      <c r="C434" s="64"/>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64"/>
      <c r="C435" s="64"/>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4"/>
      <c r="C436" s="64"/>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64"/>
      <c r="C437" s="64"/>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64"/>
      <c r="C438" s="64"/>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64"/>
      <c r="C439" s="64"/>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64"/>
      <c r="C440" s="64"/>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4"/>
      <c r="C441" s="64"/>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4"/>
      <c r="C442" s="64"/>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4"/>
      <c r="C443" s="64"/>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4"/>
      <c r="C444" s="64"/>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4"/>
      <c r="C445" s="64"/>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4"/>
      <c r="C446" s="64"/>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4"/>
      <c r="C447" s="64"/>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4"/>
      <c r="C448" s="64"/>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4"/>
      <c r="C449" s="64"/>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4"/>
      <c r="C450" s="64"/>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4"/>
      <c r="C451" s="64"/>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4"/>
      <c r="C452" s="64"/>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4"/>
      <c r="C453" s="64"/>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4"/>
      <c r="C454" s="64"/>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4"/>
      <c r="C455" s="64"/>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4"/>
      <c r="C456" s="64"/>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4"/>
      <c r="C457" s="64"/>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4"/>
      <c r="C458" s="64"/>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4"/>
      <c r="C459" s="64"/>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4"/>
      <c r="C460" s="64"/>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4"/>
      <c r="C461" s="64"/>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4"/>
      <c r="C462" s="64"/>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4"/>
      <c r="C463" s="64"/>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4"/>
      <c r="C464" s="64"/>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4"/>
      <c r="C465" s="64"/>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4"/>
      <c r="C466" s="64"/>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4"/>
      <c r="C467" s="64"/>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4"/>
      <c r="C468" s="64"/>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4"/>
      <c r="C469" s="64"/>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4"/>
      <c r="C470" s="64"/>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4"/>
      <c r="C471" s="64"/>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4"/>
      <c r="C472" s="64"/>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4"/>
      <c r="C473" s="64"/>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4"/>
      <c r="C474" s="64"/>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4"/>
      <c r="C475" s="64"/>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4"/>
      <c r="C476" s="64"/>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4"/>
      <c r="C477" s="64"/>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4"/>
      <c r="C478" s="64"/>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4"/>
      <c r="C479" s="64"/>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4"/>
      <c r="C480" s="64"/>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4"/>
      <c r="C481" s="64"/>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4"/>
      <c r="C482" s="64"/>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4"/>
      <c r="C483" s="64"/>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4"/>
      <c r="C484" s="64"/>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4"/>
      <c r="C485" s="64"/>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4"/>
      <c r="C486" s="64"/>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4"/>
      <c r="C487" s="64"/>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4"/>
      <c r="C488" s="64"/>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4"/>
      <c r="C489" s="64"/>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4"/>
      <c r="C490" s="64"/>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4"/>
      <c r="C491" s="64"/>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4"/>
      <c r="C492" s="64"/>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4"/>
      <c r="C493" s="64"/>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4"/>
      <c r="C494" s="64"/>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4"/>
      <c r="C495" s="64"/>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4"/>
      <c r="C496" s="64"/>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4"/>
      <c r="C497" s="64"/>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4"/>
      <c r="C498" s="64"/>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4"/>
      <c r="C499" s="64"/>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4"/>
      <c r="C500" s="64"/>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4"/>
      <c r="C501" s="64"/>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4"/>
      <c r="C502" s="64"/>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4"/>
      <c r="C503" s="64"/>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4"/>
      <c r="C504" s="64"/>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4"/>
      <c r="C505" s="64"/>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4"/>
      <c r="C506" s="64"/>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4"/>
      <c r="C507" s="64"/>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4"/>
      <c r="C508" s="64"/>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4"/>
      <c r="C509" s="64"/>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4"/>
      <c r="C510" s="64"/>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4"/>
      <c r="C511" s="64"/>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4"/>
      <c r="C512" s="64"/>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4"/>
      <c r="C513" s="64"/>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4"/>
      <c r="C514" s="64"/>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4"/>
      <c r="C515" s="64"/>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4"/>
      <c r="C516" s="64"/>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4"/>
      <c r="C517" s="64"/>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4"/>
      <c r="C518" s="64"/>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4"/>
      <c r="C519" s="64"/>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4"/>
      <c r="C520" s="64"/>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4"/>
      <c r="C521" s="64"/>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4"/>
      <c r="C522" s="64"/>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4"/>
      <c r="C523" s="64"/>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4"/>
      <c r="C524" s="64"/>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4"/>
      <c r="C525" s="64"/>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4"/>
      <c r="C526" s="64"/>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4"/>
      <c r="C527" s="64"/>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4"/>
      <c r="C528" s="64"/>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4"/>
      <c r="C529" s="64"/>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4"/>
      <c r="C530" s="64"/>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4"/>
      <c r="C531" s="64"/>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4"/>
      <c r="C532" s="64"/>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4"/>
      <c r="C533" s="64"/>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4"/>
      <c r="C534" s="64"/>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4"/>
      <c r="C535" s="64"/>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4"/>
      <c r="C536" s="64"/>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4"/>
      <c r="C537" s="64"/>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4"/>
      <c r="C538" s="64"/>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4"/>
      <c r="C539" s="64"/>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4"/>
      <c r="C540" s="64"/>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4"/>
      <c r="C541" s="64"/>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4"/>
      <c r="C542" s="64"/>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4"/>
      <c r="C543" s="64"/>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4"/>
      <c r="C544" s="64"/>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4"/>
      <c r="C545" s="64"/>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4"/>
      <c r="C546" s="64"/>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4"/>
      <c r="C547" s="64"/>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4"/>
      <c r="C548" s="64"/>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4"/>
      <c r="C549" s="64"/>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4"/>
      <c r="C550" s="64"/>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4"/>
      <c r="C551" s="64"/>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4"/>
      <c r="C552" s="64"/>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4"/>
      <c r="C553" s="64"/>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4"/>
      <c r="C554" s="64"/>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4"/>
      <c r="C555" s="64"/>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4"/>
      <c r="C556" s="64"/>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4"/>
      <c r="C557" s="64"/>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4"/>
      <c r="C558" s="64"/>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4"/>
      <c r="C559" s="64"/>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4"/>
      <c r="C560" s="64"/>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4"/>
      <c r="C561" s="64"/>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4"/>
      <c r="C562" s="64"/>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4"/>
      <c r="C563" s="64"/>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4"/>
      <c r="C564" s="64"/>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4"/>
      <c r="C565" s="64"/>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4"/>
      <c r="C566" s="64"/>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4"/>
      <c r="C567" s="64"/>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4"/>
      <c r="C568" s="64"/>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4"/>
      <c r="C569" s="64"/>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4"/>
      <c r="C570" s="64"/>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4"/>
      <c r="C571" s="64"/>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4"/>
      <c r="C572" s="64"/>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4"/>
      <c r="C573" s="64"/>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4"/>
      <c r="C574" s="64"/>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4"/>
      <c r="C575" s="64"/>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4"/>
      <c r="C576" s="64"/>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4"/>
      <c r="C577" s="64"/>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4"/>
      <c r="C578" s="64"/>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4"/>
      <c r="C579" s="64"/>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4"/>
      <c r="C580" s="64"/>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4"/>
      <c r="C581" s="64"/>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4"/>
      <c r="C582" s="64"/>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4"/>
      <c r="C583" s="64"/>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4"/>
      <c r="C584" s="64"/>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4"/>
      <c r="C585" s="64"/>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4"/>
      <c r="C586" s="64"/>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4"/>
      <c r="C587" s="64"/>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4"/>
      <c r="C588" s="64"/>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4"/>
      <c r="C589" s="64"/>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4"/>
      <c r="C590" s="64"/>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4"/>
      <c r="C591" s="64"/>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4"/>
      <c r="C592" s="64"/>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4"/>
      <c r="C593" s="64"/>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4"/>
      <c r="C594" s="64"/>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4"/>
      <c r="C595" s="64"/>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4"/>
      <c r="C596" s="64"/>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4"/>
      <c r="C597" s="64"/>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4"/>
      <c r="C598" s="64"/>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4"/>
      <c r="C599" s="64"/>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4"/>
      <c r="C600" s="64"/>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4"/>
      <c r="C601" s="64"/>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4"/>
      <c r="C602" s="64"/>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4"/>
      <c r="C603" s="64"/>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4"/>
      <c r="C604" s="64"/>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4"/>
      <c r="C605" s="64"/>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4"/>
      <c r="C606" s="64"/>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4"/>
      <c r="C607" s="64"/>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4"/>
      <c r="C608" s="64"/>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4"/>
      <c r="C609" s="64"/>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4"/>
      <c r="C610" s="64"/>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4"/>
      <c r="C611" s="64"/>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4"/>
      <c r="C612" s="64"/>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4"/>
      <c r="C613" s="64"/>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4"/>
      <c r="C614" s="64"/>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4"/>
      <c r="C615" s="64"/>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4"/>
      <c r="C616" s="64"/>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4"/>
      <c r="C617" s="64"/>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4"/>
      <c r="C618" s="64"/>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4"/>
      <c r="C619" s="64"/>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4"/>
      <c r="C620" s="64"/>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4"/>
      <c r="C621" s="64"/>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4"/>
      <c r="C622" s="64"/>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4"/>
      <c r="C623" s="64"/>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4"/>
      <c r="C624" s="64"/>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4"/>
      <c r="C625" s="64"/>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4"/>
      <c r="C626" s="64"/>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4"/>
      <c r="C627" s="64"/>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4"/>
      <c r="C628" s="64"/>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4"/>
      <c r="C629" s="64"/>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4"/>
      <c r="C630" s="64"/>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4"/>
      <c r="C631" s="64"/>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4"/>
      <c r="C632" s="64"/>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4"/>
      <c r="C633" s="64"/>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4"/>
      <c r="C634" s="64"/>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4"/>
      <c r="C635" s="64"/>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4"/>
      <c r="C636" s="64"/>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4"/>
      <c r="C637" s="64"/>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4"/>
      <c r="C638" s="64"/>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4"/>
      <c r="C639" s="64"/>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4"/>
      <c r="C640" s="64"/>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4"/>
      <c r="C641" s="64"/>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4"/>
      <c r="C642" s="64"/>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4"/>
      <c r="C643" s="64"/>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4"/>
      <c r="C644" s="64"/>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4"/>
      <c r="C645" s="64"/>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4"/>
      <c r="C646" s="64"/>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4"/>
      <c r="C647" s="64"/>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4"/>
      <c r="C648" s="64"/>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4"/>
      <c r="C649" s="64"/>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4"/>
      <c r="C650" s="64"/>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4"/>
      <c r="C651" s="64"/>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4"/>
      <c r="C652" s="64"/>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4"/>
      <c r="C653" s="64"/>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4"/>
      <c r="C654" s="64"/>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4"/>
      <c r="C655" s="64"/>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4"/>
      <c r="C656" s="64"/>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4"/>
      <c r="C657" s="64"/>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4"/>
      <c r="C658" s="64"/>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4"/>
      <c r="C659" s="64"/>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4"/>
      <c r="C660" s="64"/>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64"/>
      <c r="C661" s="64"/>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64"/>
      <c r="C662" s="64"/>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64"/>
      <c r="C663" s="64"/>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64"/>
      <c r="C664" s="64"/>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64"/>
      <c r="C665" s="64"/>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64"/>
      <c r="C666" s="64"/>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64"/>
      <c r="C667" s="64"/>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64"/>
      <c r="C668" s="64"/>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64"/>
      <c r="C669" s="64"/>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64"/>
      <c r="C670" s="64"/>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64"/>
      <c r="C671" s="64"/>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64"/>
      <c r="C672" s="64"/>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64"/>
      <c r="C673" s="64"/>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64"/>
      <c r="C674" s="64"/>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64"/>
      <c r="C675" s="64"/>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64"/>
      <c r="C676" s="64"/>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64"/>
      <c r="C677" s="64"/>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64"/>
      <c r="C678" s="64"/>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64"/>
      <c r="C679" s="64"/>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64"/>
      <c r="C680" s="64"/>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64"/>
      <c r="C681" s="64"/>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64"/>
      <c r="C682" s="64"/>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64"/>
      <c r="C683" s="64"/>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64"/>
      <c r="C684" s="64"/>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64"/>
      <c r="C685" s="64"/>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64"/>
      <c r="C686" s="64"/>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3"/>
      <c r="B687" s="64"/>
      <c r="C687" s="64"/>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3"/>
      <c r="B688" s="64"/>
      <c r="C688" s="64"/>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3"/>
      <c r="B689" s="64"/>
      <c r="C689" s="64"/>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3"/>
      <c r="B690" s="64"/>
      <c r="C690" s="64"/>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3"/>
      <c r="B691" s="64"/>
      <c r="C691" s="64"/>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3"/>
      <c r="B692" s="64"/>
      <c r="C692" s="64"/>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3"/>
      <c r="B693" s="64"/>
      <c r="C693" s="64"/>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3"/>
      <c r="B694" s="64"/>
      <c r="C694" s="64"/>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3"/>
      <c r="B695" s="64"/>
      <c r="C695" s="64"/>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64"/>
      <c r="C696" s="64"/>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63"/>
      <c r="B697" s="64"/>
      <c r="C697" s="64"/>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c r="A698" s="63"/>
      <c r="B698" s="64"/>
      <c r="C698" s="64"/>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c r="A699" s="63"/>
      <c r="B699" s="64"/>
      <c r="C699" s="64"/>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c r="A700" s="63"/>
      <c r="B700" s="64"/>
      <c r="C700" s="64"/>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c r="A701" s="63"/>
      <c r="B701" s="64"/>
      <c r="C701" s="64"/>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c r="A702" s="63"/>
      <c r="B702" s="64"/>
      <c r="C702" s="64"/>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c r="A703" s="63"/>
      <c r="B703" s="64"/>
      <c r="C703" s="64"/>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c r="A704" s="63"/>
      <c r="B704" s="64"/>
      <c r="C704" s="64"/>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c r="A705" s="63"/>
      <c r="B705" s="64"/>
      <c r="C705" s="64"/>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c r="A706" s="63"/>
      <c r="B706" s="64"/>
      <c r="C706" s="64"/>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c r="A707" s="63"/>
      <c r="B707" s="64"/>
      <c r="C707" s="64"/>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c r="A708" s="63"/>
      <c r="B708" s="64"/>
      <c r="C708" s="64"/>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c r="A709" s="63"/>
      <c r="B709" s="64"/>
      <c r="C709" s="64"/>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c r="A710" s="63"/>
      <c r="B710" s="64"/>
      <c r="C710" s="64"/>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c r="A711" s="63"/>
      <c r="B711" s="64"/>
      <c r="C711" s="64"/>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c r="A712" s="63"/>
      <c r="B712" s="64"/>
      <c r="C712" s="64"/>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c r="A713" s="63"/>
      <c r="B713" s="64"/>
      <c r="C713" s="64"/>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c r="A714" s="63"/>
      <c r="B714" s="64"/>
      <c r="C714" s="64"/>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c r="A715" s="63"/>
      <c r="B715" s="64"/>
      <c r="C715" s="64"/>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c r="A716" s="63"/>
      <c r="B716" s="64"/>
      <c r="C716" s="64"/>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c r="A717" s="63"/>
      <c r="B717" s="64"/>
      <c r="C717" s="64"/>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c r="A718" s="63"/>
      <c r="B718" s="64"/>
      <c r="C718" s="64"/>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c r="A719" s="63"/>
      <c r="B719" s="64"/>
      <c r="C719" s="64"/>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c r="A720" s="63"/>
      <c r="B720" s="64"/>
      <c r="C720" s="64"/>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c r="A721" s="63"/>
      <c r="B721" s="64"/>
      <c r="C721" s="64"/>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c r="A722" s="63"/>
      <c r="B722" s="64"/>
      <c r="C722" s="64"/>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c r="A723" s="63"/>
      <c r="B723" s="64"/>
      <c r="C723" s="64"/>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c r="A724" s="63"/>
      <c r="B724" s="64"/>
      <c r="C724" s="64"/>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c r="A725" s="63"/>
      <c r="B725" s="64"/>
      <c r="C725" s="64"/>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c r="A726" s="63"/>
      <c r="B726" s="64"/>
      <c r="C726" s="64"/>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c r="A727" s="63"/>
      <c r="B727" s="64"/>
      <c r="C727" s="64"/>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c r="A728" s="63"/>
      <c r="B728" s="64"/>
      <c r="C728" s="64"/>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c r="A729" s="63"/>
      <c r="B729" s="64"/>
      <c r="C729" s="64"/>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c r="A730" s="63"/>
      <c r="B730" s="64"/>
      <c r="C730" s="64"/>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c r="A731" s="63"/>
      <c r="B731" s="64"/>
      <c r="C731" s="64"/>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c r="A732" s="63"/>
      <c r="B732" s="64"/>
      <c r="C732" s="64"/>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c r="A733" s="63"/>
      <c r="B733" s="64"/>
      <c r="C733" s="64"/>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c r="A734" s="63"/>
      <c r="B734" s="64"/>
      <c r="C734" s="64"/>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c r="A735" s="63"/>
      <c r="B735" s="64"/>
      <c r="C735" s="64"/>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c r="A736" s="63"/>
      <c r="B736" s="64"/>
      <c r="C736" s="64"/>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c r="A737" s="63"/>
      <c r="B737" s="64"/>
      <c r="C737" s="64"/>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c r="A738" s="63"/>
      <c r="B738" s="64"/>
      <c r="C738" s="64"/>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c r="A739" s="63"/>
      <c r="B739" s="64"/>
      <c r="C739" s="64"/>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c r="A740" s="63"/>
      <c r="B740" s="64"/>
      <c r="C740" s="64"/>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c r="A741" s="63"/>
      <c r="B741" s="64"/>
      <c r="C741" s="64"/>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c r="A742" s="63"/>
      <c r="B742" s="64"/>
      <c r="C742" s="64"/>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c r="A743" s="63"/>
      <c r="B743" s="64"/>
      <c r="C743" s="64"/>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c r="A744" s="63"/>
      <c r="B744" s="64"/>
      <c r="C744" s="64"/>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c r="A745" s="63"/>
      <c r="B745" s="64"/>
      <c r="C745" s="64"/>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c r="A746" s="63"/>
      <c r="B746" s="64"/>
      <c r="C746" s="64"/>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c r="A747" s="63"/>
      <c r="B747" s="64"/>
      <c r="C747" s="64"/>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c r="A748" s="63"/>
      <c r="B748" s="64"/>
      <c r="C748" s="64"/>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c r="A749" s="63"/>
      <c r="B749" s="64"/>
      <c r="C749" s="64"/>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c r="A750" s="63"/>
      <c r="B750" s="64"/>
      <c r="C750" s="64"/>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c r="A751" s="63"/>
      <c r="B751" s="64"/>
      <c r="C751" s="64"/>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c r="A752" s="63"/>
      <c r="B752" s="64"/>
      <c r="C752" s="64"/>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c r="A753" s="63"/>
      <c r="B753" s="64"/>
      <c r="C753" s="64"/>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c r="A754" s="63"/>
      <c r="B754" s="64"/>
      <c r="C754" s="64"/>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c r="A755" s="63"/>
      <c r="B755" s="64"/>
      <c r="C755" s="64"/>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c r="A756" s="63"/>
      <c r="B756" s="64"/>
      <c r="C756" s="64"/>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c r="A757" s="63"/>
      <c r="B757" s="64"/>
      <c r="C757" s="64"/>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c r="A758" s="63"/>
      <c r="B758" s="64"/>
      <c r="C758" s="64"/>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c r="A759" s="63"/>
      <c r="B759" s="64"/>
      <c r="C759" s="64"/>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c r="A760" s="63"/>
      <c r="B760" s="64"/>
      <c r="C760" s="64"/>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c r="A761" s="63"/>
      <c r="B761" s="64"/>
      <c r="C761" s="64"/>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c r="A762" s="63"/>
      <c r="B762" s="64"/>
      <c r="C762" s="64"/>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c r="A763" s="63"/>
      <c r="B763" s="64"/>
      <c r="C763" s="64"/>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c r="A764" s="63"/>
      <c r="B764" s="64"/>
      <c r="C764" s="64"/>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c r="A765" s="63"/>
      <c r="B765" s="64"/>
      <c r="C765" s="64"/>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c r="A766" s="63"/>
      <c r="B766" s="64"/>
      <c r="C766" s="64"/>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c r="A767" s="63"/>
      <c r="B767" s="64"/>
      <c r="C767" s="64"/>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c r="A768" s="63"/>
      <c r="B768" s="64"/>
      <c r="C768" s="64"/>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c r="A769" s="63"/>
      <c r="B769" s="64"/>
      <c r="C769" s="64"/>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c r="A770" s="63"/>
      <c r="B770" s="64"/>
      <c r="C770" s="64"/>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c r="A771" s="63"/>
      <c r="B771" s="64"/>
      <c r="C771" s="64"/>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c r="A772" s="63"/>
      <c r="B772" s="64"/>
      <c r="C772" s="64"/>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c r="A773" s="63"/>
      <c r="B773" s="64"/>
      <c r="C773" s="64"/>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c r="A774" s="63"/>
      <c r="B774" s="64"/>
      <c r="C774" s="64"/>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c r="A775" s="63"/>
      <c r="B775" s="64"/>
      <c r="C775" s="64"/>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c r="A776" s="63"/>
      <c r="B776" s="64"/>
      <c r="C776" s="64"/>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c r="A777" s="63"/>
      <c r="B777" s="64"/>
      <c r="C777" s="64"/>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c r="A778" s="63"/>
      <c r="B778" s="64"/>
      <c r="C778" s="64"/>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c r="A779" s="63"/>
      <c r="B779" s="64"/>
      <c r="C779" s="64"/>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c r="A780" s="63"/>
      <c r="B780" s="64"/>
      <c r="C780" s="64"/>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c r="A781" s="63"/>
      <c r="B781" s="64"/>
      <c r="C781" s="64"/>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c r="A782" s="63"/>
      <c r="B782" s="64"/>
      <c r="C782" s="64"/>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c r="A783" s="63"/>
      <c r="B783" s="64"/>
      <c r="C783" s="64"/>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c r="A784" s="63"/>
      <c r="B784" s="64"/>
      <c r="C784" s="64"/>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c r="A785" s="63"/>
      <c r="B785" s="64"/>
      <c r="C785" s="64"/>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c r="A786" s="63"/>
      <c r="B786" s="64"/>
      <c r="C786" s="64"/>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c r="A787" s="63"/>
      <c r="B787" s="64"/>
      <c r="C787" s="64"/>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c r="A788" s="63"/>
      <c r="B788" s="64"/>
      <c r="C788" s="64"/>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c r="A789" s="63"/>
      <c r="B789" s="64"/>
      <c r="C789" s="64"/>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c r="A790" s="63"/>
      <c r="B790" s="64"/>
      <c r="C790" s="64"/>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c r="A791" s="63"/>
      <c r="B791" s="64"/>
      <c r="C791" s="64"/>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c r="A792" s="63"/>
      <c r="B792" s="64"/>
      <c r="C792" s="64"/>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c r="A793" s="63"/>
      <c r="B793" s="64"/>
      <c r="C793" s="64"/>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c r="A794" s="63"/>
      <c r="B794" s="64"/>
      <c r="C794" s="64"/>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c r="A795" s="63"/>
      <c r="B795" s="64"/>
      <c r="C795" s="64"/>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c r="A796" s="63"/>
      <c r="B796" s="64"/>
      <c r="C796" s="64"/>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c r="A797" s="63"/>
      <c r="B797" s="64"/>
      <c r="C797" s="64"/>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c r="A798" s="63"/>
      <c r="B798" s="64"/>
      <c r="C798" s="64"/>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c r="A799" s="63"/>
      <c r="B799" s="64"/>
      <c r="C799" s="64"/>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c r="A800" s="63"/>
      <c r="B800" s="64"/>
      <c r="C800" s="64"/>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c r="A801" s="63"/>
      <c r="B801" s="64"/>
      <c r="C801" s="64"/>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c r="A802" s="63"/>
      <c r="B802" s="64"/>
      <c r="C802" s="64"/>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c r="A803" s="63"/>
      <c r="B803" s="64"/>
      <c r="C803" s="64"/>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c r="A804" s="63"/>
      <c r="B804" s="64"/>
      <c r="C804" s="64"/>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c r="A805" s="63"/>
      <c r="B805" s="64"/>
      <c r="C805" s="64"/>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c r="A806" s="63"/>
      <c r="B806" s="64"/>
      <c r="C806" s="64"/>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c r="A807" s="63"/>
      <c r="B807" s="64"/>
      <c r="C807" s="64"/>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c r="A808" s="63"/>
      <c r="B808" s="64"/>
      <c r="C808" s="64"/>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c r="A809" s="63"/>
      <c r="B809" s="64"/>
      <c r="C809" s="64"/>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c r="A810" s="63"/>
      <c r="B810" s="64"/>
      <c r="C810" s="64"/>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c r="A811" s="63"/>
      <c r="B811" s="64"/>
      <c r="C811" s="64"/>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c r="A812" s="63"/>
      <c r="B812" s="64"/>
      <c r="C812" s="64"/>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c r="A813" s="63"/>
      <c r="B813" s="64"/>
      <c r="C813" s="64"/>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c r="A814" s="63"/>
      <c r="B814" s="64"/>
      <c r="C814" s="64"/>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c r="A815" s="63"/>
      <c r="B815" s="64"/>
      <c r="C815" s="64"/>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c r="A816" s="63"/>
      <c r="B816" s="64"/>
      <c r="C816" s="64"/>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c r="A817" s="63"/>
      <c r="B817" s="64"/>
      <c r="C817" s="64"/>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c r="A818" s="63"/>
      <c r="B818" s="64"/>
      <c r="C818" s="64"/>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c r="A819" s="63"/>
      <c r="B819" s="64"/>
      <c r="C819" s="64"/>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c r="A820" s="63"/>
      <c r="B820" s="64"/>
      <c r="C820" s="64"/>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c r="A821" s="63"/>
      <c r="B821" s="64"/>
      <c r="C821" s="64"/>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c r="A822" s="63"/>
      <c r="B822" s="64"/>
      <c r="C822" s="64"/>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c r="A823" s="63"/>
      <c r="B823" s="64"/>
      <c r="C823" s="64"/>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c r="A824" s="63"/>
      <c r="B824" s="64"/>
      <c r="C824" s="64"/>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c r="A825" s="63"/>
      <c r="B825" s="64"/>
      <c r="C825" s="64"/>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c r="A826" s="63"/>
      <c r="B826" s="64"/>
      <c r="C826" s="64"/>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c r="A827" s="63"/>
      <c r="B827" s="64"/>
      <c r="C827" s="64"/>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c r="A828" s="63"/>
      <c r="B828" s="64"/>
      <c r="C828" s="64"/>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c r="A829" s="63"/>
      <c r="B829" s="64"/>
      <c r="C829" s="64"/>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c r="A830" s="63"/>
      <c r="B830" s="64"/>
      <c r="C830" s="64"/>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c r="A831" s="63"/>
      <c r="B831" s="64"/>
      <c r="C831" s="64"/>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c r="A832" s="63"/>
      <c r="B832" s="64"/>
      <c r="C832" s="64"/>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c r="A833" s="63"/>
      <c r="B833" s="64"/>
      <c r="C833" s="64"/>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c r="A834" s="63"/>
      <c r="B834" s="64"/>
      <c r="C834" s="64"/>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c r="A835" s="63"/>
      <c r="B835" s="64"/>
      <c r="C835" s="64"/>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c r="A836" s="63"/>
      <c r="B836" s="64"/>
      <c r="C836" s="64"/>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c r="A837" s="63"/>
      <c r="B837" s="64"/>
      <c r="C837" s="64"/>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c r="A838" s="63"/>
      <c r="B838" s="64"/>
      <c r="C838" s="64"/>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c r="A839" s="63"/>
      <c r="B839" s="64"/>
      <c r="C839" s="64"/>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c r="A840" s="63"/>
      <c r="B840" s="64"/>
      <c r="C840" s="64"/>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c r="A841" s="63"/>
      <c r="B841" s="64"/>
      <c r="C841" s="64"/>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c r="A842" s="63"/>
      <c r="B842" s="64"/>
      <c r="C842" s="64"/>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c r="A843" s="63"/>
      <c r="B843" s="64"/>
      <c r="C843" s="64"/>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c r="A844" s="63"/>
      <c r="B844" s="64"/>
      <c r="C844" s="64"/>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c r="A845" s="63"/>
      <c r="B845" s="64"/>
      <c r="C845" s="64"/>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c r="A846" s="63"/>
      <c r="B846" s="64"/>
      <c r="C846" s="64"/>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c r="A847" s="63"/>
      <c r="B847" s="64"/>
      <c r="C847" s="64"/>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c r="A848" s="63"/>
      <c r="B848" s="64"/>
      <c r="C848" s="64"/>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c r="A849" s="63"/>
      <c r="B849" s="64"/>
      <c r="C849" s="64"/>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c r="A850" s="63"/>
      <c r="B850" s="64"/>
      <c r="C850" s="64"/>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c r="A851" s="63"/>
      <c r="B851" s="64"/>
      <c r="C851" s="64"/>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c r="A852" s="63"/>
      <c r="B852" s="64"/>
      <c r="C852" s="64"/>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c r="A853" s="63"/>
      <c r="B853" s="64"/>
      <c r="C853" s="64"/>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c r="A854" s="63"/>
      <c r="B854" s="64"/>
      <c r="C854" s="64"/>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c r="A855" s="63"/>
      <c r="B855" s="64"/>
      <c r="C855" s="64"/>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c r="A856" s="63"/>
      <c r="B856" s="64"/>
      <c r="C856" s="64"/>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c r="A857" s="63"/>
      <c r="B857" s="64"/>
      <c r="C857" s="64"/>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c r="A858" s="63"/>
      <c r="B858" s="64"/>
      <c r="C858" s="64"/>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c r="A859" s="63"/>
      <c r="B859" s="64"/>
      <c r="C859" s="64"/>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c r="A860" s="63"/>
      <c r="B860" s="64"/>
      <c r="C860" s="64"/>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c r="A861" s="63"/>
      <c r="B861" s="64"/>
      <c r="C861" s="64"/>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c r="A862" s="63"/>
      <c r="B862" s="64"/>
      <c r="C862" s="64"/>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c r="A863" s="63"/>
      <c r="B863" s="64"/>
      <c r="C863" s="64"/>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c r="A864" s="63"/>
      <c r="B864" s="64"/>
      <c r="C864" s="64"/>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c r="A865" s="63"/>
      <c r="B865" s="64"/>
      <c r="C865" s="64"/>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c r="A866" s="63"/>
      <c r="B866" s="64"/>
      <c r="C866" s="64"/>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c r="A867" s="63"/>
      <c r="B867" s="64"/>
      <c r="C867" s="64"/>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c r="A868" s="63"/>
      <c r="B868" s="64"/>
      <c r="C868" s="64"/>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c r="A869" s="63"/>
      <c r="B869" s="64"/>
      <c r="C869" s="64"/>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c r="A870" s="63"/>
      <c r="B870" s="64"/>
      <c r="C870" s="64"/>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c r="A871" s="63"/>
      <c r="B871" s="64"/>
      <c r="C871" s="64"/>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c r="A872" s="63"/>
      <c r="B872" s="64"/>
      <c r="C872" s="64"/>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c r="A873" s="63"/>
      <c r="B873" s="64"/>
      <c r="C873" s="64"/>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c r="A874" s="63"/>
      <c r="B874" s="64"/>
      <c r="C874" s="64"/>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c r="A875" s="63"/>
      <c r="B875" s="64"/>
      <c r="C875" s="64"/>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c r="A876" s="63"/>
      <c r="B876" s="64"/>
      <c r="C876" s="64"/>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c r="A877" s="63"/>
      <c r="B877" s="64"/>
      <c r="C877" s="64"/>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c r="A878" s="63"/>
      <c r="B878" s="64"/>
      <c r="C878" s="64"/>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c r="A879" s="63"/>
      <c r="B879" s="64"/>
      <c r="C879" s="64"/>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c r="A880" s="63"/>
      <c r="B880" s="64"/>
      <c r="C880" s="64"/>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c r="A881" s="63"/>
      <c r="B881" s="64"/>
      <c r="C881" s="64"/>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c r="A882" s="63"/>
      <c r="B882" s="64"/>
      <c r="C882" s="64"/>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c r="A883" s="63"/>
      <c r="B883" s="64"/>
      <c r="C883" s="64"/>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c r="A884" s="63"/>
      <c r="B884" s="64"/>
      <c r="C884" s="64"/>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c r="A885" s="63"/>
      <c r="B885" s="64"/>
      <c r="C885" s="64"/>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c r="A886" s="63"/>
      <c r="B886" s="64"/>
      <c r="C886" s="64"/>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c r="A887" s="63"/>
      <c r="B887" s="64"/>
      <c r="C887" s="64"/>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c r="A888" s="63"/>
      <c r="B888" s="64"/>
      <c r="C888" s="64"/>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c r="A889" s="63"/>
      <c r="B889" s="64"/>
      <c r="C889" s="64"/>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c r="A890" s="63"/>
      <c r="B890" s="64"/>
      <c r="C890" s="64"/>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c r="A891" s="63"/>
      <c r="B891" s="64"/>
      <c r="C891" s="64"/>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c r="A892" s="63"/>
      <c r="B892" s="64"/>
      <c r="C892" s="64"/>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c r="A893" s="63"/>
      <c r="B893" s="64"/>
      <c r="C893" s="64"/>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c r="A894" s="63"/>
      <c r="B894" s="64"/>
      <c r="C894" s="64"/>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c r="A895" s="63"/>
      <c r="B895" s="64"/>
      <c r="C895" s="64"/>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c r="A896" s="63"/>
      <c r="B896" s="64"/>
      <c r="C896" s="64"/>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c r="A897" s="63"/>
      <c r="B897" s="64"/>
      <c r="C897" s="64"/>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c r="A898" s="63"/>
      <c r="B898" s="64"/>
      <c r="C898" s="64"/>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c r="A899" s="63"/>
      <c r="B899" s="64"/>
      <c r="C899" s="64"/>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c r="A900" s="63"/>
      <c r="B900" s="64"/>
      <c r="C900" s="64"/>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c r="A901" s="63"/>
      <c r="B901" s="64"/>
      <c r="C901" s="64"/>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c r="A902" s="63"/>
      <c r="B902" s="64"/>
      <c r="C902" s="64"/>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c r="A903" s="63"/>
      <c r="B903" s="64"/>
      <c r="C903" s="64"/>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c r="A904" s="63"/>
      <c r="B904" s="64"/>
      <c r="C904" s="64"/>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c r="A905" s="63"/>
      <c r="B905" s="64"/>
      <c r="C905" s="64"/>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c r="A906" s="63"/>
      <c r="B906" s="64"/>
      <c r="C906" s="64"/>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c r="A907" s="63"/>
      <c r="B907" s="64"/>
      <c r="C907" s="64"/>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c r="A908" s="63"/>
      <c r="B908" s="64"/>
      <c r="C908" s="64"/>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c r="A909" s="63"/>
      <c r="B909" s="64"/>
      <c r="C909" s="64"/>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c r="A910" s="63"/>
      <c r="B910" s="64"/>
      <c r="C910" s="64"/>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c r="A911" s="63"/>
      <c r="B911" s="64"/>
      <c r="C911" s="64"/>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c r="A912" s="63"/>
      <c r="B912" s="64"/>
      <c r="C912" s="64"/>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c r="A913" s="63"/>
      <c r="B913" s="64"/>
      <c r="C913" s="64"/>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c r="A914" s="63"/>
      <c r="B914" s="64"/>
      <c r="C914" s="64"/>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c r="A915" s="63"/>
      <c r="B915" s="64"/>
      <c r="C915" s="64"/>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c r="A916" s="63"/>
      <c r="B916" s="64"/>
      <c r="C916" s="64"/>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c r="A917" s="63"/>
      <c r="B917" s="64"/>
      <c r="C917" s="64"/>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c r="A918" s="63"/>
      <c r="B918" s="64"/>
      <c r="C918" s="64"/>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c r="A919" s="63"/>
      <c r="B919" s="64"/>
      <c r="C919" s="64"/>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c r="A920" s="63"/>
      <c r="B920" s="64"/>
      <c r="C920" s="64"/>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c r="A921" s="63"/>
      <c r="B921" s="64"/>
      <c r="C921" s="64"/>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c r="A922" s="63"/>
      <c r="B922" s="64"/>
      <c r="C922" s="64"/>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c r="A923" s="63"/>
      <c r="B923" s="64"/>
      <c r="C923" s="64"/>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c r="A924" s="63"/>
      <c r="B924" s="64"/>
      <c r="C924" s="64"/>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c r="A925" s="63"/>
      <c r="B925" s="64"/>
      <c r="C925" s="64"/>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c r="A926" s="63"/>
      <c r="B926" s="64"/>
      <c r="C926" s="64"/>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c r="A927" s="63"/>
      <c r="B927" s="64"/>
      <c r="C927" s="64"/>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c r="A928" s="63"/>
      <c r="B928" s="64"/>
      <c r="C928" s="64"/>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c r="A929" s="63"/>
      <c r="B929" s="64"/>
      <c r="C929" s="64"/>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c r="A930" s="63"/>
      <c r="B930" s="64"/>
      <c r="C930" s="64"/>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c r="A931" s="63"/>
      <c r="B931" s="64"/>
      <c r="C931" s="64"/>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c r="A932" s="63"/>
      <c r="B932" s="64"/>
      <c r="C932" s="64"/>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c r="A933" s="63"/>
      <c r="B933" s="64"/>
      <c r="C933" s="64"/>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c r="A934" s="63"/>
      <c r="B934" s="64"/>
      <c r="C934" s="64"/>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c r="A935" s="63"/>
      <c r="B935" s="64"/>
      <c r="C935" s="64"/>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c r="A936" s="63"/>
      <c r="B936" s="64"/>
      <c r="C936" s="64"/>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c r="A937" s="63"/>
      <c r="B937" s="64"/>
      <c r="C937" s="64"/>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c r="A938" s="63"/>
      <c r="B938" s="64"/>
      <c r="C938" s="64"/>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c r="A939" s="63"/>
      <c r="B939" s="64"/>
      <c r="C939" s="64"/>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c r="A940" s="63"/>
      <c r="B940" s="64"/>
      <c r="C940" s="64"/>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c r="A941" s="63"/>
      <c r="B941" s="64"/>
      <c r="C941" s="64"/>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c r="A942" s="63"/>
      <c r="B942" s="64"/>
      <c r="C942" s="64"/>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c r="A943" s="63"/>
      <c r="B943" s="64"/>
      <c r="C943" s="64"/>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c r="A944" s="63"/>
      <c r="B944" s="64"/>
      <c r="C944" s="64"/>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c r="A945" s="63"/>
      <c r="B945" s="64"/>
      <c r="C945" s="64"/>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c r="A946" s="63"/>
      <c r="B946" s="64"/>
      <c r="C946" s="64"/>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c r="A947" s="63"/>
      <c r="B947" s="64"/>
      <c r="C947" s="64"/>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c r="A948" s="63"/>
      <c r="B948" s="64"/>
      <c r="C948" s="64"/>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c r="A949" s="63"/>
      <c r="B949" s="64"/>
      <c r="C949" s="64"/>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c r="A950" s="63"/>
      <c r="B950" s="64"/>
      <c r="C950" s="64"/>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c r="A951" s="63"/>
      <c r="B951" s="64"/>
      <c r="C951" s="64"/>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c r="A952" s="63"/>
      <c r="B952" s="64"/>
      <c r="C952" s="64"/>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c r="A953" s="63"/>
      <c r="B953" s="64"/>
      <c r="C953" s="64"/>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c r="A954" s="63"/>
      <c r="B954" s="64"/>
      <c r="C954" s="64"/>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c r="A955" s="63"/>
      <c r="B955" s="64"/>
      <c r="C955" s="64"/>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c r="A956" s="63"/>
      <c r="B956" s="64"/>
      <c r="C956" s="64"/>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c r="A957" s="63"/>
      <c r="B957" s="64"/>
      <c r="C957" s="64"/>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c r="A958" s="63"/>
      <c r="B958" s="64"/>
      <c r="C958" s="64"/>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c r="A959" s="63"/>
      <c r="B959" s="64"/>
      <c r="C959" s="64"/>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c r="A960" s="63"/>
      <c r="B960" s="64"/>
      <c r="C960" s="64"/>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c r="A961" s="63"/>
      <c r="B961" s="64"/>
      <c r="C961" s="64"/>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c r="A962" s="63"/>
      <c r="B962" s="64"/>
      <c r="C962" s="64"/>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c r="A963" s="63"/>
      <c r="B963" s="64"/>
      <c r="C963" s="64"/>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c r="A964" s="63"/>
      <c r="B964" s="64"/>
      <c r="C964" s="64"/>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c r="A965" s="63"/>
      <c r="B965" s="64"/>
      <c r="C965" s="64"/>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c r="A966" s="63"/>
      <c r="B966" s="64"/>
      <c r="C966" s="64"/>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c r="A967" s="63"/>
      <c r="B967" s="64"/>
      <c r="C967" s="64"/>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c r="A968" s="63"/>
      <c r="B968" s="64"/>
      <c r="C968" s="64"/>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c r="A969" s="63"/>
      <c r="B969" s="64"/>
      <c r="C969" s="64"/>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c r="A970" s="63"/>
      <c r="B970" s="64"/>
      <c r="C970" s="64"/>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c r="A971" s="63"/>
      <c r="B971" s="64"/>
      <c r="C971" s="64"/>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c r="A972" s="63"/>
      <c r="B972" s="64"/>
      <c r="C972" s="64"/>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c r="A973" s="63"/>
      <c r="B973" s="64"/>
      <c r="C973" s="64"/>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c r="A974" s="63"/>
      <c r="B974" s="64"/>
      <c r="C974" s="64"/>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c r="A975" s="63"/>
      <c r="B975" s="64"/>
      <c r="C975" s="64"/>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c r="A976" s="63"/>
      <c r="B976" s="64"/>
      <c r="C976" s="64"/>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c r="A977" s="63"/>
      <c r="B977" s="64"/>
      <c r="C977" s="64"/>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c r="A978" s="63"/>
      <c r="B978" s="64"/>
      <c r="C978" s="64"/>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c r="A979" s="63"/>
      <c r="B979" s="64"/>
      <c r="C979" s="64"/>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c r="A980" s="63"/>
      <c r="B980" s="64"/>
      <c r="C980" s="64"/>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c r="A981" s="63"/>
      <c r="B981" s="64"/>
      <c r="C981" s="64"/>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c r="A982" s="63"/>
      <c r="B982" s="64"/>
      <c r="C982" s="64"/>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c r="A983" s="63"/>
      <c r="B983" s="64"/>
      <c r="C983" s="64"/>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c r="A984" s="63"/>
      <c r="B984" s="64"/>
      <c r="C984" s="64"/>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c r="A985" s="63"/>
      <c r="B985" s="64"/>
      <c r="C985" s="64"/>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c r="A986" s="63"/>
      <c r="B986" s="64"/>
      <c r="C986" s="64"/>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c r="A987" s="63"/>
      <c r="B987" s="64"/>
      <c r="C987" s="64"/>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c r="A988" s="63"/>
      <c r="B988" s="64"/>
      <c r="C988" s="64"/>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c r="A989" s="63"/>
      <c r="B989" s="64"/>
      <c r="C989" s="64"/>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c r="A990" s="63"/>
      <c r="B990" s="64"/>
      <c r="C990" s="64"/>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c r="A991" s="63"/>
      <c r="B991" s="64"/>
      <c r="C991" s="64"/>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c r="A992" s="63"/>
      <c r="B992" s="64"/>
      <c r="C992" s="64"/>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c r="A993" s="63"/>
      <c r="B993" s="64"/>
      <c r="C993" s="64"/>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c r="A994" s="63"/>
      <c r="B994" s="64"/>
      <c r="C994" s="64"/>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c r="A995" s="63"/>
      <c r="B995" s="64"/>
      <c r="C995" s="64"/>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c r="A996" s="63"/>
      <c r="B996" s="64"/>
      <c r="C996" s="64"/>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c r="A997" s="63"/>
      <c r="B997" s="64"/>
      <c r="C997" s="64"/>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c r="A998" s="63"/>
      <c r="B998" s="64"/>
      <c r="C998" s="64"/>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c r="A999" s="63"/>
      <c r="B999" s="64"/>
      <c r="C999" s="64"/>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c r="A1000" s="63"/>
      <c r="B1000" s="64"/>
      <c r="C1000" s="64"/>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86"/>
    <col customWidth="1" min="2" max="2" width="18.57"/>
    <col customWidth="1" min="3" max="3" width="38.43"/>
    <col customWidth="1" min="4" max="4" width="19.86"/>
    <col customWidth="1" min="5" max="5" width="18.71"/>
    <col customWidth="1" min="6" max="6" width="16.14"/>
  </cols>
  <sheetData>
    <row r="1">
      <c r="A1" s="69" t="s">
        <v>529</v>
      </c>
      <c r="B1" s="69" t="s">
        <v>9</v>
      </c>
      <c r="C1" s="69" t="s">
        <v>317</v>
      </c>
      <c r="D1" s="69" t="s">
        <v>530</v>
      </c>
      <c r="E1" s="69" t="s">
        <v>531</v>
      </c>
      <c r="F1" s="69" t="s">
        <v>532</v>
      </c>
      <c r="G1" s="69" t="s">
        <v>533</v>
      </c>
    </row>
    <row r="2">
      <c r="A2" s="36" t="str">
        <f t="array" ref="A2:A210">UNIQUE('Master Data'!C4:C1000)</f>
        <v>BAKRESWAR TPS</v>
      </c>
      <c r="B2" s="36" t="s">
        <v>291</v>
      </c>
      <c r="C2" s="36" t="s">
        <v>534</v>
      </c>
      <c r="D2" s="36">
        <f t="shared" ref="D2:D10" si="1">VALUE(LEFT(C2, FIND(",", C2)-1))</f>
        <v>23.82920283</v>
      </c>
      <c r="E2" s="35">
        <f t="shared" ref="E2:E10" si="2">VALUE(TRIM(RIGHT(C2, LEN(C2)-FIND(",", C2))))</f>
        <v>87.45166574</v>
      </c>
      <c r="F2" s="36">
        <v>5.0</v>
      </c>
    </row>
    <row r="3">
      <c r="A3" s="35" t="s">
        <v>24</v>
      </c>
      <c r="B3" s="36" t="s">
        <v>291</v>
      </c>
      <c r="C3" s="36" t="s">
        <v>535</v>
      </c>
      <c r="D3" s="36">
        <f t="shared" si="1"/>
        <v>22.99345949</v>
      </c>
      <c r="E3" s="35">
        <f t="shared" si="2"/>
        <v>88.40439285</v>
      </c>
      <c r="F3" s="36">
        <v>4.0</v>
      </c>
    </row>
    <row r="4">
      <c r="A4" s="35" t="s">
        <v>25</v>
      </c>
      <c r="B4" s="36" t="s">
        <v>287</v>
      </c>
      <c r="C4" s="36" t="s">
        <v>536</v>
      </c>
      <c r="D4" s="36">
        <f t="shared" si="1"/>
        <v>25.40094671</v>
      </c>
      <c r="E4" s="35">
        <f t="shared" si="2"/>
        <v>86.02202288</v>
      </c>
      <c r="F4" s="36">
        <v>3.0</v>
      </c>
    </row>
    <row r="5">
      <c r="A5" s="35" t="s">
        <v>26</v>
      </c>
      <c r="B5" s="36" t="s">
        <v>287</v>
      </c>
      <c r="C5" s="36" t="s">
        <v>537</v>
      </c>
      <c r="D5" s="36">
        <f t="shared" si="1"/>
        <v>25.48827373</v>
      </c>
      <c r="E5" s="35">
        <f t="shared" si="2"/>
        <v>85.7369172</v>
      </c>
      <c r="F5" s="36">
        <v>2.0</v>
      </c>
    </row>
    <row r="6">
      <c r="A6" s="35" t="s">
        <v>27</v>
      </c>
      <c r="B6" s="36" t="s">
        <v>289</v>
      </c>
      <c r="C6" s="36" t="s">
        <v>538</v>
      </c>
      <c r="D6" s="36">
        <f t="shared" si="1"/>
        <v>23.7865774</v>
      </c>
      <c r="E6" s="35">
        <f t="shared" si="2"/>
        <v>85.87940696</v>
      </c>
      <c r="F6" s="36">
        <v>1.0</v>
      </c>
    </row>
    <row r="7">
      <c r="A7" s="35" t="s">
        <v>28</v>
      </c>
      <c r="B7" s="36" t="s">
        <v>291</v>
      </c>
      <c r="C7" s="36" t="s">
        <v>539</v>
      </c>
      <c r="D7" s="36">
        <f t="shared" si="1"/>
        <v>22.46631121</v>
      </c>
      <c r="E7" s="35">
        <f t="shared" si="2"/>
        <v>88.14007352</v>
      </c>
      <c r="F7" s="36">
        <v>5.0</v>
      </c>
    </row>
    <row r="8">
      <c r="A8" s="35" t="s">
        <v>29</v>
      </c>
      <c r="B8" s="36" t="s">
        <v>289</v>
      </c>
      <c r="C8" s="36" t="s">
        <v>540</v>
      </c>
      <c r="D8" s="36">
        <f t="shared" si="1"/>
        <v>23.7419487</v>
      </c>
      <c r="E8" s="35">
        <f t="shared" si="2"/>
        <v>86.12007383</v>
      </c>
      <c r="F8" s="36">
        <v>1.0</v>
      </c>
    </row>
    <row r="9">
      <c r="A9" s="35" t="s">
        <v>30</v>
      </c>
      <c r="B9" s="36" t="s">
        <v>291</v>
      </c>
      <c r="C9" s="36" t="s">
        <v>541</v>
      </c>
      <c r="D9" s="36">
        <f t="shared" si="1"/>
        <v>23.51989103</v>
      </c>
      <c r="E9" s="35">
        <f t="shared" si="2"/>
        <v>87.30520887</v>
      </c>
      <c r="F9" s="36">
        <v>4.0</v>
      </c>
    </row>
    <row r="10">
      <c r="A10" s="35" t="s">
        <v>31</v>
      </c>
      <c r="B10" s="36" t="s">
        <v>290</v>
      </c>
      <c r="C10" s="36" t="s">
        <v>542</v>
      </c>
      <c r="D10" s="36">
        <f t="shared" si="1"/>
        <v>21.96418971</v>
      </c>
      <c r="E10" s="35">
        <f t="shared" si="2"/>
        <v>83.89143277</v>
      </c>
      <c r="F10" s="36">
        <v>3.5</v>
      </c>
    </row>
    <row r="11">
      <c r="A11" s="35" t="s">
        <v>32</v>
      </c>
      <c r="B11" s="36" t="s">
        <v>290</v>
      </c>
      <c r="C11" s="36" t="s">
        <v>543</v>
      </c>
    </row>
    <row r="12">
      <c r="A12" s="35" t="s">
        <v>33</v>
      </c>
      <c r="B12" s="36" t="s">
        <v>291</v>
      </c>
      <c r="C12" s="36" t="s">
        <v>544</v>
      </c>
    </row>
    <row r="13">
      <c r="A13" s="35" t="s">
        <v>34</v>
      </c>
      <c r="B13" s="36" t="s">
        <v>291</v>
      </c>
      <c r="C13" s="36" t="s">
        <v>545</v>
      </c>
    </row>
    <row r="14">
      <c r="A14" s="35" t="s">
        <v>35</v>
      </c>
      <c r="B14" s="36" t="s">
        <v>291</v>
      </c>
      <c r="C14" s="36" t="s">
        <v>546</v>
      </c>
    </row>
    <row r="15">
      <c r="A15" s="35" t="s">
        <v>36</v>
      </c>
      <c r="B15" s="36" t="s">
        <v>291</v>
      </c>
      <c r="C15" s="36" t="s">
        <v>547</v>
      </c>
    </row>
    <row r="16">
      <c r="A16" s="35" t="s">
        <v>37</v>
      </c>
      <c r="B16" s="36" t="s">
        <v>291</v>
      </c>
      <c r="C16" s="36" t="s">
        <v>548</v>
      </c>
    </row>
    <row r="17">
      <c r="A17" s="35" t="s">
        <v>38</v>
      </c>
      <c r="B17" s="36" t="s">
        <v>290</v>
      </c>
      <c r="C17" s="36" t="s">
        <v>549</v>
      </c>
    </row>
    <row r="18">
      <c r="A18" s="35" t="s">
        <v>39</v>
      </c>
      <c r="B18" s="36" t="s">
        <v>289</v>
      </c>
      <c r="C18" s="36" t="s">
        <v>550</v>
      </c>
    </row>
    <row r="19">
      <c r="A19" s="35" t="s">
        <v>40</v>
      </c>
      <c r="B19" s="36" t="s">
        <v>287</v>
      </c>
      <c r="C19" s="36" t="s">
        <v>551</v>
      </c>
    </row>
    <row r="20">
      <c r="A20" s="35" t="s">
        <v>41</v>
      </c>
      <c r="B20" s="36" t="s">
        <v>290</v>
      </c>
      <c r="C20" s="36" t="s">
        <v>552</v>
      </c>
    </row>
    <row r="21">
      <c r="A21" s="35" t="s">
        <v>42</v>
      </c>
      <c r="B21" s="36" t="s">
        <v>289</v>
      </c>
      <c r="C21" s="36" t="s">
        <v>553</v>
      </c>
    </row>
    <row r="22">
      <c r="A22" s="35" t="s">
        <v>43</v>
      </c>
      <c r="B22" s="36" t="s">
        <v>291</v>
      </c>
      <c r="C22" s="36" t="s">
        <v>554</v>
      </c>
    </row>
    <row r="23">
      <c r="A23" s="35" t="s">
        <v>44</v>
      </c>
      <c r="B23" s="36" t="s">
        <v>289</v>
      </c>
      <c r="C23" s="36" t="s">
        <v>555</v>
      </c>
    </row>
    <row r="24">
      <c r="A24" s="35" t="s">
        <v>45</v>
      </c>
      <c r="B24" s="36" t="s">
        <v>289</v>
      </c>
      <c r="C24" s="36" t="s">
        <v>556</v>
      </c>
    </row>
    <row r="25">
      <c r="A25" s="35" t="s">
        <v>46</v>
      </c>
      <c r="B25" s="36" t="s">
        <v>291</v>
      </c>
      <c r="C25" s="36" t="s">
        <v>557</v>
      </c>
    </row>
    <row r="26">
      <c r="A26" s="35" t="s">
        <v>47</v>
      </c>
      <c r="B26" s="36" t="s">
        <v>287</v>
      </c>
      <c r="C26" s="36" t="s">
        <v>558</v>
      </c>
    </row>
    <row r="27">
      <c r="A27" s="35" t="s">
        <v>48</v>
      </c>
      <c r="B27" s="36" t="s">
        <v>287</v>
      </c>
      <c r="C27" s="36" t="s">
        <v>559</v>
      </c>
    </row>
    <row r="28">
      <c r="A28" s="35" t="s">
        <v>49</v>
      </c>
      <c r="B28" s="36" t="s">
        <v>287</v>
      </c>
      <c r="C28" s="36" t="s">
        <v>560</v>
      </c>
    </row>
    <row r="29">
      <c r="A29" s="35" t="s">
        <v>50</v>
      </c>
      <c r="B29" s="36" t="s">
        <v>289</v>
      </c>
      <c r="C29" s="36" t="s">
        <v>561</v>
      </c>
    </row>
    <row r="30">
      <c r="A30" s="35" t="s">
        <v>51</v>
      </c>
      <c r="B30" s="36" t="s">
        <v>291</v>
      </c>
      <c r="C30" s="36" t="s">
        <v>562</v>
      </c>
    </row>
    <row r="31">
      <c r="A31" s="35" t="s">
        <v>52</v>
      </c>
      <c r="B31" s="36" t="s">
        <v>291</v>
      </c>
      <c r="C31" s="36" t="s">
        <v>563</v>
      </c>
    </row>
    <row r="32">
      <c r="A32" s="35" t="s">
        <v>53</v>
      </c>
      <c r="B32" s="36" t="s">
        <v>291</v>
      </c>
      <c r="C32" s="36" t="s">
        <v>564</v>
      </c>
    </row>
    <row r="33">
      <c r="A33" s="35" t="s">
        <v>54</v>
      </c>
      <c r="B33" s="36" t="s">
        <v>291</v>
      </c>
      <c r="C33" s="36" t="s">
        <v>565</v>
      </c>
    </row>
    <row r="34">
      <c r="A34" s="35" t="s">
        <v>55</v>
      </c>
      <c r="B34" s="36" t="s">
        <v>290</v>
      </c>
      <c r="C34" s="36" t="s">
        <v>566</v>
      </c>
    </row>
    <row r="35">
      <c r="A35" s="35" t="s">
        <v>56</v>
      </c>
      <c r="B35" s="36" t="s">
        <v>289</v>
      </c>
      <c r="C35" s="36" t="s">
        <v>567</v>
      </c>
    </row>
    <row r="36">
      <c r="A36" s="35" t="s">
        <v>57</v>
      </c>
      <c r="B36" s="36" t="s">
        <v>291</v>
      </c>
      <c r="C36" s="36" t="s">
        <v>568</v>
      </c>
    </row>
    <row r="37">
      <c r="A37" s="35" t="s">
        <v>59</v>
      </c>
      <c r="B37" s="36" t="s">
        <v>290</v>
      </c>
      <c r="C37" s="36" t="s">
        <v>569</v>
      </c>
    </row>
    <row r="38">
      <c r="A38" s="35" t="s">
        <v>60</v>
      </c>
      <c r="B38" s="36" t="s">
        <v>290</v>
      </c>
      <c r="C38" s="36" t="s">
        <v>570</v>
      </c>
    </row>
    <row r="39">
      <c r="A39" s="35" t="s">
        <v>62</v>
      </c>
      <c r="B39" s="36" t="s">
        <v>278</v>
      </c>
      <c r="C39" s="36" t="s">
        <v>571</v>
      </c>
    </row>
    <row r="40">
      <c r="A40" s="35" t="s">
        <v>63</v>
      </c>
      <c r="B40" s="36" t="s">
        <v>278</v>
      </c>
      <c r="C40" s="36" t="s">
        <v>572</v>
      </c>
    </row>
    <row r="41">
      <c r="A41" s="35" t="s">
        <v>64</v>
      </c>
      <c r="B41" s="36" t="s">
        <v>278</v>
      </c>
      <c r="C41" s="36" t="s">
        <v>573</v>
      </c>
    </row>
    <row r="42">
      <c r="A42" s="35" t="s">
        <v>65</v>
      </c>
      <c r="B42" s="36" t="s">
        <v>277</v>
      </c>
      <c r="C42" s="36" t="s">
        <v>574</v>
      </c>
    </row>
    <row r="43">
      <c r="A43" s="35" t="s">
        <v>66</v>
      </c>
      <c r="B43" s="36" t="s">
        <v>277</v>
      </c>
      <c r="C43" s="36" t="s">
        <v>574</v>
      </c>
    </row>
    <row r="44">
      <c r="A44" s="35" t="s">
        <v>67</v>
      </c>
      <c r="B44" s="36" t="s">
        <v>277</v>
      </c>
      <c r="C44" s="36" t="s">
        <v>574</v>
      </c>
    </row>
    <row r="45">
      <c r="A45" s="35" t="s">
        <v>68</v>
      </c>
      <c r="B45" s="36" t="s">
        <v>278</v>
      </c>
      <c r="C45" s="36" t="s">
        <v>575</v>
      </c>
    </row>
    <row r="46">
      <c r="A46" s="35" t="s">
        <v>69</v>
      </c>
      <c r="B46" s="36" t="s">
        <v>276</v>
      </c>
      <c r="C46" s="36" t="s">
        <v>576</v>
      </c>
    </row>
    <row r="47">
      <c r="A47" s="35" t="s">
        <v>70</v>
      </c>
      <c r="B47" s="36" t="s">
        <v>276</v>
      </c>
      <c r="C47" s="36" t="s">
        <v>577</v>
      </c>
    </row>
    <row r="48">
      <c r="A48" s="35" t="s">
        <v>71</v>
      </c>
      <c r="B48" s="36" t="s">
        <v>278</v>
      </c>
      <c r="C48" s="36" t="s">
        <v>578</v>
      </c>
    </row>
    <row r="49">
      <c r="A49" s="35" t="s">
        <v>72</v>
      </c>
      <c r="B49" s="36" t="s">
        <v>275</v>
      </c>
      <c r="C49" s="36" t="s">
        <v>579</v>
      </c>
    </row>
    <row r="50">
      <c r="A50" s="35" t="s">
        <v>73</v>
      </c>
      <c r="B50" s="36" t="s">
        <v>277</v>
      </c>
      <c r="C50" s="36" t="s">
        <v>580</v>
      </c>
    </row>
    <row r="51">
      <c r="A51" s="35" t="s">
        <v>74</v>
      </c>
      <c r="B51" s="36" t="s">
        <v>277</v>
      </c>
      <c r="C51" s="36" t="s">
        <v>581</v>
      </c>
    </row>
    <row r="52">
      <c r="A52" s="35" t="s">
        <v>75</v>
      </c>
      <c r="B52" s="36" t="s">
        <v>278</v>
      </c>
      <c r="C52" s="70" t="s">
        <v>582</v>
      </c>
    </row>
    <row r="53">
      <c r="A53" s="35" t="s">
        <v>76</v>
      </c>
      <c r="B53" s="36" t="s">
        <v>277</v>
      </c>
      <c r="C53" s="36" t="s">
        <v>583</v>
      </c>
    </row>
    <row r="54">
      <c r="A54" s="35" t="s">
        <v>77</v>
      </c>
      <c r="B54" s="36" t="s">
        <v>278</v>
      </c>
    </row>
    <row r="55">
      <c r="A55" s="35" t="s">
        <v>78</v>
      </c>
      <c r="B55" s="36" t="s">
        <v>278</v>
      </c>
    </row>
    <row r="56">
      <c r="A56" s="35" t="s">
        <v>79</v>
      </c>
      <c r="B56" s="36" t="s">
        <v>275</v>
      </c>
    </row>
    <row r="57">
      <c r="A57" s="35" t="s">
        <v>80</v>
      </c>
      <c r="B57" s="36" t="s">
        <v>278</v>
      </c>
    </row>
    <row r="58">
      <c r="A58" s="35" t="s">
        <v>81</v>
      </c>
      <c r="B58" s="36" t="s">
        <v>278</v>
      </c>
    </row>
    <row r="59">
      <c r="A59" s="35" t="s">
        <v>82</v>
      </c>
      <c r="B59" s="36" t="s">
        <v>278</v>
      </c>
    </row>
    <row r="60">
      <c r="A60" s="35" t="s">
        <v>83</v>
      </c>
      <c r="B60" s="36" t="s">
        <v>275</v>
      </c>
    </row>
    <row r="61">
      <c r="A61" s="35" t="s">
        <v>84</v>
      </c>
      <c r="B61" s="36" t="s">
        <v>278</v>
      </c>
    </row>
    <row r="62">
      <c r="A62" s="35" t="s">
        <v>85</v>
      </c>
      <c r="B62" s="36" t="s">
        <v>278</v>
      </c>
    </row>
    <row r="63">
      <c r="A63" s="35" t="s">
        <v>86</v>
      </c>
      <c r="B63" s="36" t="s">
        <v>275</v>
      </c>
    </row>
    <row r="64">
      <c r="A64" s="35" t="s">
        <v>87</v>
      </c>
      <c r="B64" s="36" t="s">
        <v>276</v>
      </c>
    </row>
    <row r="65">
      <c r="A65" s="35" t="s">
        <v>88</v>
      </c>
      <c r="B65" s="36" t="s">
        <v>278</v>
      </c>
    </row>
    <row r="66">
      <c r="A66" s="35" t="s">
        <v>89</v>
      </c>
      <c r="B66" s="36" t="s">
        <v>276</v>
      </c>
    </row>
    <row r="67">
      <c r="A67" s="35" t="s">
        <v>90</v>
      </c>
      <c r="B67" s="36" t="s">
        <v>278</v>
      </c>
    </row>
    <row r="68">
      <c r="A68" s="35" t="s">
        <v>91</v>
      </c>
      <c r="B68" s="36" t="s">
        <v>278</v>
      </c>
    </row>
    <row r="69">
      <c r="A69" s="35" t="s">
        <v>92</v>
      </c>
      <c r="B69" s="36" t="s">
        <v>277</v>
      </c>
    </row>
    <row r="70">
      <c r="A70" s="35" t="s">
        <v>93</v>
      </c>
      <c r="B70" s="36" t="s">
        <v>277</v>
      </c>
    </row>
    <row r="71">
      <c r="A71" s="35" t="s">
        <v>94</v>
      </c>
      <c r="B71" s="36" t="s">
        <v>276</v>
      </c>
    </row>
    <row r="72">
      <c r="A72" s="35" t="s">
        <v>95</v>
      </c>
      <c r="B72" s="36" t="s">
        <v>278</v>
      </c>
    </row>
    <row r="73">
      <c r="A73" s="35" t="s">
        <v>96</v>
      </c>
      <c r="B73" s="36" t="s">
        <v>278</v>
      </c>
    </row>
    <row r="74">
      <c r="A74" s="35" t="s">
        <v>97</v>
      </c>
      <c r="B74" s="36" t="s">
        <v>278</v>
      </c>
    </row>
    <row r="75">
      <c r="A75" s="35" t="s">
        <v>98</v>
      </c>
      <c r="B75" s="36" t="s">
        <v>275</v>
      </c>
    </row>
    <row r="76">
      <c r="A76" s="35" t="s">
        <v>100</v>
      </c>
      <c r="B76" s="36" t="s">
        <v>284</v>
      </c>
    </row>
    <row r="77">
      <c r="A77" s="35" t="s">
        <v>101</v>
      </c>
      <c r="B77" s="36" t="s">
        <v>286</v>
      </c>
    </row>
    <row r="78">
      <c r="A78" s="35" t="s">
        <v>102</v>
      </c>
      <c r="B78" s="36" t="s">
        <v>283</v>
      </c>
    </row>
    <row r="79">
      <c r="A79" s="35" t="s">
        <v>103</v>
      </c>
      <c r="B79" s="36" t="s">
        <v>283</v>
      </c>
    </row>
    <row r="80">
      <c r="A80" s="35" t="s">
        <v>104</v>
      </c>
      <c r="B80" s="36" t="s">
        <v>285</v>
      </c>
    </row>
    <row r="81">
      <c r="A81" s="35" t="s">
        <v>105</v>
      </c>
      <c r="B81" s="36" t="s">
        <v>286</v>
      </c>
    </row>
    <row r="82">
      <c r="A82" s="35" t="s">
        <v>106</v>
      </c>
      <c r="B82" s="36" t="s">
        <v>286</v>
      </c>
    </row>
    <row r="83">
      <c r="A83" s="35" t="s">
        <v>107</v>
      </c>
      <c r="B83" s="36" t="s">
        <v>286</v>
      </c>
    </row>
    <row r="84">
      <c r="A84" s="35" t="s">
        <v>108</v>
      </c>
      <c r="B84" s="36" t="s">
        <v>284</v>
      </c>
    </row>
    <row r="85">
      <c r="A85" s="35" t="s">
        <v>109</v>
      </c>
      <c r="B85" s="36" t="s">
        <v>285</v>
      </c>
    </row>
    <row r="86">
      <c r="A86" s="35" t="s">
        <v>110</v>
      </c>
      <c r="B86" s="36" t="s">
        <v>285</v>
      </c>
    </row>
    <row r="87">
      <c r="A87" s="35" t="s">
        <v>111</v>
      </c>
      <c r="B87" s="36" t="s">
        <v>285</v>
      </c>
    </row>
    <row r="88">
      <c r="A88" s="35" t="s">
        <v>112</v>
      </c>
      <c r="B88" s="36" t="s">
        <v>285</v>
      </c>
    </row>
    <row r="89">
      <c r="A89" s="35" t="s">
        <v>113</v>
      </c>
      <c r="B89" s="36" t="s">
        <v>285</v>
      </c>
    </row>
    <row r="90">
      <c r="A90" s="35" t="s">
        <v>114</v>
      </c>
      <c r="B90" s="36" t="s">
        <v>283</v>
      </c>
    </row>
    <row r="91">
      <c r="A91" s="35" t="s">
        <v>115</v>
      </c>
      <c r="B91" s="36" t="s">
        <v>284</v>
      </c>
    </row>
    <row r="92">
      <c r="A92" s="35" t="s">
        <v>116</v>
      </c>
      <c r="B92" s="36" t="s">
        <v>286</v>
      </c>
    </row>
    <row r="93">
      <c r="A93" s="35" t="s">
        <v>117</v>
      </c>
      <c r="B93" s="36" t="s">
        <v>286</v>
      </c>
    </row>
    <row r="94">
      <c r="A94" s="35" t="s">
        <v>118</v>
      </c>
      <c r="B94" s="36" t="s">
        <v>283</v>
      </c>
    </row>
    <row r="95">
      <c r="A95" s="35" t="s">
        <v>119</v>
      </c>
      <c r="B95" s="36" t="s">
        <v>283</v>
      </c>
    </row>
    <row r="96">
      <c r="A96" s="35" t="s">
        <v>120</v>
      </c>
      <c r="B96" s="36" t="s">
        <v>283</v>
      </c>
    </row>
    <row r="97">
      <c r="A97" s="35" t="s">
        <v>121</v>
      </c>
      <c r="B97" s="36" t="s">
        <v>283</v>
      </c>
    </row>
    <row r="98">
      <c r="A98" s="35" t="s">
        <v>122</v>
      </c>
      <c r="B98" s="36" t="s">
        <v>286</v>
      </c>
    </row>
    <row r="99">
      <c r="A99" s="35" t="s">
        <v>123</v>
      </c>
      <c r="B99" s="36" t="s">
        <v>283</v>
      </c>
    </row>
    <row r="100">
      <c r="A100" s="35" t="s">
        <v>124</v>
      </c>
      <c r="B100" s="36" t="s">
        <v>284</v>
      </c>
    </row>
    <row r="101">
      <c r="A101" s="35" t="s">
        <v>125</v>
      </c>
      <c r="B101" s="36" t="s">
        <v>284</v>
      </c>
    </row>
    <row r="102">
      <c r="A102" s="35" t="s">
        <v>126</v>
      </c>
      <c r="B102" s="36" t="s">
        <v>285</v>
      </c>
    </row>
    <row r="103">
      <c r="A103" s="35" t="s">
        <v>127</v>
      </c>
      <c r="B103" s="36" t="s">
        <v>285</v>
      </c>
    </row>
    <row r="104">
      <c r="A104" s="35" t="s">
        <v>128</v>
      </c>
      <c r="B104" s="36" t="s">
        <v>285</v>
      </c>
    </row>
    <row r="105">
      <c r="A105" s="35" t="s">
        <v>129</v>
      </c>
      <c r="B105" s="36" t="s">
        <v>284</v>
      </c>
    </row>
    <row r="106">
      <c r="A106" s="35" t="s">
        <v>130</v>
      </c>
      <c r="B106" s="36" t="s">
        <v>285</v>
      </c>
    </row>
    <row r="107">
      <c r="A107" s="35" t="s">
        <v>131</v>
      </c>
      <c r="B107" s="36" t="s">
        <v>283</v>
      </c>
    </row>
    <row r="108">
      <c r="A108" s="35" t="s">
        <v>132</v>
      </c>
      <c r="B108" s="36" t="s">
        <v>284</v>
      </c>
    </row>
    <row r="109">
      <c r="A109" s="35" t="s">
        <v>134</v>
      </c>
      <c r="B109" s="36" t="s">
        <v>279</v>
      </c>
    </row>
    <row r="110">
      <c r="A110" s="35" t="s">
        <v>135</v>
      </c>
      <c r="B110" s="36" t="s">
        <v>281</v>
      </c>
    </row>
    <row r="111">
      <c r="A111" s="35" t="s">
        <v>136</v>
      </c>
      <c r="B111" s="36" t="s">
        <v>282</v>
      </c>
    </row>
    <row r="112">
      <c r="A112" s="35" t="s">
        <v>137</v>
      </c>
      <c r="B112" s="36" t="s">
        <v>281</v>
      </c>
    </row>
    <row r="113">
      <c r="A113" s="35" t="s">
        <v>138</v>
      </c>
      <c r="B113" s="36" t="s">
        <v>279</v>
      </c>
    </row>
    <row r="114">
      <c r="A114" s="35" t="s">
        <v>139</v>
      </c>
      <c r="B114" s="36" t="s">
        <v>279</v>
      </c>
    </row>
    <row r="115">
      <c r="A115" s="35" t="s">
        <v>140</v>
      </c>
      <c r="B115" s="36" t="s">
        <v>279</v>
      </c>
    </row>
    <row r="116">
      <c r="A116" s="35" t="s">
        <v>141</v>
      </c>
      <c r="B116" s="36" t="s">
        <v>279</v>
      </c>
    </row>
    <row r="117">
      <c r="A117" s="35" t="s">
        <v>142</v>
      </c>
      <c r="B117" s="36" t="s">
        <v>282</v>
      </c>
    </row>
    <row r="118">
      <c r="A118" s="35" t="s">
        <v>143</v>
      </c>
      <c r="B118" s="36" t="s">
        <v>279</v>
      </c>
    </row>
    <row r="119">
      <c r="A119" s="35" t="s">
        <v>144</v>
      </c>
      <c r="B119" s="36" t="s">
        <v>282</v>
      </c>
    </row>
    <row r="120">
      <c r="A120" s="35" t="s">
        <v>145</v>
      </c>
      <c r="B120" s="36" t="s">
        <v>281</v>
      </c>
    </row>
    <row r="121">
      <c r="A121" s="35" t="s">
        <v>146</v>
      </c>
      <c r="B121" s="36" t="s">
        <v>279</v>
      </c>
    </row>
    <row r="122">
      <c r="A122" s="35" t="s">
        <v>147</v>
      </c>
      <c r="B122" s="36" t="s">
        <v>282</v>
      </c>
    </row>
    <row r="123">
      <c r="A123" s="35" t="s">
        <v>148</v>
      </c>
      <c r="B123" s="36" t="s">
        <v>279</v>
      </c>
    </row>
    <row r="124">
      <c r="A124" s="35" t="s">
        <v>149</v>
      </c>
      <c r="B124" s="36" t="s">
        <v>282</v>
      </c>
    </row>
    <row r="125">
      <c r="A125" s="35" t="s">
        <v>150</v>
      </c>
      <c r="B125" s="36" t="s">
        <v>282</v>
      </c>
    </row>
    <row r="126">
      <c r="A126" s="35" t="s">
        <v>151</v>
      </c>
      <c r="B126" s="36" t="s">
        <v>282</v>
      </c>
    </row>
    <row r="127">
      <c r="A127" s="35" t="s">
        <v>152</v>
      </c>
      <c r="B127" s="36" t="s">
        <v>279</v>
      </c>
    </row>
    <row r="128">
      <c r="A128" s="35" t="s">
        <v>153</v>
      </c>
      <c r="B128" s="36" t="s">
        <v>281</v>
      </c>
    </row>
    <row r="129">
      <c r="A129" s="35" t="s">
        <v>154</v>
      </c>
      <c r="B129" s="36" t="s">
        <v>280</v>
      </c>
    </row>
    <row r="130">
      <c r="A130" s="35" t="s">
        <v>155</v>
      </c>
      <c r="B130" s="36" t="s">
        <v>282</v>
      </c>
    </row>
    <row r="131">
      <c r="A131" s="35" t="s">
        <v>156</v>
      </c>
      <c r="B131" s="36" t="s">
        <v>282</v>
      </c>
    </row>
    <row r="132">
      <c r="A132" s="35" t="s">
        <v>157</v>
      </c>
      <c r="B132" s="36" t="s">
        <v>282</v>
      </c>
    </row>
    <row r="133">
      <c r="A133" s="35" t="s">
        <v>158</v>
      </c>
      <c r="B133" s="36" t="s">
        <v>279</v>
      </c>
    </row>
    <row r="134">
      <c r="A134" s="35" t="s">
        <v>159</v>
      </c>
      <c r="B134" s="36" t="s">
        <v>279</v>
      </c>
    </row>
    <row r="135">
      <c r="A135" s="35" t="s">
        <v>160</v>
      </c>
      <c r="B135" s="36" t="s">
        <v>282</v>
      </c>
    </row>
    <row r="136">
      <c r="A136" s="35" t="s">
        <v>161</v>
      </c>
      <c r="B136" s="36" t="s">
        <v>281</v>
      </c>
    </row>
    <row r="137">
      <c r="A137" s="35" t="s">
        <v>162</v>
      </c>
      <c r="B137" s="36" t="s">
        <v>282</v>
      </c>
    </row>
    <row r="138">
      <c r="A138" s="35" t="s">
        <v>163</v>
      </c>
      <c r="B138" s="36" t="s">
        <v>279</v>
      </c>
    </row>
    <row r="139">
      <c r="A139" s="35" t="s">
        <v>164</v>
      </c>
      <c r="B139" s="36" t="s">
        <v>279</v>
      </c>
    </row>
    <row r="140">
      <c r="A140" s="35" t="s">
        <v>165</v>
      </c>
      <c r="B140" s="36" t="s">
        <v>279</v>
      </c>
    </row>
    <row r="141">
      <c r="A141" s="35" t="s">
        <v>166</v>
      </c>
      <c r="B141" s="36" t="s">
        <v>281</v>
      </c>
    </row>
    <row r="142">
      <c r="A142" s="35" t="s">
        <v>167</v>
      </c>
      <c r="B142" s="36" t="s">
        <v>279</v>
      </c>
    </row>
    <row r="143">
      <c r="A143" s="35" t="s">
        <v>168</v>
      </c>
      <c r="B143" s="36" t="s">
        <v>282</v>
      </c>
    </row>
    <row r="144">
      <c r="A144" s="35" t="s">
        <v>169</v>
      </c>
      <c r="B144" s="36" t="s">
        <v>281</v>
      </c>
    </row>
    <row r="145">
      <c r="A145" s="35" t="s">
        <v>170</v>
      </c>
      <c r="B145" s="36" t="s">
        <v>280</v>
      </c>
    </row>
    <row r="146">
      <c r="A146" s="35" t="s">
        <v>171</v>
      </c>
      <c r="B146" s="36" t="s">
        <v>280</v>
      </c>
    </row>
    <row r="147">
      <c r="A147" s="35" t="s">
        <v>172</v>
      </c>
      <c r="B147" s="36" t="s">
        <v>280</v>
      </c>
    </row>
    <row r="148">
      <c r="A148" s="35" t="s">
        <v>173</v>
      </c>
      <c r="B148" s="36" t="s">
        <v>282</v>
      </c>
    </row>
    <row r="149">
      <c r="A149" s="35" t="s">
        <v>174</v>
      </c>
      <c r="B149" s="36" t="s">
        <v>282</v>
      </c>
    </row>
    <row r="150">
      <c r="A150" s="35" t="s">
        <v>175</v>
      </c>
      <c r="B150" s="36" t="s">
        <v>279</v>
      </c>
    </row>
    <row r="151">
      <c r="A151" s="35" t="s">
        <v>176</v>
      </c>
      <c r="B151" s="36" t="s">
        <v>281</v>
      </c>
    </row>
    <row r="152">
      <c r="A152" s="35" t="s">
        <v>177</v>
      </c>
      <c r="B152" s="36" t="s">
        <v>281</v>
      </c>
    </row>
    <row r="153">
      <c r="A153" s="35" t="s">
        <v>178</v>
      </c>
      <c r="B153" s="36" t="s">
        <v>279</v>
      </c>
    </row>
    <row r="154">
      <c r="A154" s="35" t="s">
        <v>179</v>
      </c>
      <c r="B154" s="36" t="s">
        <v>282</v>
      </c>
    </row>
    <row r="155">
      <c r="A155" s="35" t="s">
        <v>180</v>
      </c>
      <c r="B155" s="36" t="s">
        <v>282</v>
      </c>
    </row>
    <row r="156">
      <c r="A156" s="35" t="s">
        <v>181</v>
      </c>
      <c r="B156" s="36" t="s">
        <v>279</v>
      </c>
    </row>
    <row r="157">
      <c r="A157" s="35" t="s">
        <v>182</v>
      </c>
      <c r="B157" s="36" t="s">
        <v>279</v>
      </c>
    </row>
    <row r="158">
      <c r="A158" s="35" t="s">
        <v>183</v>
      </c>
      <c r="B158" s="36" t="s">
        <v>279</v>
      </c>
    </row>
    <row r="159">
      <c r="A159" s="35" t="s">
        <v>184</v>
      </c>
      <c r="B159" s="36" t="s">
        <v>280</v>
      </c>
    </row>
    <row r="160">
      <c r="A160" s="35" t="s">
        <v>185</v>
      </c>
      <c r="B160" s="36" t="s">
        <v>280</v>
      </c>
    </row>
    <row r="161">
      <c r="A161" s="35" t="s">
        <v>186</v>
      </c>
      <c r="B161" s="36" t="s">
        <v>279</v>
      </c>
    </row>
    <row r="162">
      <c r="A162" s="35" t="s">
        <v>187</v>
      </c>
      <c r="B162" s="36" t="s">
        <v>281</v>
      </c>
    </row>
    <row r="163">
      <c r="A163" s="35" t="s">
        <v>188</v>
      </c>
      <c r="B163" s="36" t="s">
        <v>281</v>
      </c>
    </row>
    <row r="164">
      <c r="A164" s="35" t="s">
        <v>189</v>
      </c>
      <c r="B164" s="36" t="s">
        <v>281</v>
      </c>
    </row>
    <row r="165">
      <c r="A165" s="35" t="s">
        <v>190</v>
      </c>
      <c r="B165" s="36" t="s">
        <v>281</v>
      </c>
    </row>
    <row r="166">
      <c r="A166" s="35" t="s">
        <v>191</v>
      </c>
      <c r="B166" s="36" t="s">
        <v>282</v>
      </c>
    </row>
    <row r="167">
      <c r="A167" s="35" t="s">
        <v>192</v>
      </c>
      <c r="B167" s="36" t="s">
        <v>281</v>
      </c>
    </row>
    <row r="168">
      <c r="A168" s="35" t="s">
        <v>193</v>
      </c>
      <c r="B168" s="36" t="s">
        <v>280</v>
      </c>
    </row>
    <row r="169">
      <c r="A169" s="35" t="s">
        <v>194</v>
      </c>
      <c r="B169" s="36" t="s">
        <v>279</v>
      </c>
    </row>
    <row r="170">
      <c r="A170" s="35" t="s">
        <v>195</v>
      </c>
      <c r="B170" s="36" t="s">
        <v>282</v>
      </c>
    </row>
    <row r="171">
      <c r="A171" s="35" t="s">
        <v>196</v>
      </c>
      <c r="B171" s="36" t="s">
        <v>279</v>
      </c>
    </row>
    <row r="172">
      <c r="A172" s="35" t="s">
        <v>197</v>
      </c>
      <c r="B172" s="36" t="s">
        <v>279</v>
      </c>
    </row>
    <row r="173">
      <c r="A173" s="35" t="s">
        <v>198</v>
      </c>
      <c r="B173" s="36" t="s">
        <v>279</v>
      </c>
    </row>
    <row r="174">
      <c r="A174" s="35" t="s">
        <v>199</v>
      </c>
      <c r="B174" s="36" t="s">
        <v>282</v>
      </c>
    </row>
    <row r="175">
      <c r="A175" s="35" t="s">
        <v>200</v>
      </c>
      <c r="B175" s="36" t="s">
        <v>282</v>
      </c>
    </row>
    <row r="176">
      <c r="A176" s="35" t="s">
        <v>201</v>
      </c>
      <c r="B176" s="36" t="s">
        <v>279</v>
      </c>
    </row>
    <row r="177">
      <c r="A177" s="35" t="s">
        <v>202</v>
      </c>
      <c r="B177" s="36" t="s">
        <v>280</v>
      </c>
    </row>
    <row r="178">
      <c r="A178" s="35" t="s">
        <v>203</v>
      </c>
      <c r="B178" s="36" t="s">
        <v>281</v>
      </c>
    </row>
    <row r="179">
      <c r="A179" s="35" t="s">
        <v>204</v>
      </c>
      <c r="B179" s="36" t="s">
        <v>280</v>
      </c>
    </row>
    <row r="180">
      <c r="A180" s="35" t="s">
        <v>205</v>
      </c>
      <c r="B180" s="36" t="s">
        <v>282</v>
      </c>
    </row>
    <row r="181">
      <c r="A181" s="35" t="s">
        <v>209</v>
      </c>
      <c r="B181" s="36" t="s">
        <v>277</v>
      </c>
    </row>
    <row r="182">
      <c r="A182" s="35" t="s">
        <v>210</v>
      </c>
      <c r="B182" s="36" t="s">
        <v>284</v>
      </c>
    </row>
    <row r="183">
      <c r="A183" s="35" t="s">
        <v>211</v>
      </c>
      <c r="B183" s="36" t="s">
        <v>280</v>
      </c>
    </row>
    <row r="184">
      <c r="A184" s="35" t="s">
        <v>212</v>
      </c>
      <c r="B184" s="36" t="s">
        <v>280</v>
      </c>
    </row>
    <row r="185">
      <c r="A185" s="35" t="s">
        <v>213</v>
      </c>
      <c r="B185" s="36" t="s">
        <v>279</v>
      </c>
    </row>
    <row r="186">
      <c r="A186" s="35" t="s">
        <v>214</v>
      </c>
      <c r="B186" s="36" t="s">
        <v>279</v>
      </c>
    </row>
    <row r="187">
      <c r="A187" s="35" t="s">
        <v>215</v>
      </c>
      <c r="B187" s="36" t="s">
        <v>282</v>
      </c>
    </row>
    <row r="188">
      <c r="A188" s="35" t="s">
        <v>219</v>
      </c>
      <c r="B188" s="36" t="s">
        <v>277</v>
      </c>
    </row>
    <row r="189">
      <c r="A189" s="35" t="s">
        <v>220</v>
      </c>
      <c r="B189" s="36" t="s">
        <v>286</v>
      </c>
    </row>
    <row r="190">
      <c r="A190" s="35" t="s">
        <v>226</v>
      </c>
      <c r="B190" s="36" t="s">
        <v>278</v>
      </c>
    </row>
    <row r="191">
      <c r="A191" s="35" t="s">
        <v>227</v>
      </c>
      <c r="B191" s="36" t="s">
        <v>278</v>
      </c>
    </row>
    <row r="192">
      <c r="A192" s="35" t="s">
        <v>228</v>
      </c>
      <c r="B192" s="36" t="s">
        <v>285</v>
      </c>
    </row>
    <row r="193">
      <c r="A193" s="35" t="s">
        <v>230</v>
      </c>
      <c r="B193" s="36" t="s">
        <v>284</v>
      </c>
      <c r="C193" s="36" t="s">
        <v>584</v>
      </c>
    </row>
    <row r="194">
      <c r="A194" s="35" t="s">
        <v>231</v>
      </c>
      <c r="B194" s="36" t="s">
        <v>284</v>
      </c>
    </row>
    <row r="195">
      <c r="A195" s="35" t="s">
        <v>241</v>
      </c>
      <c r="B195" s="36" t="s">
        <v>290</v>
      </c>
    </row>
    <row r="196">
      <c r="A196" s="35" t="s">
        <v>242</v>
      </c>
      <c r="B196" s="36" t="s">
        <v>278</v>
      </c>
    </row>
    <row r="197">
      <c r="A197" s="35" t="s">
        <v>243</v>
      </c>
      <c r="B197" s="36" t="s">
        <v>285</v>
      </c>
    </row>
    <row r="198">
      <c r="A198" s="35" t="s">
        <v>245</v>
      </c>
      <c r="B198" s="36" t="s">
        <v>290</v>
      </c>
    </row>
    <row r="199">
      <c r="A199" s="35" t="s">
        <v>246</v>
      </c>
      <c r="B199" s="36" t="s">
        <v>278</v>
      </c>
    </row>
    <row r="200">
      <c r="A200" s="35" t="s">
        <v>248</v>
      </c>
      <c r="B200" s="36" t="s">
        <v>278</v>
      </c>
    </row>
    <row r="201">
      <c r="A201" s="35" t="s">
        <v>249</v>
      </c>
      <c r="B201" s="36" t="s">
        <v>286</v>
      </c>
    </row>
    <row r="202">
      <c r="A202" s="35" t="s">
        <v>255</v>
      </c>
      <c r="B202" s="36" t="s">
        <v>279</v>
      </c>
    </row>
    <row r="203">
      <c r="A203" s="35" t="s">
        <v>259</v>
      </c>
      <c r="B203" s="36" t="s">
        <v>287</v>
      </c>
    </row>
    <row r="204">
      <c r="A204" s="35" t="s">
        <v>260</v>
      </c>
      <c r="B204" s="36" t="s">
        <v>289</v>
      </c>
    </row>
    <row r="205">
      <c r="A205" s="35" t="s">
        <v>261</v>
      </c>
      <c r="B205" s="36" t="s">
        <v>285</v>
      </c>
    </row>
    <row r="206">
      <c r="A206" s="35" t="s">
        <v>262</v>
      </c>
      <c r="B206" s="36" t="s">
        <v>285</v>
      </c>
    </row>
    <row r="207">
      <c r="A207" s="35" t="s">
        <v>263</v>
      </c>
      <c r="B207" s="36" t="s">
        <v>285</v>
      </c>
    </row>
    <row r="208">
      <c r="A208" s="35" t="s">
        <v>266</v>
      </c>
      <c r="B208" s="36" t="s">
        <v>283</v>
      </c>
    </row>
    <row r="209">
      <c r="A209" s="35" t="s">
        <v>267</v>
      </c>
      <c r="B209" s="36" t="s">
        <v>285</v>
      </c>
    </row>
    <row r="210">
      <c r="A210" s="35" t="s">
        <v>268</v>
      </c>
      <c r="B210" s="36" t="s">
        <v>279</v>
      </c>
    </row>
  </sheetData>
  <dataValidations>
    <dataValidation type="list" allowBlank="1" showErrorMessage="1" sqref="B2:B210">
      <formula1>"West Bengal,Bihar,Jharkhand,Odisha,Uttar Pradesh,Rajasthan,Punjab,Haryana,Karnataka,Telangana,Andhra Pradesh,Tamil Nadu,Chhattisgarh,Madhya Pradesh,Maharashtra,Gujarat"</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2026-03-15T09:53:23Z</dcterms:created>
  <dc:creator>openpyxl</dc:creator>
</cp:coreProperties>
</file>